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0244614d81fa6b2/SSb-Publish@com/Promotion_Tools/"/>
    </mc:Choice>
  </mc:AlternateContent>
  <xr:revisionPtr revIDLastSave="322" documentId="13_ncr:1_{7DE7CCDE-526B-4E6E-B77C-1DD48E5DE8D3}" xr6:coauthVersionLast="47" xr6:coauthVersionMax="47" xr10:uidLastSave="{ABAD74D3-35D2-4037-AF69-2F3513277CC4}"/>
  <bookViews>
    <workbookView xWindow="-120" yWindow="-120" windowWidth="24240" windowHeight="13020" xr2:uid="{23DEF307-272F-4619-A3DC-14941EDD3B7A}"/>
  </bookViews>
  <sheets>
    <sheet name="Media Info" sheetId="1" r:id="rId1"/>
    <sheet name="Plan" sheetId="2" r:id="rId2"/>
    <sheet name="Statistics" sheetId="4" r:id="rId3"/>
    <sheet name="Sheet1" sheetId="5" r:id="rId4"/>
  </sheets>
  <functionGroups builtInGroupCount="19"/>
  <externalReferences>
    <externalReference r:id="rId5"/>
    <externalReference r:id="rId6"/>
  </externalReferences>
  <definedNames>
    <definedName name="_xlnm._FilterDatabase" localSheetId="0" hidden="1">'Media Info'!$A$1:$BO$2181</definedName>
    <definedName name="_xlnm._FilterDatabase" localSheetId="1">Plan!$B$1:$C$774</definedName>
    <definedName name="IT" localSheetId="0">[1]Dict!#REF!</definedName>
    <definedName name="IT" localSheetId="1">[1]Dict!#REF!</definedName>
    <definedName name="IT">[1]Dict!#REF!</definedName>
    <definedName name="IT技能" localSheetId="0">#REF!</definedName>
    <definedName name="IT技能" localSheetId="1">#REF!</definedName>
    <definedName name="IT技能">#REF!</definedName>
    <definedName name="Life" localSheetId="0">#REF!</definedName>
    <definedName name="Life" localSheetId="1">#REF!</definedName>
    <definedName name="Life">#REF!</definedName>
    <definedName name="Password" localSheetId="0">#REF!</definedName>
    <definedName name="Password" localSheetId="1">#REF!</definedName>
    <definedName name="Password">#REF!</definedName>
    <definedName name="unnamed1" localSheetId="0">#REF!</definedName>
    <definedName name="unnamed1" localSheetId="1">#REF!</definedName>
    <definedName name="unnamed1">#REF!</definedName>
    <definedName name="unnamed2" localSheetId="0">#REF!</definedName>
    <definedName name="unnamed2" localSheetId="1">#REF!</definedName>
    <definedName name="unnamed2">#REF!</definedName>
    <definedName name="Word" localSheetId="0">#REF!</definedName>
    <definedName name="Word" localSheetId="1">#REF!</definedName>
    <definedName name="Word">#REF!</definedName>
    <definedName name="Word_Excel_BuiltIn__FilterDatabase">'[2]Word '!$A$1:$U$3395</definedName>
    <definedName name="Work" localSheetId="0">#REF!</definedName>
    <definedName name="Work" localSheetId="1">#REF!</definedName>
    <definedName name="Work">#REF!</definedName>
    <definedName name="読書" localSheetId="0">#REF!</definedName>
    <definedName name="読書" localSheetId="1">#REF!</definedName>
    <definedName name="読書">#REF!</definedName>
    <definedName name="福冈县立" localSheetId="0">#REF!</definedName>
    <definedName name="福冈县立" localSheetId="1">#REF!</definedName>
    <definedName name="福冈县立">#REF!</definedName>
    <definedName name="工作" localSheetId="0">[1]Dict!#REF!</definedName>
    <definedName name="工作" localSheetId="1">[1]Dict!#REF!</definedName>
    <definedName name="工作">[1]Dict!#REF!</definedName>
    <definedName name="活用" localSheetId="0">[1]Dict!#REF!</definedName>
    <definedName name="活用" localSheetId="1">[1]Dict!#REF!</definedName>
    <definedName name="活用">[1]Dict!#REF!</definedName>
    <definedName name="料理" localSheetId="0">[1]Dict!#REF!</definedName>
    <definedName name="料理" localSheetId="1">[1]Dict!#REF!</definedName>
    <definedName name="料理">[1]Dict!#REF!</definedName>
    <definedName name="青少年室" localSheetId="0">#REF!</definedName>
    <definedName name="青少年室" localSheetId="1">#REF!</definedName>
    <definedName name="青少年室">#REF!</definedName>
    <definedName name="人物" localSheetId="0">[1]Dict!#REF!</definedName>
    <definedName name="人物">[1]Dict!#REF!</definedName>
    <definedName name="日本語" localSheetId="0">#REF!</definedName>
    <definedName name="日本語" localSheetId="1">#REF!</definedName>
    <definedName name="日本語">#REF!</definedName>
    <definedName name="日剧" localSheetId="0">#REF!</definedName>
    <definedName name="日剧" localSheetId="1">#REF!</definedName>
    <definedName name="日剧">#REF!</definedName>
    <definedName name="生活" localSheetId="0">[1]Dict!#REF!</definedName>
    <definedName name="生活">[1]Dict!#REF!</definedName>
    <definedName name="图书馆">Plan!$E$2:$E$850</definedName>
    <definedName name="完了日">Plan!$D$2:$D$850</definedName>
    <definedName name="微信读书">Plan!#REF!</definedName>
    <definedName name="微信听书">Plan!#REF!</definedName>
    <definedName name="文法" localSheetId="0">[1]Dict!#REF!</definedName>
    <definedName name="文法" localSheetId="1">[1]Dict!#REF!</definedName>
    <definedName name="文法">[1]Dict!#REF!</definedName>
    <definedName name="业务" localSheetId="0">[1]Dict!#REF!</definedName>
    <definedName name="业务" localSheetId="1">[1]Dict!#REF!</definedName>
    <definedName name="业务">[1]Dict!#REF!</definedName>
    <definedName name="英語" localSheetId="0">#REF!</definedName>
    <definedName name="英語" localSheetId="1">#REF!</definedName>
    <definedName name="英語">#REF!</definedName>
    <definedName name="知识" localSheetId="0">[1]Dict!#REF!</definedName>
    <definedName name="知识" localSheetId="1">[1]Dict!#REF!</definedName>
    <definedName name="知识">[1]Dict!#REF!</definedName>
    <definedName name="专用词" localSheetId="0">[1]Dict!#REF!</definedName>
    <definedName name="专用词" localSheetId="1">[1]Dict!#REF!</definedName>
    <definedName name="专用词">[1]Dict!#REF!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182" i="1" l="1"/>
  <c r="AL2182" i="1"/>
  <c r="AM2182" i="1"/>
  <c r="AH2182" i="1"/>
  <c r="AJ2182" i="1"/>
  <c r="AK2182" i="1"/>
  <c r="AB2182" i="1"/>
  <c r="AC2182" i="1"/>
  <c r="AD2182" i="1"/>
  <c r="AE2182" i="1"/>
  <c r="AF2182" i="1"/>
  <c r="AG2182" i="1"/>
  <c r="AA2182" i="1"/>
  <c r="AY462" i="1"/>
  <c r="AY463" i="1"/>
  <c r="AY474" i="1"/>
  <c r="AY475" i="1"/>
  <c r="AY476" i="1"/>
  <c r="AY465" i="1"/>
  <c r="AY466" i="1"/>
  <c r="AY467" i="1"/>
  <c r="AY470" i="1"/>
  <c r="AY471" i="1"/>
  <c r="AY472" i="1"/>
  <c r="AY473" i="1"/>
  <c r="AY461" i="1"/>
  <c r="AY458" i="1"/>
  <c r="AY459" i="1"/>
  <c r="AY460" i="1"/>
  <c r="AY477" i="1"/>
  <c r="AY478" i="1"/>
  <c r="AY452" i="1"/>
  <c r="AY453" i="1"/>
  <c r="AY454" i="1"/>
  <c r="AY455" i="1"/>
  <c r="AY456" i="1"/>
  <c r="AY457" i="1"/>
  <c r="AY440" i="1"/>
  <c r="AY441" i="1"/>
  <c r="AY442" i="1"/>
  <c r="AY443" i="1"/>
  <c r="AY444" i="1"/>
  <c r="AY445" i="1"/>
  <c r="AY446" i="1"/>
  <c r="AY447" i="1"/>
  <c r="AY448" i="1"/>
  <c r="AY449" i="1"/>
  <c r="AY450" i="1"/>
  <c r="AY464" i="1"/>
  <c r="AY451" i="1"/>
  <c r="AY434" i="1"/>
  <c r="AY435" i="1"/>
  <c r="AY436" i="1"/>
  <c r="AY437" i="1"/>
  <c r="AY438" i="1"/>
  <c r="AY439" i="1"/>
  <c r="AY479" i="1"/>
  <c r="AY480" i="1"/>
  <c r="AY1250" i="1"/>
  <c r="AY1251" i="1"/>
  <c r="AY1252" i="1"/>
  <c r="AY32" i="1"/>
  <c r="AY425" i="1"/>
  <c r="AY426" i="1"/>
  <c r="AY427" i="1"/>
  <c r="AY428" i="1"/>
  <c r="AY429" i="1"/>
  <c r="AY430" i="1"/>
  <c r="AY102" i="1"/>
  <c r="AY431" i="1"/>
  <c r="AY432" i="1"/>
  <c r="AY16" i="1"/>
  <c r="AY433" i="1"/>
  <c r="AY417" i="1"/>
  <c r="AY418" i="1"/>
  <c r="AY419" i="1"/>
  <c r="AY420" i="1"/>
  <c r="AY421" i="1"/>
  <c r="AY422" i="1"/>
  <c r="AY423" i="1"/>
  <c r="AY410" i="1"/>
  <c r="AY411" i="1"/>
  <c r="AY412" i="1"/>
  <c r="AY413" i="1"/>
  <c r="AY414" i="1"/>
  <c r="AY170" i="1"/>
  <c r="AY415" i="1"/>
  <c r="AY416" i="1"/>
  <c r="AY409" i="1"/>
  <c r="AY408" i="1"/>
  <c r="AY407" i="1"/>
  <c r="AY406" i="1"/>
  <c r="AY405" i="1"/>
  <c r="AY404" i="1"/>
  <c r="AY402" i="1"/>
  <c r="AY403" i="1"/>
  <c r="AY401" i="1"/>
  <c r="AY400" i="1"/>
  <c r="AY399" i="1"/>
  <c r="AY398" i="1"/>
  <c r="AY397" i="1"/>
  <c r="AY396" i="1"/>
  <c r="AY395" i="1"/>
  <c r="AY388" i="1"/>
  <c r="AY389" i="1"/>
  <c r="AY390" i="1"/>
  <c r="AY391" i="1"/>
  <c r="AY392" i="1"/>
  <c r="AY393" i="1"/>
  <c r="AY394" i="1"/>
  <c r="AY387" i="1"/>
  <c r="AY386" i="1"/>
  <c r="AY385" i="1"/>
  <c r="AY384" i="1"/>
  <c r="AY379" i="1"/>
  <c r="AY380" i="1"/>
  <c r="AY381" i="1"/>
  <c r="AY152" i="1"/>
  <c r="AY382" i="1"/>
  <c r="AY383" i="1"/>
  <c r="AY2" i="1"/>
  <c r="AY339" i="1"/>
  <c r="AY340" i="1"/>
  <c r="AY341" i="1"/>
  <c r="AY342" i="1"/>
  <c r="AY343" i="1"/>
  <c r="AY344" i="1"/>
  <c r="AY345" i="1"/>
  <c r="AY346" i="1"/>
  <c r="AY347" i="1"/>
  <c r="AY348" i="1"/>
  <c r="AY349" i="1"/>
  <c r="AY469" i="1"/>
  <c r="AY468" i="1"/>
  <c r="AY350" i="1"/>
  <c r="AY351" i="1"/>
  <c r="AY352" i="1"/>
  <c r="AY353" i="1"/>
  <c r="AY354" i="1"/>
  <c r="AY355" i="1"/>
  <c r="AY356" i="1"/>
  <c r="AY357" i="1"/>
  <c r="AY358" i="1"/>
  <c r="AY359" i="1"/>
  <c r="AY360" i="1"/>
  <c r="AY361" i="1"/>
  <c r="AY362" i="1"/>
  <c r="AY363" i="1"/>
  <c r="AY364" i="1"/>
  <c r="AY365" i="1"/>
  <c r="AY366" i="1"/>
  <c r="AY367" i="1"/>
  <c r="AY368" i="1"/>
  <c r="AY369" i="1"/>
  <c r="AY370" i="1"/>
  <c r="AY371" i="1"/>
  <c r="AY372" i="1"/>
  <c r="AY373" i="1"/>
  <c r="AY374" i="1"/>
  <c r="AY375" i="1"/>
  <c r="AY376" i="1"/>
  <c r="AY377" i="1"/>
  <c r="AY378" i="1"/>
  <c r="C1" i="4"/>
  <c r="D1" i="4"/>
  <c r="A1" i="4" l="1"/>
</calcChain>
</file>

<file path=xl/sharedStrings.xml><?xml version="1.0" encoding="utf-8"?>
<sst xmlns="http://schemas.openxmlformats.org/spreadsheetml/2006/main" count="6659" uniqueCount="2877">
  <si>
    <t>●</t>
  </si>
  <si>
    <t>MP4</t>
  </si>
  <si>
    <t>MP3</t>
  </si>
  <si>
    <t>TED</t>
  </si>
  <si>
    <t>腾讯</t>
  </si>
  <si>
    <t>中科院</t>
  </si>
  <si>
    <t>浙江工商大学</t>
  </si>
  <si>
    <t>耶鲁大学</t>
  </si>
  <si>
    <t>mp4</t>
  </si>
  <si>
    <t>斯坦福大学</t>
  </si>
  <si>
    <t>C</t>
  </si>
  <si>
    <t>CS106B</t>
  </si>
  <si>
    <t>Programming.Abstractions</t>
  </si>
  <si>
    <t>Java</t>
  </si>
  <si>
    <t>CS106A</t>
  </si>
  <si>
    <t>CS107</t>
  </si>
  <si>
    <t>圣母大学</t>
  </si>
  <si>
    <t>flv</t>
  </si>
  <si>
    <t>清华大学</t>
  </si>
  <si>
    <t>普林斯顿大学</t>
  </si>
  <si>
    <t>纽约大学</t>
  </si>
  <si>
    <t>Android</t>
  </si>
  <si>
    <t>密西西比河谷州立大学</t>
  </si>
  <si>
    <t>麻省理工大学</t>
  </si>
  <si>
    <t>Python</t>
  </si>
  <si>
    <t>哈佛大学</t>
  </si>
  <si>
    <t>CS50</t>
  </si>
  <si>
    <t>宾夕法尼亚州立</t>
  </si>
  <si>
    <t>巴黎高等商学院</t>
  </si>
  <si>
    <t>Type</t>
  </si>
  <si>
    <t>集数</t>
  </si>
  <si>
    <t>KeyWpord</t>
  </si>
  <si>
    <t>课程编号</t>
  </si>
  <si>
    <t>学校</t>
  </si>
  <si>
    <t>中文</t>
  </si>
  <si>
    <t>星海HP</t>
  </si>
  <si>
    <t>Ape</t>
  </si>
  <si>
    <t>小田和正</t>
  </si>
  <si>
    <t>群星</t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</si>
  <si>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</si>
  <si>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</si>
  <si>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罗大佑</t>
  </si>
  <si>
    <t>Mp4</t>
  </si>
  <si>
    <t>Mp3&amp;Mp4</t>
  </si>
  <si>
    <t>Mp3</t>
  </si>
  <si>
    <t>日语</t>
  </si>
  <si>
    <t>MP4</t>
    <phoneticPr fontId="6" type="noConversion"/>
  </si>
  <si>
    <t>星海台式机</t>
  </si>
  <si>
    <t>MKV</t>
  </si>
  <si>
    <t>AVI</t>
  </si>
  <si>
    <t>电子书</t>
    <phoneticPr fontId="11" type="noConversion"/>
  </si>
  <si>
    <t>推荐</t>
    <phoneticPr fontId="6" type="noConversion"/>
  </si>
  <si>
    <t>强烈推荐</t>
    <phoneticPr fontId="6" type="noConversion"/>
  </si>
  <si>
    <t>必知知识</t>
    <phoneticPr fontId="6" type="noConversion"/>
  </si>
  <si>
    <t>http://product.dangdang.com/23391522.html#ddclick_reco_reco_buytogether</t>
  </si>
  <si>
    <t>必备技能</t>
    <phoneticPr fontId="6" type="noConversion"/>
  </si>
  <si>
    <t>专业名著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</si>
  <si>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</si>
  <si>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</si>
  <si>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</si>
  <si>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(美).卡斯·桑斯坦</t>
    <phoneticPr fontId="6" type="noConversion"/>
  </si>
  <si>
    <t>美国畅销书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</si>
  <si>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</si>
  <si>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</si>
  <si>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主教材</t>
    <phoneticPr fontId="6" type="noConversion"/>
  </si>
  <si>
    <t>授课教材，贯穿课程始终</t>
    <phoneticPr fontId="6" type="noConversion"/>
  </si>
  <si>
    <t>〔美〕唐·理查德·里索，拉斯·赫德森</t>
    <phoneticPr fontId="6" type="noConversion"/>
  </si>
  <si>
    <t>必知知识</t>
  </si>
  <si>
    <t>（美）雷纳德</t>
    <phoneticPr fontId="6" type="noConversion"/>
  </si>
  <si>
    <t>必备技能，贯穿课程始终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</si>
  <si>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</si>
  <si>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</si>
  <si>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●</t>
    <phoneticPr fontId="15" type="noConversion"/>
  </si>
  <si>
    <t>日本语</t>
    <phoneticPr fontId="15" type="noConversion"/>
  </si>
  <si>
    <t>中文</t>
    <phoneticPr fontId="15" type="noConversion"/>
  </si>
  <si>
    <t>星海书架</t>
    <phoneticPr fontId="15" type="noConversion"/>
  </si>
  <si>
    <t>星海阁楼</t>
    <phoneticPr fontId="15" type="noConversion"/>
  </si>
  <si>
    <t>NIT－PRO</t>
    <phoneticPr fontId="15" type="noConversion"/>
  </si>
  <si>
    <t>张国锋</t>
    <phoneticPr fontId="15" type="noConversion"/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</si>
  <si>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</si>
  <si>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</si>
  <si>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</si>
  <si>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</si>
  <si>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</si>
  <si>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</si>
  <si>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</si>
  <si>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</si>
  <si>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http://gihyo.jp/book/2014/978-4-7741-7003-9</t>
    <phoneticPr fontId="0"/>
  </si>
  <si>
    <t>Cloud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</si>
  <si>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</si>
  <si>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</si>
  <si>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</si>
  <si>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</si>
  <si>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</si>
  <si>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</si>
  <si>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</si>
  <si>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</si>
  <si>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</si>
  <si>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</si>
  <si>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</si>
  <si>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</si>
  <si>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</si>
  <si>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業務</t>
    </r>
  </si>
  <si>
    <t>原版</t>
    <phoneticPr fontId="0" type="noConversion"/>
  </si>
  <si>
    <t>日元</t>
    <phoneticPr fontId="0" type="noConversion"/>
  </si>
  <si>
    <t>日本語</t>
    <phoneticPr fontId="0" type="noConversion"/>
  </si>
  <si>
    <t>文学</t>
    <phoneticPr fontId="0" type="noConversion"/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</si>
  <si>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</si>
  <si>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</si>
  <si>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</si>
  <si>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</si>
  <si>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</si>
  <si>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</si>
  <si>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</si>
  <si>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</si>
  <si>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</si>
  <si>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</si>
  <si>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</si>
  <si>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</si>
  <si>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</si>
  <si>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</si>
  <si>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</si>
  <si>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</si>
  <si>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</si>
  <si>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</si>
  <si>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</si>
  <si>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</si>
  <si>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</si>
  <si>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</si>
  <si>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</si>
  <si>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</si>
  <si>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</si>
  <si>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</si>
  <si>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</si>
  <si>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</si>
  <si>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</si>
  <si>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</si>
  <si>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</si>
  <si>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</si>
  <si>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</si>
  <si>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</si>
  <si>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</si>
  <si>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</si>
  <si>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</si>
  <si>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</si>
  <si>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</si>
  <si>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</si>
  <si>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</si>
  <si>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</si>
  <si>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</si>
  <si>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</si>
  <si>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</si>
  <si>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</si>
  <si>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</si>
  <si>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</si>
  <si>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</si>
  <si>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</si>
  <si>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</si>
  <si>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</si>
  <si>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</si>
  <si>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</si>
  <si>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</si>
  <si>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</si>
  <si>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</si>
  <si>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</si>
  <si>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</si>
  <si>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</si>
  <si>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</si>
  <si>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</si>
  <si>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</si>
  <si>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</si>
  <si>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</si>
  <si>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</si>
  <si>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</si>
  <si>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</si>
  <si>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</si>
  <si>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</si>
  <si>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</si>
  <si>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</si>
  <si>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</si>
  <si>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</si>
  <si>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</si>
  <si>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</si>
  <si>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</si>
  <si>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</si>
  <si>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</si>
  <si>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</si>
  <si>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</si>
  <si>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</si>
  <si>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</si>
  <si>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</si>
  <si>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</si>
  <si>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</si>
  <si>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</si>
  <si>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</si>
  <si>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</si>
  <si>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</si>
  <si>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</si>
  <si>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</si>
  <si>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</si>
  <si>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</si>
  <si>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</si>
  <si>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</si>
  <si>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</si>
  <si>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</si>
  <si>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</si>
  <si>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</si>
  <si>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</si>
  <si>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</si>
  <si>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</si>
  <si>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</si>
  <si>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</si>
  <si>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</si>
  <si>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</si>
  <si>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</si>
  <si>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</si>
  <si>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</si>
  <si>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</si>
  <si>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</si>
  <si>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</si>
  <si>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</si>
  <si>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</si>
  <si>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t>出版年份</t>
    <phoneticPr fontId="15" type="noConversion"/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</si>
  <si>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</si>
  <si>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</si>
  <si>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</si>
  <si>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t>PDF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</si>
  <si>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</si>
  <si>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</si>
  <si>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</si>
  <si>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语言</t>
    <phoneticPr fontId="0"/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</si>
  <si>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</si>
  <si>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</si>
  <si>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</si>
  <si>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</si>
  <si>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</si>
  <si>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</si>
  <si>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</si>
  <si>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</si>
  <si>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</si>
  <si>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</si>
  <si>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</si>
  <si>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</si>
  <si>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</si>
  <si>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</si>
  <si>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</si>
  <si>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</si>
  <si>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</si>
  <si>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</si>
  <si>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</si>
  <si>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</si>
  <si>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</si>
  <si>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</si>
  <si>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</si>
  <si>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</si>
  <si>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</si>
  <si>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</si>
  <si>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</si>
  <si>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</si>
  <si>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</si>
  <si>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</si>
  <si>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</si>
  <si>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</si>
  <si>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</si>
  <si>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</si>
  <si>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</si>
  <si>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</si>
  <si>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</si>
  <si>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</si>
  <si>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</si>
  <si>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</si>
  <si>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</si>
  <si>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</si>
  <si>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</si>
  <si>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</si>
  <si>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</si>
  <si>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</si>
  <si>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</si>
  <si>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</si>
  <si>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</si>
  <si>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</si>
  <si>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</si>
  <si>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</si>
  <si>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</si>
  <si>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</si>
  <si>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</si>
  <si>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</si>
  <si>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</si>
  <si>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</si>
  <si>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</si>
  <si>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</si>
  <si>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</si>
  <si>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</si>
  <si>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</si>
  <si>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</si>
  <si>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</si>
  <si>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</si>
  <si>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</si>
  <si>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</si>
  <si>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</si>
  <si>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</si>
  <si>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</si>
  <si>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</si>
  <si>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</si>
  <si>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</si>
  <si>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</si>
  <si>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</si>
  <si>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</si>
  <si>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</si>
  <si>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</si>
  <si>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</si>
  <si>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</si>
  <si>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</si>
  <si>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</si>
  <si>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</si>
  <si>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</si>
  <si>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</si>
  <si>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</si>
  <si>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</si>
  <si>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</si>
  <si>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</si>
  <si>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</si>
  <si>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</si>
  <si>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</si>
  <si>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</si>
  <si>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</si>
  <si>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</si>
  <si>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</si>
  <si>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</si>
  <si>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</si>
  <si>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</si>
  <si>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</si>
  <si>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</si>
  <si>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</si>
  <si>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</si>
  <si>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</si>
  <si>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</si>
  <si>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</si>
  <si>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</si>
  <si>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</si>
  <si>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</si>
  <si>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</si>
  <si>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</si>
  <si>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</si>
  <si>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</si>
  <si>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</si>
  <si>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</si>
  <si>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</si>
  <si>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</si>
  <si>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</si>
  <si>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</si>
  <si>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</si>
  <si>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</si>
  <si>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</si>
  <si>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</si>
  <si>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</si>
  <si>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</si>
  <si>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</si>
  <si>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</si>
  <si>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</si>
  <si>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</si>
  <si>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</si>
  <si>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</si>
  <si>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</si>
  <si>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</si>
  <si>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</si>
  <si>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</si>
  <si>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</si>
  <si>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</si>
  <si>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</si>
  <si>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</si>
  <si>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</si>
  <si>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</si>
  <si>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</si>
  <si>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</si>
  <si>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</si>
  <si>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</si>
  <si>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</si>
  <si>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</si>
  <si>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</si>
  <si>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</si>
  <si>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</si>
  <si>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</si>
  <si>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</si>
  <si>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</si>
  <si>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</si>
  <si>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</si>
  <si>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</si>
  <si>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</si>
  <si>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</si>
  <si>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</si>
  <si>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</si>
  <si>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</si>
  <si>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</si>
  <si>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</si>
  <si>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</si>
  <si>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</si>
  <si>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</si>
  <si>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</si>
  <si>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</si>
  <si>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</si>
  <si>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</si>
  <si>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</si>
  <si>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</si>
  <si>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</si>
  <si>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</si>
  <si>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</si>
  <si>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</si>
  <si>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</si>
  <si>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</si>
  <si>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</si>
  <si>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</si>
  <si>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</si>
  <si>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</si>
  <si>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</si>
  <si>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</si>
  <si>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</si>
  <si>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</si>
  <si>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</si>
  <si>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</si>
  <si>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</si>
  <si>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</si>
  <si>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</si>
  <si>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</si>
  <si>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</si>
  <si>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</si>
  <si>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</si>
  <si>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</si>
  <si>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</si>
  <si>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</si>
  <si>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</si>
  <si>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</si>
  <si>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</si>
  <si>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</si>
  <si>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</si>
  <si>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</si>
  <si>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</si>
  <si>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</si>
  <si>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</si>
  <si>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</si>
  <si>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</si>
  <si>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</si>
  <si>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</si>
  <si>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</si>
  <si>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</si>
  <si>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</si>
  <si>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</si>
  <si>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</si>
  <si>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</si>
  <si>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</si>
  <si>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</si>
  <si>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</si>
  <si>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</si>
  <si>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</si>
  <si>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</si>
  <si>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</si>
  <si>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</si>
  <si>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</si>
  <si>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</si>
  <si>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</si>
  <si>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</si>
  <si>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</si>
  <si>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</si>
  <si>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</si>
  <si>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</si>
  <si>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</si>
  <si>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</si>
  <si>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</si>
  <si>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</si>
  <si>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</si>
  <si>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</si>
  <si>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</si>
  <si>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</si>
  <si>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</si>
  <si>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</si>
  <si>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</si>
  <si>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</si>
  <si>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</si>
  <si>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</si>
  <si>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</si>
  <si>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</si>
  <si>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</si>
  <si>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</si>
  <si>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</si>
  <si>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</si>
  <si>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</si>
  <si>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</si>
  <si>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</si>
  <si>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</si>
  <si>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</si>
  <si>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</si>
  <si>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</si>
  <si>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</si>
  <si>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</si>
  <si>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</si>
  <si>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</si>
  <si>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</si>
  <si>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</si>
  <si>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</si>
  <si>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</si>
  <si>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</si>
  <si>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</si>
  <si>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</si>
  <si>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</si>
  <si>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</si>
  <si>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</si>
  <si>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</si>
  <si>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</si>
  <si>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</si>
  <si>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</si>
  <si>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</si>
  <si>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</si>
  <si>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</si>
  <si>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</si>
  <si>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</si>
  <si>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</si>
  <si>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</si>
  <si>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</si>
  <si>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</si>
  <si>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</si>
  <si>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</si>
  <si>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</si>
  <si>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</si>
  <si>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</si>
  <si>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</si>
  <si>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</si>
  <si>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</si>
  <si>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</si>
  <si>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</si>
  <si>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</si>
  <si>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</si>
  <si>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</si>
  <si>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</si>
  <si>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</si>
  <si>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</si>
  <si>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</si>
  <si>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</si>
  <si>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</si>
  <si>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</si>
  <si>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</si>
  <si>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</si>
  <si>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</si>
  <si>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</si>
  <si>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</si>
  <si>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</si>
  <si>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</si>
  <si>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</si>
  <si>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</si>
  <si>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</si>
  <si>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</si>
  <si>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</si>
  <si>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</si>
  <si>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</si>
  <si>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</si>
  <si>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</si>
  <si>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</si>
  <si>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</si>
  <si>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</si>
  <si>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</si>
  <si>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</si>
  <si>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</si>
  <si>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</si>
  <si>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</si>
  <si>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</si>
  <si>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</si>
  <si>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</si>
  <si>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</si>
  <si>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</si>
  <si>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</si>
  <si>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</si>
  <si>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</si>
  <si>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</si>
  <si>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</si>
  <si>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</si>
  <si>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</si>
  <si>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</si>
  <si>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</si>
  <si>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</si>
  <si>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</si>
  <si>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</si>
  <si>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</si>
  <si>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</si>
  <si>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</si>
  <si>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</si>
  <si>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</si>
  <si>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</si>
  <si>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</si>
  <si>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</si>
  <si>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</si>
  <si>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</si>
  <si>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</si>
  <si>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</si>
  <si>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</si>
  <si>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</si>
  <si>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</si>
  <si>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</si>
  <si>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</si>
  <si>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</si>
  <si>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</si>
  <si>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</si>
  <si>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</si>
  <si>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</si>
  <si>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</si>
  <si>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</si>
  <si>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</si>
  <si>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</si>
  <si>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</si>
  <si>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</si>
  <si>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</si>
  <si>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</si>
  <si>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</si>
  <si>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</si>
  <si>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</si>
  <si>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</si>
  <si>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</si>
  <si>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</si>
  <si>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</si>
  <si>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</si>
  <si>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</si>
  <si>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</si>
  <si>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</si>
  <si>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</si>
  <si>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</si>
  <si>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</si>
  <si>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</si>
  <si>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</si>
  <si>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</si>
  <si>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</si>
  <si>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不平等的代价</t>
  </si>
  <si>
    <t>乌合之众：群体心理研究</t>
  </si>
  <si>
    <t>认知觉醒：开启自我改变的原动力</t>
  </si>
  <si>
    <t>社交天性：人类社交的三大动力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</si>
  <si>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</si>
  <si>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</si>
  <si>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</si>
  <si>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</si>
  <si>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</si>
  <si>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</si>
  <si>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</si>
  <si>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</si>
  <si>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</si>
  <si>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</si>
  <si>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</si>
  <si>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</si>
  <si>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非对称风险</t>
  </si>
  <si>
    <t>风险与好的对策</t>
  </si>
  <si>
    <t>时机管理</t>
  </si>
  <si>
    <t>原则</t>
  </si>
  <si>
    <t>细节：如何轻松影响他人</t>
  </si>
  <si>
    <t>领导梯队</t>
  </si>
  <si>
    <t>欲罢不能：刷屏时代如何摆脱行为上瘾</t>
  </si>
  <si>
    <t>权力的转移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</si>
  <si>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</si>
  <si>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</si>
  <si>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</si>
  <si>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</si>
  <si>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</si>
  <si>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</si>
  <si>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</si>
  <si>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</si>
  <si>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</si>
  <si>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</si>
  <si>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</si>
  <si>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</si>
  <si>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</si>
  <si>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</si>
  <si>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</si>
  <si>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</si>
  <si>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</si>
  <si>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</si>
  <si>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</si>
  <si>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>Python実践機械学習システム100本ノック　</t>
  </si>
  <si>
    <t xml:space="preserve"> </t>
  </si>
  <si>
    <t>UIデザインの教科書　</t>
  </si>
  <si>
    <t>UI/UXデザインの原則　</t>
  </si>
  <si>
    <t>世界のエリートが学んでいるMBA必読書50冊を1冊にまとめてみた　</t>
  </si>
  <si>
    <t>アジャイル開発とスクラム　</t>
  </si>
  <si>
    <t>図解人材マネジメント入門　</t>
  </si>
  <si>
    <t>Pythonプログラミング完全入門　</t>
  </si>
  <si>
    <t>やさしくわかるPythonの教室　</t>
  </si>
  <si>
    <t>天声人語　2021春　</t>
  </si>
  <si>
    <t>ITエンジニアのための&lt;業務知識&gt;がわかる本　</t>
  </si>
  <si>
    <t>要件定義のセオリーと実践方法がこれ1冊でしっかりわかる教科書　</t>
  </si>
  <si>
    <t>みずほ銀行システム統合、苦闘の19年史　</t>
  </si>
  <si>
    <t>インフラエンジニアの知識と実務がこれ1冊でしっかりわかる教科書　</t>
  </si>
  <si>
    <t>Web技術がこれ1冊でしっかりわかる教科書　</t>
  </si>
  <si>
    <t>Excel関数組み合わせ超(スーパー)事典　</t>
  </si>
  <si>
    <t>Google Cloudのしくみと技術がこれ1冊でしっかりわかる教科書　</t>
  </si>
  <si>
    <t>世界最先端8社の大戦略　</t>
  </si>
  <si>
    <t>はじめてのPower Automate Desktop　</t>
  </si>
  <si>
    <t>行動を変えるデザイン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</si>
  <si>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</si>
  <si>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</si>
  <si>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</si>
  <si>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</si>
  <si>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</si>
  <si>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</si>
  <si>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</si>
  <si>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</si>
  <si>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</si>
  <si>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</si>
  <si>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</si>
  <si>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</si>
  <si>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</si>
  <si>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</si>
  <si>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</si>
  <si>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</si>
  <si>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</si>
  <si>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</si>
  <si>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Linuxコマンドポケットリファレンス　</t>
  </si>
  <si>
    <t>Kaggleデータ分析入門　</t>
  </si>
  <si>
    <t>篠田裕之／著</t>
  </si>
  <si>
    <t>The 10 rules of successful nations　</t>
  </si>
  <si>
    <t>Narrow Road to the Deep North and Other Travel Sketches　</t>
  </si>
  <si>
    <t>やさしいJava　活用編　</t>
  </si>
  <si>
    <t>すぐに役立つ労働審判、個別労働あっせんケース別実践書式40　</t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</si>
  <si>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</si>
  <si>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</si>
  <si>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</si>
  <si>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</si>
  <si>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</si>
  <si>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</si>
  <si>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</si>
  <si>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</si>
  <si>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</si>
  <si>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</si>
  <si>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</si>
  <si>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</si>
  <si>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</si>
  <si>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</si>
  <si>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</si>
  <si>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</si>
  <si>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</si>
  <si>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</si>
  <si>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</si>
  <si>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</si>
  <si>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</si>
  <si>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</si>
  <si>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</si>
  <si>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</si>
  <si>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</si>
  <si>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</si>
  <si>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</si>
  <si>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</si>
  <si>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</si>
  <si>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</si>
  <si>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</si>
  <si>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</si>
  <si>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</si>
  <si>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</si>
  <si>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</si>
  <si>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</si>
  <si>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</si>
  <si>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</si>
  <si>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</si>
  <si>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</si>
  <si>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</si>
  <si>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</si>
  <si>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</si>
  <si>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</si>
  <si>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</si>
  <si>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</si>
  <si>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</si>
  <si>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</si>
  <si>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</si>
  <si>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</si>
  <si>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</si>
  <si>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</si>
  <si>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</si>
  <si>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</si>
  <si>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</si>
  <si>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</si>
  <si>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</si>
  <si>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</si>
  <si>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</si>
  <si>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</si>
  <si>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</si>
  <si>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</si>
  <si>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</si>
  <si>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</si>
  <si>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</si>
  <si>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</si>
  <si>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</si>
  <si>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</si>
  <si>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</si>
  <si>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</si>
  <si>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</si>
  <si>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</si>
  <si>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</si>
  <si>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</si>
  <si>
    <t>有名パティスリーの焼き菓子　</t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</si>
  <si>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</si>
  <si>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</si>
  <si>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</si>
  <si>
    <t>中国料理人気メニューと技　</t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</si>
  <si>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</si>
  <si>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</si>
  <si>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</si>
  <si>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</si>
  <si>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</si>
  <si>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</si>
  <si>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</si>
  <si>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</si>
  <si>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</si>
  <si>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</si>
  <si>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</si>
  <si>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</si>
  <si>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</si>
  <si>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</si>
  <si>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</si>
  <si>
    <t>セキュリティのためのログ分析入門　</t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</si>
  <si>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</si>
  <si>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</si>
  <si>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</si>
  <si>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</si>
  <si>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</si>
  <si>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</si>
  <si>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</si>
  <si>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</si>
  <si>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</si>
  <si>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</si>
  <si>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</si>
  <si>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</si>
  <si>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</si>
  <si>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</si>
  <si>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</si>
  <si>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</si>
  <si>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</si>
  <si>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</si>
  <si>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</si>
  <si>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</si>
  <si>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29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</si>
  <si>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29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</si>
  <si>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29" type="noConversion"/>
  </si>
  <si>
    <t>採用、人事担当者のためのITエンジニアリングの基本がわかる本　</t>
    <phoneticPr fontId="29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</si>
  <si>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29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</si>
  <si>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29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</si>
  <si>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29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</si>
  <si>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29" type="noConversion"/>
  </si>
  <si>
    <t>ロジ.ソリューション株式会社／著</t>
    <phoneticPr fontId="29" type="noConversion"/>
  </si>
  <si>
    <t>搞定1：无压工作的艺术</t>
    <phoneticPr fontId="29" type="noConversion"/>
  </si>
  <si>
    <t>混乱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</si>
  <si>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</si>
  <si>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</si>
  <si>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</si>
  <si>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</si>
  <si>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</si>
  <si>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幸福脑</t>
    <phoneticPr fontId="29" type="noConversion"/>
  </si>
  <si>
    <t>噪声</t>
    <phoneticPr fontId="29" type="noConversion"/>
  </si>
  <si>
    <t>情商2：影响你一生的社交商</t>
    <phoneticPr fontId="29" type="noConversion"/>
  </si>
  <si>
    <t>高效的团队决策</t>
    <phoneticPr fontId="29" type="noConversion"/>
  </si>
  <si>
    <t>明智行动的艺术：成功决策必须避免的52个思维陷阱</t>
    <phoneticPr fontId="29" type="noConversion"/>
  </si>
  <si>
    <t>多维度思考：拥有正确判断和科学决策的100条极简法则</t>
    <phoneticPr fontId="29" type="noConversion"/>
  </si>
  <si>
    <t>人民邮电出版社</t>
    <phoneticPr fontId="29" type="noConversion"/>
  </si>
  <si>
    <t>第一特性：跨越创新的第二曲线</t>
    <phoneticPr fontId="29" type="noConversion"/>
  </si>
  <si>
    <t>华章</t>
    <phoneticPr fontId="29" type="noConversion"/>
  </si>
  <si>
    <t>如何听如何说：高效能沟通的逻辑与秘诀</t>
    <phoneticPr fontId="29" type="noConversion"/>
  </si>
  <si>
    <t>哈佛幸福课</t>
    <phoneticPr fontId="29" type="noConversion"/>
  </si>
  <si>
    <t>异类：不一样的成功启示录</t>
    <phoneticPr fontId="29" type="noConversion"/>
  </si>
  <si>
    <t>负面情绪正面解决：如何让情绪重归平和与稳定</t>
    <phoneticPr fontId="29" type="noConversion"/>
  </si>
  <si>
    <t>积极情绪的力量</t>
    <phoneticPr fontId="29" type="noConversion"/>
  </si>
  <si>
    <t>湛卢</t>
    <phoneticPr fontId="29" type="noConversion"/>
  </si>
  <si>
    <t>象与骑象人</t>
    <phoneticPr fontId="29" type="noConversion"/>
  </si>
  <si>
    <t>情商：为什么情商比智商更重要（第2版）</t>
    <phoneticPr fontId="29" type="noConversion"/>
  </si>
  <si>
    <t>新乌合之众</t>
    <phoneticPr fontId="29" type="noConversion"/>
  </si>
  <si>
    <t>免费：商业的未来</t>
    <phoneticPr fontId="29" type="noConversion"/>
  </si>
  <si>
    <t>飞轮效应</t>
    <phoneticPr fontId="29" type="noConversion"/>
  </si>
  <si>
    <t>思考，快与慢</t>
    <phoneticPr fontId="29" type="noConversion"/>
  </si>
  <si>
    <t>统计数据会说谎</t>
    <phoneticPr fontId="29" type="noConversion"/>
  </si>
  <si>
    <t>品格之路</t>
    <phoneticPr fontId="29" type="noConversion"/>
  </si>
  <si>
    <t>21世纪资本论</t>
    <phoneticPr fontId="29" type="noConversion"/>
  </si>
  <si>
    <t>今日简史</t>
    <phoneticPr fontId="29" type="noConversion"/>
  </si>
  <si>
    <t>十分钟冥想</t>
    <phoneticPr fontId="29" type="noConversion"/>
  </si>
  <si>
    <t>人类简史：从动物到上帝</t>
    <phoneticPr fontId="29" type="noConversion"/>
  </si>
  <si>
    <t>超纲冷知识</t>
    <phoneticPr fontId="29" type="noConversion"/>
  </si>
  <si>
    <t>灰犀牛：如何应对大噶率危机</t>
    <phoneticPr fontId="29" type="noConversion"/>
  </si>
  <si>
    <t>超效率手册：99个史上更全面的时间管理技巧</t>
    <phoneticPr fontId="29" type="noConversion"/>
  </si>
  <si>
    <t>超级合作者</t>
    <phoneticPr fontId="29" type="noConversion"/>
  </si>
  <si>
    <t>卓越工作：从优秀到卓越的高效工作法</t>
    <phoneticPr fontId="29" type="noConversion"/>
  </si>
  <si>
    <t>广场到高塔</t>
    <phoneticPr fontId="29" type="noConversion"/>
  </si>
  <si>
    <t>五维思考法</t>
    <phoneticPr fontId="29" type="noConversion"/>
  </si>
  <si>
    <t>信号与噪声</t>
    <phoneticPr fontId="29" type="noConversion"/>
  </si>
  <si>
    <t>论大战略</t>
    <phoneticPr fontId="29" type="noConversion"/>
  </si>
  <si>
    <t>富足：改变人类未来的4大力量</t>
    <phoneticPr fontId="29" type="noConversion"/>
  </si>
  <si>
    <t>盐糖脂：食品巨头是如何操纵我们的</t>
    <phoneticPr fontId="29" type="noConversion"/>
  </si>
  <si>
    <t>第三次浪潮</t>
    <phoneticPr fontId="29" type="noConversion"/>
  </si>
  <si>
    <t>社会心理学（第8版）</t>
    <phoneticPr fontId="29" type="noConversion"/>
  </si>
  <si>
    <t>新基建</t>
    <phoneticPr fontId="29" type="noConversion"/>
  </si>
  <si>
    <t>利率史（第四版）</t>
    <phoneticPr fontId="29" type="noConversion"/>
  </si>
  <si>
    <t>助推：如何作出有关健康，财富与幸福的最佳决策</t>
    <phoneticPr fontId="29" type="noConversion"/>
  </si>
  <si>
    <t>精益创业：如何建立一个精悍，可持续，可盈利的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</si>
  <si>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</si>
  <si>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</si>
  <si>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</si>
  <si>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</si>
  <si>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</si>
  <si>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</si>
  <si>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新货币战争</t>
    <phoneticPr fontId="29" type="noConversion"/>
  </si>
  <si>
    <t>特斯拉传</t>
    <phoneticPr fontId="29" type="noConversion"/>
  </si>
  <si>
    <t>德鲁克看中国与日本：德鲁克对话“日本商业圣手”中内功</t>
    <phoneticPr fontId="29" type="noConversion"/>
  </si>
  <si>
    <t>逃不开的经济周期2</t>
    <phoneticPr fontId="29" type="noConversion"/>
  </si>
  <si>
    <t>选择的悖论：用心理学解读人的经济行为</t>
    <phoneticPr fontId="29" type="noConversion"/>
  </si>
  <si>
    <t>理解人性</t>
    <phoneticPr fontId="29" type="noConversion"/>
  </si>
  <si>
    <t>在北大听演讲</t>
    <phoneticPr fontId="29" type="noConversion"/>
  </si>
  <si>
    <t>PBL项目制学习</t>
    <phoneticPr fontId="29" type="noConversion"/>
  </si>
  <si>
    <t>创造力：心流与创新心理学</t>
    <phoneticPr fontId="29" type="noConversion"/>
  </si>
  <si>
    <t>学习场景的革命</t>
    <phoneticPr fontId="29" type="noConversion"/>
  </si>
  <si>
    <t>AI 3.0</t>
    <phoneticPr fontId="29" type="noConversion"/>
  </si>
  <si>
    <t>科技之巅3</t>
    <phoneticPr fontId="29" type="noConversion"/>
  </si>
  <si>
    <t>极限创新：35岁之前改变世界的全球科技精英</t>
    <phoneticPr fontId="29" type="noConversion"/>
  </si>
  <si>
    <t>第四次工业革命</t>
    <phoneticPr fontId="29" type="noConversion"/>
  </si>
  <si>
    <t>生而不凡：迈向卓越的10个颠覆性思维</t>
    <phoneticPr fontId="29" type="noConversion"/>
  </si>
  <si>
    <t>科学：无尽的前沿</t>
    <phoneticPr fontId="29" type="noConversion"/>
  </si>
  <si>
    <t>小岛经济学</t>
    <phoneticPr fontId="29" type="noConversion"/>
  </si>
  <si>
    <t>创新者的窘境</t>
    <phoneticPr fontId="29" type="noConversion"/>
  </si>
  <si>
    <t>人类的未来</t>
    <phoneticPr fontId="29" type="noConversion"/>
  </si>
  <si>
    <t>时间的悖论</t>
    <phoneticPr fontId="29" type="noConversion"/>
  </si>
  <si>
    <t>生命3.0</t>
    <phoneticPr fontId="29" type="noConversion"/>
  </si>
  <si>
    <t>自下而上</t>
    <phoneticPr fontId="29" type="noConversion"/>
  </si>
  <si>
    <t>未来简史：从智人到智神</t>
    <phoneticPr fontId="29" type="noConversion"/>
  </si>
  <si>
    <t>囚徒的窘境</t>
    <phoneticPr fontId="29" type="noConversion"/>
  </si>
  <si>
    <t>极简哲学史</t>
    <phoneticPr fontId="29" type="noConversion"/>
  </si>
  <si>
    <t>人类存在的意义</t>
    <phoneticPr fontId="29" type="noConversion"/>
  </si>
  <si>
    <t>剧变：人类社会与国家危机的转折点</t>
    <phoneticPr fontId="29" type="noConversion"/>
  </si>
  <si>
    <t>随机漫步的傻瓜</t>
    <phoneticPr fontId="29" type="noConversion"/>
  </si>
  <si>
    <t>学习之道</t>
    <phoneticPr fontId="29" type="noConversion"/>
  </si>
  <si>
    <t>知识分子与社会</t>
    <phoneticPr fontId="29" type="noConversion"/>
  </si>
  <si>
    <t>亚马逊效应</t>
    <phoneticPr fontId="29" type="noConversion"/>
  </si>
  <si>
    <t>演讲的本质：让思想更有影响力</t>
    <phoneticPr fontId="29" type="noConversion"/>
  </si>
  <si>
    <t>清醒思考的艺术：你最好让别人去犯的52种思维错误</t>
    <phoneticPr fontId="29" type="noConversion"/>
  </si>
  <si>
    <t>好好学习：个人知识管理精进指南</t>
    <phoneticPr fontId="29" type="noConversion"/>
  </si>
  <si>
    <t>活成令人羡慕的样子</t>
    <phoneticPr fontId="29" type="noConversion"/>
  </si>
  <si>
    <t>高能量姿势</t>
    <phoneticPr fontId="29" type="noConversion"/>
  </si>
  <si>
    <t>学会估值，轻松投资</t>
    <phoneticPr fontId="29" type="noConversion"/>
  </si>
  <si>
    <t>你的生存本能正在杀死你：为什么你容易焦虑、不安、恐慌和被激怒？</t>
    <phoneticPr fontId="29" type="noConversion"/>
  </si>
  <si>
    <t>一个广告人的自白</t>
    <phoneticPr fontId="29" type="noConversion"/>
  </si>
  <si>
    <t>当下的力量</t>
    <phoneticPr fontId="29" type="noConversion"/>
  </si>
  <si>
    <t>心流：最优体验心理学</t>
    <phoneticPr fontId="29" type="noConversion"/>
  </si>
  <si>
    <t>MBA一日读2.0：一日之内学完知名商学院的全部课程</t>
    <phoneticPr fontId="29" type="noConversion"/>
  </si>
  <si>
    <t>投资：一部历史</t>
    <phoneticPr fontId="29" type="noConversion"/>
  </si>
  <si>
    <t>卓有成效的领导者：8项核心技能帮你从优秀到卓越</t>
    <phoneticPr fontId="29" type="noConversion"/>
  </si>
  <si>
    <t>领导力的精进 新手领导如何带出一直高绩效团队</t>
    <phoneticPr fontId="29" type="noConversion"/>
  </si>
  <si>
    <t>管理成就生活</t>
    <phoneticPr fontId="29" type="noConversion"/>
  </si>
  <si>
    <t>领导梯队：全面打造领导力驱动型公司</t>
    <phoneticPr fontId="29" type="noConversion"/>
  </si>
  <si>
    <t>高绩效的HR：未来的HR转型</t>
    <phoneticPr fontId="29" type="noConversion"/>
  </si>
  <si>
    <t>科学学习：斯坦福黄金学习法则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</si>
  <si>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</si>
  <si>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</si>
  <si>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让大象飞</t>
    <phoneticPr fontId="29" type="noConversion"/>
  </si>
  <si>
    <t>跳出你的思维陷阱</t>
    <phoneticPr fontId="29" type="noConversion"/>
  </si>
  <si>
    <t>大数据时代</t>
    <phoneticPr fontId="29" type="noConversion"/>
  </si>
  <si>
    <t>如何想到又做到</t>
    <phoneticPr fontId="29" type="noConversion"/>
  </si>
  <si>
    <t>最重要的事，只有一件</t>
    <phoneticPr fontId="29" type="noConversion"/>
  </si>
  <si>
    <t>改变提问，改变人生：12个改善生活与工作的有力工具（第3版）</t>
    <phoneticPr fontId="29" type="noConversion"/>
  </si>
  <si>
    <t>高绩效教练（第5版）</t>
    <phoneticPr fontId="29" type="noConversion"/>
  </si>
  <si>
    <t>练习的心态：如何培养耐心、专注和自律</t>
    <phoneticPr fontId="29" type="noConversion"/>
  </si>
  <si>
    <t>心静的力量</t>
    <phoneticPr fontId="29" type="noConversion"/>
  </si>
  <si>
    <t>有效学习</t>
    <phoneticPr fontId="29" type="noConversion"/>
  </si>
  <si>
    <t>吃掉那只青蛙：博恩 崔西的高校时间管理法则（第3版）</t>
    <phoneticPr fontId="29" type="noConversion"/>
  </si>
  <si>
    <t>如何高效学习：1年完成麻省理工4年33门课程的整体性学习法</t>
    <phoneticPr fontId="29" type="noConversion"/>
  </si>
  <si>
    <t>技术的本质</t>
    <phoneticPr fontId="29" type="noConversion"/>
  </si>
  <si>
    <t>自驱型成长</t>
    <phoneticPr fontId="29" type="noConversion"/>
  </si>
  <si>
    <t>做出明治判断的10个方法</t>
    <phoneticPr fontId="29" type="noConversion"/>
  </si>
  <si>
    <t>反常识</t>
    <phoneticPr fontId="29" type="noConversion"/>
  </si>
  <si>
    <t>认知盈余：自由时间的力量</t>
    <phoneticPr fontId="29" type="noConversion"/>
  </si>
  <si>
    <t>清单革命：如何持续，正确，安全地把事情做好</t>
    <phoneticPr fontId="29" type="noConversion"/>
  </si>
  <si>
    <t>世界观：现代人必须要懂的科学哲学和科学史（第2版）</t>
    <phoneticPr fontId="29" type="noConversion"/>
  </si>
  <si>
    <t>第二曲线：跨越”S型曲线“的二次增长</t>
    <phoneticPr fontId="29" type="noConversion"/>
  </si>
  <si>
    <t>学会提问（第11版）</t>
    <phoneticPr fontId="29" type="noConversion"/>
  </si>
  <si>
    <t>重塑大脑，重塑人生</t>
    <phoneticPr fontId="29" type="noConversion"/>
  </si>
  <si>
    <t>习惯的力量</t>
    <phoneticPr fontId="29" type="noConversion"/>
  </si>
  <si>
    <t>伟大的博弈</t>
    <phoneticPr fontId="29" type="noConversion"/>
  </si>
  <si>
    <t>贫穷的本质：我们为什么摆脱不了贫穷</t>
    <phoneticPr fontId="29" type="noConversion"/>
  </si>
  <si>
    <t>如何学习</t>
    <phoneticPr fontId="29" type="noConversion"/>
  </si>
  <si>
    <t>思维的囚徒</t>
    <phoneticPr fontId="29" type="noConversion"/>
  </si>
  <si>
    <t>增长的错觉：经济学家错了吗？</t>
    <phoneticPr fontId="29" type="noConversion"/>
  </si>
  <si>
    <t>重来：更为简单有效的商业思维</t>
    <phoneticPr fontId="29" type="noConversion"/>
  </si>
  <si>
    <t>即兴演讲：掌控人生关键时刻</t>
    <phoneticPr fontId="29" type="noConversion"/>
  </si>
  <si>
    <t>产品游戏化</t>
    <phoneticPr fontId="29" type="noConversion"/>
  </si>
  <si>
    <t>创客：新工业革命</t>
    <phoneticPr fontId="29" type="noConversion"/>
  </si>
  <si>
    <t>正面领导：让员工跟定你的31个心理学小工具</t>
    <phoneticPr fontId="29" type="noConversion"/>
  </si>
  <si>
    <t>慢决策：如何在极速时代掌握慢思考的力量</t>
    <phoneticPr fontId="29" type="noConversion"/>
  </si>
  <si>
    <t>你所做即你所是：打造企业文化的策略和技巧</t>
    <phoneticPr fontId="29" type="noConversion"/>
  </si>
  <si>
    <t>创新公司：皮克斯的启示</t>
    <phoneticPr fontId="29" type="noConversion"/>
  </si>
  <si>
    <t>游戏化思维：改变未来商业的新力量</t>
    <phoneticPr fontId="29" type="noConversion"/>
  </si>
  <si>
    <t>复盘网飞</t>
    <phoneticPr fontId="29" type="noConversion"/>
  </si>
  <si>
    <t>营销革命3.0：从价值到价值观的营销</t>
    <phoneticPr fontId="29" type="noConversion"/>
  </si>
  <si>
    <t>魔鬼经济学3：从反常思维解决问题</t>
    <phoneticPr fontId="29" type="noConversion"/>
  </si>
  <si>
    <t>资本社会的17个矛盾</t>
    <phoneticPr fontId="29" type="noConversion"/>
  </si>
  <si>
    <t>DTC创造品牌奇迹</t>
    <phoneticPr fontId="29" type="noConversion"/>
  </si>
  <si>
    <t>创业无畏：指数级成长路线图</t>
    <phoneticPr fontId="29" type="noConversion"/>
  </si>
  <si>
    <t>贫穷的终结：智能时代、避免技术性失业与重塑世界</t>
    <phoneticPr fontId="29" type="noConversion"/>
  </si>
  <si>
    <t>战胜自己：投资心法漫谈</t>
    <phoneticPr fontId="29" type="noConversion"/>
  </si>
  <si>
    <t>魔力创业：50位小成本创业者的实战成功经验</t>
    <phoneticPr fontId="29" type="noConversion"/>
  </si>
  <si>
    <t>星巴克：关于咖啡、商业和文化的传奇</t>
    <phoneticPr fontId="29" type="noConversion"/>
  </si>
  <si>
    <t>竞争战略</t>
    <phoneticPr fontId="29" type="noConversion"/>
  </si>
  <si>
    <t>与众不同：极度竞争时代的生存之道</t>
    <phoneticPr fontId="29" type="noConversion"/>
  </si>
  <si>
    <t>超级转化率：如何让客户极速下单</t>
    <phoneticPr fontId="29" type="noConversion"/>
  </si>
  <si>
    <t>卧底经济学1：像经济学家那样思考</t>
    <phoneticPr fontId="29" type="noConversion"/>
  </si>
  <si>
    <t>钓愚：操纵与欺骗的经济学</t>
    <phoneticPr fontId="29" type="noConversion"/>
  </si>
  <si>
    <t>重新定义公司 谷歌是如何运营的</t>
    <phoneticPr fontId="29" type="noConversion"/>
  </si>
  <si>
    <t>团队协作的五大障碍</t>
    <phoneticPr fontId="29" type="noConversion"/>
  </si>
  <si>
    <t>坚守：指数基金之父博格的长赢之道</t>
    <phoneticPr fontId="29" type="noConversion"/>
  </si>
  <si>
    <t>故事和估值</t>
    <phoneticPr fontId="29" type="noConversion"/>
  </si>
  <si>
    <t>绝对坦率：一种新的管理哲学</t>
    <phoneticPr fontId="29" type="noConversion"/>
  </si>
  <si>
    <t>营销革命4.0</t>
    <phoneticPr fontId="29" type="noConversion"/>
  </si>
  <si>
    <t>人人都在说谎：赤裸裸的数据真相</t>
    <phoneticPr fontId="29" type="noConversion"/>
  </si>
  <si>
    <t>竞争优势</t>
    <phoneticPr fontId="29" type="noConversion"/>
  </si>
  <si>
    <t>无价：洞悉大众心理玩转价格游戏</t>
    <phoneticPr fontId="29" type="noConversion"/>
  </si>
  <si>
    <t>从优秀到卓越</t>
    <phoneticPr fontId="29" type="noConversion"/>
  </si>
  <si>
    <t>逃不开的经济周期</t>
    <phoneticPr fontId="29" type="noConversion"/>
  </si>
  <si>
    <t>对赌：信息不足时如何做出高明决策</t>
    <phoneticPr fontId="29" type="noConversion"/>
  </si>
  <si>
    <t>管理的实践</t>
    <phoneticPr fontId="29" type="noConversion"/>
  </si>
  <si>
    <t>管理：使命，责任，实务</t>
    <phoneticPr fontId="29" type="noConversion"/>
  </si>
  <si>
    <t>错误的行为</t>
    <phoneticPr fontId="29" type="noConversion"/>
  </si>
  <si>
    <t>像间谍一样思考</t>
    <phoneticPr fontId="29" type="noConversion"/>
  </si>
  <si>
    <t>爆裂：未来社会的9大生存法则</t>
    <phoneticPr fontId="29" type="noConversion"/>
  </si>
  <si>
    <t>反脆弱：从不确定性中获益</t>
    <phoneticPr fontId="29" type="noConversion"/>
  </si>
  <si>
    <t>科技想要什么</t>
    <phoneticPr fontId="29" type="noConversion"/>
  </si>
  <si>
    <t>必然</t>
    <phoneticPr fontId="29" type="noConversion"/>
  </si>
  <si>
    <t>智能数据：如何挖掘高价值数据</t>
    <phoneticPr fontId="29" type="noConversion"/>
  </si>
  <si>
    <t>传染：为什么疾病、金融危机和社会行为会流行</t>
    <phoneticPr fontId="29" type="noConversion"/>
  </si>
  <si>
    <t>本能：为什么我们管不住自己？</t>
    <phoneticPr fontId="29" type="noConversion"/>
  </si>
  <si>
    <t>错觉：AI如何通过数据挖掘误导我们</t>
    <phoneticPr fontId="29" type="noConversion"/>
  </si>
  <si>
    <t>缺陷也完美</t>
    <phoneticPr fontId="29" type="noConversion"/>
  </si>
  <si>
    <t>创新大脑</t>
    <phoneticPr fontId="29" type="noConversion"/>
  </si>
  <si>
    <t>未来版图：全球聪明公司的科技创新趋势和商业化路径</t>
    <phoneticPr fontId="29" type="noConversion"/>
  </si>
  <si>
    <t>科技之巅2</t>
    <phoneticPr fontId="29" type="noConversion"/>
  </si>
  <si>
    <t>猿猴的把戏：进化论破解人际潜规则</t>
    <phoneticPr fontId="29" type="noConversion"/>
  </si>
  <si>
    <t>科技之巅</t>
    <phoneticPr fontId="29" type="noConversion"/>
  </si>
  <si>
    <t>爆发：大数据时代遇见未来的新思维</t>
    <phoneticPr fontId="29" type="noConversion"/>
  </si>
  <si>
    <t>群体性孤独：为什么我们对科技期待更多，对彼此却不能更亲密？</t>
    <phoneticPr fontId="29" type="noConversion"/>
  </si>
  <si>
    <t>增长黑客</t>
    <phoneticPr fontId="29" type="noConversion"/>
  </si>
  <si>
    <t>终极算法：机器学习和人工智能如何重塑世界</t>
    <phoneticPr fontId="29" type="noConversion"/>
  </si>
  <si>
    <t>如何讲好一个故事：引爆说服力的故事思维训练法</t>
    <phoneticPr fontId="29" type="noConversion"/>
  </si>
  <si>
    <t>认识自己，接纳自己</t>
    <phoneticPr fontId="29" type="noConversion"/>
  </si>
  <si>
    <t>只讲故事不讲理</t>
    <phoneticPr fontId="29" type="noConversion"/>
  </si>
  <si>
    <t>发现天赋的15个训练方法</t>
    <phoneticPr fontId="29" type="noConversion"/>
  </si>
  <si>
    <t>稀缺：我们是如何陷入贫穷和忙碌的</t>
    <phoneticPr fontId="29" type="noConversion"/>
  </si>
  <si>
    <t>影响力</t>
    <phoneticPr fontId="29" type="noConversion"/>
  </si>
  <si>
    <t>商业的本质</t>
    <phoneticPr fontId="29" type="noConversion"/>
  </si>
  <si>
    <t>乌合之众</t>
    <phoneticPr fontId="29" type="noConversion"/>
  </si>
  <si>
    <t>如何讲好一件事</t>
    <phoneticPr fontId="29" type="noConversion"/>
  </si>
  <si>
    <t>灰度决策：如何吃力复杂、棘手、高风险的难题</t>
    <phoneticPr fontId="29" type="noConversion"/>
  </si>
  <si>
    <t>沃顿商学院最受欢迎的思维课</t>
    <phoneticPr fontId="29" type="noConversion"/>
  </si>
  <si>
    <t>洞见</t>
    <phoneticPr fontId="29" type="noConversion"/>
  </si>
  <si>
    <t>30天精读MBA3：国际商务</t>
    <phoneticPr fontId="29" type="noConversion"/>
  </si>
  <si>
    <t>30天精读MBA2：商务金融</t>
    <phoneticPr fontId="29" type="noConversion"/>
  </si>
  <si>
    <t>改变未来的九大算法</t>
    <phoneticPr fontId="29" type="noConversion"/>
  </si>
  <si>
    <t>效率悖论</t>
    <phoneticPr fontId="29" type="noConversion"/>
  </si>
  <si>
    <t>魔鬼经济学4：用有色眼睛看清世界</t>
    <phoneticPr fontId="29" type="noConversion"/>
  </si>
  <si>
    <t>点击：解密移动经济的未来版图</t>
    <phoneticPr fontId="29" type="noConversion"/>
  </si>
  <si>
    <t>增长智商：有效构建企业未来的十大路径</t>
    <phoneticPr fontId="29" type="noConversion"/>
  </si>
  <si>
    <t>助推：小行动如何推动大变革</t>
    <phoneticPr fontId="29" type="noConversion"/>
  </si>
  <si>
    <t>隐藏的行为：塑造未来的7种无形力量</t>
    <phoneticPr fontId="29" type="noConversion"/>
  </si>
  <si>
    <t>平均的终结：如何在崇尚标准化的世界中胜出</t>
    <phoneticPr fontId="29" type="noConversion"/>
  </si>
  <si>
    <t>卧底经济学2：经济学家如何看待世界</t>
    <phoneticPr fontId="29" type="noConversion"/>
  </si>
  <si>
    <t>反常识经济学3：为什么常识会撒谎</t>
    <phoneticPr fontId="29" type="noConversion"/>
  </si>
  <si>
    <t>放空：无聊为什么能解锁创意与效率</t>
    <phoneticPr fontId="29" type="noConversion"/>
  </si>
  <si>
    <t>奇特的传染：群体情绪是怎样控制我们的</t>
    <phoneticPr fontId="29" type="noConversion"/>
  </si>
  <si>
    <t>认知商：如何认清现实与错觉</t>
    <phoneticPr fontId="29" type="noConversion"/>
  </si>
  <si>
    <t>延展：释放有限资源的无限潜能</t>
    <phoneticPr fontId="29" type="noConversion"/>
  </si>
  <si>
    <t>出奇制胜：在快速变化的世界如何加速成功</t>
    <phoneticPr fontId="29" type="noConversion"/>
  </si>
  <si>
    <t>像TED一样演讲2：沟通升级</t>
    <phoneticPr fontId="29" type="noConversion"/>
  </si>
  <si>
    <t>爆款：如何打造超级IP</t>
    <phoneticPr fontId="29" type="noConversion"/>
  </si>
  <si>
    <t>选择：为什么我选的不是我要的</t>
    <phoneticPr fontId="29" type="noConversion"/>
  </si>
  <si>
    <t>搞定2：提升工作与生活效率的52项原则</t>
    <phoneticPr fontId="29" type="noConversion"/>
  </si>
  <si>
    <t>魔鬼经济学1：揭示隐藏在表象之下的真实世界</t>
    <phoneticPr fontId="29" type="noConversion"/>
  </si>
  <si>
    <t>魔鬼经济学2：拥有清晰思维的艺术</t>
    <phoneticPr fontId="29" type="noConversion"/>
  </si>
  <si>
    <t>设计心理学4：未来设计</t>
    <phoneticPr fontId="29" type="noConversion"/>
  </si>
  <si>
    <t>卧底经济学3：非理性世界的理性经济学</t>
    <phoneticPr fontId="29" type="noConversion"/>
  </si>
  <si>
    <t>卧底经济学4：世界经济运行的真相</t>
    <phoneticPr fontId="29" type="noConversion"/>
  </si>
  <si>
    <t>基因与命运：什么在影响我们的信念，行为和生活</t>
    <phoneticPr fontId="29" type="noConversion"/>
  </si>
  <si>
    <t>未来战争：科技与全球新型冲突</t>
    <phoneticPr fontId="29" type="noConversion"/>
  </si>
  <si>
    <t>反常识经济学2：为什么不像美丽征税</t>
    <phoneticPr fontId="29" type="noConversion"/>
  </si>
  <si>
    <t>搞定3：平衡工作与生活的艺术</t>
    <phoneticPr fontId="29" type="noConversion"/>
  </si>
  <si>
    <t>全数字化赋能：迎击颠覆者的竞争战略</t>
    <phoneticPr fontId="29" type="noConversion"/>
  </si>
  <si>
    <t>反常识经济学4：性越多越安全</t>
    <phoneticPr fontId="29" type="noConversion"/>
  </si>
  <si>
    <t>反常识经济学1：生活中的经济游戏</t>
    <phoneticPr fontId="29" type="noConversion"/>
  </si>
  <si>
    <t>浅薄</t>
    <phoneticPr fontId="29" type="noConversion"/>
  </si>
  <si>
    <t>刷新：重新发现商业与未来</t>
    <phoneticPr fontId="29" type="noConversion"/>
  </si>
  <si>
    <t>蒂姆库克传：苹果公司的反思与商业的未来</t>
    <phoneticPr fontId="29" type="noConversion"/>
  </si>
  <si>
    <t>周期</t>
    <phoneticPr fontId="29" type="noConversion"/>
  </si>
  <si>
    <t>深度学习</t>
    <phoneticPr fontId="29" type="noConversion"/>
  </si>
  <si>
    <t>史蒂夫乔布斯传</t>
    <phoneticPr fontId="29" type="noConversion"/>
  </si>
  <si>
    <t>石亀広大／著</t>
  </si>
  <si>
    <t>ビジネスで役立つIT用語がこれ1冊でしっかりわかる本　</t>
  </si>
  <si>
    <t>小宮紳一／著</t>
  </si>
  <si>
    <t>鶴長鎮一／著</t>
  </si>
  <si>
    <t>LINE Pay,PayPay,楽天ペイ,d払い,au PAY,メルペイ&amp;モバイルSuicaキャッシュレス導入ガイド　</t>
  </si>
  <si>
    <t>情報セキュリティの技術と対策がこれ1冊でしっかりわかる教科書　</t>
  </si>
  <si>
    <t>中村行宏／著</t>
  </si>
  <si>
    <t>図解による民事訴訟のしくみ　</t>
  </si>
  <si>
    <t>神田将／著</t>
  </si>
  <si>
    <t>矢野輝雄／著</t>
  </si>
  <si>
    <t>神田将／監修</t>
  </si>
  <si>
    <t>渡部徹太郎／著</t>
  </si>
  <si>
    <t>不動産業界のしくみとビジネスがこれ1冊でしっかりわかる教科書　</t>
  </si>
  <si>
    <t>畑中学／著</t>
  </si>
  <si>
    <t>日花弘子／著</t>
  </si>
  <si>
    <t>日経コンピュータ／著</t>
  </si>
  <si>
    <t>坪谷邦生／[著]</t>
  </si>
  <si>
    <t>事業担当者のための逆引きビジネス法務ハンドブック　</t>
  </si>
  <si>
    <t>塩野誠／著</t>
  </si>
  <si>
    <t>森公任／監修</t>
  </si>
  <si>
    <t>はじめてのUXリサーチ　</t>
  </si>
  <si>
    <t>松薗美帆／共著</t>
  </si>
  <si>
    <t>影响力大师：如何调动团队力量</t>
    <phoneticPr fontId="29" type="noConversion"/>
  </si>
  <si>
    <t>管理百年</t>
    <phoneticPr fontId="29" type="noConversion"/>
  </si>
  <si>
    <t>哈佛大学推荐的20个快乐习惯</t>
    <phoneticPr fontId="29" type="noConversion"/>
  </si>
  <si>
    <t>要领：斯坦福校长领导十得</t>
    <phoneticPr fontId="29" type="noConversion"/>
  </si>
  <si>
    <t>与运气竞争</t>
    <phoneticPr fontId="29" type="noConversion"/>
  </si>
  <si>
    <t>亚当斯密传：现代经济学之父的思想</t>
    <phoneticPr fontId="29" type="noConversion"/>
  </si>
  <si>
    <t>罗斯柴尔德家族（上）</t>
    <phoneticPr fontId="29" type="noConversion"/>
  </si>
  <si>
    <t>罗斯柴尔德家族（中）</t>
    <phoneticPr fontId="29" type="noConversion"/>
  </si>
  <si>
    <t>罗斯柴尔德家族（下）</t>
    <phoneticPr fontId="29" type="noConversion"/>
  </si>
  <si>
    <t>最受欢迎的哈佛大学幸福课</t>
    <phoneticPr fontId="29" type="noConversion"/>
  </si>
  <si>
    <t>德鲁克管理思想精要</t>
    <phoneticPr fontId="29" type="noConversion"/>
  </si>
  <si>
    <t>极简项目管理：让目标落地、把事办成并使成功可复制的方法论</t>
    <phoneticPr fontId="29" type="noConversion"/>
  </si>
  <si>
    <t>管理的常识：让管理发挥绩效的8个基本概念（修订版）</t>
    <phoneticPr fontId="29" type="noConversion"/>
  </si>
  <si>
    <t>好的经济学</t>
    <phoneticPr fontId="29" type="noConversion"/>
  </si>
  <si>
    <t>清醒思考的策略：做正确的事，把事做正确</t>
    <phoneticPr fontId="29" type="noConversion"/>
  </si>
  <si>
    <t>巴菲特之道</t>
    <phoneticPr fontId="29" type="noConversion"/>
  </si>
  <si>
    <t>基业长青</t>
    <phoneticPr fontId="29" type="noConversion"/>
  </si>
  <si>
    <t>执行：如何完成任务的学问</t>
    <phoneticPr fontId="29" type="noConversion"/>
  </si>
  <si>
    <t>经营最重要的事</t>
    <phoneticPr fontId="29" type="noConversion"/>
  </si>
  <si>
    <t>闪电式扩张</t>
    <phoneticPr fontId="29" type="noConversion"/>
  </si>
  <si>
    <t>写给管理者的睡前故事</t>
    <phoneticPr fontId="29" type="noConversion"/>
  </si>
  <si>
    <t>管理工作的本质</t>
    <phoneticPr fontId="29" type="noConversion"/>
  </si>
  <si>
    <t>旁观者：管理大师德鲁克回忆录</t>
    <phoneticPr fontId="29" type="noConversion"/>
  </si>
  <si>
    <t>CEO说：人人都应该像企业家一样思考</t>
    <phoneticPr fontId="29" type="noConversion"/>
  </si>
  <si>
    <t>创新与创业家精神</t>
    <phoneticPr fontId="29" type="noConversion"/>
  </si>
  <si>
    <t>这就是微学习</t>
    <phoneticPr fontId="29" type="noConversion"/>
  </si>
  <si>
    <t>长期价值</t>
    <phoneticPr fontId="29" type="noConversion"/>
  </si>
  <si>
    <t>极简管理法则</t>
    <phoneticPr fontId="29" type="noConversion"/>
  </si>
  <si>
    <t>认识组织行为：成为高效管理者</t>
    <phoneticPr fontId="29" type="noConversion"/>
  </si>
  <si>
    <t>成果管理</t>
    <phoneticPr fontId="29" type="noConversion"/>
  </si>
  <si>
    <t>管理至简</t>
    <phoneticPr fontId="29" type="noConversion"/>
  </si>
  <si>
    <t>卓有成效管理者的实践</t>
    <phoneticPr fontId="29" type="noConversion"/>
  </si>
  <si>
    <t>伟大创意的诞生</t>
    <phoneticPr fontId="29" type="noConversion"/>
  </si>
  <si>
    <t>至高忠诚：真相，谎言和领导力</t>
    <phoneticPr fontId="29" type="noConversion"/>
  </si>
  <si>
    <t>科学管理原理</t>
    <phoneticPr fontId="29" type="noConversion"/>
  </si>
  <si>
    <t>卓有成效的组织管理</t>
    <phoneticPr fontId="29" type="noConversion"/>
  </si>
  <si>
    <t>赢</t>
    <phoneticPr fontId="29" type="noConversion"/>
  </si>
  <si>
    <t>阿米巴经营</t>
    <phoneticPr fontId="29" type="noConversion"/>
  </si>
  <si>
    <t>高盛帝国</t>
    <phoneticPr fontId="29" type="noConversion"/>
  </si>
  <si>
    <t>麦肯锡管理经典</t>
    <phoneticPr fontId="29" type="noConversion"/>
  </si>
  <si>
    <t>别让猴子跳回背上：为什么领导没时间，下属没事做？</t>
    <phoneticPr fontId="29" type="noConversion"/>
  </si>
  <si>
    <t>这是你的船</t>
    <phoneticPr fontId="29" type="noConversion"/>
  </si>
  <si>
    <t>征服市场的人</t>
    <phoneticPr fontId="29" type="noConversion"/>
  </si>
  <si>
    <t>谷歌的故事</t>
    <phoneticPr fontId="29" type="noConversion"/>
  </si>
  <si>
    <t>公正该如何做是好？</t>
    <phoneticPr fontId="29" type="noConversion"/>
  </si>
  <si>
    <t>说谎者的扑克牌：华尔街的投资游戏</t>
    <phoneticPr fontId="29" type="noConversion"/>
  </si>
  <si>
    <t>门口的野蛮人：史上最强悍的资本收购</t>
    <phoneticPr fontId="29" type="noConversion"/>
  </si>
  <si>
    <t>超级版图：全球供应链，超级城市与新商业文明的崛起</t>
    <phoneticPr fontId="29" type="noConversion"/>
  </si>
  <si>
    <t>无限的游戏</t>
    <phoneticPr fontId="29" type="noConversion"/>
  </si>
  <si>
    <t>经济学要义</t>
    <phoneticPr fontId="29" type="noConversion"/>
  </si>
  <si>
    <t>穷查理宝典：查理芒格智慧箴言录</t>
    <phoneticPr fontId="29" type="noConversion"/>
  </si>
  <si>
    <t>牛奶可乐经济学</t>
    <phoneticPr fontId="29" type="noConversion"/>
  </si>
  <si>
    <t>赤裸裸的经济学</t>
    <phoneticPr fontId="29" type="noConversion"/>
  </si>
  <si>
    <t>思想本质：语言是洞察人类天性之窗</t>
    <phoneticPr fontId="29" type="noConversion"/>
  </si>
  <si>
    <t>麦肯锡12堂工作思维课</t>
    <phoneticPr fontId="29" type="noConversion"/>
  </si>
  <si>
    <t>德鲁克的最后忠告</t>
    <phoneticPr fontId="29" type="noConversion"/>
  </si>
  <si>
    <t>思维简史：从丛林到宇宙</t>
    <phoneticPr fontId="29" type="noConversion"/>
  </si>
  <si>
    <t>硅谷钢铁侠：埃隆马斯克的冒险人生</t>
    <phoneticPr fontId="29" type="noConversion"/>
  </si>
  <si>
    <t>后疫情时代：大重构</t>
    <phoneticPr fontId="29" type="noConversion"/>
  </si>
  <si>
    <t>失控</t>
    <phoneticPr fontId="29" type="noConversion"/>
  </si>
  <si>
    <t>year</t>
    <phoneticPr fontId="30" type="noConversion"/>
  </si>
  <si>
    <t>month</t>
    <phoneticPr fontId="30" type="noConversion"/>
  </si>
  <si>
    <r>
      <rPr>
        <sz val="12"/>
        <color theme="1"/>
        <rFont val="Yu Gothic"/>
        <family val="2"/>
        <charset val="128"/>
      </rPr>
      <t>Python3.7</t>
    </r>
    <r>
      <rPr>
        <sz val="12"/>
        <color theme="1"/>
        <rFont val="等线"/>
        <family val="2"/>
        <scheme val="minor"/>
      </rPr>
      <t>编程快速入门</t>
    </r>
    <phoneticPr fontId="29" type="noConversion"/>
  </si>
  <si>
    <t>TP311.561</t>
    <phoneticPr fontId="29" type="noConversion"/>
  </si>
  <si>
    <t>潘中强、薛燚</t>
    <phoneticPr fontId="29" type="noConversion"/>
  </si>
  <si>
    <t>人工智能：知识图谱前沿技术</t>
    <phoneticPr fontId="29" type="noConversion"/>
  </si>
  <si>
    <t>朱小燕</t>
    <phoneticPr fontId="29" type="noConversion"/>
  </si>
  <si>
    <t>TP18</t>
    <phoneticPr fontId="29" type="noConversion"/>
  </si>
  <si>
    <t>江東</t>
    <phoneticPr fontId="29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</si>
  <si>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</si>
  <si>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畠山学／著</t>
  </si>
  <si>
    <t>第一東京弁護士会人権擁護委員会国際人権部会／編</t>
  </si>
  <si>
    <t>遠山曉／著</t>
  </si>
  <si>
    <t>ASAHI Accounting Robot研究所／著</t>
  </si>
  <si>
    <t>高橋宣成／著</t>
  </si>
  <si>
    <t>中島亮太郎／著</t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</si>
  <si>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</si>
  <si>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</si>
  <si>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</si>
  <si>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</si>
  <si>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</si>
  <si>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29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</si>
  <si>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</si>
  <si>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</si>
  <si>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</si>
  <si>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</si>
  <si>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</si>
  <si>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たった1日で基本が身に付く!Vue.js超入門　</t>
    <phoneticPr fontId="29" type="noConversion"/>
  </si>
  <si>
    <t>WeChat</t>
    <phoneticPr fontId="30" type="noConversion"/>
  </si>
  <si>
    <t>Library</t>
    <phoneticPr fontId="30" type="noConversion"/>
  </si>
  <si>
    <t>小计</t>
    <phoneticPr fontId="30" type="noConversion"/>
  </si>
  <si>
    <t>出版社</t>
    <phoneticPr fontId="30" type="noConversion"/>
  </si>
  <si>
    <t>版次</t>
    <phoneticPr fontId="30" type="noConversion"/>
  </si>
  <si>
    <t>ISBN</t>
  </si>
  <si>
    <t>潘中强、薛燚</t>
  </si>
  <si>
    <t>朱小燕</t>
  </si>
  <si>
    <t>清华大学出版社</t>
  </si>
  <si>
    <t>电子工业出版社</t>
  </si>
  <si>
    <t>978-7-302-51799-3</t>
  </si>
  <si>
    <t>978-7-121-38992-4</t>
  </si>
  <si>
    <t>Recommendation</t>
    <phoneticPr fontId="30" type="noConversion"/>
  </si>
  <si>
    <t>TP311.561</t>
  </si>
  <si>
    <t>TP18</t>
  </si>
  <si>
    <t>中图法分类</t>
    <phoneticPr fontId="18"/>
  </si>
  <si>
    <t>译者</t>
    <phoneticPr fontId="30" type="noConversion"/>
  </si>
  <si>
    <t>原著书名</t>
    <phoneticPr fontId="30" type="noConversion"/>
  </si>
  <si>
    <t>拐点：如何遇见未来商业变革创造竞争优势</t>
    <phoneticPr fontId="29" type="noConversion"/>
  </si>
  <si>
    <t>奈飞文化手册</t>
    <phoneticPr fontId="29" type="noConversion"/>
  </si>
  <si>
    <t>沃顿商学院最受实用的谈判课</t>
    <phoneticPr fontId="29" type="noConversion"/>
  </si>
  <si>
    <t>哈佛经典谈判术</t>
    <phoneticPr fontId="29" type="noConversion"/>
  </si>
  <si>
    <t>助燃创新的人</t>
    <phoneticPr fontId="29" type="noConversion"/>
  </si>
  <si>
    <t>Listen</t>
    <phoneticPr fontId="30" type="noConversion"/>
  </si>
  <si>
    <r>
      <t>哈佛</t>
    </r>
    <r>
      <rPr>
        <sz val="11"/>
        <color theme="1"/>
        <rFont val="宋体"/>
        <family val="2"/>
        <charset val="134"/>
      </rPr>
      <t>幸福课</t>
    </r>
    <phoneticPr fontId="30" type="noConversion"/>
  </si>
  <si>
    <t>打开积极心理学之门</t>
    <phoneticPr fontId="30" type="noConversion"/>
  </si>
  <si>
    <t>管理：使命、责任、实务</t>
    <phoneticPr fontId="30" type="noConversion"/>
  </si>
  <si>
    <t>已经发生的未来</t>
    <phoneticPr fontId="30" type="noConversion"/>
  </si>
  <si>
    <t>麦肯锡方法</t>
    <phoneticPr fontId="30" type="noConversion"/>
  </si>
  <si>
    <t>吃掉那只青蛙：博恩崔西的高效时间管理法则</t>
    <phoneticPr fontId="30" type="noConversion"/>
  </si>
  <si>
    <t>卓有成效的管理者</t>
    <phoneticPr fontId="30" type="noConversion"/>
  </si>
  <si>
    <t>精益创业：如何建立一个精悍、可持续、可盈利的企业</t>
    <phoneticPr fontId="30" type="noConversion"/>
  </si>
  <si>
    <t>领导力的精进</t>
    <phoneticPr fontId="30" type="noConversion"/>
  </si>
  <si>
    <t>引爆社群：移动互联网时代的新4C法则</t>
    <phoneticPr fontId="30" type="noConversion"/>
  </si>
  <si>
    <t>引用书名</t>
    <phoneticPr fontId="30" type="noConversion"/>
  </si>
  <si>
    <t>反常识经济学2：为什么不向美丽征税</t>
    <phoneticPr fontId="30" type="noConversion"/>
  </si>
  <si>
    <t>反常识经济学1：生活中的经济游戏</t>
    <phoneticPr fontId="30" type="noConversion"/>
  </si>
  <si>
    <t>浅薄</t>
    <phoneticPr fontId="30" type="noConversion"/>
  </si>
  <si>
    <t>日本权力结构之谜</t>
    <phoneticPr fontId="30" type="noConversion"/>
  </si>
  <si>
    <t>Read</t>
    <phoneticPr fontId="30" type="noConversion"/>
  </si>
  <si>
    <t>如何成为创意组织</t>
    <phoneticPr fontId="30" type="noConversion"/>
  </si>
  <si>
    <t>如何成为创意组织</t>
    <phoneticPr fontId="29" type="noConversion"/>
  </si>
  <si>
    <t>聚会：如何打造高效社交网络</t>
    <phoneticPr fontId="30" type="noConversion"/>
  </si>
  <si>
    <t>聚会：如何打造高效社交网络</t>
    <phoneticPr fontId="29" type="noConversion"/>
  </si>
  <si>
    <r>
      <t>卓越工作：</t>
    </r>
    <r>
      <rPr>
        <sz val="11"/>
        <color theme="1"/>
        <rFont val="宋体"/>
        <family val="2"/>
        <charset val="134"/>
      </rPr>
      <t>从优秀到卓越的高效工作法</t>
    </r>
    <phoneticPr fontId="30" type="noConversion"/>
  </si>
  <si>
    <t>未完成的进化</t>
    <phoneticPr fontId="30" type="noConversion"/>
  </si>
  <si>
    <t>极简主义：风靡欧美的工作与生活理念</t>
    <phoneticPr fontId="30" type="noConversion"/>
  </si>
  <si>
    <t>活好：我这样活到105岁</t>
    <phoneticPr fontId="30" type="noConversion"/>
  </si>
  <si>
    <t>微ssb-Europe</t>
  </si>
  <si>
    <t>我战胜了抑郁症：九个抑郁症患者真是感人的自愈故事</t>
    <phoneticPr fontId="30" type="noConversion"/>
  </si>
  <si>
    <t>心：稻盛和夫的一生嘱托</t>
    <phoneticPr fontId="30" type="noConversion"/>
  </si>
  <si>
    <t>如何培养不怯场的孩子</t>
    <phoneticPr fontId="30" type="noConversion"/>
  </si>
  <si>
    <t>如何成为一个学习忍者</t>
    <phoneticPr fontId="30" type="noConversion"/>
  </si>
  <si>
    <t>动态时代的管理</t>
    <phoneticPr fontId="30" type="noConversion"/>
  </si>
  <si>
    <t>内向者的天赋</t>
    <phoneticPr fontId="30" type="noConversion"/>
  </si>
  <si>
    <t>匠人匠心：愚直的坚持</t>
    <phoneticPr fontId="30" type="noConversion"/>
  </si>
  <si>
    <t>工业管理与一般管理</t>
    <phoneticPr fontId="30" type="noConversion"/>
  </si>
  <si>
    <t>管理：使命、责任、实务（责任篇）</t>
    <phoneticPr fontId="30" type="noConversion"/>
  </si>
  <si>
    <t>麦肯锡意识</t>
    <phoneticPr fontId="30" type="noConversion"/>
  </si>
  <si>
    <t>管理：使命、责任、实务（使命篇）</t>
    <phoneticPr fontId="30" type="noConversion"/>
  </si>
  <si>
    <t>21世纪的管理挑战</t>
    <phoneticPr fontId="30" type="noConversion"/>
  </si>
  <si>
    <t>重塑大脑回路：如何借助神经科学走出抑郁症</t>
    <phoneticPr fontId="30" type="noConversion"/>
  </si>
  <si>
    <t>拆除你的情绪地雷</t>
    <phoneticPr fontId="30" type="noConversion"/>
  </si>
  <si>
    <t>穿越抑郁的正念之道</t>
    <phoneticPr fontId="30" type="noConversion"/>
  </si>
  <si>
    <t>敬天爱人：从零开始的挑战</t>
    <phoneticPr fontId="30" type="noConversion"/>
  </si>
  <si>
    <t>已经发生的未来（2019年新版）</t>
    <phoneticPr fontId="30" type="noConversion"/>
  </si>
  <si>
    <t>简化你的时间</t>
    <phoneticPr fontId="30" type="noConversion"/>
  </si>
  <si>
    <r>
      <t>跨越式</t>
    </r>
    <r>
      <rPr>
        <sz val="11"/>
        <color theme="1"/>
        <rFont val="宋体"/>
        <family val="2"/>
        <charset val="134"/>
      </rPr>
      <t>成长：思维转换重塑你的工作和生活</t>
    </r>
    <phoneticPr fontId="30" type="noConversion"/>
  </si>
  <si>
    <t>查理芒格的智慧：投资的隔栅理论</t>
    <phoneticPr fontId="30" type="noConversion"/>
  </si>
  <si>
    <t>干法</t>
    <phoneticPr fontId="30" type="noConversion"/>
  </si>
  <si>
    <t>魏斯曼演讲圣经2</t>
    <phoneticPr fontId="30" type="noConversion"/>
  </si>
  <si>
    <t>大而不倒</t>
    <phoneticPr fontId="30" type="noConversion"/>
  </si>
  <si>
    <t>运动改造大脑</t>
    <phoneticPr fontId="30" type="noConversion"/>
  </si>
  <si>
    <t>管理：技艺之精髓</t>
    <phoneticPr fontId="30" type="noConversion"/>
  </si>
  <si>
    <t>管理新现实（2019）</t>
    <phoneticPr fontId="30" type="noConversion"/>
  </si>
  <si>
    <t>深度学习</t>
    <phoneticPr fontId="30" type="noConversion"/>
  </si>
  <si>
    <t>德鲁克的最后忠告</t>
    <phoneticPr fontId="30" type="noConversion"/>
  </si>
  <si>
    <t>门口的野蛮人：史上最强悍的资本收购</t>
    <phoneticPr fontId="30" type="noConversion"/>
  </si>
  <si>
    <t>高绩效的HR：未来的HR转型</t>
    <phoneticPr fontId="30" type="noConversion"/>
  </si>
  <si>
    <t>管理百年</t>
    <phoneticPr fontId="30" type="noConversion"/>
  </si>
  <si>
    <t>这是你的船</t>
    <phoneticPr fontId="30" type="noConversion"/>
  </si>
  <si>
    <t>麦肯锡管理经典</t>
    <phoneticPr fontId="30" type="noConversion"/>
  </si>
  <si>
    <t>软技能：代码之外的生存指南</t>
    <phoneticPr fontId="30" type="noConversion"/>
  </si>
  <si>
    <t>科学管理原理</t>
    <phoneticPr fontId="30" type="noConversion"/>
  </si>
  <si>
    <t>卓有成效管理者的实践</t>
    <phoneticPr fontId="30" type="noConversion"/>
  </si>
  <si>
    <t>成果管理</t>
    <phoneticPr fontId="30" type="noConversion"/>
  </si>
  <si>
    <t>创新与企业家精神</t>
    <phoneticPr fontId="30" type="noConversion"/>
  </si>
  <si>
    <t>旁观者：管理大师德鲁克回忆录</t>
    <phoneticPr fontId="30" type="noConversion"/>
  </si>
  <si>
    <t>管理工作的本质</t>
    <phoneticPr fontId="30" type="noConversion"/>
  </si>
  <si>
    <t>罗斯柴尔德家族下</t>
    <phoneticPr fontId="30" type="noConversion"/>
  </si>
  <si>
    <t>罗斯柴尔德家族中</t>
    <phoneticPr fontId="30" type="noConversion"/>
  </si>
  <si>
    <t>罗斯柴尔德家族上</t>
    <phoneticPr fontId="30" type="noConversion"/>
  </si>
  <si>
    <t>引领转型</t>
    <phoneticPr fontId="30" type="noConversion"/>
  </si>
  <si>
    <t>卓有成效的领导者：8项核心技能帮你从优秀到卓越</t>
    <phoneticPr fontId="30" type="noConversion"/>
  </si>
  <si>
    <t>情商（实践版）</t>
    <phoneticPr fontId="30" type="noConversion"/>
  </si>
  <si>
    <t>多维度思考：拥有正确判断和科学决策的100条极简法则</t>
    <phoneticPr fontId="30" type="noConversion"/>
  </si>
  <si>
    <t>信号与噪声</t>
    <phoneticPr fontId="30" type="noConversion"/>
  </si>
  <si>
    <t>利率史</t>
    <phoneticPr fontId="30" type="noConversion"/>
  </si>
  <si>
    <t>上瘾：让用户养成使用习惯的四大产品逻辑</t>
    <phoneticPr fontId="30" type="noConversion"/>
  </si>
  <si>
    <t>长尾理论</t>
    <phoneticPr fontId="30" type="noConversion"/>
  </si>
  <si>
    <t>六顶思考帽</t>
    <phoneticPr fontId="30" type="noConversion"/>
  </si>
  <si>
    <t>乌合之众</t>
    <phoneticPr fontId="30" type="noConversion"/>
  </si>
  <si>
    <t>人类的未来</t>
    <phoneticPr fontId="30" type="noConversion"/>
  </si>
  <si>
    <t>高能量姿势</t>
    <phoneticPr fontId="30" type="noConversion"/>
  </si>
  <si>
    <t>学会争辩</t>
    <phoneticPr fontId="30" type="noConversion"/>
  </si>
  <si>
    <t>有序创业24步法：创新型创业成功的方法论</t>
    <phoneticPr fontId="30" type="noConversion"/>
  </si>
  <si>
    <t>他们创造了美国</t>
    <phoneticPr fontId="30" type="noConversion"/>
  </si>
  <si>
    <t>风险与好的决策</t>
    <phoneticPr fontId="30" type="noConversion"/>
  </si>
  <si>
    <t>管理成就生活</t>
    <phoneticPr fontId="30" type="noConversion"/>
  </si>
  <si>
    <t>从0到1：开启商业与未来的秘密</t>
    <phoneticPr fontId="30" type="noConversion"/>
  </si>
  <si>
    <t>美国分类法</t>
    <phoneticPr fontId="30" type="noConversion"/>
  </si>
  <si>
    <t>日本分类法</t>
    <phoneticPr fontId="30" type="noConversion"/>
  </si>
  <si>
    <t>技术的本质</t>
    <phoneticPr fontId="30" type="noConversion"/>
  </si>
  <si>
    <t>反常识</t>
    <phoneticPr fontId="30" type="noConversion"/>
  </si>
  <si>
    <t>重塑大脑，重塑人生</t>
    <phoneticPr fontId="30" type="noConversion"/>
  </si>
  <si>
    <t>伟大的博弈</t>
    <phoneticPr fontId="30" type="noConversion"/>
  </si>
  <si>
    <t>演讲的力量</t>
    <phoneticPr fontId="30" type="noConversion"/>
  </si>
  <si>
    <t>你所做即你所是：打造企业文化的策略和技巧</t>
    <phoneticPr fontId="30" type="noConversion"/>
  </si>
  <si>
    <t>魔鬼经济学3：用反常思维解决问题</t>
    <phoneticPr fontId="30" type="noConversion"/>
  </si>
  <si>
    <t>DTC创造品牌奇迹</t>
    <phoneticPr fontId="30" type="noConversion"/>
  </si>
  <si>
    <t>创业无畏：指数级成长路线图</t>
    <phoneticPr fontId="30" type="noConversion"/>
  </si>
  <si>
    <t>星巴克：关于咖啡、商业和文化的传奇</t>
    <phoneticPr fontId="30" type="noConversion"/>
  </si>
  <si>
    <t>与众不同：极度竞争时代的生存之道</t>
    <phoneticPr fontId="30" type="noConversion"/>
  </si>
  <si>
    <t>故事与估值</t>
    <phoneticPr fontId="30" type="noConversion"/>
  </si>
  <si>
    <t>营销革命4.0</t>
    <phoneticPr fontId="30" type="noConversion"/>
  </si>
  <si>
    <t>竞争优势</t>
    <phoneticPr fontId="30" type="noConversion"/>
  </si>
  <si>
    <t>管理：使命、责任、实务（实务篇）</t>
    <phoneticPr fontId="30" type="noConversion"/>
  </si>
  <si>
    <t>引爆点</t>
    <phoneticPr fontId="30" type="noConversion"/>
  </si>
  <si>
    <t>变革性创新</t>
    <phoneticPr fontId="30" type="noConversion"/>
  </si>
  <si>
    <t>改变未来的九大算法</t>
    <phoneticPr fontId="30" type="noConversion"/>
  </si>
  <si>
    <t>魔鬼经济学4：用“有色眼镜”看清世界</t>
    <phoneticPr fontId="30" type="noConversion"/>
  </si>
  <si>
    <t>点击：解密移动经济的未来版图</t>
    <phoneticPr fontId="30" type="noConversion"/>
  </si>
  <si>
    <t>反常识经济学3：为什么常识会撒谎</t>
    <phoneticPr fontId="30" type="noConversion"/>
  </si>
  <si>
    <t>爆款：如何打造超级IP</t>
    <phoneticPr fontId="30" type="noConversion"/>
  </si>
  <si>
    <t>搞定2：提升工作与生活效率的52项原则</t>
    <phoneticPr fontId="30" type="noConversion"/>
  </si>
  <si>
    <t>魔鬼经济学2：拥有清晰思维的艺术</t>
    <phoneticPr fontId="30" type="noConversion"/>
  </si>
  <si>
    <t>魔鬼经济学1：揭示隐藏在表象之下的真实世界</t>
    <phoneticPr fontId="30" type="noConversion"/>
  </si>
  <si>
    <t>基因与命运：什么在影响我们的信念、行为和生活</t>
    <phoneticPr fontId="30" type="noConversion"/>
  </si>
  <si>
    <t>未来战争：科技与全球新型冲突</t>
    <phoneticPr fontId="30" type="noConversion"/>
  </si>
  <si>
    <t>反常识经济学4：性越多越安全</t>
    <phoneticPr fontId="30" type="noConversion"/>
  </si>
  <si>
    <t>微ssb-ican</t>
    <phoneticPr fontId="30" type="noConversion"/>
  </si>
  <si>
    <t>纸版</t>
    <phoneticPr fontId="15" type="noConversion"/>
  </si>
  <si>
    <t>微ssb</t>
    <phoneticPr fontId="30" type="noConversion"/>
  </si>
  <si>
    <t>微s-sb</t>
    <phoneticPr fontId="30" type="noConversion"/>
  </si>
  <si>
    <t>微s_sb</t>
    <phoneticPr fontId="30" type="noConversion"/>
  </si>
  <si>
    <t>微s-i</t>
    <phoneticPr fontId="30" type="noConversion"/>
  </si>
  <si>
    <t>微ssb-America</t>
    <phoneticPr fontId="30" type="noConversion"/>
  </si>
  <si>
    <t>微ssb-Asia</t>
    <phoneticPr fontId="30" type="noConversion"/>
  </si>
  <si>
    <t>微ssb-Africa</t>
    <phoneticPr fontId="30" type="noConversion"/>
  </si>
  <si>
    <t>视频</t>
    <phoneticPr fontId="15" type="noConversion"/>
  </si>
  <si>
    <t>书名</t>
    <phoneticPr fontId="29" type="noConversion"/>
  </si>
  <si>
    <t>著者名</t>
    <phoneticPr fontId="29" type="noConversion"/>
  </si>
  <si>
    <r>
      <rPr>
        <sz val="12"/>
        <color theme="1"/>
        <rFont val="微软雅黑"/>
        <family val="2"/>
        <charset val="134"/>
      </rPr>
      <t>图书</t>
    </r>
    <r>
      <rPr>
        <sz val="12"/>
        <color theme="1"/>
        <rFont val="Yu Gothic"/>
        <family val="2"/>
        <charset val="128"/>
      </rPr>
      <t>分類法</t>
    </r>
    <phoneticPr fontId="29" type="noConversion"/>
  </si>
  <si>
    <t>阅读方式</t>
    <phoneticPr fontId="29" type="noConversion"/>
  </si>
  <si>
    <t>阅读完了日</t>
    <phoneticPr fontId="29" type="noConversion"/>
  </si>
  <si>
    <t>江東区立図書館</t>
    <phoneticPr fontId="30" type="noConversion"/>
  </si>
  <si>
    <t>巴菲特致股东的信：投资者和公司高管教程（原书第4版）</t>
    <phoneticPr fontId="29" type="noConversion"/>
  </si>
  <si>
    <t>进度</t>
    <phoneticPr fontId="29" type="noConversion"/>
  </si>
  <si>
    <t>End</t>
    <phoneticPr fontId="29" type="noConversion"/>
  </si>
  <si>
    <t>WeChat</t>
  </si>
  <si>
    <t>WeChat</t>
    <phoneticPr fontId="29" type="noConversion"/>
  </si>
  <si>
    <t>中信</t>
    <phoneticPr fontId="30" type="noConversion"/>
  </si>
  <si>
    <t>中文简体</t>
    <phoneticPr fontId="30" type="noConversion"/>
  </si>
  <si>
    <t>社交网络分析</t>
    <phoneticPr fontId="30" type="noConversion"/>
  </si>
  <si>
    <t>社交网络竞争性分析信息传播与用户行为分析</t>
    <phoneticPr fontId="30" type="noConversion"/>
  </si>
  <si>
    <t>人性的弱点</t>
    <phoneticPr fontId="30" type="noConversion"/>
  </si>
  <si>
    <t>麦肯锡工作法：个人竞争力提升50%的7堂课</t>
    <phoneticPr fontId="30" type="noConversion"/>
  </si>
  <si>
    <t>财富的起源</t>
    <phoneticPr fontId="30" type="noConversion"/>
  </si>
  <si>
    <t>学会提问：麦肯锡工作法</t>
    <phoneticPr fontId="30" type="noConversion"/>
  </si>
  <si>
    <t>阿米巴经营</t>
    <phoneticPr fontId="30" type="noConversion"/>
  </si>
  <si>
    <t>创造时间：专注与每天最重要的事</t>
    <phoneticPr fontId="30" type="noConversion"/>
  </si>
  <si>
    <t>SaaS创业路线图：to B产品、营销、运营方法论及实战案例解读</t>
    <phoneticPr fontId="30" type="noConversion"/>
  </si>
  <si>
    <t>平衡计分卡与绩效管理经典案例解析</t>
    <phoneticPr fontId="30" type="noConversion"/>
  </si>
  <si>
    <t>坚毅</t>
    <phoneticPr fontId="30" type="noConversion"/>
  </si>
  <si>
    <t>游戏改变世界</t>
    <phoneticPr fontId="30" type="noConversion"/>
  </si>
  <si>
    <t>科学的历程</t>
    <phoneticPr fontId="30" type="noConversion"/>
  </si>
  <si>
    <t>普通心理学</t>
    <phoneticPr fontId="30" type="noConversion"/>
  </si>
  <si>
    <t>精通COBOL：大型机商业编程技术详解（修订版）</t>
    <phoneticPr fontId="30" type="noConversion"/>
  </si>
  <si>
    <t>六级词汇词根+联想记忆法（乱序版）</t>
    <phoneticPr fontId="30" type="noConversion"/>
  </si>
  <si>
    <t>资深HR手把手教你做：人力资源管理</t>
    <phoneticPr fontId="30" type="noConversion"/>
  </si>
  <si>
    <t>手工咖啡：咖啡爱好者的完美冲煮指南</t>
    <phoneticPr fontId="30" type="noConversion"/>
  </si>
  <si>
    <t>菊与刀</t>
    <phoneticPr fontId="30" type="noConversion"/>
  </si>
  <si>
    <t>后真相时代</t>
    <phoneticPr fontId="30" type="noConversion"/>
  </si>
  <si>
    <t>高阶产品经理必修课:企业战略驱动下的数据体系搭建</t>
    <phoneticPr fontId="30" type="noConversion"/>
  </si>
  <si>
    <t>你不是迷茫，而是自制力不强</t>
    <phoneticPr fontId="30" type="noConversion"/>
  </si>
  <si>
    <t>掌控习惯</t>
    <phoneticPr fontId="30" type="noConversion"/>
  </si>
  <si>
    <t>将心注入</t>
    <phoneticPr fontId="30" type="noConversion"/>
  </si>
  <si>
    <t>当下的力量</t>
    <phoneticPr fontId="30" type="noConversion"/>
  </si>
  <si>
    <t>经济学通识课</t>
    <phoneticPr fontId="30" type="noConversion"/>
  </si>
  <si>
    <t>你要如何衡量你的人生</t>
    <phoneticPr fontId="30" type="noConversion"/>
  </si>
  <si>
    <t>日语能力考试10000词高效速记</t>
    <phoneticPr fontId="30" type="noConversion"/>
  </si>
  <si>
    <t>稀缺：我们是如何陷入贫穷与忙碌的</t>
    <phoneticPr fontId="30" type="noConversion"/>
  </si>
  <si>
    <t>PdM</t>
    <phoneticPr fontId="30" type="noConversion"/>
  </si>
  <si>
    <t>当呼吸化为空气</t>
    <phoneticPr fontId="30" type="noConversion"/>
  </si>
  <si>
    <t>失控</t>
    <phoneticPr fontId="30" type="noConversion"/>
  </si>
  <si>
    <t>DM</t>
    <phoneticPr fontId="30" type="noConversion"/>
  </si>
  <si>
    <t>巴菲特之道</t>
    <phoneticPr fontId="30" type="noConversion"/>
  </si>
  <si>
    <t>个人主义时代之共同体重建</t>
    <phoneticPr fontId="30" type="noConversion"/>
  </si>
  <si>
    <t>你自以为的极限，只是别人的起点</t>
    <phoneticPr fontId="30" type="noConversion"/>
  </si>
  <si>
    <t>卡耐基魅力口才与演讲的艺术</t>
    <phoneticPr fontId="30" type="noConversion"/>
  </si>
  <si>
    <t>产品经理：从优秀到卓越</t>
    <phoneticPr fontId="30" type="noConversion"/>
  </si>
  <si>
    <t>HR</t>
    <phoneticPr fontId="30" type="noConversion"/>
  </si>
  <si>
    <t>清单革命：如何持续、正确、安全地把事情做好</t>
    <phoneticPr fontId="30" type="noConversion"/>
  </si>
  <si>
    <t>格鲁夫给经理人的第一堂课</t>
    <phoneticPr fontId="30" type="noConversion"/>
  </si>
  <si>
    <t>奈飞文化手册</t>
    <phoneticPr fontId="30" type="noConversion"/>
  </si>
  <si>
    <t>把招聘做到极致：我这样做到世界500强招聘经理</t>
    <phoneticPr fontId="30" type="noConversion"/>
  </si>
  <si>
    <t>零基础学号英语语法</t>
    <phoneticPr fontId="30" type="noConversion"/>
  </si>
  <si>
    <t>非暴力沟通</t>
    <phoneticPr fontId="30" type="noConversion"/>
  </si>
  <si>
    <t>我就是风口</t>
    <phoneticPr fontId="30" type="noConversion"/>
  </si>
  <si>
    <t>一本书读懂24种互联网思维</t>
    <phoneticPr fontId="30" type="noConversion"/>
  </si>
  <si>
    <t>思维简史：从丛林到宇宙</t>
    <phoneticPr fontId="30" type="noConversion"/>
  </si>
  <si>
    <t>战胜华尔街</t>
    <phoneticPr fontId="30" type="noConversion"/>
  </si>
  <si>
    <t>你不知道的Java Script（上）</t>
    <phoneticPr fontId="30" type="noConversion"/>
  </si>
  <si>
    <t>社交媒体简史：从莎草纸到互联网</t>
    <phoneticPr fontId="30" type="noConversion"/>
  </si>
  <si>
    <t>第3选择：解决所有难题的关键思维</t>
    <phoneticPr fontId="30" type="noConversion"/>
  </si>
  <si>
    <t>系统之美</t>
    <phoneticPr fontId="30" type="noConversion"/>
  </si>
  <si>
    <t>鞋狗：耐克创始人菲尔.奈特亲笔自传</t>
    <phoneticPr fontId="30" type="noConversion"/>
  </si>
  <si>
    <t>领导力法则</t>
    <phoneticPr fontId="30" type="noConversion"/>
  </si>
  <si>
    <t>OKR使用手册</t>
    <phoneticPr fontId="30" type="noConversion"/>
  </si>
  <si>
    <t>Java编程的逻辑</t>
    <phoneticPr fontId="30" type="noConversion"/>
  </si>
  <si>
    <t>怪诞行为学</t>
    <phoneticPr fontId="30" type="noConversion"/>
  </si>
  <si>
    <t>扫描版</t>
    <phoneticPr fontId="30" type="noConversion"/>
  </si>
  <si>
    <t>艾·里斯，杰克·特劳特</t>
    <phoneticPr fontId="30" type="noConversion"/>
  </si>
  <si>
    <t>有史以来对美国营销影响最大的观念</t>
    <phoneticPr fontId="30" type="noConversion"/>
  </si>
  <si>
    <t>精益数据分析</t>
    <phoneticPr fontId="30" type="noConversion"/>
  </si>
  <si>
    <t>财务自由之路 1：7年内赚到你的第一个1000万</t>
    <phoneticPr fontId="30" type="noConversion"/>
  </si>
  <si>
    <t>规模</t>
    <phoneticPr fontId="30" type="noConversion"/>
  </si>
  <si>
    <t>增长黑客</t>
    <phoneticPr fontId="30" type="noConversion"/>
  </si>
  <si>
    <t>自卑与超越</t>
    <phoneticPr fontId="30" type="noConversion"/>
  </si>
  <si>
    <t>我在一线做用户增长：存量时代的用户运量之道</t>
    <phoneticPr fontId="30" type="noConversion"/>
  </si>
  <si>
    <t>让大象飞</t>
    <phoneticPr fontId="30" type="noConversion"/>
  </si>
  <si>
    <t>小岛经济学</t>
    <phoneticPr fontId="30" type="noConversion"/>
  </si>
  <si>
    <t>斯坦福极简经济学</t>
    <phoneticPr fontId="30" type="noConversion"/>
  </si>
  <si>
    <t>精通Linux</t>
    <phoneticPr fontId="30" type="noConversion"/>
  </si>
  <si>
    <t>创新公司：皮克斯的启示</t>
    <phoneticPr fontId="30" type="noConversion"/>
  </si>
  <si>
    <t>让创意更有黏性：创意直抵人心的六条路径</t>
    <phoneticPr fontId="30" type="noConversion"/>
  </si>
  <si>
    <t>产品经理的第二本书</t>
    <phoneticPr fontId="30" type="noConversion"/>
  </si>
  <si>
    <t>产品经理手册</t>
    <phoneticPr fontId="30" type="noConversion"/>
  </si>
  <si>
    <t>智能数据：如何挖掘高价值数据</t>
    <phoneticPr fontId="30" type="noConversion"/>
  </si>
  <si>
    <t>魔鬼经济学合集</t>
    <phoneticPr fontId="30" type="noConversion"/>
  </si>
  <si>
    <t>谁说大象不能跳舞</t>
    <phoneticPr fontId="30" type="noConversion"/>
  </si>
  <si>
    <t>计算机是怎样跑起来的</t>
    <phoneticPr fontId="30" type="noConversion"/>
  </si>
  <si>
    <t>批判性思维</t>
    <phoneticPr fontId="30" type="noConversion"/>
  </si>
  <si>
    <t>有钱人和你想的不一样</t>
    <phoneticPr fontId="30" type="noConversion"/>
  </si>
  <si>
    <t>你的降落伞是什么颜色？</t>
    <phoneticPr fontId="30" type="noConversion"/>
  </si>
  <si>
    <t>丰田模式：精益制造的14项管理规则</t>
    <phoneticPr fontId="30" type="noConversion"/>
  </si>
  <si>
    <t>怪诞行为学（全4册）新版</t>
    <phoneticPr fontId="30" type="noConversion"/>
  </si>
  <si>
    <t>微习惯：简单到不可能失败的自我管理法则</t>
    <phoneticPr fontId="30" type="noConversion"/>
  </si>
  <si>
    <t>斯坦福大学人生设计课</t>
    <phoneticPr fontId="30" type="noConversion"/>
  </si>
  <si>
    <t>当下的力量实践手册</t>
    <phoneticPr fontId="30" type="noConversion"/>
  </si>
  <si>
    <t>专注力：心流的惊人力量</t>
    <phoneticPr fontId="30" type="noConversion"/>
  </si>
  <si>
    <t>英语词组全书（上）</t>
    <phoneticPr fontId="30" type="noConversion"/>
  </si>
  <si>
    <t>呼啸山庄</t>
    <phoneticPr fontId="30" type="noConversion"/>
  </si>
  <si>
    <t>傲慢与偏见</t>
    <phoneticPr fontId="30" type="noConversion"/>
  </si>
  <si>
    <t>词以类记：日常英语单词分好类，超好记</t>
    <phoneticPr fontId="30" type="noConversion"/>
  </si>
  <si>
    <t>好快！10天背完3000英语单词</t>
    <phoneticPr fontId="30" type="noConversion"/>
  </si>
  <si>
    <t>实用英语短语宝典</t>
    <phoneticPr fontId="30" type="noConversion"/>
  </si>
  <si>
    <t>专四词汇词根+联想记忆法（乱序版）</t>
    <phoneticPr fontId="30" type="noConversion"/>
  </si>
  <si>
    <t>超实用15000词分类速记</t>
    <phoneticPr fontId="30" type="noConversion"/>
  </si>
  <si>
    <t>英语语法新思维高级教程：驾驭语法</t>
    <phoneticPr fontId="30" type="noConversion"/>
  </si>
  <si>
    <t>英语语法新思维高级教程：走近语法</t>
    <phoneticPr fontId="30" type="noConversion"/>
  </si>
  <si>
    <t>英语语法新思维高级教程：通悟语法</t>
    <phoneticPr fontId="30" type="noConversion"/>
  </si>
  <si>
    <t>100个句子记完7000个托福单词</t>
    <phoneticPr fontId="30" type="noConversion"/>
  </si>
  <si>
    <t>考研英语词汇词根+联想记忆法（乱序版）</t>
    <phoneticPr fontId="30" type="noConversion"/>
  </si>
  <si>
    <t>英语语法新思维：句子成分超精解</t>
    <phoneticPr fontId="30" type="noConversion"/>
  </si>
  <si>
    <t>高中英语必备短语与句型</t>
    <phoneticPr fontId="30" type="noConversion"/>
  </si>
  <si>
    <t>雅思词汇词根+词缀速记大全</t>
    <phoneticPr fontId="30" type="noConversion"/>
  </si>
  <si>
    <t>为什么经营这样用脑不会累</t>
    <phoneticPr fontId="30" type="noConversion"/>
  </si>
  <si>
    <t>白雪公主</t>
    <phoneticPr fontId="30" type="noConversion"/>
  </si>
  <si>
    <t>Salected Stories by O.Henry</t>
    <phoneticPr fontId="30" type="noConversion"/>
  </si>
  <si>
    <t>欧.亨利短篇小说选</t>
    <phoneticPr fontId="30" type="noConversion"/>
  </si>
  <si>
    <t>百万英镑</t>
    <phoneticPr fontId="30" type="noConversion"/>
  </si>
  <si>
    <t>读透英美经济报刊</t>
    <phoneticPr fontId="30" type="noConversion"/>
  </si>
  <si>
    <t>你的降落伞是什么颜色？</t>
    <phoneticPr fontId="29" type="noConversion"/>
  </si>
  <si>
    <t>投资最重要的事</t>
    <phoneticPr fontId="30" type="noConversion"/>
  </si>
  <si>
    <t>钱：7步创造终身收入</t>
    <phoneticPr fontId="30" type="noConversion"/>
  </si>
  <si>
    <t>离经叛道：不按常理出牌的人如何改变世界</t>
    <phoneticPr fontId="30" type="noConversion"/>
  </si>
  <si>
    <t>贝佐斯传</t>
    <phoneticPr fontId="30" type="noConversion"/>
  </si>
  <si>
    <t>超简单法语单词书一学就会</t>
    <phoneticPr fontId="30" type="noConversion"/>
  </si>
  <si>
    <t>好快！10天背完3000法语单词</t>
    <phoneticPr fontId="30" type="noConversion"/>
  </si>
  <si>
    <t>好快！10天背完3000西班牙语单词</t>
    <phoneticPr fontId="30" type="noConversion"/>
  </si>
  <si>
    <t>快速阅读</t>
    <phoneticPr fontId="30" type="noConversion"/>
  </si>
  <si>
    <t>世界史的故事</t>
    <phoneticPr fontId="30" type="noConversion"/>
  </si>
  <si>
    <t>靠谱：顶尖咨询师叫你的工作基本功</t>
    <phoneticPr fontId="30" type="noConversion"/>
  </si>
  <si>
    <t>教出乐观的孩子：让孩子受用一年的幸福经典</t>
    <phoneticPr fontId="30" type="noConversion"/>
  </si>
  <si>
    <t>自驱型成长：如何科学有效地培养孩子的自律</t>
    <phoneticPr fontId="30" type="noConversion"/>
  </si>
  <si>
    <t>必读</t>
    <phoneticPr fontId="30" type="noConversion"/>
  </si>
  <si>
    <t>国富论</t>
    <phoneticPr fontId="30" type="noConversion"/>
  </si>
  <si>
    <t>资本论</t>
    <phoneticPr fontId="30" type="noConversion"/>
  </si>
  <si>
    <t>新教伦理与资本主义精神</t>
    <phoneticPr fontId="30" type="noConversion"/>
  </si>
  <si>
    <t>就业 利息和货币通论</t>
    <phoneticPr fontId="30" type="noConversion"/>
  </si>
  <si>
    <t>通往奴役之路</t>
    <phoneticPr fontId="30" type="noConversion"/>
  </si>
  <si>
    <t>创新和企业家精神</t>
    <phoneticPr fontId="30" type="noConversion"/>
  </si>
  <si>
    <t>竞争战略</t>
    <phoneticPr fontId="30" type="noConversion"/>
  </si>
  <si>
    <t>经济学</t>
    <phoneticPr fontId="30" type="noConversion"/>
  </si>
  <si>
    <t>追求卓越</t>
    <phoneticPr fontId="30" type="noConversion"/>
  </si>
  <si>
    <t>基业长青</t>
    <phoneticPr fontId="30" type="noConversion"/>
  </si>
  <si>
    <t>营销管理</t>
    <phoneticPr fontId="30" type="noConversion"/>
  </si>
  <si>
    <t>第五项修炼</t>
    <phoneticPr fontId="30" type="noConversion"/>
  </si>
  <si>
    <t>隐形冠军</t>
    <phoneticPr fontId="30" type="noConversion"/>
  </si>
  <si>
    <t>定位</t>
    <phoneticPr fontId="30" type="noConversion"/>
  </si>
  <si>
    <t>创新者的窘境</t>
    <phoneticPr fontId="30" type="noConversion"/>
  </si>
  <si>
    <t>引爆流行</t>
    <phoneticPr fontId="30" type="noConversion"/>
  </si>
  <si>
    <t>萧条经济学的回归</t>
    <phoneticPr fontId="30" type="noConversion"/>
  </si>
  <si>
    <t>非理性繁荣</t>
    <phoneticPr fontId="30" type="noConversion"/>
  </si>
  <si>
    <t>政府为什么干预经济</t>
    <phoneticPr fontId="30" type="noConversion"/>
  </si>
  <si>
    <t>21世纪资本论</t>
    <phoneticPr fontId="30" type="noConversion"/>
  </si>
  <si>
    <t>美国大城市的生与死</t>
    <phoneticPr fontId="30" type="noConversion"/>
  </si>
  <si>
    <t>第三次浪潮</t>
    <phoneticPr fontId="30" type="noConversion"/>
  </si>
  <si>
    <t>自由选择</t>
    <phoneticPr fontId="30" type="noConversion"/>
  </si>
  <si>
    <t>经济学原理</t>
    <phoneticPr fontId="30" type="noConversion"/>
  </si>
  <si>
    <t>历史的终结及最后的人</t>
    <phoneticPr fontId="30" type="noConversion"/>
  </si>
  <si>
    <t>旧制度与大革命</t>
    <phoneticPr fontId="30" type="noConversion"/>
  </si>
  <si>
    <t>巨人</t>
    <phoneticPr fontId="30" type="noConversion"/>
  </si>
  <si>
    <t>奇点临近</t>
    <phoneticPr fontId="30" type="noConversion"/>
  </si>
  <si>
    <t>世界是平的</t>
    <phoneticPr fontId="30" type="noConversion"/>
  </si>
  <si>
    <t>未来简史</t>
    <phoneticPr fontId="30" type="noConversion"/>
  </si>
  <si>
    <t>大国的兴衰</t>
    <phoneticPr fontId="30" type="noConversion"/>
  </si>
  <si>
    <t>枪炮 病菌与钢铁</t>
    <phoneticPr fontId="30" type="noConversion"/>
  </si>
  <si>
    <t>影响历史的商业七巨头</t>
    <phoneticPr fontId="30" type="noConversion"/>
  </si>
  <si>
    <t>只有偏执狂才能生存</t>
    <phoneticPr fontId="30" type="noConversion"/>
  </si>
  <si>
    <t>杰克 韦尔奇自传</t>
    <phoneticPr fontId="30" type="noConversion"/>
  </si>
  <si>
    <t>史蒂夫 乔布斯传</t>
    <phoneticPr fontId="30" type="noConversion"/>
  </si>
  <si>
    <t>活法</t>
    <phoneticPr fontId="30" type="noConversion"/>
  </si>
  <si>
    <t>江村经济</t>
    <phoneticPr fontId="30" type="noConversion"/>
  </si>
  <si>
    <t>美国与中国</t>
    <phoneticPr fontId="30" type="noConversion"/>
  </si>
  <si>
    <t>大分流</t>
    <phoneticPr fontId="30" type="noConversion"/>
  </si>
  <si>
    <t>论中国</t>
    <phoneticPr fontId="30" type="noConversion"/>
  </si>
  <si>
    <t>当代中国经济改革</t>
    <phoneticPr fontId="30" type="noConversion"/>
  </si>
  <si>
    <t>中国经济制度</t>
    <phoneticPr fontId="30" type="noConversion"/>
  </si>
  <si>
    <t>新结构经济学</t>
    <phoneticPr fontId="30" type="noConversion"/>
  </si>
  <si>
    <t>激荡30年</t>
    <phoneticPr fontId="30" type="noConversion"/>
  </si>
  <si>
    <t>原著者</t>
    <phoneticPr fontId="30" type="noConversion"/>
  </si>
  <si>
    <t>影响商业的50本书</t>
    <phoneticPr fontId="30" type="noConversion"/>
  </si>
  <si>
    <t>定位：争夺用户心智的战争</t>
    <phoneticPr fontId="30" type="noConversion"/>
  </si>
  <si>
    <t>富甲美国：沃尔玛创始人山姆-沃尔顿自传</t>
    <phoneticPr fontId="30" type="noConversion"/>
  </si>
  <si>
    <t>影响商业的50本书</t>
    <phoneticPr fontId="29" type="noConversion"/>
  </si>
  <si>
    <t>英语</t>
  </si>
  <si>
    <t>英语课程名称</t>
  </si>
  <si>
    <t>吴晓波</t>
    <phoneticPr fontId="30" type="noConversion"/>
  </si>
  <si>
    <t>浙江大学出版社</t>
    <phoneticPr fontId="30" type="noConversion"/>
  </si>
  <si>
    <t>江東</t>
  </si>
  <si>
    <t>成大事必备的99个辩论技巧</t>
    <phoneticPr fontId="30" type="noConversion"/>
  </si>
  <si>
    <t>关键词</t>
    <phoneticPr fontId="30" type="noConversion"/>
  </si>
  <si>
    <t>保管位置</t>
    <phoneticPr fontId="30" type="noConversion"/>
  </si>
  <si>
    <t>无价：洞悉大众心理玩转价格游戏</t>
    <phoneticPr fontId="30" type="noConversion"/>
  </si>
  <si>
    <t>创始人：新管理者如何渡过第一个90天</t>
    <phoneticPr fontId="30" type="noConversion"/>
  </si>
  <si>
    <t>零售的哲学</t>
    <phoneticPr fontId="30" type="noConversion"/>
  </si>
  <si>
    <t>激荡三十年：中国企业1978-2008</t>
    <phoneticPr fontId="30" type="noConversion"/>
  </si>
  <si>
    <t>消费者行为学</t>
    <phoneticPr fontId="30" type="noConversion"/>
  </si>
  <si>
    <t>季羡林文集（全13册）</t>
    <phoneticPr fontId="30" type="noConversion"/>
  </si>
  <si>
    <t>像火箭科学家一样思考：将不可能变为可能</t>
    <phoneticPr fontId="30" type="noConversion"/>
  </si>
  <si>
    <t>你就是干不过做PPT的</t>
    <phoneticPr fontId="30" type="noConversion"/>
  </si>
  <si>
    <t>知识大融通</t>
    <phoneticPr fontId="30" type="noConversion"/>
  </si>
  <si>
    <t>别独自用餐：克林顿还是穷小子时如何建立顶级社交圈</t>
    <phoneticPr fontId="30" type="noConversion"/>
  </si>
  <si>
    <t>高绩效教练</t>
    <phoneticPr fontId="30" type="noConversion"/>
  </si>
  <si>
    <t>远见：如何规划职业生涯3大阶段</t>
    <phoneticPr fontId="30" type="noConversion"/>
  </si>
  <si>
    <t>事实</t>
    <phoneticPr fontId="30" type="noConversion"/>
  </si>
  <si>
    <t>定位：有史以来对美国营销影响最大的观念</t>
    <phoneticPr fontId="30" type="noConversion"/>
  </si>
  <si>
    <t>如何结交比你更优秀的人：把高端人脉变为优质人生资源</t>
    <phoneticPr fontId="30" type="noConversion"/>
  </si>
  <si>
    <t>巴菲特和查理-芒格内部讲话</t>
    <phoneticPr fontId="30" type="noConversion"/>
  </si>
  <si>
    <t>敏捷革命</t>
    <phoneticPr fontId="30" type="noConversion"/>
  </si>
  <si>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  <phoneticPr fontId="30" type="noConversion"/>
  </si>
  <si>
    <t>游戏化思维：改变未来商业的新力量</t>
    <phoneticPr fontId="30" type="noConversion"/>
  </si>
  <si>
    <t>正面领导：让员工跟定你的31个心理学小工具</t>
    <phoneticPr fontId="30" type="noConversion"/>
  </si>
  <si>
    <t>影响力大师：如何调动团队力量</t>
    <phoneticPr fontId="30" type="noConversion"/>
  </si>
  <si>
    <t>助推：如何作出有关健康，财富与幸福的最佳决策</t>
    <phoneticPr fontId="30" type="noConversion"/>
  </si>
  <si>
    <t>行为设计学：零成本改变</t>
    <phoneticPr fontId="30" type="noConversion"/>
  </si>
  <si>
    <t>黑天鹅：如何应对不可预知的未来</t>
    <phoneticPr fontId="30" type="noConversion"/>
  </si>
  <si>
    <t>MBA一日读2.0：一日之内学完知名商学院的全部课程</t>
    <phoneticPr fontId="30" type="noConversion"/>
  </si>
  <si>
    <t>平台革命</t>
    <phoneticPr fontId="30" type="noConversion"/>
  </si>
  <si>
    <t>风险认知：如何精准决策</t>
    <phoneticPr fontId="30" type="noConversion"/>
  </si>
  <si>
    <t>赋能：打造应对不确定性的团队</t>
    <phoneticPr fontId="30" type="noConversion"/>
  </si>
  <si>
    <t>能力清单</t>
    <phoneticPr fontId="30" type="noConversion"/>
  </si>
  <si>
    <t>OKR工作法：谷歌，领英等顶级公司的高绩效秘籍</t>
    <phoneticPr fontId="30" type="noConversion"/>
  </si>
  <si>
    <t>关键对话：如何高效能对话</t>
    <phoneticPr fontId="30" type="noConversion"/>
  </si>
  <si>
    <t>创业维艰：如何完成比难更难的事</t>
    <phoneticPr fontId="30" type="noConversion"/>
  </si>
  <si>
    <t>战略思维</t>
    <phoneticPr fontId="30" type="noConversion"/>
  </si>
  <si>
    <t>意义革命：成为卓越成就的领导力</t>
    <phoneticPr fontId="30" type="noConversion"/>
  </si>
  <si>
    <t>指数型组织：打造独角兽公司的11个最强属性</t>
    <phoneticPr fontId="30" type="noConversion"/>
  </si>
  <si>
    <t>洞察：精确观察和有效沟通的艺术</t>
    <phoneticPr fontId="30" type="noConversion"/>
  </si>
  <si>
    <t>TED演讲的秘密：18分钟改变世界</t>
    <phoneticPr fontId="30" type="noConversion"/>
  </si>
  <si>
    <t>OKR：源于英特尔和谷歌的目标管理利器</t>
    <phoneticPr fontId="30" type="noConversion"/>
  </si>
  <si>
    <t>高绩效团队：VUCA时代的5个管理策略</t>
    <phoneticPr fontId="30" type="noConversion"/>
  </si>
  <si>
    <t>第三选择：解决所有难题的关键思维</t>
    <phoneticPr fontId="30" type="noConversion"/>
  </si>
  <si>
    <t>这就是OKR：让谷歌、亚马逊实现爆炸性增长的工作法</t>
    <phoneticPr fontId="30" type="noConversion"/>
  </si>
  <si>
    <t>关键时刻MOT</t>
    <phoneticPr fontId="30" type="noConversion"/>
  </si>
  <si>
    <t>链接：商业、科学与生活的思维</t>
    <phoneticPr fontId="30" type="noConversion"/>
  </si>
  <si>
    <t>产品游戏化</t>
    <phoneticPr fontId="30" type="noConversion"/>
  </si>
  <si>
    <t>Python3.7编程快速入门</t>
    <phoneticPr fontId="30" type="noConversion"/>
  </si>
  <si>
    <t>人工智能：知识图谱前沿技术</t>
    <phoneticPr fontId="30" type="noConversion"/>
  </si>
  <si>
    <t>不平等的代价</t>
    <phoneticPr fontId="30" type="noConversion"/>
  </si>
  <si>
    <t>社交天性：人类社交的三大动力</t>
    <phoneticPr fontId="30" type="noConversion"/>
  </si>
  <si>
    <t>认知觉醒：开启自我改变的原动力</t>
    <phoneticPr fontId="30" type="noConversion"/>
  </si>
  <si>
    <t>非对称风险</t>
    <phoneticPr fontId="30" type="noConversion"/>
  </si>
  <si>
    <t>风险与好的对策</t>
    <phoneticPr fontId="30" type="noConversion"/>
  </si>
  <si>
    <t>领导力的精进 新手领导如何带出一直高绩效团队</t>
    <phoneticPr fontId="30" type="noConversion"/>
  </si>
  <si>
    <t>时机管理</t>
    <phoneticPr fontId="30" type="noConversion"/>
  </si>
  <si>
    <t>原则</t>
    <phoneticPr fontId="30" type="noConversion"/>
  </si>
  <si>
    <t>细节：如何轻松影响他人</t>
    <phoneticPr fontId="30" type="noConversion"/>
  </si>
  <si>
    <t>领导梯队</t>
    <phoneticPr fontId="30" type="noConversion"/>
  </si>
  <si>
    <t>欲罢不能：刷屏时代如何摆脱行为上瘾</t>
    <phoneticPr fontId="30" type="noConversion"/>
  </si>
  <si>
    <t>权力的转移</t>
    <phoneticPr fontId="30" type="noConversion"/>
  </si>
  <si>
    <t>搞定1：无压工作的艺术</t>
    <phoneticPr fontId="30" type="noConversion"/>
  </si>
  <si>
    <t>幸福脑</t>
    <phoneticPr fontId="30" type="noConversion"/>
  </si>
  <si>
    <t>噪声</t>
    <phoneticPr fontId="30" type="noConversion"/>
  </si>
  <si>
    <t>高效的团队决策</t>
    <phoneticPr fontId="30" type="noConversion"/>
  </si>
  <si>
    <t>明智行动的艺术：成功决策必须避免的52个思维陷阱</t>
    <phoneticPr fontId="30" type="noConversion"/>
  </si>
  <si>
    <t>第一特性：跨越创新的第二曲线</t>
    <phoneticPr fontId="30" type="noConversion"/>
  </si>
  <si>
    <t>如何听如何说：高效能沟通的逻辑与秘诀</t>
    <phoneticPr fontId="30" type="noConversion"/>
  </si>
  <si>
    <t>哈佛幸福课</t>
    <phoneticPr fontId="30" type="noConversion"/>
  </si>
  <si>
    <t>负面情绪正面解决：如何让情绪重归平和与稳定</t>
    <phoneticPr fontId="30" type="noConversion"/>
  </si>
  <si>
    <t>积极情绪的力量</t>
    <phoneticPr fontId="30" type="noConversion"/>
  </si>
  <si>
    <t>象与骑象人</t>
    <phoneticPr fontId="30" type="noConversion"/>
  </si>
  <si>
    <t>飞轮效应</t>
    <phoneticPr fontId="30" type="noConversion"/>
  </si>
  <si>
    <t>思考，快与慢</t>
    <phoneticPr fontId="30" type="noConversion"/>
  </si>
  <si>
    <t>统计数据会说谎</t>
    <phoneticPr fontId="30" type="noConversion"/>
  </si>
  <si>
    <t>品格之路</t>
    <phoneticPr fontId="30" type="noConversion"/>
  </si>
  <si>
    <t>今日简史</t>
    <phoneticPr fontId="30" type="noConversion"/>
  </si>
  <si>
    <t>十分钟冥想</t>
    <phoneticPr fontId="30" type="noConversion"/>
  </si>
  <si>
    <t>人类简史：从动物到上帝</t>
    <phoneticPr fontId="30" type="noConversion"/>
  </si>
  <si>
    <t>超纲冷知识</t>
    <phoneticPr fontId="30" type="noConversion"/>
  </si>
  <si>
    <t>灰犀牛：如何应对大噶率危机</t>
    <phoneticPr fontId="30" type="noConversion"/>
  </si>
  <si>
    <t>超效率手册：99个史上更全面的时间管理技巧</t>
    <phoneticPr fontId="30" type="noConversion"/>
  </si>
  <si>
    <t>超级合作者</t>
    <phoneticPr fontId="30" type="noConversion"/>
  </si>
  <si>
    <t>卓越工作：从优秀到卓越的高效工作法</t>
    <phoneticPr fontId="30" type="noConversion"/>
  </si>
  <si>
    <t>广场到高塔</t>
    <phoneticPr fontId="30" type="noConversion"/>
  </si>
  <si>
    <t>五维思考法</t>
    <phoneticPr fontId="30" type="noConversion"/>
  </si>
  <si>
    <t>论大战略</t>
    <phoneticPr fontId="30" type="noConversion"/>
  </si>
  <si>
    <t>富足：改变人类未来的4大力量</t>
    <phoneticPr fontId="30" type="noConversion"/>
  </si>
  <si>
    <t>盐糖脂：食品巨头是如何操纵我们的</t>
    <phoneticPr fontId="30" type="noConversion"/>
  </si>
  <si>
    <t>社会心理学（第8版）</t>
    <phoneticPr fontId="30" type="noConversion"/>
  </si>
  <si>
    <t>新基建</t>
    <phoneticPr fontId="30" type="noConversion"/>
  </si>
  <si>
    <t>利率史（第四版）</t>
    <phoneticPr fontId="30" type="noConversion"/>
  </si>
  <si>
    <t>精益创业：如何建立一个精悍，可持续，可盈利的</t>
    <phoneticPr fontId="30" type="noConversion"/>
  </si>
  <si>
    <t>新货币战争</t>
    <phoneticPr fontId="30" type="noConversion"/>
  </si>
  <si>
    <t>特斯拉传</t>
    <phoneticPr fontId="30" type="noConversion"/>
  </si>
  <si>
    <t>德鲁克看中国与日本：德鲁克对话“日本商业圣手”中内功</t>
    <phoneticPr fontId="30" type="noConversion"/>
  </si>
  <si>
    <t>逃不开的经济周期2</t>
    <phoneticPr fontId="30" type="noConversion"/>
  </si>
  <si>
    <t>选择的悖论：用心理学解读人的经济行为</t>
    <phoneticPr fontId="30" type="noConversion"/>
  </si>
  <si>
    <t>理解人性</t>
    <phoneticPr fontId="30" type="noConversion"/>
  </si>
  <si>
    <t>在北大听演讲</t>
    <phoneticPr fontId="30" type="noConversion"/>
  </si>
  <si>
    <t>PBL项目制学习</t>
    <phoneticPr fontId="30" type="noConversion"/>
  </si>
  <si>
    <t>创造力：心流与创新心理学</t>
    <phoneticPr fontId="30" type="noConversion"/>
  </si>
  <si>
    <t>学习场景的革命</t>
    <phoneticPr fontId="30" type="noConversion"/>
  </si>
  <si>
    <t>AI 3.0</t>
    <phoneticPr fontId="30" type="noConversion"/>
  </si>
  <si>
    <t>科技之巅3</t>
    <phoneticPr fontId="30" type="noConversion"/>
  </si>
  <si>
    <t>极限创新：35岁之前改变世界的全球科技精英</t>
    <phoneticPr fontId="30" type="noConversion"/>
  </si>
  <si>
    <t>第四次工业革命</t>
    <phoneticPr fontId="30" type="noConversion"/>
  </si>
  <si>
    <t>生而不凡：迈向卓越的10个颠覆性思维</t>
    <phoneticPr fontId="30" type="noConversion"/>
  </si>
  <si>
    <t>科学：无尽的前沿</t>
    <phoneticPr fontId="30" type="noConversion"/>
  </si>
  <si>
    <t>时间的悖论</t>
    <phoneticPr fontId="30" type="noConversion"/>
  </si>
  <si>
    <t>生命3.0</t>
    <phoneticPr fontId="30" type="noConversion"/>
  </si>
  <si>
    <t>自下而上</t>
    <phoneticPr fontId="30" type="noConversion"/>
  </si>
  <si>
    <t>未来简史：从智人到智神</t>
    <phoneticPr fontId="30" type="noConversion"/>
  </si>
  <si>
    <t>囚徒的窘境</t>
    <phoneticPr fontId="30" type="noConversion"/>
  </si>
  <si>
    <t>极简哲学史</t>
    <phoneticPr fontId="30" type="noConversion"/>
  </si>
  <si>
    <t>人类存在的意义</t>
    <phoneticPr fontId="30" type="noConversion"/>
  </si>
  <si>
    <t>剧变：人类社会与国家危机的转折点</t>
    <phoneticPr fontId="30" type="noConversion"/>
  </si>
  <si>
    <t>随机漫步的傻瓜</t>
    <phoneticPr fontId="30" type="noConversion"/>
  </si>
  <si>
    <t>学习之道</t>
    <phoneticPr fontId="30" type="noConversion"/>
  </si>
  <si>
    <t>知识分子与社会</t>
    <phoneticPr fontId="30" type="noConversion"/>
  </si>
  <si>
    <t>亚马逊效应</t>
    <phoneticPr fontId="30" type="noConversion"/>
  </si>
  <si>
    <t>演讲的本质：让思想更有影响力</t>
    <phoneticPr fontId="30" type="noConversion"/>
  </si>
  <si>
    <t>清醒思考的艺术：你最好让别人去犯的52种思维错误</t>
    <phoneticPr fontId="30" type="noConversion"/>
  </si>
  <si>
    <t>好好学习：个人知识管理精进指南</t>
    <phoneticPr fontId="30" type="noConversion"/>
  </si>
  <si>
    <t>活成令人羡慕的样子</t>
    <phoneticPr fontId="30" type="noConversion"/>
  </si>
  <si>
    <t>学会估值，轻松投资</t>
    <phoneticPr fontId="30" type="noConversion"/>
  </si>
  <si>
    <t>你的生存本能正在杀死你：为什么你容易焦虑、不安、恐慌和被激怒？</t>
    <phoneticPr fontId="30" type="noConversion"/>
  </si>
  <si>
    <t>一个广告人的自白</t>
    <phoneticPr fontId="30" type="noConversion"/>
  </si>
  <si>
    <t>心流：最优体验心理学</t>
    <phoneticPr fontId="30" type="noConversion"/>
  </si>
  <si>
    <t>投资：一部历史</t>
    <phoneticPr fontId="30" type="noConversion"/>
  </si>
  <si>
    <t>领导梯队：全面打造领导力驱动型公司</t>
    <phoneticPr fontId="30" type="noConversion"/>
  </si>
  <si>
    <t>科学学习：斯坦福黄金学习法则</t>
    <phoneticPr fontId="30" type="noConversion"/>
  </si>
  <si>
    <t>跳出你的思维陷阱</t>
    <phoneticPr fontId="30" type="noConversion"/>
  </si>
  <si>
    <t>大数据时代</t>
    <phoneticPr fontId="30" type="noConversion"/>
  </si>
  <si>
    <t>如何想到又做到</t>
    <phoneticPr fontId="30" type="noConversion"/>
  </si>
  <si>
    <t>最重要的事，只有一件</t>
    <phoneticPr fontId="30" type="noConversion"/>
  </si>
  <si>
    <t>改变提问，改变人生：12个改善生活与工作的有力工具（第3版）</t>
    <phoneticPr fontId="30" type="noConversion"/>
  </si>
  <si>
    <t>练习的心态：如何培养耐心、专注和自律</t>
    <phoneticPr fontId="30" type="noConversion"/>
  </si>
  <si>
    <t>心静的力量</t>
    <phoneticPr fontId="30" type="noConversion"/>
  </si>
  <si>
    <t>有效学习</t>
    <phoneticPr fontId="30" type="noConversion"/>
  </si>
  <si>
    <t>吃掉那只青蛙：博恩 崔西的高校时间管理法则（第3版）</t>
    <phoneticPr fontId="30" type="noConversion"/>
  </si>
  <si>
    <t>如何高效学习：1年完成麻省理工4年33门课程的整体性学习法</t>
    <phoneticPr fontId="30" type="noConversion"/>
  </si>
  <si>
    <t>自驱型成长</t>
    <phoneticPr fontId="30" type="noConversion"/>
  </si>
  <si>
    <t>做出明治判断的10个方法</t>
    <phoneticPr fontId="30" type="noConversion"/>
  </si>
  <si>
    <t>认知盈余：自由时间的力量</t>
    <phoneticPr fontId="30" type="noConversion"/>
  </si>
  <si>
    <t>第二曲线：跨越”S型曲线“的二次增长</t>
    <phoneticPr fontId="30" type="noConversion"/>
  </si>
  <si>
    <t>世界观：现代人必须要懂的科学哲学和科学史（第2版）</t>
    <phoneticPr fontId="30" type="noConversion"/>
  </si>
  <si>
    <t>学会提问（第11版）</t>
    <phoneticPr fontId="30" type="noConversion"/>
  </si>
  <si>
    <t>习惯的力量</t>
    <phoneticPr fontId="30" type="noConversion"/>
  </si>
  <si>
    <t>贫穷的本质：我们为什么摆脱不了贫穷</t>
    <phoneticPr fontId="30" type="noConversion"/>
  </si>
  <si>
    <t>如何学习</t>
    <phoneticPr fontId="30" type="noConversion"/>
  </si>
  <si>
    <t>思维的囚徒</t>
    <phoneticPr fontId="30" type="noConversion"/>
  </si>
  <si>
    <t>增长的错觉：经济学家错了吗？</t>
    <phoneticPr fontId="30" type="noConversion"/>
  </si>
  <si>
    <t>重来：更为简单有效的商业思维</t>
    <phoneticPr fontId="30" type="noConversion"/>
  </si>
  <si>
    <t>即兴演讲：掌控人生关键时刻</t>
    <phoneticPr fontId="30" type="noConversion"/>
  </si>
  <si>
    <t>创客：新工业革命</t>
    <phoneticPr fontId="30" type="noConversion"/>
  </si>
  <si>
    <t>慢决策：如何在极速时代掌握慢思考的力量</t>
    <phoneticPr fontId="30" type="noConversion"/>
  </si>
  <si>
    <t>复盘网飞</t>
    <phoneticPr fontId="30" type="noConversion"/>
  </si>
  <si>
    <t>营销革命3.0：从价值到价值观的营销</t>
    <phoneticPr fontId="30" type="noConversion"/>
  </si>
  <si>
    <t>魔鬼经济学3：从反常思维解决问题</t>
    <phoneticPr fontId="30" type="noConversion"/>
  </si>
  <si>
    <t>资本社会的17个矛盾</t>
    <phoneticPr fontId="30" type="noConversion"/>
  </si>
  <si>
    <t>贫穷的终结：智能时代、避免技术性失业与重塑世界</t>
    <phoneticPr fontId="30" type="noConversion"/>
  </si>
  <si>
    <t>战胜自己：投资心法漫谈</t>
    <phoneticPr fontId="30" type="noConversion"/>
  </si>
  <si>
    <t>魔力创业：50位小成本创业者的实战成功经验</t>
    <phoneticPr fontId="30" type="noConversion"/>
  </si>
  <si>
    <t>超级转化率：如何让客户极速下单</t>
    <phoneticPr fontId="30" type="noConversion"/>
  </si>
  <si>
    <t>卧底经济学1：像经济学家那样思考</t>
    <phoneticPr fontId="30" type="noConversion"/>
  </si>
  <si>
    <t>钓愚：操纵与欺骗的经济学</t>
    <phoneticPr fontId="30" type="noConversion"/>
  </si>
  <si>
    <t>团队协作的五大障碍</t>
    <phoneticPr fontId="30" type="noConversion"/>
  </si>
  <si>
    <t>坚守：指数基金之父博格的长赢之道</t>
    <phoneticPr fontId="30" type="noConversion"/>
  </si>
  <si>
    <t>故事和估值</t>
    <phoneticPr fontId="30" type="noConversion"/>
  </si>
  <si>
    <t>绝对坦率：一种新的管理哲学</t>
    <phoneticPr fontId="30" type="noConversion"/>
  </si>
  <si>
    <t>人人都在说谎：赤裸裸的数据真相</t>
    <phoneticPr fontId="30" type="noConversion"/>
  </si>
  <si>
    <t>从优秀到卓越</t>
    <phoneticPr fontId="30" type="noConversion"/>
  </si>
  <si>
    <t>逃不开的经济周期</t>
    <phoneticPr fontId="30" type="noConversion"/>
  </si>
  <si>
    <t>对赌：信息不足时如何做出高明决策</t>
    <phoneticPr fontId="30" type="noConversion"/>
  </si>
  <si>
    <t>管理的实践</t>
    <phoneticPr fontId="30" type="noConversion"/>
  </si>
  <si>
    <t>管理：使命，责任，实务</t>
    <phoneticPr fontId="30" type="noConversion"/>
  </si>
  <si>
    <t>错误的行为</t>
    <phoneticPr fontId="30" type="noConversion"/>
  </si>
  <si>
    <t>像间谍一样思考</t>
    <phoneticPr fontId="30" type="noConversion"/>
  </si>
  <si>
    <t>爆裂：未来社会的9大生存法则</t>
    <phoneticPr fontId="30" type="noConversion"/>
  </si>
  <si>
    <t>反脆弱：从不确定性中获益</t>
    <phoneticPr fontId="30" type="noConversion"/>
  </si>
  <si>
    <t>科技想要什么</t>
    <phoneticPr fontId="30" type="noConversion"/>
  </si>
  <si>
    <t>必然</t>
    <phoneticPr fontId="30" type="noConversion"/>
  </si>
  <si>
    <t>传染：为什么疾病、金融危机和社会行为会流行</t>
    <phoneticPr fontId="30" type="noConversion"/>
  </si>
  <si>
    <t>本能：为什么我们管不住自己？</t>
    <phoneticPr fontId="30" type="noConversion"/>
  </si>
  <si>
    <t>错觉：AI如何通过数据挖掘误导我们</t>
    <phoneticPr fontId="30" type="noConversion"/>
  </si>
  <si>
    <t>缺陷也完美</t>
    <phoneticPr fontId="30" type="noConversion"/>
  </si>
  <si>
    <t>创新大脑</t>
    <phoneticPr fontId="30" type="noConversion"/>
  </si>
  <si>
    <t>未来版图：全球聪明公司的科技创新趋势和商业化路径</t>
    <phoneticPr fontId="30" type="noConversion"/>
  </si>
  <si>
    <t>科技之巅2</t>
    <phoneticPr fontId="30" type="noConversion"/>
  </si>
  <si>
    <t>猿猴的把戏：进化论破解人际潜规则</t>
    <phoneticPr fontId="30" type="noConversion"/>
  </si>
  <si>
    <t>科技之巅</t>
    <phoneticPr fontId="30" type="noConversion"/>
  </si>
  <si>
    <t>爆发：大数据时代遇见未来的新思维</t>
    <phoneticPr fontId="30" type="noConversion"/>
  </si>
  <si>
    <t>群体性孤独：为什么我们对科技期待更多，对彼此却不能更亲密？</t>
    <phoneticPr fontId="30" type="noConversion"/>
  </si>
  <si>
    <t>终极算法：机器学习和人工智能如何重塑世界</t>
    <phoneticPr fontId="30" type="noConversion"/>
  </si>
  <si>
    <t>如何讲好一个故事：引爆说服力的故事思维训练法</t>
    <phoneticPr fontId="30" type="noConversion"/>
  </si>
  <si>
    <t>认识自己，接纳自己</t>
    <phoneticPr fontId="30" type="noConversion"/>
  </si>
  <si>
    <t>只讲故事不讲理</t>
    <phoneticPr fontId="30" type="noConversion"/>
  </si>
  <si>
    <t>发现天赋的15个训练方法</t>
    <phoneticPr fontId="30" type="noConversion"/>
  </si>
  <si>
    <t>影响力</t>
    <phoneticPr fontId="30" type="noConversion"/>
  </si>
  <si>
    <t>商业的本质</t>
    <phoneticPr fontId="30" type="noConversion"/>
  </si>
  <si>
    <t>如何讲好一件事</t>
    <phoneticPr fontId="30" type="noConversion"/>
  </si>
  <si>
    <t>灰度决策：如何吃力复杂、棘手、高风险的难题</t>
    <phoneticPr fontId="30" type="noConversion"/>
  </si>
  <si>
    <t>沃顿商学院最受欢迎的思维课</t>
    <phoneticPr fontId="30" type="noConversion"/>
  </si>
  <si>
    <t>洞见</t>
    <phoneticPr fontId="30" type="noConversion"/>
  </si>
  <si>
    <t>30天精读MBA3：国际商务</t>
    <phoneticPr fontId="30" type="noConversion"/>
  </si>
  <si>
    <t>30天精读MBA2：商务金融</t>
    <phoneticPr fontId="30" type="noConversion"/>
  </si>
  <si>
    <t>效率悖论</t>
    <phoneticPr fontId="30" type="noConversion"/>
  </si>
  <si>
    <t>魔鬼经济学4：用有色眼睛看清世界</t>
    <phoneticPr fontId="30" type="noConversion"/>
  </si>
  <si>
    <t>助推：小行动如何推动大变革</t>
    <phoneticPr fontId="30" type="noConversion"/>
  </si>
  <si>
    <t>隐藏的行为：塑造未来的7种无形力量</t>
    <phoneticPr fontId="30" type="noConversion"/>
  </si>
  <si>
    <t>平均的终结：如何在崇尚标准化的世界中胜出</t>
    <phoneticPr fontId="30" type="noConversion"/>
  </si>
  <si>
    <t>卧底经济学2：经济学家如何看待世界</t>
    <phoneticPr fontId="30" type="noConversion"/>
  </si>
  <si>
    <t>放空：无聊为什么能解锁创意与效率</t>
    <phoneticPr fontId="30" type="noConversion"/>
  </si>
  <si>
    <t>认知商：如何认清现实与错觉</t>
    <phoneticPr fontId="30" type="noConversion"/>
  </si>
  <si>
    <t>延展：释放有限资源的无限潜能</t>
    <phoneticPr fontId="30" type="noConversion"/>
  </si>
  <si>
    <t>出奇制胜：在快速变化的世界如何加速成功</t>
    <phoneticPr fontId="30" type="noConversion"/>
  </si>
  <si>
    <t>选择：为什么我选的不是我要的</t>
    <phoneticPr fontId="30" type="noConversion"/>
  </si>
  <si>
    <t>设计心理学4：未来设计</t>
    <phoneticPr fontId="30" type="noConversion"/>
  </si>
  <si>
    <t>卧底经济学3：非理性世界的理性经济学</t>
    <phoneticPr fontId="30" type="noConversion"/>
  </si>
  <si>
    <t>卧底经济学4：世界经济运行的真相</t>
    <phoneticPr fontId="30" type="noConversion"/>
  </si>
  <si>
    <t>基因与命运：什么在影响我们的信念，行为和生活</t>
    <phoneticPr fontId="30" type="noConversion"/>
  </si>
  <si>
    <t>反常识经济学2：为什么不像美丽征税</t>
    <phoneticPr fontId="30" type="noConversion"/>
  </si>
  <si>
    <t>搞定3：平衡工作与生活的艺术</t>
    <phoneticPr fontId="30" type="noConversion"/>
  </si>
  <si>
    <t>全数字化赋能：迎击颠覆者的竞争战略</t>
    <phoneticPr fontId="30" type="noConversion"/>
  </si>
  <si>
    <t>刷新：重新发现商业与未来</t>
    <phoneticPr fontId="30" type="noConversion"/>
  </si>
  <si>
    <t>蒂姆库克传：苹果公司的反思与商业的未来</t>
    <phoneticPr fontId="30" type="noConversion"/>
  </si>
  <si>
    <t>周期</t>
    <phoneticPr fontId="30" type="noConversion"/>
  </si>
  <si>
    <t>史蒂夫乔布斯传</t>
    <phoneticPr fontId="30" type="noConversion"/>
  </si>
  <si>
    <t>新乌合之众</t>
    <phoneticPr fontId="30" type="noConversion"/>
  </si>
  <si>
    <t>后疫情时代：大重构</t>
    <phoneticPr fontId="30" type="noConversion"/>
  </si>
  <si>
    <t>硅谷钢铁侠：埃隆马斯克的冒险人生</t>
    <phoneticPr fontId="30" type="noConversion"/>
  </si>
  <si>
    <t>麦肯锡12堂工作思维课</t>
    <phoneticPr fontId="30" type="noConversion"/>
  </si>
  <si>
    <t>思想本质：语言是洞察人类天性之窗</t>
    <phoneticPr fontId="30" type="noConversion"/>
  </si>
  <si>
    <t>赤裸裸的经济学</t>
    <phoneticPr fontId="30" type="noConversion"/>
  </si>
  <si>
    <t>牛奶可乐经济学</t>
    <phoneticPr fontId="30" type="noConversion"/>
  </si>
  <si>
    <t>穷查理宝典：查理芒格智慧箴言录</t>
    <phoneticPr fontId="30" type="noConversion"/>
  </si>
  <si>
    <t>经济学要义</t>
    <phoneticPr fontId="30" type="noConversion"/>
  </si>
  <si>
    <t>无限的游戏</t>
    <phoneticPr fontId="30" type="noConversion"/>
  </si>
  <si>
    <t>超级版图：全球供应链，超级城市与新商业文明的崛起</t>
    <phoneticPr fontId="30" type="noConversion"/>
  </si>
  <si>
    <t>说谎者的扑克牌：华尔街的投资游戏</t>
    <phoneticPr fontId="30" type="noConversion"/>
  </si>
  <si>
    <t>公正该如何做是好？</t>
    <phoneticPr fontId="30" type="noConversion"/>
  </si>
  <si>
    <t>谷歌的故事</t>
    <phoneticPr fontId="30" type="noConversion"/>
  </si>
  <si>
    <t>征服市场的人</t>
    <phoneticPr fontId="30" type="noConversion"/>
  </si>
  <si>
    <t>别让猴子跳回背上：为什么领导没时间，下属没事做？</t>
    <phoneticPr fontId="30" type="noConversion"/>
  </si>
  <si>
    <t>高盛帝国</t>
    <phoneticPr fontId="30" type="noConversion"/>
  </si>
  <si>
    <t>赢</t>
    <phoneticPr fontId="30" type="noConversion"/>
  </si>
  <si>
    <t>卓有成效的组织管理</t>
    <phoneticPr fontId="30" type="noConversion"/>
  </si>
  <si>
    <t>至高忠诚：真相，谎言和领导力</t>
    <phoneticPr fontId="30" type="noConversion"/>
  </si>
  <si>
    <t>伟大创意的诞生</t>
    <phoneticPr fontId="30" type="noConversion"/>
  </si>
  <si>
    <t>管理至简</t>
    <phoneticPr fontId="30" type="noConversion"/>
  </si>
  <si>
    <t>认识组织行为：成为高效管理者</t>
    <phoneticPr fontId="30" type="noConversion"/>
  </si>
  <si>
    <t>极简管理法则</t>
    <phoneticPr fontId="30" type="noConversion"/>
  </si>
  <si>
    <t>长期价值</t>
    <phoneticPr fontId="30" type="noConversion"/>
  </si>
  <si>
    <t>这就是微学习</t>
    <phoneticPr fontId="30" type="noConversion"/>
  </si>
  <si>
    <t>创新与创业家精神</t>
    <phoneticPr fontId="30" type="noConversion"/>
  </si>
  <si>
    <t>CEO说：人人都应该像企业家一样思考</t>
    <phoneticPr fontId="30" type="noConversion"/>
  </si>
  <si>
    <t>写给管理者的睡前故事</t>
    <phoneticPr fontId="30" type="noConversion"/>
  </si>
  <si>
    <t>闪电式扩张</t>
    <phoneticPr fontId="30" type="noConversion"/>
  </si>
  <si>
    <t>经营最重要的事</t>
    <phoneticPr fontId="30" type="noConversion"/>
  </si>
  <si>
    <t>执行：如何完成任务的学问</t>
    <phoneticPr fontId="30" type="noConversion"/>
  </si>
  <si>
    <t>清醒思考的策略：做正确的事，把事做正确</t>
    <phoneticPr fontId="30" type="noConversion"/>
  </si>
  <si>
    <t>好的经济学</t>
    <phoneticPr fontId="30" type="noConversion"/>
  </si>
  <si>
    <t>管理的常识：让管理发挥绩效的8个基本概念（修订版）</t>
    <phoneticPr fontId="30" type="noConversion"/>
  </si>
  <si>
    <t>极简项目管理：让目标落地、把事办成并使成功可复制的方法论</t>
    <phoneticPr fontId="30" type="noConversion"/>
  </si>
  <si>
    <t>德鲁克管理思想精要</t>
    <phoneticPr fontId="30" type="noConversion"/>
  </si>
  <si>
    <t>最受欢迎的哈佛大学幸福课</t>
    <phoneticPr fontId="30" type="noConversion"/>
  </si>
  <si>
    <t>罗斯柴尔德家族（下）</t>
    <phoneticPr fontId="30" type="noConversion"/>
  </si>
  <si>
    <t>罗斯柴尔德家族（中）</t>
    <phoneticPr fontId="30" type="noConversion"/>
  </si>
  <si>
    <t>罗斯柴尔德家族（上）</t>
    <phoneticPr fontId="30" type="noConversion"/>
  </si>
  <si>
    <t>亚当斯密传：现代经济学之父的思想</t>
    <phoneticPr fontId="30" type="noConversion"/>
  </si>
  <si>
    <t>与运气竞争</t>
    <phoneticPr fontId="30" type="noConversion"/>
  </si>
  <si>
    <t>要领：斯坦福校长领导十得</t>
    <phoneticPr fontId="30" type="noConversion"/>
  </si>
  <si>
    <t>哈佛大学推荐的20个快乐习惯</t>
    <phoneticPr fontId="30" type="noConversion"/>
  </si>
  <si>
    <t>拐点：如何遇见未来商业变革创造竞争优势</t>
    <phoneticPr fontId="30" type="noConversion"/>
  </si>
  <si>
    <t>增长智商：有效构建企业未来的十大路径</t>
    <phoneticPr fontId="30" type="noConversion"/>
  </si>
  <si>
    <t>试错力：创新如何从无到有</t>
    <phoneticPr fontId="30" type="noConversion"/>
  </si>
  <si>
    <t>巴菲特致股东的信：投资者和公司高管教程（原书第4版）</t>
    <phoneticPr fontId="30" type="noConversion"/>
  </si>
  <si>
    <t>沃顿商学院最受实用的谈判课</t>
    <phoneticPr fontId="30" type="noConversion"/>
  </si>
  <si>
    <t>哈佛经典谈判术</t>
    <phoneticPr fontId="30" type="noConversion"/>
  </si>
  <si>
    <t>助燃创新的人</t>
    <phoneticPr fontId="30" type="noConversion"/>
  </si>
  <si>
    <t>像TED一样演讲2：沟通升级</t>
    <phoneticPr fontId="30" type="noConversion"/>
  </si>
  <si>
    <t>奇特的传染：群体情绪是怎样控制我们的</t>
    <phoneticPr fontId="30" type="noConversion"/>
  </si>
  <si>
    <t>怪诞行为学6：非凡的决定</t>
    <phoneticPr fontId="30" type="noConversion"/>
  </si>
  <si>
    <t>怪诞行为学5：理智与金钱</t>
    <phoneticPr fontId="30" type="noConversion"/>
  </si>
  <si>
    <t>怪诞行为学4：诚实的真相</t>
    <phoneticPr fontId="30" type="noConversion"/>
  </si>
  <si>
    <t>怪诞行为学3：非理性的你</t>
    <phoneticPr fontId="30" type="noConversion"/>
  </si>
  <si>
    <t>怪诞行为学2：非理性的积极力量</t>
    <phoneticPr fontId="30" type="noConversion"/>
  </si>
  <si>
    <t>重新定义公司 谷歌是如何运营的</t>
    <phoneticPr fontId="30" type="noConversion"/>
  </si>
  <si>
    <t>大连接：社会网络是如何形成的以及对人类现实行为的影响</t>
    <phoneticPr fontId="30" type="noConversion"/>
  </si>
  <si>
    <t>混乱</t>
    <phoneticPr fontId="30" type="noConversion"/>
  </si>
  <si>
    <t>情商5：影响人类未来的生态商第3版</t>
    <phoneticPr fontId="30" type="noConversion"/>
  </si>
  <si>
    <t>乌合之众：大众心理研究</t>
    <phoneticPr fontId="30" type="noConversion"/>
  </si>
  <si>
    <t>情商实践版</t>
    <phoneticPr fontId="30" type="noConversion"/>
  </si>
  <si>
    <t>情商4：决定你人生高度的领导情商（第2版）</t>
    <phoneticPr fontId="30" type="noConversion"/>
  </si>
  <si>
    <t>情商3：影响你一生的工作情商</t>
    <phoneticPr fontId="30" type="noConversion"/>
  </si>
  <si>
    <t>情商2：影响你一生的社交商</t>
    <phoneticPr fontId="30" type="noConversion"/>
  </si>
  <si>
    <t>异类：不一样的成功启示录</t>
    <phoneticPr fontId="30" type="noConversion"/>
  </si>
  <si>
    <t>情商：为什么情商比智商更重要（第2版）</t>
    <phoneticPr fontId="30" type="noConversion"/>
  </si>
  <si>
    <t>免费：商业的未来</t>
    <phoneticPr fontId="30" type="noConversion"/>
  </si>
  <si>
    <t>上瘾</t>
    <phoneticPr fontId="30" type="noConversion"/>
  </si>
  <si>
    <t>乌合之众：群体心理研究</t>
    <phoneticPr fontId="30" type="noConversion"/>
  </si>
  <si>
    <t>有序创业24步</t>
    <phoneticPr fontId="30" type="noConversion"/>
  </si>
  <si>
    <t>从零到一：开启商业与未来的秘密</t>
    <phoneticPr fontId="30" type="noConversion"/>
  </si>
  <si>
    <t>刻意练习：如何从新手到大师</t>
    <phoneticPr fontId="30" type="noConversion"/>
  </si>
  <si>
    <t>Python実践機械学習システム100本ノック　</t>
    <phoneticPr fontId="30" type="noConversion"/>
  </si>
  <si>
    <t>UIデザインの教科書　</t>
    <phoneticPr fontId="30" type="noConversion"/>
  </si>
  <si>
    <t>UI/UXデザインの原則　</t>
    <phoneticPr fontId="30" type="noConversion"/>
  </si>
  <si>
    <t>世界のエリートが学んでいるMBA必読書50冊を1冊にまとめてみた　</t>
    <phoneticPr fontId="30" type="noConversion"/>
  </si>
  <si>
    <t>アジャイル開発とスクラム　</t>
    <phoneticPr fontId="30" type="noConversion"/>
  </si>
  <si>
    <t>図解人材マネジメント入門　</t>
    <phoneticPr fontId="30" type="noConversion"/>
  </si>
  <si>
    <t>Pythonプログラミング完全入門　</t>
    <phoneticPr fontId="30" type="noConversion"/>
  </si>
  <si>
    <t>やさしくわかるPythonの教室　</t>
    <phoneticPr fontId="30" type="noConversion"/>
  </si>
  <si>
    <t>天声人語　2021春　</t>
    <phoneticPr fontId="30" type="noConversion"/>
  </si>
  <si>
    <t>ITエンジニアのための&lt;業務知識&gt;がわかる本　</t>
    <phoneticPr fontId="30" type="noConversion"/>
  </si>
  <si>
    <t>要件定義のセオリーと実践方法がこれ1冊でしっかりわかる教科書　</t>
    <phoneticPr fontId="30" type="noConversion"/>
  </si>
  <si>
    <t>みずほ銀行システム統合、苦闘の19年史　</t>
    <phoneticPr fontId="30" type="noConversion"/>
  </si>
  <si>
    <t>インフラエンジニアの知識と実務がこれ1冊でしっかりわかる教科書　</t>
    <phoneticPr fontId="30" type="noConversion"/>
  </si>
  <si>
    <t>Web技術がこれ1冊でしっかりわかる教科書　</t>
    <phoneticPr fontId="30" type="noConversion"/>
  </si>
  <si>
    <t>Excel関数組み合わせ超(スーパー)事典　</t>
    <phoneticPr fontId="30" type="noConversion"/>
  </si>
  <si>
    <t>Google Cloudのしくみと技術がこれ1冊でしっかりわかる教科書　</t>
    <phoneticPr fontId="30" type="noConversion"/>
  </si>
  <si>
    <t>世界最先端8社の大戦略　</t>
    <phoneticPr fontId="30" type="noConversion"/>
  </si>
  <si>
    <t>はじめてのPower Automate Desktop　</t>
    <phoneticPr fontId="30" type="noConversion"/>
  </si>
  <si>
    <t>行動を変えるデザイン　</t>
    <phoneticPr fontId="30" type="noConversion"/>
  </si>
  <si>
    <t>セキュリティのためのログ分析入門　</t>
    <phoneticPr fontId="30" type="noConversion"/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</si>
  <si>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</si>
  <si>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</si>
  <si>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</si>
  <si>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</si>
  <si>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</si>
  <si>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</si>
  <si>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</si>
  <si>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30" type="noConversion"/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</si>
  <si>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</si>
  <si>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</si>
  <si>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</si>
  <si>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</si>
  <si>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</si>
  <si>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</si>
  <si>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</si>
  <si>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30" type="noConversion"/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</si>
  <si>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</si>
  <si>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中国料理人気メニューと技　</t>
    <phoneticPr fontId="30" type="noConversion"/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</si>
  <si>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</si>
  <si>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</si>
  <si>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</si>
  <si>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有名パティスリーの焼き菓子　</t>
    <phoneticPr fontId="30" type="noConversion"/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</si>
  <si>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</si>
  <si>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30" type="noConversion"/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</si>
  <si>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</si>
  <si>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</si>
  <si>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</si>
  <si>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</si>
  <si>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採用、人事担当者のためのITエンジニアリングの基本がわかる本　</t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</si>
  <si>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</si>
  <si>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</si>
  <si>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  <phoneticPr fontId="30" type="noConversion"/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</si>
  <si>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</si>
  <si>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30" type="noConversion"/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</si>
  <si>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</si>
  <si>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</si>
  <si>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</si>
  <si>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</si>
  <si>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</si>
  <si>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</si>
  <si>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</si>
  <si>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</si>
  <si>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</si>
  <si>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</si>
  <si>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30" type="noConversion"/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</si>
  <si>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</si>
  <si>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  <phoneticPr fontId="30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</si>
  <si>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30" type="noConversion"/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</si>
  <si>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</si>
  <si>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</si>
  <si>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</si>
  <si>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</si>
  <si>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</si>
  <si>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</si>
  <si>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</si>
  <si>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</si>
  <si>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30" type="noConversion"/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</si>
  <si>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</si>
  <si>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</si>
  <si>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</si>
  <si>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</si>
  <si>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</si>
  <si>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</si>
  <si>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</si>
  <si>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</si>
  <si>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</si>
  <si>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</si>
  <si>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</si>
  <si>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</si>
  <si>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</si>
  <si>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</si>
  <si>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</si>
  <si>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</si>
  <si>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</si>
  <si>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</si>
  <si>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</si>
  <si>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</si>
  <si>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</si>
  <si>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</si>
  <si>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</si>
  <si>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</si>
  <si>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</si>
  <si>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</si>
  <si>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</si>
  <si>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</si>
  <si>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</si>
  <si>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</si>
  <si>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</si>
  <si>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</si>
  <si>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</si>
  <si>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</si>
  <si>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</si>
  <si>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</si>
  <si>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</si>
  <si>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</si>
  <si>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</si>
  <si>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</si>
  <si>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</si>
  <si>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</si>
  <si>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</si>
  <si>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</si>
  <si>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</si>
  <si>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</si>
  <si>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</si>
  <si>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</si>
  <si>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</si>
  <si>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30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</si>
  <si>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</si>
  <si>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</si>
  <si>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</si>
  <si>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</si>
  <si>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</si>
  <si>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</si>
  <si>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たった1日で基本が身に付く!Vue.js超入門　</t>
    <phoneticPr fontId="30" type="noConversion"/>
  </si>
  <si>
    <t>ビジネスで役立つIT用語がこれ1冊でしっかりわかる本　</t>
    <phoneticPr fontId="30" type="noConversion"/>
  </si>
  <si>
    <t>LINE Pay,PayPay,楽天ペイ,d払い,au PAY,メルペイ&amp;モバイルSuicaキャッシュレス導入ガイド　</t>
    <phoneticPr fontId="30" type="noConversion"/>
  </si>
  <si>
    <t>情報セキュリティの技術と対策がこれ1冊でしっかりわかる教科書　</t>
    <phoneticPr fontId="30" type="noConversion"/>
  </si>
  <si>
    <t>図解による民事訴訟のしくみ　</t>
    <phoneticPr fontId="30" type="noConversion"/>
  </si>
  <si>
    <t>不動産業界のしくみとビジネスがこれ1冊でしっかりわかる教科書　</t>
    <phoneticPr fontId="30" type="noConversion"/>
  </si>
  <si>
    <t>事業担当者のための逆引きビジネス法務ハンドブック　</t>
    <phoneticPr fontId="30" type="noConversion"/>
  </si>
  <si>
    <t>はじめてのUXリサーチ　</t>
    <phoneticPr fontId="30" type="noConversion"/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</si>
  <si>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</si>
  <si>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</si>
  <si>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</si>
  <si>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</si>
  <si>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</si>
  <si>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</si>
  <si>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</si>
  <si>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</si>
  <si>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</si>
  <si>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</si>
  <si>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</si>
  <si>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</si>
  <si>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</si>
  <si>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C++ポケットリファレンス　</t>
    <phoneticPr fontId="30" type="noConversion"/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</si>
  <si>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</si>
  <si>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Klara and the sun　</t>
    <phoneticPr fontId="30" type="noConversion"/>
  </si>
  <si>
    <t>ITエンジニアのための機械学習理論入門　</t>
    <phoneticPr fontId="30" type="noConversion"/>
  </si>
  <si>
    <t>ユーザーエクスペリエンスの測定　</t>
    <phoneticPr fontId="30" type="noConversion"/>
  </si>
  <si>
    <t>ひとめでわかる産業図鑑&amp;業界地図　</t>
    <phoneticPr fontId="30" type="noConversion"/>
  </si>
  <si>
    <t>Linuxコマンドブックビギナーズ　</t>
    <phoneticPr fontId="30" type="noConversion"/>
  </si>
  <si>
    <t>すぐに役立つ労働審判、個別労働あっせんケース別実践書式40　</t>
    <phoneticPr fontId="30" type="noConversion"/>
  </si>
  <si>
    <t>仮想化&amp;コンテナがこれ1冊でしっかりわかる教科書　</t>
    <phoneticPr fontId="30" type="noConversion"/>
  </si>
  <si>
    <t>MBAのアカウンティングが10時間でざっと学べる　</t>
    <phoneticPr fontId="30" type="noConversion"/>
  </si>
  <si>
    <t>Linuxコマンドポケットリファレンス　</t>
    <phoneticPr fontId="30" type="noConversion"/>
  </si>
  <si>
    <t>Kaggleデータ分析入門　</t>
    <phoneticPr fontId="30" type="noConversion"/>
  </si>
  <si>
    <t>The 10 rules of successful nations　</t>
    <phoneticPr fontId="30" type="noConversion"/>
  </si>
  <si>
    <t>Narrow Road to the Deep North and Other Travel Sketches　</t>
    <phoneticPr fontId="30" type="noConversion"/>
  </si>
  <si>
    <t>やさしいJava　活用編　</t>
    <phoneticPr fontId="30" type="noConversion"/>
  </si>
  <si>
    <t xml:space="preserve">最短最速で目標を達成するOKRマネジメント入門 </t>
    <phoneticPr fontId="30" type="noConversion"/>
  </si>
  <si>
    <t xml:space="preserve">成長企業はなぜ、OKRを使うのか? </t>
    <phoneticPr fontId="30" type="noConversion"/>
  </si>
  <si>
    <t xml:space="preserve">最新目標管理フレームワークOKRの基本と実践がよ～くわかる本 </t>
    <phoneticPr fontId="30" type="noConversion"/>
  </si>
  <si>
    <t xml:space="preserve">天声人語 2021夏 </t>
    <phoneticPr fontId="30" type="noConversion"/>
  </si>
  <si>
    <t>Around the World in Eighty Days</t>
    <phoneticPr fontId="30" type="noConversion"/>
  </si>
  <si>
    <t xml:space="preserve">すぐに役立つ労働審判.個別労働あっせんケース別実践書式40 </t>
    <phoneticPr fontId="30" type="noConversion"/>
  </si>
  <si>
    <t xml:space="preserve">これ一冊でぜんぶわかる!労働基準法 2020～2021年版 </t>
    <phoneticPr fontId="30" type="noConversion"/>
  </si>
  <si>
    <t xml:space="preserve">正規表現ポケットリファレンス </t>
    <phoneticPr fontId="30" type="noConversion"/>
  </si>
  <si>
    <t xml:space="preserve">中学レベルの僕が「読むだけ勉強法」で英語をペラペラ話せるようになった! </t>
    <phoneticPr fontId="30" type="noConversion"/>
  </si>
  <si>
    <t xml:space="preserve">たった1日で基本が身に付く!Swiftアプリ開発超入門 </t>
    <phoneticPr fontId="30" type="noConversion"/>
  </si>
  <si>
    <t xml:space="preserve">詳解Swift </t>
    <phoneticPr fontId="30" type="noConversion"/>
  </si>
  <si>
    <t xml:space="preserve">労働法 </t>
    <phoneticPr fontId="30" type="noConversion"/>
  </si>
  <si>
    <t xml:space="preserve">天声人語 2020冬 </t>
    <phoneticPr fontId="30" type="noConversion"/>
  </si>
  <si>
    <t xml:space="preserve">やさしいJava 活用編 </t>
    <phoneticPr fontId="30" type="noConversion"/>
  </si>
  <si>
    <t xml:space="preserve">Java逆引きレシピ </t>
    <phoneticPr fontId="30" type="noConversion"/>
  </si>
  <si>
    <t xml:space="preserve">天声人語 2020秋 </t>
    <phoneticPr fontId="30" type="noConversion"/>
  </si>
  <si>
    <t xml:space="preserve">新.明解Java入門 </t>
    <phoneticPr fontId="30" type="noConversion"/>
  </si>
  <si>
    <t xml:space="preserve">Pythonスタートブック </t>
    <phoneticPr fontId="30" type="noConversion"/>
  </si>
  <si>
    <t xml:space="preserve">Javaポケットリファレンス </t>
    <phoneticPr fontId="30" type="noConversion"/>
  </si>
  <si>
    <t xml:space="preserve">Zero to One </t>
    <phoneticPr fontId="30" type="noConversion"/>
  </si>
  <si>
    <t xml:space="preserve">いちばんわかりやすい労働判例集 </t>
    <phoneticPr fontId="30" type="noConversion"/>
  </si>
  <si>
    <t xml:space="preserve">DX実行戦略 </t>
    <phoneticPr fontId="30" type="noConversion"/>
  </si>
  <si>
    <t xml:space="preserve">最短距離でゼロからしっかり学ぶPython入門 実践編 </t>
    <phoneticPr fontId="30" type="noConversion"/>
  </si>
  <si>
    <t xml:space="preserve">Google Cloud実践活用術 AI.機械学習編 </t>
    <phoneticPr fontId="30" type="noConversion"/>
  </si>
  <si>
    <t xml:space="preserve">HTML5&amp;CSS3ポケットリファレンス </t>
    <phoneticPr fontId="30" type="noConversion"/>
  </si>
  <si>
    <t xml:space="preserve">天声人語 2020年7月-12月 </t>
    <phoneticPr fontId="30" type="noConversion"/>
  </si>
  <si>
    <t xml:space="preserve">「科学的」人事の衝撃 </t>
    <phoneticPr fontId="30" type="noConversion"/>
  </si>
  <si>
    <t xml:space="preserve">PythonユーザのためのJupyter&lt;実践&gt;入門 </t>
    <phoneticPr fontId="30" type="noConversion"/>
  </si>
  <si>
    <t xml:space="preserve">天声人語 2020夏 </t>
    <phoneticPr fontId="30" type="noConversion"/>
  </si>
  <si>
    <t xml:space="preserve">最新重要判例200労働法 </t>
    <phoneticPr fontId="30" type="noConversion"/>
  </si>
  <si>
    <t xml:space="preserve">労働基準法がよくわかる本 '20～'21年版 </t>
    <phoneticPr fontId="30" type="noConversion"/>
  </si>
  <si>
    <t xml:space="preserve">これ一冊でぜんぶわかる!労働基準法 2019～2020年版 </t>
    <phoneticPr fontId="30" type="noConversion"/>
  </si>
  <si>
    <t xml:space="preserve">労働基準法の実務相談 令和2年度 </t>
    <phoneticPr fontId="30" type="noConversion"/>
  </si>
  <si>
    <t xml:space="preserve">DX経営戦略 </t>
    <phoneticPr fontId="30" type="noConversion"/>
  </si>
  <si>
    <t xml:space="preserve">ブルー.オーシャン戦略 </t>
    <phoneticPr fontId="30" type="noConversion"/>
  </si>
  <si>
    <t xml:space="preserve">EdTechが変える教育の未来 </t>
    <phoneticPr fontId="30" type="noConversion"/>
  </si>
  <si>
    <t xml:space="preserve">EdTech </t>
    <phoneticPr fontId="30" type="noConversion"/>
  </si>
  <si>
    <t xml:space="preserve">ソフトウェアシステムアーキテクチャ構築の原理 </t>
    <phoneticPr fontId="30" type="noConversion"/>
  </si>
  <si>
    <t xml:space="preserve">Cloud First Architecture設計ガイド </t>
    <phoneticPr fontId="30" type="noConversion"/>
  </si>
  <si>
    <t xml:space="preserve">ITアーキテクトの教科書 </t>
    <phoneticPr fontId="30" type="noConversion"/>
  </si>
  <si>
    <t xml:space="preserve">システム.アーキテクチャ </t>
    <phoneticPr fontId="30" type="noConversion"/>
  </si>
  <si>
    <t xml:space="preserve">15Stepで習得Dockerから入るKubernetes </t>
    <phoneticPr fontId="30" type="noConversion"/>
  </si>
  <si>
    <t xml:space="preserve">Excel VBAコードレシピ集 </t>
    <phoneticPr fontId="30" type="noConversion"/>
  </si>
  <si>
    <t xml:space="preserve">ITアーキテクトのやってはいけない </t>
    <phoneticPr fontId="30" type="noConversion"/>
  </si>
  <si>
    <t xml:space="preserve">ITアーキテクトのやってはいけない vol.2 </t>
    <phoneticPr fontId="30" type="noConversion"/>
  </si>
  <si>
    <t xml:space="preserve">1からはじめるITアーキテクチャー構築入門 </t>
    <phoneticPr fontId="30" type="noConversion"/>
  </si>
  <si>
    <t xml:space="preserve">Visual Studio Code実践ガイド </t>
    <phoneticPr fontId="30" type="noConversion"/>
  </si>
  <si>
    <t xml:space="preserve">Amazon Web Services業務システム設計.移行ガイド </t>
    <phoneticPr fontId="30" type="noConversion"/>
  </si>
  <si>
    <t xml:space="preserve">英語を英語で理解する英英英単語 初級編 </t>
    <phoneticPr fontId="30" type="noConversion"/>
  </si>
  <si>
    <t xml:space="preserve">コミュニケーション力を高めるプレゼン.発表術 </t>
    <phoneticPr fontId="30" type="noConversion"/>
  </si>
  <si>
    <t xml:space="preserve">機械学習による実用アプリケーション構築 </t>
    <phoneticPr fontId="30" type="noConversion"/>
  </si>
  <si>
    <t xml:space="preserve">Amazon Web Servicesパターン別構築.運用ガイド </t>
    <phoneticPr fontId="30" type="noConversion"/>
  </si>
  <si>
    <t xml:space="preserve">GCPの教科書 [1] </t>
    <phoneticPr fontId="30" type="noConversion"/>
  </si>
  <si>
    <t xml:space="preserve">GCPの教科書 2 </t>
    <phoneticPr fontId="30" type="noConversion"/>
  </si>
  <si>
    <t xml:space="preserve">マイクロサービス/コンテナ大全 </t>
    <phoneticPr fontId="30" type="noConversion"/>
  </si>
  <si>
    <t xml:space="preserve">INSPIRED </t>
    <phoneticPr fontId="30" type="noConversion"/>
  </si>
  <si>
    <t xml:space="preserve">たった1日で基本が身に付く!Docker/Kubernetes超入門 </t>
    <phoneticPr fontId="30" type="noConversion"/>
  </si>
  <si>
    <t xml:space="preserve">組織行動論の実学 </t>
    <phoneticPr fontId="30" type="noConversion"/>
  </si>
  <si>
    <t xml:space="preserve">ソフトウェアテスト自動化の教科書 </t>
    <phoneticPr fontId="30" type="noConversion"/>
  </si>
  <si>
    <t xml:space="preserve">コミュニケーションの教科書 </t>
    <phoneticPr fontId="30" type="noConversion"/>
  </si>
  <si>
    <t xml:space="preserve">一流の経営者は、何を考え、どう行動し、いかにして人を惹き付けるのか? </t>
    <phoneticPr fontId="30" type="noConversion"/>
  </si>
  <si>
    <t xml:space="preserve">Python実践データ分析100本ノック </t>
    <phoneticPr fontId="30" type="noConversion"/>
  </si>
  <si>
    <t xml:space="preserve">デザイン思考の教科書 </t>
    <phoneticPr fontId="30" type="noConversion"/>
  </si>
  <si>
    <t xml:space="preserve">英会話1000本ノック ビジネス編 </t>
    <phoneticPr fontId="30" type="noConversion"/>
  </si>
  <si>
    <t xml:space="preserve">Python Django超入門 </t>
    <phoneticPr fontId="30" type="noConversion"/>
  </si>
  <si>
    <t xml:space="preserve">人材育成.人事の教科書 </t>
    <phoneticPr fontId="30" type="noConversion"/>
  </si>
  <si>
    <t xml:space="preserve">経営者の教科書 </t>
    <phoneticPr fontId="30" type="noConversion"/>
  </si>
  <si>
    <t xml:space="preserve">世界の一流企業は「ゲーム理論」で決めている </t>
    <phoneticPr fontId="30" type="noConversion"/>
  </si>
  <si>
    <t xml:space="preserve">イノベーションの教科書 </t>
    <phoneticPr fontId="30" type="noConversion"/>
  </si>
  <si>
    <t xml:space="preserve">UiPathワークフロー開発実践入門 </t>
    <phoneticPr fontId="30" type="noConversion"/>
  </si>
  <si>
    <t xml:space="preserve">グロービスMBAファイナンス </t>
    <phoneticPr fontId="30" type="noConversion"/>
  </si>
  <si>
    <t xml:space="preserve">MBA問題解決100の基本 </t>
    <phoneticPr fontId="30" type="noConversion"/>
  </si>
  <si>
    <t xml:space="preserve">マネジャーの教科書 </t>
    <phoneticPr fontId="30" type="noConversion"/>
  </si>
  <si>
    <t xml:space="preserve">はじめて人事担当者になったとき知っておくべき、7の基本。8つの主な役割。 </t>
    <phoneticPr fontId="30" type="noConversion"/>
  </si>
  <si>
    <t xml:space="preserve">一流ビジネススクールで教えるデジタル.シフト戦略 </t>
    <phoneticPr fontId="30" type="noConversion"/>
  </si>
  <si>
    <t xml:space="preserve">武器としてのITスキル </t>
    <phoneticPr fontId="30" type="noConversion"/>
  </si>
  <si>
    <t xml:space="preserve">MBAの超基本見るだけノート </t>
    <phoneticPr fontId="30" type="noConversion"/>
  </si>
  <si>
    <t xml:space="preserve">Selenium実践入門 </t>
    <phoneticPr fontId="30" type="noConversion"/>
  </si>
  <si>
    <t xml:space="preserve">チームワークの教科書 </t>
    <phoneticPr fontId="30" type="noConversion"/>
  </si>
  <si>
    <t xml:space="preserve">実践JUnit </t>
    <phoneticPr fontId="30" type="noConversion"/>
  </si>
  <si>
    <t xml:space="preserve">グロービスMBA事業戦略 </t>
    <phoneticPr fontId="30" type="noConversion"/>
  </si>
  <si>
    <t xml:space="preserve">テクノロジー経営の教科書 </t>
    <phoneticPr fontId="30" type="noConversion"/>
  </si>
  <si>
    <t xml:space="preserve">グロービスMBAマネジメント.ブック [1] </t>
    <phoneticPr fontId="30" type="noConversion"/>
  </si>
  <si>
    <t xml:space="preserve">日本語を学ぶ外国人のためのこれで覚える!漢字字典2500 </t>
    <phoneticPr fontId="30" type="noConversion"/>
  </si>
  <si>
    <t xml:space="preserve">15分でいただきます!Mizukiの2品献立 </t>
    <phoneticPr fontId="30" type="noConversion"/>
  </si>
  <si>
    <t xml:space="preserve">戦略の教科書 </t>
    <phoneticPr fontId="30" type="noConversion"/>
  </si>
  <si>
    <t xml:space="preserve">世界のエリートが学んでいるMBAマーケティング必読書50冊を1冊にまとめてみた </t>
    <phoneticPr fontId="30" type="noConversion"/>
  </si>
  <si>
    <t xml:space="preserve">本気で学ぶ超上級中国語 </t>
    <phoneticPr fontId="30" type="noConversion"/>
  </si>
  <si>
    <t xml:space="preserve">グロービスMBA経営戦略 </t>
    <phoneticPr fontId="30" type="noConversion"/>
  </si>
  <si>
    <t xml:space="preserve">正しい意思決定のための「分析」の基礎技術 </t>
    <phoneticPr fontId="30" type="noConversion"/>
  </si>
  <si>
    <t xml:space="preserve">一流ビジネススクールで教えるデジタル シフト戦略 </t>
    <phoneticPr fontId="30" type="noConversion"/>
  </si>
  <si>
    <t xml:space="preserve">ITロードマップ 2020年版 </t>
    <phoneticPr fontId="30" type="noConversion"/>
  </si>
  <si>
    <t xml:space="preserve">MBAリーダーシップ </t>
    <phoneticPr fontId="30" type="noConversion"/>
  </si>
  <si>
    <t xml:space="preserve">グロービスMBAクリティカル シンキング </t>
    <phoneticPr fontId="30" type="noConversion"/>
  </si>
  <si>
    <t xml:space="preserve">グロービス流ビジネス勉強力 </t>
    <phoneticPr fontId="30" type="noConversion"/>
  </si>
  <si>
    <t xml:space="preserve">ダークサイドオブMBAコンセプト </t>
    <phoneticPr fontId="30" type="noConversion"/>
  </si>
  <si>
    <t xml:space="preserve">グロービスMBA事業開発マネジメント </t>
    <phoneticPr fontId="30" type="noConversion"/>
  </si>
  <si>
    <t xml:space="preserve">グロービスMBAビジネス ライティング </t>
    <phoneticPr fontId="30" type="noConversion"/>
  </si>
  <si>
    <t xml:space="preserve">&lt;実況&gt;アカウンティング教室 </t>
    <phoneticPr fontId="30" type="noConversion"/>
  </si>
  <si>
    <t xml:space="preserve">財務諸表分析 </t>
    <phoneticPr fontId="30" type="noConversion"/>
  </si>
  <si>
    <t xml:space="preserve">Jenkins実践入門 </t>
    <phoneticPr fontId="30" type="noConversion"/>
  </si>
  <si>
    <t xml:space="preserve">グロービスMBAビジネスプラン </t>
    <phoneticPr fontId="30" type="noConversion"/>
  </si>
  <si>
    <t xml:space="preserve">Excelでできる!Webデータの自動収集&amp;分析実践入門 </t>
    <phoneticPr fontId="30" type="noConversion"/>
  </si>
  <si>
    <t xml:space="preserve">中学生の国語 ３年 </t>
    <phoneticPr fontId="30" type="noConversion"/>
  </si>
  <si>
    <t>中学生の国語 ３年 資料編</t>
    <phoneticPr fontId="30" type="noConversion"/>
  </si>
  <si>
    <t xml:space="preserve">グロービスMBAマネジメント ブック [1] </t>
    <phoneticPr fontId="30" type="noConversion"/>
  </si>
  <si>
    <t xml:space="preserve">&lt;実況&gt;ロジカルシンキング教室 </t>
    <phoneticPr fontId="30" type="noConversion"/>
  </si>
  <si>
    <t xml:space="preserve">TOEIC L&amp;Rテスト出る語句1800  </t>
    <phoneticPr fontId="30" type="noConversion"/>
  </si>
  <si>
    <t xml:space="preserve">ひと目でわかるプログラミングのしくみとはたらき図鑑 </t>
    <phoneticPr fontId="30" type="noConversion"/>
  </si>
  <si>
    <t xml:space="preserve">グロービスMBAで教えているプレゼンの技術 </t>
    <phoneticPr fontId="30" type="noConversion"/>
  </si>
  <si>
    <t xml:space="preserve">瞬訳中国語 初級編 </t>
    <phoneticPr fontId="30" type="noConversion"/>
  </si>
  <si>
    <t xml:space="preserve">初級から学ぶ日本語コロケーション </t>
    <phoneticPr fontId="30" type="noConversion"/>
  </si>
  <si>
    <t xml:space="preserve">現場ですぐに使える!Pythonプログラミング逆引き大全400の極意 </t>
    <phoneticPr fontId="30" type="noConversion"/>
  </si>
  <si>
    <t xml:space="preserve">&lt;実況&gt;組織マネジメント教室 </t>
    <phoneticPr fontId="30" type="noConversion"/>
  </si>
  <si>
    <t xml:space="preserve">入社1年目から差がつくロジカル シンキング練習帳 </t>
    <phoneticPr fontId="30" type="noConversion"/>
  </si>
  <si>
    <t xml:space="preserve">たった2日でわかるLinux </t>
    <phoneticPr fontId="30" type="noConversion"/>
  </si>
  <si>
    <t xml:space="preserve">グロービスMBAマネジメント ブック 2 </t>
    <phoneticPr fontId="30" type="noConversion"/>
  </si>
  <si>
    <t xml:space="preserve">図解ビジネスの基礎知識50 </t>
    <phoneticPr fontId="30" type="noConversion"/>
  </si>
  <si>
    <t xml:space="preserve">Python2年生データ分析のしくみ </t>
    <phoneticPr fontId="30" type="noConversion"/>
  </si>
  <si>
    <t xml:space="preserve">図解基本フレームワーク50 </t>
    <phoneticPr fontId="30" type="noConversion"/>
  </si>
  <si>
    <t xml:space="preserve">Excel×Pythonデータ処理自由自在 </t>
    <phoneticPr fontId="30" type="noConversion"/>
  </si>
  <si>
    <t xml:space="preserve">Pythonで動かして学ぶ!あたらしい機械学習の教科書 </t>
    <phoneticPr fontId="30" type="noConversion"/>
  </si>
  <si>
    <t xml:space="preserve">定量分析の教科書 </t>
    <phoneticPr fontId="30" type="noConversion"/>
  </si>
  <si>
    <t xml:space="preserve">CircleCI実践入門 </t>
    <phoneticPr fontId="30" type="noConversion"/>
  </si>
  <si>
    <t xml:space="preserve">Pythonによるはじめての機械学習プログラミング </t>
    <phoneticPr fontId="30" type="noConversion"/>
  </si>
  <si>
    <t xml:space="preserve">Excel VBAを極める勝ちワザ700 </t>
    <phoneticPr fontId="30" type="noConversion"/>
  </si>
  <si>
    <t xml:space="preserve">グロービスMBAクリティカル シンキング コミュニケーション編 </t>
    <phoneticPr fontId="30" type="noConversion"/>
  </si>
  <si>
    <t xml:space="preserve">最短距離でゼロからしっかり学ぶPython入門 必修編 </t>
    <phoneticPr fontId="30" type="noConversion"/>
  </si>
  <si>
    <t xml:space="preserve">中学生の国語 ２年 </t>
    <phoneticPr fontId="30" type="noConversion"/>
  </si>
  <si>
    <t>中学生の国語 ２年 資料編</t>
    <phoneticPr fontId="30" type="noConversion"/>
  </si>
  <si>
    <t xml:space="preserve">ITロードマップ 2019年版 </t>
    <phoneticPr fontId="30" type="noConversion"/>
  </si>
  <si>
    <t xml:space="preserve">誰も教えてくれなかったシステム企画 提案実践マニュアル </t>
    <phoneticPr fontId="30" type="noConversion"/>
  </si>
  <si>
    <t xml:space="preserve">やさしいPython入門 </t>
    <phoneticPr fontId="30" type="noConversion"/>
  </si>
  <si>
    <t xml:space="preserve">図解基本ビジネス思考法45 </t>
    <phoneticPr fontId="30" type="noConversion"/>
  </si>
  <si>
    <t xml:space="preserve">図解基本ビジネス分析ツール50 </t>
    <phoneticPr fontId="30" type="noConversion"/>
  </si>
  <si>
    <t xml:space="preserve">MBAの経営戦略が10時間でざっと学べる </t>
    <phoneticPr fontId="30" type="noConversion"/>
  </si>
  <si>
    <t xml:space="preserve">英語を英語で理解する英英英単語 超上級編 </t>
    <phoneticPr fontId="30" type="noConversion"/>
  </si>
  <si>
    <t xml:space="preserve">英語を英語で理解する英英英単語 中級編 </t>
    <phoneticPr fontId="30" type="noConversion"/>
  </si>
  <si>
    <t xml:space="preserve">人事 労務の仕事便利帳 </t>
    <phoneticPr fontId="30" type="noConversion"/>
  </si>
  <si>
    <t xml:space="preserve">英語を英語で理解する英英英単語 上級編 </t>
    <phoneticPr fontId="30" type="noConversion"/>
  </si>
  <si>
    <t xml:space="preserve">一橋MBA戦略分析ケースブック 事業創造編 </t>
    <phoneticPr fontId="30" type="noConversion"/>
  </si>
  <si>
    <t xml:space="preserve">グロービスMBAマーケティング </t>
    <phoneticPr fontId="30" type="noConversion"/>
  </si>
  <si>
    <t xml:space="preserve">意思決定の教科書 </t>
    <phoneticPr fontId="30" type="noConversion"/>
  </si>
  <si>
    <t xml:space="preserve">海外で活躍できる英語勉強法 </t>
    <phoneticPr fontId="30" type="noConversion"/>
  </si>
  <si>
    <t xml:space="preserve">中学 高校6年間の英語をこの1冊でざっと復習する </t>
    <phoneticPr fontId="30" type="noConversion"/>
  </si>
  <si>
    <t xml:space="preserve">英語の決定版 </t>
    <phoneticPr fontId="30" type="noConversion"/>
  </si>
  <si>
    <t xml:space="preserve">中学生の国語 １年 </t>
    <phoneticPr fontId="30" type="noConversion"/>
  </si>
  <si>
    <t>中学生の国語 １年 資料編</t>
    <phoneticPr fontId="30" type="noConversion"/>
  </si>
  <si>
    <t xml:space="preserve">企業経営を誤らない、「同一労働同一賃金」の具体的な進め方 </t>
    <phoneticPr fontId="30" type="noConversion"/>
  </si>
  <si>
    <t xml:space="preserve">一橋MBA戦略ケースブック </t>
    <phoneticPr fontId="30" type="noConversion"/>
  </si>
  <si>
    <t xml:space="preserve">マンスキー データ分析と意思決定理論 </t>
    <phoneticPr fontId="30" type="noConversion"/>
  </si>
  <si>
    <t xml:space="preserve">大学1 2年生のためのすぐわかるスペイン語 </t>
    <phoneticPr fontId="30" type="noConversion"/>
  </si>
  <si>
    <t xml:space="preserve">物流を学ぶ </t>
    <phoneticPr fontId="30" type="noConversion"/>
  </si>
  <si>
    <t xml:space="preserve">物流革命 2021 </t>
    <phoneticPr fontId="30" type="noConversion"/>
  </si>
  <si>
    <t xml:space="preserve">日本のオンライン教育最前線 </t>
    <phoneticPr fontId="30" type="noConversion"/>
  </si>
  <si>
    <t xml:space="preserve">新ゼロからスタートフランス語 文法編 </t>
    <phoneticPr fontId="30" type="noConversion"/>
  </si>
  <si>
    <t xml:space="preserve">人気ラーメン店が探究する調理技法 </t>
    <phoneticPr fontId="30" type="noConversion"/>
  </si>
  <si>
    <t xml:space="preserve">IT系のわかるようなわからないような英語のお話 </t>
    <phoneticPr fontId="30" type="noConversion"/>
  </si>
  <si>
    <t xml:space="preserve">最新うどん </t>
    <phoneticPr fontId="30" type="noConversion"/>
  </si>
  <si>
    <t xml:space="preserve">ヴィクトリア&amp;アルバート美術館 </t>
    <phoneticPr fontId="30" type="noConversion"/>
  </si>
  <si>
    <t xml:space="preserve">冷やし麵202 </t>
    <phoneticPr fontId="30" type="noConversion"/>
  </si>
  <si>
    <t xml:space="preserve">Docker実践ガイド </t>
    <phoneticPr fontId="30" type="noConversion"/>
  </si>
  <si>
    <t xml:space="preserve">市場戦略の読み解き方 </t>
    <phoneticPr fontId="30" type="noConversion"/>
  </si>
  <si>
    <t xml:space="preserve">初心者からちゃんとしたプロになるJavaScript基礎入門 </t>
    <phoneticPr fontId="30" type="noConversion"/>
  </si>
  <si>
    <t xml:space="preserve">一橋MBAケースブック </t>
    <phoneticPr fontId="30" type="noConversion"/>
  </si>
  <si>
    <t xml:space="preserve">小鉢 小皿の人気料理 </t>
    <phoneticPr fontId="30" type="noConversion"/>
  </si>
  <si>
    <t xml:space="preserve">最新解説ラーメンの調理技法 </t>
    <phoneticPr fontId="30" type="noConversion"/>
  </si>
  <si>
    <t>Python 3スキルアップ教科書</t>
    <phoneticPr fontId="30" type="noConversion"/>
  </si>
  <si>
    <t>Node js超入門</t>
    <rPh sb="8" eb="10">
      <t>ﾆｭｳﾓﾝ</t>
    </rPh>
    <phoneticPr fontId="30" type="noConversion"/>
  </si>
  <si>
    <t>東京大田区 弁当屋のすごい経営</t>
    <phoneticPr fontId="30" type="noConversion"/>
  </si>
  <si>
    <t>高校数学からはじめるディープラーニング</t>
    <phoneticPr fontId="30" type="noConversion"/>
  </si>
  <si>
    <t>たのしいRuby</t>
    <phoneticPr fontId="30" type="noConversion"/>
  </si>
  <si>
    <t>おうちで作れる台湾小麦粉料理</t>
    <rPh sb="9" eb="11">
      <t>ｺﾑｷﾞ</t>
    </rPh>
    <phoneticPr fontId="30" type="noConversion"/>
  </si>
  <si>
    <t>Ruby on Rails 5アプリケーションプログラミング</t>
    <phoneticPr fontId="30" type="noConversion"/>
  </si>
  <si>
    <t>現場ですぐに使える!Excel VBA逆引き大全600の極意</t>
    <rPh sb="22" eb="23">
      <t>ﾀﾞｲ</t>
    </rPh>
    <phoneticPr fontId="30" type="noConversion"/>
  </si>
  <si>
    <t>Access VBAパーフェクトマスター</t>
    <phoneticPr fontId="30" type="noConversion"/>
  </si>
  <si>
    <t>PMBOK第6版の知識と手法がこれ1冊でしっかりわかる教科書</t>
    <rPh sb="12" eb="13">
      <t>ﾃ</t>
    </rPh>
    <phoneticPr fontId="30" type="noConversion"/>
  </si>
  <si>
    <t>コンビニおいしい進化史</t>
    <phoneticPr fontId="30" type="noConversion"/>
  </si>
  <si>
    <t>コンビニチェーン進化史</t>
    <phoneticPr fontId="30" type="noConversion"/>
  </si>
  <si>
    <t>ファミリービジネス:MBA講座</t>
    <phoneticPr fontId="30" type="noConversion"/>
  </si>
  <si>
    <t>コンビニはじまりと今</t>
    <phoneticPr fontId="30" type="noConversion"/>
  </si>
  <si>
    <t>中華そばNEO</t>
    <phoneticPr fontId="30" type="noConversion"/>
  </si>
  <si>
    <t>IoT開発がこれ1冊でしっかりわかる教科書</t>
    <phoneticPr fontId="30" type="noConversion"/>
  </si>
  <si>
    <t>Amazon Web Servicesエンタープライズ基盤設計の基本</t>
    <phoneticPr fontId="30" type="noConversion"/>
  </si>
  <si>
    <t>お家(うち)で作る至福の中国料理</t>
    <rPh sb="9" eb="10">
      <t>ｲﾀﾙ</t>
    </rPh>
    <phoneticPr fontId="30" type="noConversion"/>
  </si>
  <si>
    <t>餃子、春巻きレシピ</t>
    <rPh sb="1" eb="2">
      <t>ｺ</t>
    </rPh>
    <phoneticPr fontId="30" type="noConversion"/>
  </si>
  <si>
    <t>焼売、ときどきチャーハン</t>
    <phoneticPr fontId="30" type="noConversion"/>
  </si>
  <si>
    <t>うれしい副菜</t>
    <phoneticPr fontId="30" type="noConversion"/>
  </si>
  <si>
    <t>お客様の心を動かす敬語と話し方</t>
    <rPh sb="4" eb="5">
      <t>ｺｺﾛ</t>
    </rPh>
    <rPh sb="14" eb="15">
      <t>ｶﾀ</t>
    </rPh>
    <phoneticPr fontId="30" type="noConversion"/>
  </si>
  <si>
    <t>プロのためのLinuxシステム 10年効く技術</t>
    <phoneticPr fontId="30" type="noConversion"/>
  </si>
  <si>
    <t>いちばんやさしい資料作成&amp;プレゼンの教本</t>
    <phoneticPr fontId="30" type="noConversion"/>
  </si>
  <si>
    <t>Excel VBA本格入門</t>
    <phoneticPr fontId="30" type="noConversion"/>
  </si>
  <si>
    <t>サイバーセキュリティ入門</t>
    <phoneticPr fontId="30" type="noConversion"/>
  </si>
  <si>
    <t>たった1日で基本が身に付く!Git超入門</t>
    <phoneticPr fontId="30" type="noConversion"/>
  </si>
  <si>
    <t>いちばんやさしいGit &amp; GitHubの教本</t>
    <phoneticPr fontId="30" type="noConversion"/>
  </si>
  <si>
    <t>Amazon Web Servicesパターン別構築 運用ガイド</t>
    <phoneticPr fontId="30" type="noConversion"/>
  </si>
  <si>
    <t>セキュリティのためのログ分析入門</t>
    <phoneticPr fontId="30" type="noConversion"/>
  </si>
  <si>
    <t>外資系コンサルの30分で提案書を書く技術</t>
    <phoneticPr fontId="30" type="noConversion"/>
  </si>
  <si>
    <t>入管法概説</t>
    <phoneticPr fontId="30" type="noConversion"/>
  </si>
  <si>
    <t>正しい言葉遣い</t>
    <rPh sb="3" eb="4">
      <t>ｺﾄ</t>
    </rPh>
    <phoneticPr fontId="30" type="noConversion"/>
  </si>
  <si>
    <t>誰でもできる!Office 365導入ガイド</t>
    <phoneticPr fontId="30" type="noConversion"/>
  </si>
  <si>
    <t>docker基礎からのコンテナ構築</t>
    <phoneticPr fontId="30" type="noConversion"/>
  </si>
  <si>
    <t>EC担当者の実務と知識がこれ1冊でしっかりわかる教科書</t>
    <phoneticPr fontId="30" type="noConversion"/>
  </si>
  <si>
    <t>セキュリティ技術の教科書</t>
    <phoneticPr fontId="30" type="noConversion"/>
  </si>
  <si>
    <t>本気のセキュリティ対策ガイド</t>
    <phoneticPr fontId="30" type="noConversion"/>
  </si>
  <si>
    <t>いちばんやさしい使えるベトナム語入門</t>
    <phoneticPr fontId="30" type="noConversion"/>
  </si>
  <si>
    <t>ステップアップのためのソフトウエアテスト実践ガイド</t>
    <phoneticPr fontId="30" type="noConversion"/>
  </si>
  <si>
    <t>日本語で理解する英文法</t>
    <phoneticPr fontId="30" type="noConversion"/>
  </si>
  <si>
    <t>OpenCVとPythonによる機械学習プログラミング</t>
    <phoneticPr fontId="30" type="noConversion"/>
  </si>
  <si>
    <t>ビジネスデータサイエンスの教科書</t>
    <phoneticPr fontId="30" type="noConversion"/>
  </si>
  <si>
    <t>ゼロからスタート!水野健の宅建士1冊目の教科書 2020年度版</t>
    <phoneticPr fontId="30" type="noConversion"/>
  </si>
  <si>
    <t>実務者のための失敗しないRPAシナリオ設計入門</t>
    <phoneticPr fontId="30" type="noConversion"/>
  </si>
  <si>
    <t>データサイエンティスト養成読本 ビジネス活用編</t>
    <phoneticPr fontId="30" type="noConversion"/>
  </si>
  <si>
    <t>基礎がよくわかる!ゼロからのRPA UiPath超実践テクニック</t>
    <phoneticPr fontId="30" type="noConversion"/>
  </si>
  <si>
    <t>徹底解説Visual Studio Code</t>
    <phoneticPr fontId="30" type="noConversion"/>
  </si>
  <si>
    <t>Amazon Web Services業務システム設計 移行ガイド</t>
    <phoneticPr fontId="30" type="noConversion"/>
  </si>
  <si>
    <t>中学3年間の文法 単語 発音が1冊で身につく!英語フレーズ10 1</t>
    <phoneticPr fontId="30" type="noConversion"/>
  </si>
  <si>
    <t>IT投資の評価手法と効果がこれ1冊でしっかりわかる教科書</t>
    <rPh sb="7" eb="9">
      <t>ｼｭﾎｳ</t>
    </rPh>
    <phoneticPr fontId="30" type="noConversion"/>
  </si>
  <si>
    <t>プロジェクトを成功に導くシステム外注の教科書</t>
    <phoneticPr fontId="30" type="noConversion"/>
  </si>
  <si>
    <t>行動経済学の逆襲 下</t>
    <phoneticPr fontId="30" type="noConversion"/>
  </si>
  <si>
    <t>作りながら学ぶWebプログラミング実践入門</t>
    <phoneticPr fontId="30" type="noConversion"/>
  </si>
  <si>
    <t>よくわかる最新システム開発者のための仕様書の基本と仕組み</t>
    <phoneticPr fontId="30" type="noConversion"/>
  </si>
  <si>
    <t>Zabbix統合監視徹底活用</t>
    <phoneticPr fontId="30" type="noConversion"/>
  </si>
  <si>
    <t>絵で見てわかるITインフラの仕組み</t>
    <phoneticPr fontId="30" type="noConversion"/>
  </si>
  <si>
    <t>ゼロからスタート!武山茂樹のビジネス実務法務検定試験1冊目の教科書</t>
    <phoneticPr fontId="30" type="noConversion"/>
  </si>
  <si>
    <t>キャリアコンサルタントのための労働法と社会保障のしくみ</t>
    <phoneticPr fontId="30" type="noConversion"/>
  </si>
  <si>
    <t>ゼロからスタート!澤井清治の社労士1冊目の教科書 2021年度版</t>
    <phoneticPr fontId="30" type="noConversion"/>
  </si>
  <si>
    <t>ITプロジェクトの英語</t>
    <phoneticPr fontId="30" type="noConversion"/>
  </si>
  <si>
    <t>こんなにおもしろい中小企業診断士の仕事</t>
    <phoneticPr fontId="30" type="noConversion"/>
  </si>
  <si>
    <t>行動経済学の逆襲 上</t>
    <phoneticPr fontId="30" type="noConversion"/>
  </si>
  <si>
    <t>独立系コンサルタントの成功戦略</t>
    <phoneticPr fontId="30" type="noConversion"/>
  </si>
  <si>
    <t>「キャリアコンサルタント」で自立する方法</t>
    <rPh sb="18" eb="19">
      <t>ｶﾀ</t>
    </rPh>
    <phoneticPr fontId="30" type="noConversion"/>
  </si>
  <si>
    <t>ゼロからスタート!高井薫の簿記1冊目の教科書</t>
    <phoneticPr fontId="30" type="noConversion"/>
  </si>
  <si>
    <t>経営コンサルタントの教科書</t>
    <phoneticPr fontId="30" type="noConversion"/>
  </si>
  <si>
    <t>つなげば動く!Pythonふりがなプログラミングパターン文例80</t>
    <phoneticPr fontId="30" type="noConversion"/>
  </si>
  <si>
    <t>ゼロからスタート!金城順之介の中小企業診断士1冊目の教科書</t>
    <phoneticPr fontId="30" type="noConversion"/>
  </si>
  <si>
    <t>はじめよう!システム設計</t>
    <phoneticPr fontId="30" type="noConversion"/>
  </si>
  <si>
    <t>これからはじめるVue.js実践入門</t>
    <phoneticPr fontId="30" type="noConversion"/>
  </si>
  <si>
    <t>外資系コンサルタントが実践している戦略50</t>
    <phoneticPr fontId="30" type="noConversion"/>
  </si>
  <si>
    <t>テレワークでも売れる新しい営業様式</t>
    <phoneticPr fontId="30" type="noConversion"/>
  </si>
  <si>
    <t>外資系コンサルのビジネス文書作成術</t>
    <phoneticPr fontId="30" type="noConversion"/>
  </si>
  <si>
    <t>データドリブン経営入門</t>
    <phoneticPr fontId="30" type="noConversion"/>
  </si>
  <si>
    <t>ゼロからはじめるプロ経営コンサルタント入門</t>
    <phoneticPr fontId="30" type="noConversion"/>
  </si>
  <si>
    <t>いちばんやさしいVue.js入門教室</t>
    <phoneticPr fontId="30" type="noConversion"/>
  </si>
  <si>
    <t>データ駆動型企業</t>
    <phoneticPr fontId="30" type="noConversion"/>
  </si>
  <si>
    <t>外資系コンサルが実践する資料作成の基本</t>
    <phoneticPr fontId="30" type="noConversion"/>
  </si>
  <si>
    <t>ビジネスEメール チャットツールの英語表現</t>
    <phoneticPr fontId="30" type="noConversion"/>
  </si>
  <si>
    <t>リーダーのためのビジネス英会話フレーズブック</t>
    <phoneticPr fontId="30" type="noConversion"/>
  </si>
  <si>
    <t>入社1年目ビジネス文書の教科書</t>
    <phoneticPr fontId="30" type="noConversion"/>
  </si>
  <si>
    <t>ベトナム語が1週間でいとも簡単に話せるようになる本</t>
    <phoneticPr fontId="30" type="noConversion"/>
  </si>
  <si>
    <t>現地駐在記者が教える超実践的ベトナム語入門</t>
    <phoneticPr fontId="30" type="noConversion"/>
  </si>
  <si>
    <t>きちんとわかる!JavaScriptとことん入門</t>
    <phoneticPr fontId="3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</si>
  <si>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</si>
  <si>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</si>
  <si>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金沢殺人事件-内田康夫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</si>
  <si>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川柳侍-小松重男</t>
    </r>
    <phoneticPr fontId="30" type="noConversion"/>
  </si>
  <si>
    <r>
      <rPr>
        <sz val="10"/>
        <color rgb="FF000000"/>
        <rFont val="Microsoft YaHei"/>
        <family val="2"/>
        <charset val="134"/>
      </rPr>
      <t>保険業務研修（損保編）</t>
    </r>
    <phoneticPr fontId="30" type="noConversion"/>
  </si>
  <si>
    <r>
      <rPr>
        <sz val="10"/>
        <color rgb="FF000000"/>
        <rFont val="Microsoft YaHei"/>
        <family val="2"/>
        <charset val="134"/>
      </rPr>
      <t>史上最強の電話応対のマナー</t>
    </r>
    <phoneticPr fontId="30" type="noConversion"/>
  </si>
  <si>
    <r>
      <rPr>
        <sz val="10"/>
        <color rgb="FF000000"/>
        <rFont val="Microsoft YaHei"/>
        <family val="2"/>
        <charset val="134"/>
      </rPr>
      <t>ビジネス文書文例２５０</t>
    </r>
    <phoneticPr fontId="30" type="noConversion"/>
  </si>
  <si>
    <r>
      <rPr>
        <sz val="10"/>
        <color rgb="FF000000"/>
        <rFont val="Microsoft YaHei"/>
        <family val="2"/>
        <charset val="134"/>
      </rPr>
      <t>文章が劇的にウマクなる接続詞</t>
    </r>
    <phoneticPr fontId="30" type="noConversion"/>
  </si>
  <si>
    <r>
      <rPr>
        <sz val="10"/>
        <color rgb="FF000000"/>
        <rFont val="Microsoft YaHei"/>
        <family val="2"/>
        <charset val="134"/>
      </rPr>
      <t>ナミヤ雑貨店の奇跡</t>
    </r>
    <phoneticPr fontId="30" type="noConversion"/>
  </si>
  <si>
    <r>
      <rPr>
        <sz val="10"/>
        <color rgb="FF000000"/>
        <rFont val="Microsoft YaHei"/>
        <family val="2"/>
        <charset val="134"/>
      </rPr>
      <t>容疑者Xの献身</t>
    </r>
    <phoneticPr fontId="30" type="noConversion"/>
  </si>
  <si>
    <r>
      <rPr>
        <sz val="10"/>
        <color rgb="FF000000"/>
        <rFont val="Microsoft YaHei"/>
        <family val="2"/>
        <charset val="134"/>
      </rPr>
      <t>祈りの幕が下りる時</t>
    </r>
    <phoneticPr fontId="30" type="noConversion"/>
  </si>
  <si>
    <r>
      <rPr>
        <sz val="10"/>
        <color rgb="FF000000"/>
        <rFont val="Microsoft YaHei"/>
        <family val="2"/>
        <charset val="134"/>
      </rPr>
      <t>あなたのチームは機能してますか？</t>
    </r>
    <phoneticPr fontId="30" type="noConversion"/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</si>
  <si>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  <phoneticPr fontId="30" type="noConversion"/>
  </si>
  <si>
    <r>
      <rPr>
        <sz val="10"/>
        <color rgb="FF000000"/>
        <rFont val="Microsoft YaHei"/>
        <family val="2"/>
        <charset val="134"/>
      </rPr>
      <t>UMLモデリング入門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</si>
  <si>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程序设计语言原理（第8版）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</si>
  <si>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TensorFlow機械学習クックブック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</si>
  <si>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TensorFlowで学ぶディープラーニング入門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</si>
  <si>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Sparkによる実践データ解析</t>
    </r>
    <phoneticPr fontId="30" type="noConversion"/>
  </si>
  <si>
    <r>
      <rPr>
        <sz val="10"/>
        <color rgb="FF000000"/>
        <rFont val="Microsoft YaHei"/>
        <family val="2"/>
        <charset val="134"/>
      </rPr>
      <t>Pythonによるスクレイピング＆機械学習</t>
    </r>
    <phoneticPr fontId="30" type="noConversion"/>
  </si>
  <si>
    <r>
      <rPr>
        <sz val="10"/>
        <color rgb="FF000000"/>
        <rFont val="Microsoft YaHei"/>
        <family val="2"/>
        <charset val="134"/>
      </rPr>
      <t>Pyehon基础教程（第3版）</t>
    </r>
    <phoneticPr fontId="30" type="noConversion"/>
  </si>
  <si>
    <r>
      <rPr>
        <sz val="10"/>
        <color rgb="FF000000"/>
        <rFont val="Microsoft YaHei"/>
        <family val="2"/>
        <charset val="134"/>
      </rPr>
      <t>はじめての簡単Python　AIプログラミング</t>
    </r>
    <phoneticPr fontId="30" type="noConversion"/>
  </si>
  <si>
    <r>
      <rPr>
        <sz val="10"/>
        <color rgb="FF000000"/>
        <rFont val="Microsoft YaHei"/>
        <family val="2"/>
        <charset val="134"/>
      </rPr>
      <t>Docker実践入門</t>
    </r>
    <phoneticPr fontId="30" type="noConversion"/>
  </si>
  <si>
    <r>
      <rPr>
        <sz val="10"/>
        <color rgb="FF000000"/>
        <rFont val="Microsoft YaHei"/>
        <family val="2"/>
        <charset val="134"/>
      </rPr>
      <t>Hadoop徹底入門</t>
    </r>
    <phoneticPr fontId="30" type="noConversion"/>
  </si>
  <si>
    <t>たった2日でわあるLinux</t>
    <phoneticPr fontId="30" type="noConversion"/>
  </si>
  <si>
    <r>
      <rPr>
        <sz val="10"/>
        <color rgb="FF000000"/>
        <rFont val="Microsoft YaHei"/>
        <family val="2"/>
        <charset val="134"/>
      </rPr>
      <t>高效演讲：斯坦福最受欢迎的沟通课</t>
    </r>
    <phoneticPr fontId="30" type="noConversion"/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</si>
  <si>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  <phoneticPr fontId="30" type="noConversion"/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</si>
  <si>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  <phoneticPr fontId="30" type="noConversion"/>
  </si>
  <si>
    <r>
      <rPr>
        <sz val="10"/>
        <color rgb="FF000000"/>
        <rFont val="Microsoft YaHei"/>
        <family val="2"/>
        <charset val="134"/>
      </rPr>
      <t>软件日语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</si>
  <si>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软件开发文档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</si>
  <si>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软件开发流程与设计</t>
    </r>
    <phoneticPr fontId="30" type="noConversion"/>
  </si>
  <si>
    <r>
      <rPr>
        <sz val="10"/>
        <color rgb="FF000000"/>
        <rFont val="Microsoft YaHei"/>
        <family val="2"/>
        <charset val="134"/>
      </rPr>
      <t>软件项目管理</t>
    </r>
    <phoneticPr fontId="30" type="noConversion"/>
  </si>
  <si>
    <r>
      <rPr>
        <sz val="10"/>
        <color rgb="FF000000"/>
        <rFont val="Microsoft YaHei"/>
        <family val="2"/>
        <charset val="134"/>
      </rPr>
      <t>企业文化与沟通</t>
    </r>
    <phoneticPr fontId="30" type="noConversion"/>
  </si>
  <si>
    <r>
      <rPr>
        <sz val="10"/>
        <color rgb="FF000000"/>
        <rFont val="Microsoft YaHei"/>
        <family val="2"/>
        <charset val="134"/>
      </rPr>
      <t>IT日本语实践</t>
    </r>
    <phoneticPr fontId="30" type="noConversion"/>
  </si>
  <si>
    <t>C++语言及其程序设计教程</t>
    <phoneticPr fontId="30" type="noConversion"/>
  </si>
  <si>
    <t>SEのための提案書の作り方</t>
    <phoneticPr fontId="30" type="noConversion"/>
  </si>
  <si>
    <t>SEのための図解システム設計の基礎</t>
    <phoneticPr fontId="30" type="noConversion"/>
  </si>
  <si>
    <t>SEのための要求仕様書の作り方</t>
    <phoneticPr fontId="30" type="noConversion"/>
  </si>
  <si>
    <t>あなたのチームは機能してますか</t>
    <phoneticPr fontId="30" type="noConversion"/>
  </si>
  <si>
    <t>システムアーキテクト</t>
    <phoneticPr fontId="30" type="noConversion"/>
  </si>
  <si>
    <t>ずっと受けたかったソフトウェアエンジニアリングの授業</t>
    <phoneticPr fontId="30" type="noConversion"/>
  </si>
  <si>
    <t>ソフトウェア開発の持つべき文化</t>
    <phoneticPr fontId="30" type="noConversion"/>
  </si>
  <si>
    <t>できる人ビジネスマナー</t>
    <phoneticPr fontId="30" type="noConversion"/>
  </si>
  <si>
    <t>プロジェクトマネージャ</t>
    <phoneticPr fontId="30" type="noConversion"/>
  </si>
  <si>
    <t>よくわかり最新システム開発者のための上流工程の基本と仕組み</t>
    <phoneticPr fontId="30" type="noConversion"/>
  </si>
  <si>
    <t>よくわかり最新システム開発者のための仕様書の基本と仕組み</t>
    <phoneticPr fontId="30" type="noConversion"/>
  </si>
  <si>
    <t>よくわかり最新システム開発者のための要求定義の基本と仕組み</t>
    <phoneticPr fontId="30" type="noConversion"/>
  </si>
  <si>
    <t>標準COBOLプログラミング</t>
    <phoneticPr fontId="30" type="noConversion"/>
  </si>
  <si>
    <t>代码大全</t>
    <phoneticPr fontId="30" type="noConversion"/>
  </si>
  <si>
    <t>疯狂androl讲义</t>
    <phoneticPr fontId="30" type="noConversion"/>
  </si>
  <si>
    <t>日本企业文化与沟通技巧</t>
    <phoneticPr fontId="30" type="noConversion"/>
  </si>
  <si>
    <t>日文软件开发流程与设计技巧</t>
    <phoneticPr fontId="30" type="noConversion"/>
  </si>
  <si>
    <t>日文软件开发文档</t>
    <phoneticPr fontId="30" type="noConversion"/>
  </si>
  <si>
    <t>日文软件项目管理</t>
    <phoneticPr fontId="30" type="noConversion"/>
  </si>
  <si>
    <t>软件日语</t>
    <phoneticPr fontId="30" type="noConversion"/>
  </si>
  <si>
    <t>设计模式</t>
    <phoneticPr fontId="30" type="noConversion"/>
  </si>
  <si>
    <t>応用情報技術者</t>
    <phoneticPr fontId="30" type="noConversion"/>
  </si>
  <si>
    <t>Androidプログラミング入門</t>
    <phoneticPr fontId="30" type="noConversion"/>
  </si>
  <si>
    <t>ITアーキテクトの教科書</t>
    <phoneticPr fontId="30" type="noConversion"/>
  </si>
  <si>
    <t>JAVAEEウェブシステム入門</t>
    <phoneticPr fontId="30" type="noConversion"/>
  </si>
  <si>
    <t>UMLモデリング入門</t>
    <phoneticPr fontId="30" type="noConversion"/>
  </si>
  <si>
    <t>ユーザーエクスペリエンスの想定</t>
    <phoneticPr fontId="30" type="noConversion"/>
  </si>
  <si>
    <t>外国人をサポートするための生活マニュアル</t>
    <phoneticPr fontId="30" type="noConversion"/>
  </si>
  <si>
    <t>人気サイトに学ぶウェブゆーざビリティ</t>
    <phoneticPr fontId="30" type="noConversion"/>
  </si>
  <si>
    <t>图解系统设计的基础</t>
    <phoneticPr fontId="30" type="noConversion"/>
  </si>
  <si>
    <t>Javaエンジニア養成読本</t>
    <phoneticPr fontId="30" type="noConversion"/>
  </si>
  <si>
    <t>ITシステム開発徹底攻</t>
    <phoneticPr fontId="30" type="noConversion"/>
  </si>
  <si>
    <t>IBM主机技术一本通</t>
    <phoneticPr fontId="30" type="noConversion"/>
  </si>
  <si>
    <t>WEB技术在主机系统中的应用与案例分析</t>
    <phoneticPr fontId="30" type="noConversion"/>
  </si>
  <si>
    <t>大型主机操作系统基础</t>
    <phoneticPr fontId="30" type="noConversion"/>
  </si>
  <si>
    <t>大型主机操作系统基础实验教程</t>
    <phoneticPr fontId="30" type="noConversion"/>
  </si>
  <si>
    <t>大型主机汇编语言程序设计</t>
    <phoneticPr fontId="30" type="noConversion"/>
  </si>
  <si>
    <t>大型主机数据库管理系统DB2</t>
    <phoneticPr fontId="30" type="noConversion"/>
  </si>
  <si>
    <t>大型主机数据库系统管理基础与应用开发</t>
    <phoneticPr fontId="30" type="noConversion"/>
  </si>
  <si>
    <t>大型主机系统管理REXX编程详解</t>
    <phoneticPr fontId="30" type="noConversion"/>
  </si>
  <si>
    <t>大型主机系统管理</t>
    <phoneticPr fontId="30" type="noConversion"/>
  </si>
  <si>
    <t>基于RUP的软件测试实践</t>
    <phoneticPr fontId="30" type="noConversion"/>
  </si>
  <si>
    <t>现代大型主机系统导论</t>
    <phoneticPr fontId="30" type="noConversion"/>
  </si>
  <si>
    <t>COBOL从入门到精通</t>
    <phoneticPr fontId="30" type="noConversion"/>
  </si>
  <si>
    <t>IMS-VS入門</t>
    <phoneticPr fontId="30" type="noConversion"/>
  </si>
  <si>
    <t>MVSカタログ式プロシージャーの使用方法</t>
    <phoneticPr fontId="30" type="noConversion"/>
  </si>
  <si>
    <t>MVS-ジョブ制御言語の使用法</t>
    <phoneticPr fontId="30" type="noConversion"/>
  </si>
  <si>
    <t>PLIプログラミング</t>
    <phoneticPr fontId="30" type="noConversion"/>
  </si>
  <si>
    <t>TSO使用方法</t>
    <phoneticPr fontId="30" type="noConversion"/>
  </si>
  <si>
    <t>VS-COBOL-II-プログラミング－初級</t>
    <phoneticPr fontId="30" type="noConversion"/>
  </si>
  <si>
    <t>VS-COBOL-II-プログラミング－中級</t>
    <phoneticPr fontId="30" type="noConversion"/>
  </si>
  <si>
    <t>Windows.命令行详解手册（第2版）</t>
    <phoneticPr fontId="30" type="noConversion"/>
  </si>
  <si>
    <t>Drupal7宝典</t>
    <phoneticPr fontId="30" type="noConversion"/>
  </si>
  <si>
    <t>Drupal实战</t>
    <phoneticPr fontId="30" type="noConversion"/>
  </si>
  <si>
    <t>IT日本语教程实践篇</t>
    <phoneticPr fontId="30" type="noConversion"/>
  </si>
  <si>
    <t>高级软件测试卷2：高级软件测试经理</t>
    <phoneticPr fontId="30" type="noConversion"/>
  </si>
  <si>
    <t>软件测试精要</t>
    <phoneticPr fontId="30" type="noConversion"/>
  </si>
  <si>
    <t>软件测试面试突击：为自已赢得一份测试工程师职位</t>
    <phoneticPr fontId="30" type="noConversion"/>
  </si>
  <si>
    <t>SEのための銀行三大業務入門</t>
    <phoneticPr fontId="30" type="noConversion"/>
  </si>
  <si>
    <t>新入行員基礎コース_1 金融機関の役割と事務の基本</t>
    <phoneticPr fontId="30" type="noConversion"/>
  </si>
  <si>
    <r>
      <t>新入行員基礎コース_2 預金業務と手形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小切手の基礎</t>
    </r>
    <phoneticPr fontId="30" type="noConversion"/>
  </si>
  <si>
    <r>
      <t>新入行員基礎コース_3 内国為替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外国為替業務、付随業務の基礎</t>
    </r>
    <phoneticPr fontId="30" type="noConversion"/>
  </si>
  <si>
    <r>
      <t>新入行員基礎コース_4 融資業務、証券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>保険業務の基礎</t>
    </r>
    <phoneticPr fontId="30" type="noConversion"/>
  </si>
  <si>
    <t>neusoft_Itjapan</t>
    <phoneticPr fontId="30" type="noConversion"/>
  </si>
  <si>
    <t>东软软件工程师日语</t>
    <phoneticPr fontId="30" type="noConversion"/>
  </si>
  <si>
    <t>FACEBOOK效应 （美）大卫·柯克帕特里克着扫描版</t>
    <phoneticPr fontId="30" type="noConversion"/>
  </si>
  <si>
    <t>产品经理的第二本书.Linda.Gorchels.扫描版</t>
    <phoneticPr fontId="30" type="noConversion"/>
  </si>
  <si>
    <t>产品经理的第一本书</t>
    <phoneticPr fontId="30" type="noConversion"/>
  </si>
  <si>
    <t>创办你的企业：创业计划书.国际劳工组织北京局.扫描版</t>
    <phoneticPr fontId="30" type="noConversion"/>
  </si>
  <si>
    <t>创办你的企业：创业意识培训册.国际劳工组织北京局.扫描版</t>
    <phoneticPr fontId="30" type="noConversion"/>
  </si>
  <si>
    <t>从设计到产品：日本著名企业产品设计实例.(日)清水吉治.&amp;.朱钟炎.清晰照片版</t>
    <phoneticPr fontId="30" type="noConversion"/>
  </si>
  <si>
    <t>大家看的设计书(第三版)</t>
    <phoneticPr fontId="30" type="noConversion"/>
  </si>
  <si>
    <t>断层线：全球经济潜在的危机.(美)拉古拉迈.扫描版</t>
    <phoneticPr fontId="30" type="noConversion"/>
  </si>
  <si>
    <t>供应链物流管理（原书第3版）</t>
    <phoneticPr fontId="30" type="noConversion"/>
  </si>
  <si>
    <t>怪诞行为学.Predictably.Irrational.2008.Scan-HARRISON</t>
    <phoneticPr fontId="30" type="noConversion"/>
  </si>
  <si>
    <t>怪诞行为学2：非理性的积极力量.(美)艾瑞里.扫描版</t>
    <phoneticPr fontId="30" type="noConversion"/>
  </si>
  <si>
    <t>架构实战软件架构设计的过程.(The.Process.of.Software.Architecting).Peter.Eeles.&amp;.Peter.Cripps.扫描版</t>
    <phoneticPr fontId="30" type="noConversion"/>
  </si>
  <si>
    <t>结网.互联网产品经理改变世界.王坚.扫描版</t>
    <phoneticPr fontId="30" type="noConversion"/>
  </si>
  <si>
    <t>客户想让你知道的事[美]拉姆.查兰【2008】</t>
    <phoneticPr fontId="30" type="noConversion"/>
  </si>
  <si>
    <t>乱乱脑 by 盖瑞-马库斯</t>
    <phoneticPr fontId="30" type="noConversion"/>
  </si>
  <si>
    <t>免费 商业的未来</t>
    <phoneticPr fontId="30" type="noConversion"/>
  </si>
  <si>
    <t>模式 零售连锁业战略思维和发展模式.郎咸平（扫描版）</t>
    <phoneticPr fontId="30" type="noConversion"/>
  </si>
  <si>
    <t>巧绘蓝图-商业计划书写作秘诀.保罗.巴罗.扫描版</t>
    <phoneticPr fontId="30" type="noConversion"/>
  </si>
  <si>
    <t>情感化设计</t>
    <phoneticPr fontId="30" type="noConversion"/>
  </si>
  <si>
    <t>情商 为什么情商比智商更重要</t>
    <phoneticPr fontId="30" type="noConversion"/>
  </si>
  <si>
    <t>情商2 影响你一生的社交商</t>
    <phoneticPr fontId="30" type="noConversion"/>
  </si>
  <si>
    <t>人人都是产品经理.苏杰.扫描版</t>
    <phoneticPr fontId="30" type="noConversion"/>
  </si>
  <si>
    <t>日本商务礼仪ok</t>
    <phoneticPr fontId="30" type="noConversion"/>
  </si>
  <si>
    <t>软件观念革命.交互设计精髓</t>
    <phoneticPr fontId="30" type="noConversion"/>
  </si>
  <si>
    <t>软件架构师的12项修炼.Dave.Hendricksen.扫描版</t>
    <phoneticPr fontId="30" type="noConversion"/>
  </si>
  <si>
    <t>商业计划书写作指南.(美)奥斯特扬，丹斯洛</t>
    <phoneticPr fontId="30" type="noConversion"/>
  </si>
  <si>
    <t>商业模式 企业竞争的最高形态.李振勇（扫描版）</t>
    <phoneticPr fontId="30" type="noConversion"/>
  </si>
  <si>
    <t>设计师要懂心理学.徐佳.全彩版</t>
    <phoneticPr fontId="30" type="noConversion"/>
  </si>
  <si>
    <t>社会学(第十版)(美)戴维.波普诺.扫描版</t>
    <phoneticPr fontId="30" type="noConversion"/>
  </si>
  <si>
    <t>神一样的产品经理</t>
    <phoneticPr fontId="30" type="noConversion"/>
  </si>
  <si>
    <t>生活中的行为经济学 上 消费行为的非理性的陷阱</t>
    <phoneticPr fontId="30" type="noConversion"/>
  </si>
  <si>
    <t>生活中的行为经济学 下 投资行为的非理性陷阱</t>
    <phoneticPr fontId="30" type="noConversion"/>
  </si>
  <si>
    <t>世界是平的：21世纪简史.托马斯.弗里德曼.扫描版</t>
    <phoneticPr fontId="30" type="noConversion"/>
  </si>
  <si>
    <t>瞬间之美：WEB界面设计如何让用户心动-中文版</t>
    <phoneticPr fontId="30" type="noConversion"/>
  </si>
  <si>
    <t>网站设计解构-中文版- 霍克曼，斯普乌尔着</t>
    <phoneticPr fontId="30" type="noConversion"/>
  </si>
  <si>
    <t>网站重构—应用Web标准进行设计.(网站重构).泽尔德曼.扫描版.[PDF]</t>
    <phoneticPr fontId="30" type="noConversion"/>
  </si>
  <si>
    <t>未来是湿的.克莱·舍基.扫描图</t>
    <phoneticPr fontId="30" type="noConversion"/>
  </si>
  <si>
    <t>写给大家看的设计书-中文版(第3版)</t>
    <phoneticPr fontId="30" type="noConversion"/>
  </si>
  <si>
    <t>幸福的方法-泰勒·本-沙哈尔-2007</t>
    <phoneticPr fontId="30" type="noConversion"/>
  </si>
  <si>
    <t>演说之禅：职场必知的幻灯片秘技.(美)(雷纳德).扫描版</t>
    <phoneticPr fontId="30" type="noConversion"/>
  </si>
  <si>
    <t>异类 不一样的成功启示</t>
    <phoneticPr fontId="30" type="noConversion"/>
  </si>
  <si>
    <t>赢在网络营销</t>
    <phoneticPr fontId="30" type="noConversion"/>
  </si>
  <si>
    <t>影响力.(美) 西奥迪尼.扫描版</t>
    <phoneticPr fontId="30" type="noConversion"/>
  </si>
  <si>
    <t>用户体验的要素 －以用户为中心的Web设计(2008) -- Jesse James Garrett着 范晓燕译</t>
    <phoneticPr fontId="30" type="noConversion"/>
  </si>
  <si>
    <t>战略与结构钱德勒</t>
    <phoneticPr fontId="30" type="noConversion"/>
  </si>
  <si>
    <t>预知社会 群体行为的内在法则</t>
    <phoneticPr fontId="30" type="noConversion"/>
  </si>
  <si>
    <t>长尾理论2.0.[美].克里斯·安德森.扫描版</t>
    <phoneticPr fontId="30" type="noConversion"/>
  </si>
  <si>
    <t>长尾理论The.Long.Tail.2006.Scan-HARRISON</t>
    <phoneticPr fontId="30" type="noConversion"/>
  </si>
  <si>
    <t>众包：大众力量缘何推动商业未来.（美）杰夫·豪.扫描版</t>
    <phoneticPr fontId="30" type="noConversion"/>
  </si>
  <si>
    <t>助推(美).卡斯·桑斯坦.扫描版</t>
    <phoneticPr fontId="30" type="noConversion"/>
  </si>
  <si>
    <t>あたらしい人工知能の教科書</t>
    <phoneticPr fontId="30" type="noConversion"/>
  </si>
  <si>
    <t>2030年のIoT</t>
    <phoneticPr fontId="30" type="noConversion"/>
  </si>
  <si>
    <t>Rで学ぶプログラミングの基礎の基礎</t>
    <phoneticPr fontId="30" type="noConversion"/>
  </si>
  <si>
    <t>Scala関数型デザイン＆プログラミング</t>
    <phoneticPr fontId="30" type="noConversion"/>
  </si>
  <si>
    <t>テクノロジー4.0</t>
    <phoneticPr fontId="30" type="noConversion"/>
  </si>
  <si>
    <t>アクティブラーニングKP法実践</t>
    <phoneticPr fontId="30" type="noConversion"/>
  </si>
  <si>
    <t>すぐできる会議プレゼンの資料作成と進め方</t>
    <phoneticPr fontId="30" type="noConversion"/>
  </si>
  <si>
    <t>社内プレゼンの決定力を上げる本</t>
    <phoneticPr fontId="30" type="noConversion"/>
  </si>
  <si>
    <t>一生モノのキャリアを身に付けよう</t>
    <phoneticPr fontId="30" type="noConversion"/>
  </si>
  <si>
    <t>Docker実践入門</t>
    <phoneticPr fontId="30" type="noConversion"/>
  </si>
  <si>
    <t>IT技術者のための現場ノウハウDocker実践ガイド</t>
    <phoneticPr fontId="30" type="noConversion"/>
  </si>
  <si>
    <t>Gitがおもしろいほどわかる基本の使い方３３</t>
    <phoneticPr fontId="30" type="noConversion"/>
  </si>
  <si>
    <t>Hadhoop第3版</t>
    <phoneticPr fontId="30" type="noConversion"/>
  </si>
  <si>
    <r>
      <t>Hadoop</t>
    </r>
    <r>
      <rPr>
        <sz val="11"/>
        <color theme="1"/>
        <rFont val="等线"/>
        <family val="3"/>
        <charset val="134"/>
        <scheme val="minor"/>
      </rPr>
      <t>彻</t>
    </r>
    <r>
      <rPr>
        <sz val="11"/>
        <color theme="1"/>
        <rFont val="等线"/>
        <family val="2"/>
        <scheme val="minor"/>
      </rPr>
      <t>底入</t>
    </r>
    <r>
      <rPr>
        <sz val="11"/>
        <color theme="1"/>
        <rFont val="等线"/>
        <family val="3"/>
        <charset val="134"/>
        <scheme val="minor"/>
      </rPr>
      <t>门</t>
    </r>
    <phoneticPr fontId="30" type="noConversion"/>
  </si>
  <si>
    <t>HBase徹底入門</t>
    <phoneticPr fontId="30" type="noConversion"/>
  </si>
  <si>
    <t>Pythonによるスクレイピング＆機械学習</t>
    <phoneticPr fontId="30" type="noConversion"/>
  </si>
  <si>
    <t>RDB技術者のためのNoSQLガイド</t>
    <phoneticPr fontId="30" type="noConversion"/>
  </si>
  <si>
    <t>Sparkによる実践データ解析</t>
    <phoneticPr fontId="30" type="noConversion"/>
  </si>
  <si>
    <t>Web製作者のためのGitHubの教科書</t>
    <phoneticPr fontId="30" type="noConversion"/>
  </si>
  <si>
    <t>すべてわかるビッグデータ大全</t>
    <phoneticPr fontId="30" type="noConversion"/>
  </si>
  <si>
    <t>はじめての簡単PythonAIプログラミング</t>
    <phoneticPr fontId="30" type="noConversion"/>
  </si>
  <si>
    <t>マーケティング・エンジニアリング入門</t>
    <phoneticPr fontId="30" type="noConversion"/>
  </si>
  <si>
    <t>詳解Apache　Spark</t>
    <phoneticPr fontId="30" type="noConversion"/>
  </si>
  <si>
    <t>知識ゼロからのビッグデータ入門</t>
    <phoneticPr fontId="30" type="noConversion"/>
  </si>
  <si>
    <t>プログラマのためのDocker教科書</t>
    <phoneticPr fontId="30" type="noConversion"/>
  </si>
  <si>
    <t>観光ビジネス未来白書</t>
    <phoneticPr fontId="30" type="noConversion"/>
  </si>
  <si>
    <t>基本と実務がよくわかる小さな会社給与計算と社会保険</t>
    <phoneticPr fontId="30" type="noConversion"/>
  </si>
  <si>
    <t>自分でパパッとできる事業計画書</t>
    <phoneticPr fontId="30" type="noConversion"/>
  </si>
  <si>
    <t>ビジネスモデルの教科書上級編</t>
    <phoneticPr fontId="30" type="noConversion"/>
  </si>
  <si>
    <t>ビジネスモデル思考</t>
    <phoneticPr fontId="30" type="noConversion"/>
  </si>
  <si>
    <t>今すぐ役立つ韓国語の日常基本単語集</t>
    <phoneticPr fontId="30" type="noConversion"/>
  </si>
  <si>
    <t>Amazon　Web　Servicesクラウドネイティブ・アプリケーション開発技法</t>
    <phoneticPr fontId="30" type="noConversion"/>
  </si>
  <si>
    <t>Amazon Web Servicesパタン別構築・運用ガイド</t>
    <phoneticPr fontId="30" type="noConversion"/>
  </si>
  <si>
    <t>TensorFlowで学ぶディープラーニング入門</t>
    <phoneticPr fontId="30" type="noConversion"/>
  </si>
  <si>
    <t>TensorFlow機械学習クックブック</t>
    <phoneticPr fontId="30" type="noConversion"/>
  </si>
  <si>
    <t>てっとり早く確実にマスターできるExcelVBAの教科書</t>
    <phoneticPr fontId="30" type="noConversion"/>
  </si>
  <si>
    <t>サンプルをサクッと使い尽くしたい人のためのExcelVBA</t>
    <phoneticPr fontId="30" type="noConversion"/>
  </si>
  <si>
    <t>数据结构（Java语言版）</t>
    <phoneticPr fontId="30" type="noConversion"/>
  </si>
  <si>
    <t>日本语能力测试一级</t>
    <phoneticPr fontId="30" type="noConversion"/>
  </si>
  <si>
    <t>日语专业四八级考试分级精解——写作文学</t>
    <phoneticPr fontId="30" type="noConversion"/>
  </si>
  <si>
    <t>日语专业四八级考试分级精解——文字词汇</t>
    <phoneticPr fontId="30" type="noConversion"/>
  </si>
  <si>
    <t>日语专业四八级考试分级精解——语法</t>
    <phoneticPr fontId="30" type="noConversion"/>
  </si>
  <si>
    <t>大学日语四级考试达标训练——短文写作</t>
    <phoneticPr fontId="30" type="noConversion"/>
  </si>
  <si>
    <t>大学日语四级考试达标训练——作文指导与点评</t>
    <phoneticPr fontId="30" type="noConversion"/>
  </si>
  <si>
    <t>大学日语四级考试达标训练——语法精讲</t>
    <phoneticPr fontId="30" type="noConversion"/>
  </si>
  <si>
    <t>日语听解测试指导与实践</t>
    <phoneticPr fontId="30" type="noConversion"/>
  </si>
  <si>
    <t>例解日语语法</t>
    <phoneticPr fontId="30" type="noConversion"/>
  </si>
  <si>
    <t>新概念英语练习详解二</t>
    <phoneticPr fontId="30" type="noConversion"/>
  </si>
  <si>
    <t>日本语能力测试综合问题一级对策篇</t>
    <phoneticPr fontId="30" type="noConversion"/>
  </si>
  <si>
    <t>研究生入学考试全真题解——离散数学</t>
    <phoneticPr fontId="30" type="noConversion"/>
  </si>
  <si>
    <t>最新国际日语能力测试解析二级</t>
    <phoneticPr fontId="30" type="noConversion"/>
  </si>
  <si>
    <t>计算机操作系统习题与解析</t>
    <phoneticPr fontId="30" type="noConversion"/>
  </si>
  <si>
    <t>高校日语专业四级考试模拟试题集</t>
    <phoneticPr fontId="30" type="noConversion"/>
  </si>
  <si>
    <t>编程之路数据结构导学</t>
    <phoneticPr fontId="30" type="noConversion"/>
  </si>
  <si>
    <t>VC++课程设计与系统开发案例</t>
    <phoneticPr fontId="30" type="noConversion"/>
  </si>
  <si>
    <t>日语能力考试1——4级听力速成强化</t>
    <phoneticPr fontId="30" type="noConversion"/>
  </si>
  <si>
    <t>VB程序设计实践教程</t>
    <phoneticPr fontId="30" type="noConversion"/>
  </si>
  <si>
    <t>对象揭秘剖析C++</t>
    <phoneticPr fontId="30" type="noConversion"/>
  </si>
  <si>
    <t>pb实用程序设计100例</t>
    <phoneticPr fontId="30" type="noConversion"/>
  </si>
  <si>
    <t>vB数据库宝典</t>
    <phoneticPr fontId="30" type="noConversion"/>
  </si>
  <si>
    <t>Oracle9Idba认证教程</t>
    <phoneticPr fontId="30" type="noConversion"/>
  </si>
  <si>
    <t>java课程设计</t>
    <phoneticPr fontId="30" type="noConversion"/>
  </si>
  <si>
    <t>软件测试员培训教程</t>
    <phoneticPr fontId="30" type="noConversion"/>
  </si>
  <si>
    <t>Oracle数据库应用开发基础</t>
    <phoneticPr fontId="30" type="noConversion"/>
  </si>
  <si>
    <t>Oracle开发技巧与应用实例</t>
    <phoneticPr fontId="30" type="noConversion"/>
  </si>
  <si>
    <t>基于Oracle应用服务器的WEB开发技术</t>
    <phoneticPr fontId="30" type="noConversion"/>
  </si>
  <si>
    <t>PB数据库高级教程</t>
    <phoneticPr fontId="30" type="noConversion"/>
  </si>
  <si>
    <t>jsp技术揭秘</t>
    <phoneticPr fontId="30" type="noConversion"/>
  </si>
  <si>
    <t>日本商务礼仪(日中对照图解现代日本语日本商务资格鉴定教材)</t>
    <phoneticPr fontId="30" type="noConversion"/>
  </si>
  <si>
    <t>演说之禅：职场必知的幻灯片秘技</t>
    <phoneticPr fontId="30" type="noConversion"/>
  </si>
  <si>
    <t>九型人格(全2册） （国际九型人格研究会权威读本）</t>
    <phoneticPr fontId="30" type="noConversion"/>
  </si>
  <si>
    <t>神一样的产品经理——基于移动与互联网产品实践</t>
    <phoneticPr fontId="30" type="noConversion"/>
  </si>
  <si>
    <t>巧绘蓝图-商业计划书写作秘诀</t>
    <phoneticPr fontId="30" type="noConversion"/>
  </si>
  <si>
    <t>怪诞行为学1、2</t>
    <phoneticPr fontId="30" type="noConversion"/>
  </si>
  <si>
    <t>你需要多少朋友</t>
    <phoneticPr fontId="30" type="noConversion"/>
  </si>
  <si>
    <t>部落 一呼百应的力量</t>
    <phoneticPr fontId="30" type="noConversion"/>
  </si>
  <si>
    <t>助推</t>
    <phoneticPr fontId="30" type="noConversion"/>
  </si>
  <si>
    <t>O2O时代的冲击</t>
    <phoneticPr fontId="30" type="noConversion"/>
  </si>
  <si>
    <t>电子商务 管理视角</t>
    <phoneticPr fontId="30" type="noConversion"/>
  </si>
  <si>
    <t>营销管理(第14版）</t>
    <phoneticPr fontId="30" type="noConversion"/>
  </si>
  <si>
    <t>数据驱动营销：营销人员必知的15个关键指标</t>
    <phoneticPr fontId="30" type="noConversion"/>
  </si>
  <si>
    <t>恰如其分的软件架构</t>
    <phoneticPr fontId="30" type="noConversion"/>
  </si>
  <si>
    <t>高效程序员的45个习惯：敏捷开发修炼之道</t>
    <phoneticPr fontId="30" type="noConversion"/>
  </si>
  <si>
    <t>About Face3交互设计精髓</t>
    <phoneticPr fontId="30" type="noConversion"/>
  </si>
  <si>
    <t>大型机数据库管理系统DB2</t>
    <phoneticPr fontId="30" type="noConversion"/>
  </si>
  <si>
    <t>Web技术在主机系统中的应用与案例分析</t>
    <phoneticPr fontId="30" type="noConversion"/>
  </si>
  <si>
    <t>精通COBOL——大型机商业编程技术详解(修订版)</t>
    <phoneticPr fontId="30" type="noConversion"/>
  </si>
  <si>
    <t>甜心空姐</t>
    <phoneticPr fontId="30" type="noConversion"/>
  </si>
  <si>
    <t>夜王</t>
    <phoneticPr fontId="30" type="noConversion"/>
  </si>
  <si>
    <t>Jyouou Virgin</t>
    <phoneticPr fontId="30" type="noConversion"/>
  </si>
  <si>
    <t>东京塔</t>
    <phoneticPr fontId="30" type="noConversion"/>
  </si>
  <si>
    <t>电车男</t>
    <phoneticPr fontId="30" type="noConversion"/>
  </si>
  <si>
    <t>松本清张黑色奔流</t>
    <phoneticPr fontId="30" type="noConversion"/>
  </si>
  <si>
    <t>松本清张点与线</t>
    <phoneticPr fontId="30" type="noConversion"/>
  </si>
  <si>
    <t>松本清张颜</t>
    <phoneticPr fontId="30" type="noConversion"/>
  </si>
  <si>
    <t>松本清张疑惑</t>
    <phoneticPr fontId="30" type="noConversion"/>
  </si>
  <si>
    <t>松本清张驿路</t>
    <phoneticPr fontId="30" type="noConversion"/>
  </si>
  <si>
    <t>松本清张中央流沙</t>
    <phoneticPr fontId="30" type="noConversion"/>
  </si>
  <si>
    <t>悠长假期</t>
    <phoneticPr fontId="30" type="noConversion"/>
  </si>
  <si>
    <t>恋爱世纪</t>
    <phoneticPr fontId="30" type="noConversion"/>
  </si>
  <si>
    <t>婚活</t>
    <phoneticPr fontId="30" type="noConversion"/>
  </si>
  <si>
    <t>夜光的阶梯</t>
    <phoneticPr fontId="30" type="noConversion"/>
  </si>
  <si>
    <t>同一屋檐下</t>
    <phoneticPr fontId="30" type="noConversion"/>
  </si>
  <si>
    <t>华丽的间谍</t>
    <phoneticPr fontId="30" type="noConversion"/>
  </si>
  <si>
    <t>东京爱情故事</t>
    <phoneticPr fontId="30" type="noConversion"/>
  </si>
  <si>
    <r>
      <t>丘比特的惡作劇</t>
    </r>
    <r>
      <rPr>
        <sz val="11"/>
        <color theme="1"/>
        <rFont val="等线"/>
        <family val="2"/>
        <scheme val="minor"/>
      </rPr>
      <t>-</t>
    </r>
    <r>
      <rPr>
        <sz val="10"/>
        <rFont val="宋体"/>
        <family val="3"/>
        <charset val="134"/>
      </rPr>
      <t>虹玉</t>
    </r>
    <phoneticPr fontId="30" type="noConversion"/>
  </si>
  <si>
    <t>2nd house</t>
    <phoneticPr fontId="30" type="noConversion"/>
  </si>
  <si>
    <t>北川弘美《娘王》</t>
    <phoneticPr fontId="30" type="noConversion"/>
  </si>
  <si>
    <t>女帝</t>
    <phoneticPr fontId="30" type="noConversion"/>
  </si>
  <si>
    <t>下北</t>
    <phoneticPr fontId="30" type="noConversion"/>
  </si>
  <si>
    <t>BOSS</t>
    <phoneticPr fontId="30" type="noConversion"/>
  </si>
  <si>
    <t>252生存者</t>
    <phoneticPr fontId="30" type="noConversion"/>
  </si>
  <si>
    <t>101次求婚</t>
    <phoneticPr fontId="30" type="noConversion"/>
  </si>
  <si>
    <t>若是能在天堂遇见你</t>
    <phoneticPr fontId="30" type="noConversion"/>
  </si>
  <si>
    <t>惜己</t>
    <phoneticPr fontId="30" type="noConversion"/>
  </si>
  <si>
    <t>Jobs</t>
    <phoneticPr fontId="30" type="noConversion"/>
  </si>
  <si>
    <t>硅谷传奇</t>
    <phoneticPr fontId="30" type="noConversion"/>
  </si>
  <si>
    <t>解构企业</t>
    <phoneticPr fontId="30" type="noConversion"/>
  </si>
  <si>
    <t>社交网络</t>
    <phoneticPr fontId="30" type="noConversion"/>
  </si>
  <si>
    <t>华尔街1</t>
    <phoneticPr fontId="30" type="noConversion"/>
  </si>
  <si>
    <t>华尔街2</t>
    <phoneticPr fontId="30" type="noConversion"/>
  </si>
  <si>
    <t>大企业</t>
    <phoneticPr fontId="30" type="noConversion"/>
  </si>
  <si>
    <t>恶老板</t>
    <phoneticPr fontId="30" type="noConversion"/>
  </si>
  <si>
    <t>利益风暴</t>
    <phoneticPr fontId="30" type="noConversion"/>
  </si>
  <si>
    <t>下岗风波</t>
    <phoneticPr fontId="30" type="noConversion"/>
  </si>
  <si>
    <t>电视台风云</t>
    <phoneticPr fontId="30" type="noConversion"/>
  </si>
  <si>
    <t>推销员</t>
    <phoneticPr fontId="30" type="noConversion"/>
  </si>
  <si>
    <t>穿普拉达的女王</t>
    <phoneticPr fontId="30" type="noConversion"/>
  </si>
  <si>
    <t>监守自盗</t>
    <phoneticPr fontId="30" type="noConversion"/>
  </si>
  <si>
    <t>二维电影</t>
    <phoneticPr fontId="30" type="noConversion"/>
  </si>
  <si>
    <t>云图</t>
    <phoneticPr fontId="30" type="noConversion"/>
  </si>
  <si>
    <t>源代码</t>
    <phoneticPr fontId="30" type="noConversion"/>
  </si>
  <si>
    <t>实习生</t>
    <phoneticPr fontId="30" type="noConversion"/>
  </si>
  <si>
    <t>史蒂夫·乔布斯：机器人生</t>
    <phoneticPr fontId="30" type="noConversion"/>
  </si>
  <si>
    <t>OL日本</t>
    <phoneticPr fontId="30" type="noConversion"/>
  </si>
  <si>
    <t>打工仔的梦想房ew</t>
    <phoneticPr fontId="30" type="noConversion"/>
  </si>
  <si>
    <t>决定不哭的日子</t>
    <phoneticPr fontId="30" type="noConversion"/>
  </si>
  <si>
    <t>你们没有明天</t>
    <phoneticPr fontId="30" type="noConversion"/>
  </si>
  <si>
    <t>派遣员的品格</t>
    <phoneticPr fontId="30" type="noConversion"/>
  </si>
  <si>
    <t>她成功的理由</t>
    <phoneticPr fontId="30" type="noConversion"/>
  </si>
  <si>
    <t>为什么你能与绝望战斗</t>
    <phoneticPr fontId="30" type="noConversion"/>
  </si>
  <si>
    <t>我在一家黑公司上班，已经快撑不下去了</t>
    <phoneticPr fontId="30" type="noConversion"/>
  </si>
  <si>
    <t>转职代理人</t>
    <phoneticPr fontId="30" type="noConversion"/>
  </si>
  <si>
    <t>墜入情海--我成功的秘密</t>
    <phoneticPr fontId="30" type="noConversion"/>
  </si>
  <si>
    <t>10集留学日本</t>
    <phoneticPr fontId="30" type="noConversion"/>
  </si>
  <si>
    <t>余世维成功经理人</t>
    <phoneticPr fontId="30" type="noConversion"/>
  </si>
  <si>
    <t>余世维打造职业化团队</t>
    <phoneticPr fontId="30" type="noConversion"/>
  </si>
  <si>
    <t>余世维管理者的领导商数</t>
    <phoneticPr fontId="30" type="noConversion"/>
  </si>
  <si>
    <t>余世维管理者的情商EQ</t>
    <phoneticPr fontId="30" type="noConversion"/>
  </si>
  <si>
    <t>余世维经理人常犯的11种错误</t>
    <phoneticPr fontId="30" type="noConversion"/>
  </si>
  <si>
    <t>余世维领导商数</t>
    <phoneticPr fontId="30" type="noConversion"/>
  </si>
  <si>
    <t>余世维企业变革与企业文化</t>
    <phoneticPr fontId="30" type="noConversion"/>
  </si>
  <si>
    <t>余世维如何塑造管理者的性格魅力</t>
    <phoneticPr fontId="30" type="noConversion"/>
  </si>
  <si>
    <t>余世维软实力</t>
    <phoneticPr fontId="30" type="noConversion"/>
  </si>
  <si>
    <t>余世维市场竞争策略</t>
    <phoneticPr fontId="30" type="noConversion"/>
  </si>
  <si>
    <t>余世维突破人才经营瓶颈</t>
    <phoneticPr fontId="30" type="noConversion"/>
  </si>
  <si>
    <t>余世维突破中小企业发展瓶颈</t>
    <phoneticPr fontId="30" type="noConversion"/>
  </si>
  <si>
    <t>余世维赢在执行</t>
    <phoneticPr fontId="30" type="noConversion"/>
  </si>
  <si>
    <t>余世维有效沟通</t>
    <phoneticPr fontId="30" type="noConversion"/>
  </si>
  <si>
    <t>余世维有效沟通II</t>
    <phoneticPr fontId="30" type="noConversion"/>
  </si>
  <si>
    <t>余世维商丘讲座</t>
    <phoneticPr fontId="30" type="noConversion"/>
  </si>
  <si>
    <t>余世维中层危机</t>
    <phoneticPr fontId="30" type="noConversion"/>
  </si>
  <si>
    <t>余世维卓越管理者的辅导与激励技巧</t>
    <phoneticPr fontId="30" type="noConversion"/>
  </si>
  <si>
    <t>余世维</t>
    <phoneticPr fontId="30" type="noConversion"/>
  </si>
  <si>
    <t>第八套广播体操</t>
    <phoneticPr fontId="30" type="noConversion"/>
  </si>
  <si>
    <t>街舞教学</t>
    <phoneticPr fontId="30" type="noConversion"/>
  </si>
  <si>
    <t>有氧健身操</t>
    <phoneticPr fontId="30" type="noConversion"/>
  </si>
  <si>
    <t>周思敏时尚礼仪讲座</t>
    <phoneticPr fontId="30" type="noConversion"/>
  </si>
  <si>
    <t>阿甘正传</t>
    <phoneticPr fontId="30" type="noConversion"/>
  </si>
  <si>
    <t>华尔街</t>
    <phoneticPr fontId="30" type="noConversion"/>
  </si>
  <si>
    <t>打工仔的梦想房</t>
    <phoneticPr fontId="30" type="noConversion"/>
  </si>
  <si>
    <t>初来乍到</t>
    <phoneticPr fontId="30" type="noConversion"/>
  </si>
  <si>
    <t>彼岸的青春</t>
    <phoneticPr fontId="30" type="noConversion"/>
  </si>
  <si>
    <t>家在我心中</t>
    <phoneticPr fontId="30" type="noConversion"/>
  </si>
  <si>
    <t>角落里的人</t>
    <phoneticPr fontId="30" type="noConversion"/>
  </si>
  <si>
    <t>小留学生</t>
    <phoneticPr fontId="30" type="noConversion"/>
  </si>
  <si>
    <t>我的太阳</t>
    <phoneticPr fontId="30" type="noConversion"/>
  </si>
  <si>
    <t>麻省理工学院：计算机科学及编程导论 24 OK 名</t>
    <phoneticPr fontId="30" type="noConversion"/>
  </si>
  <si>
    <t>麻省理工：供应链管理专题</t>
    <phoneticPr fontId="30" type="noConversion"/>
  </si>
  <si>
    <t>哈佛大学 计算机科学CS50 20 OK 名</t>
    <phoneticPr fontId="30" type="noConversion"/>
  </si>
  <si>
    <t>哈佛大学 幸福学 23 OK 名</t>
    <phoneticPr fontId="30" type="noConversion"/>
  </si>
  <si>
    <t>普林斯顿：领导能力简介 5 ok ok 名</t>
    <phoneticPr fontId="30" type="noConversion"/>
  </si>
  <si>
    <t>普林斯顿：科技世界的领导能力 15 ok 名</t>
    <phoneticPr fontId="30" type="noConversion"/>
  </si>
  <si>
    <t>斯坦福大学 编程方法 23/28 p 名</t>
    <phoneticPr fontId="30" type="noConversion"/>
  </si>
  <si>
    <t>斯坦福：iphone开发教程 15/  名</t>
    <phoneticPr fontId="30" type="noConversion"/>
  </si>
  <si>
    <t>耶鲁大学 金融市场 26 ok 名</t>
    <phoneticPr fontId="30" type="noConversion"/>
  </si>
  <si>
    <t>耶鲁大学《金融理论》/26</t>
    <phoneticPr fontId="30" type="noConversion"/>
  </si>
  <si>
    <t>耶鲁大学 博弈论 16/24 名</t>
    <phoneticPr fontId="30" type="noConversion"/>
  </si>
  <si>
    <t>罗大佑自选集Disc1</t>
    <phoneticPr fontId="30" type="noConversion"/>
  </si>
  <si>
    <t>罗大佑自选集Disc2</t>
    <phoneticPr fontId="30" type="noConversion"/>
  </si>
  <si>
    <t>罗大佑自选集Disc3</t>
    <phoneticPr fontId="30" type="noConversion"/>
  </si>
  <si>
    <t>无法盗版的青春-Bonus.CD</t>
    <phoneticPr fontId="30" type="noConversion"/>
  </si>
  <si>
    <t>无法盗版的青春-CD1-1982-之乎者也</t>
    <phoneticPr fontId="30" type="noConversion"/>
  </si>
  <si>
    <t>无法盗版的青春-CD2-1983-未來的主人翁</t>
    <phoneticPr fontId="30" type="noConversion"/>
  </si>
  <si>
    <t>无法盗版的青春-CD3-1984-家</t>
    <phoneticPr fontId="30" type="noConversion"/>
  </si>
  <si>
    <t>无法盗版的青春-CD4-1985-青春舞曲</t>
    <phoneticPr fontId="30" type="noConversion"/>
  </si>
  <si>
    <t>无法盗版的青春-CD5-1988-爱人同志</t>
    <phoneticPr fontId="30" type="noConversion"/>
  </si>
  <si>
    <t>无法盗版的青春-CD6-1989-衣锦还乡</t>
    <phoneticPr fontId="30" type="noConversion"/>
  </si>
  <si>
    <t>无法盗版的青春-CD7-1989-闪亮的日子</t>
    <phoneticPr fontId="30" type="noConversion"/>
  </si>
  <si>
    <t>无法盗版的青春-CD8-1989-告別的年代</t>
    <phoneticPr fontId="30" type="noConversion"/>
  </si>
  <si>
    <t>无法盗版的青春-CD9-1994-恋曲2000</t>
    <phoneticPr fontId="30" type="noConversion"/>
  </si>
  <si>
    <t>骆驼.飞鸟.鱼</t>
    <phoneticPr fontId="30" type="noConversion"/>
  </si>
  <si>
    <t>你是我所有的回忆</t>
    <phoneticPr fontId="30" type="noConversion"/>
  </si>
  <si>
    <t>有没有这种说法</t>
    <phoneticPr fontId="30" type="noConversion"/>
  </si>
  <si>
    <t>C'est La Vie</t>
    <phoneticPr fontId="30" type="noConversion"/>
  </si>
  <si>
    <t>音乐传真.HIFI毒药</t>
    <phoneticPr fontId="30" type="noConversion"/>
  </si>
  <si>
    <t>BETWEEN.THE.WORD.&amp;.THE.HEART</t>
    <phoneticPr fontId="30" type="noConversion"/>
  </si>
  <si>
    <t>K.ODA</t>
    <phoneticPr fontId="30" type="noConversion"/>
  </si>
  <si>
    <t>LOOKING.BACK.2</t>
    <phoneticPr fontId="30" type="noConversion"/>
  </si>
  <si>
    <t>LOOKING.BACK</t>
    <phoneticPr fontId="30" type="noConversion"/>
  </si>
  <si>
    <t>自己ベスト</t>
    <phoneticPr fontId="30" type="noConversion"/>
  </si>
  <si>
    <t>中文课程名称</t>
    <phoneticPr fontId="30" type="noConversion"/>
  </si>
  <si>
    <t>企业家将会创造未来Linkedin创始人分享创业经验</t>
    <phoneticPr fontId="30" type="noConversion"/>
  </si>
  <si>
    <t>企业家改变教育Teach For America CEO</t>
    <phoneticPr fontId="30" type="noConversion"/>
  </si>
  <si>
    <t>机器学习</t>
    <phoneticPr fontId="30" type="noConversion"/>
  </si>
  <si>
    <t>会计与管理控制常见问题</t>
    <phoneticPr fontId="30" type="noConversion"/>
  </si>
  <si>
    <t>新产品开发中的创造力和心理学</t>
    <phoneticPr fontId="30" type="noConversion"/>
  </si>
  <si>
    <t>华尔街训练营</t>
    <phoneticPr fontId="30" type="noConversion"/>
  </si>
  <si>
    <t>公正</t>
    <phoneticPr fontId="30" type="noConversion"/>
  </si>
  <si>
    <t>构建动态网站</t>
    <phoneticPr fontId="30" type="noConversion"/>
  </si>
  <si>
    <t>计算机科学</t>
    <phoneticPr fontId="30" type="noConversion"/>
  </si>
  <si>
    <t>立大志</t>
    <phoneticPr fontId="30" type="noConversion"/>
  </si>
  <si>
    <t>幸福学</t>
    <phoneticPr fontId="30" type="noConversion"/>
  </si>
  <si>
    <t>头脑战争</t>
    <phoneticPr fontId="30" type="noConversion"/>
  </si>
  <si>
    <t>创新与发明</t>
    <phoneticPr fontId="30" type="noConversion"/>
  </si>
  <si>
    <t>计算机科学及编程导论</t>
    <phoneticPr fontId="30" type="noConversion"/>
  </si>
  <si>
    <t>供应链管理专题</t>
    <phoneticPr fontId="30" type="noConversion"/>
  </si>
  <si>
    <t>媒体</t>
    <phoneticPr fontId="30" type="noConversion"/>
  </si>
  <si>
    <t>透过摄影感受世界</t>
    <phoneticPr fontId="30" type="noConversion"/>
  </si>
  <si>
    <t>Android应用程序开发</t>
    <phoneticPr fontId="30" type="noConversion"/>
  </si>
  <si>
    <t>谷歌与苹果谁将胜出</t>
    <phoneticPr fontId="30" type="noConversion"/>
  </si>
  <si>
    <t>领导能力简介</t>
    <phoneticPr fontId="30" type="noConversion"/>
  </si>
  <si>
    <t>科技世界的领导能力</t>
    <phoneticPr fontId="30" type="noConversion"/>
  </si>
  <si>
    <t>创业训练营</t>
    <phoneticPr fontId="30" type="noConversion"/>
  </si>
  <si>
    <t>你为什么而奋斗</t>
    <phoneticPr fontId="30" type="noConversion"/>
  </si>
  <si>
    <t>DELL CEO Michael Dell谈创业和发展</t>
    <phoneticPr fontId="30" type="noConversion"/>
  </si>
  <si>
    <t>Intel投资部副总裁谈投资</t>
    <phoneticPr fontId="30" type="noConversion"/>
  </si>
  <si>
    <t>iPad和iPhone应用开发(iOS5)</t>
    <phoneticPr fontId="30" type="noConversion"/>
  </si>
  <si>
    <t>iPhone应用开发2010未完</t>
    <phoneticPr fontId="30" type="noConversion"/>
  </si>
  <si>
    <t>Twitter之父Jack Dorsey演讲-好奇和灵感的力量</t>
    <phoneticPr fontId="30" type="noConversion"/>
  </si>
  <si>
    <t>百度CEO李彦宏全球最大中文搜索引擎的发展</t>
    <phoneticPr fontId="30" type="noConversion"/>
  </si>
  <si>
    <t>编程范式</t>
    <phoneticPr fontId="30" type="noConversion"/>
  </si>
  <si>
    <t>编程方法</t>
    <phoneticPr fontId="30" type="noConversion"/>
  </si>
  <si>
    <t>抽象编程</t>
    <phoneticPr fontId="30" type="noConversion"/>
  </si>
  <si>
    <t>从生物学看人类行为</t>
    <phoneticPr fontId="30" type="noConversion"/>
  </si>
  <si>
    <t>衡量成功的标准-SlideShare创始人谈创业</t>
    <phoneticPr fontId="30" type="noConversion"/>
  </si>
  <si>
    <t>美国研究</t>
    <phoneticPr fontId="30" type="noConversion"/>
  </si>
  <si>
    <t>企业思想领袖论坛</t>
    <phoneticPr fontId="30" type="noConversion"/>
  </si>
  <si>
    <t>人与计算机的互动</t>
    <phoneticPr fontId="30" type="noConversion"/>
  </si>
  <si>
    <t>远见的力量-Nvidia创始人谈企业发展过程</t>
    <phoneticPr fontId="30" type="noConversion"/>
  </si>
  <si>
    <t>用网页技术开发手机应用</t>
    <phoneticPr fontId="30" type="noConversion"/>
  </si>
  <si>
    <t>扎克伯格谈Facebook创业过程</t>
    <phoneticPr fontId="30" type="noConversion"/>
  </si>
  <si>
    <t>博弈论</t>
    <phoneticPr fontId="30" type="noConversion"/>
  </si>
  <si>
    <t>金融市场</t>
    <phoneticPr fontId="30" type="noConversion"/>
  </si>
  <si>
    <t>中华饮食文化</t>
    <phoneticPr fontId="30" type="noConversion"/>
  </si>
  <si>
    <t>中科院-统计学习基础43讲</t>
    <phoneticPr fontId="30" type="noConversion"/>
  </si>
  <si>
    <t>中科院-现代数字信号处理45讲</t>
    <phoneticPr fontId="30" type="noConversion"/>
  </si>
  <si>
    <t>中科院-[面向对象程序设计CPP]-29</t>
    <phoneticPr fontId="30" type="noConversion"/>
  </si>
  <si>
    <t>中科院现代通讯27讲</t>
    <phoneticPr fontId="30" type="noConversion"/>
  </si>
  <si>
    <t>中科院-现代数字通信21讲</t>
    <phoneticPr fontId="30" type="noConversion"/>
  </si>
  <si>
    <t>中科院-[现代计算机视觉-29讲]</t>
    <phoneticPr fontId="30" type="noConversion"/>
  </si>
  <si>
    <t>中科院-[云计算系列讲座]-13</t>
    <phoneticPr fontId="30" type="noConversion"/>
  </si>
  <si>
    <t>中科院-[数字图像处理与分析-36讲]</t>
    <phoneticPr fontId="30" type="noConversion"/>
  </si>
  <si>
    <t>中科院-[计算机控制系统-21讲]</t>
    <phoneticPr fontId="30" type="noConversion"/>
  </si>
  <si>
    <t>中科院-[有限元方法]-25</t>
    <phoneticPr fontId="30" type="noConversion"/>
  </si>
  <si>
    <t>中科院-[数值分析-20讲]</t>
    <phoneticPr fontId="30" type="noConversion"/>
  </si>
  <si>
    <t>中科院-[算法设计与分析-30讲]</t>
    <phoneticPr fontId="30" type="noConversion"/>
  </si>
  <si>
    <t>中科院-[数字图像处理与通信-25讲]</t>
    <phoneticPr fontId="30" type="noConversion"/>
  </si>
  <si>
    <t>中科院-[小波与傅里叶分析-15讲]</t>
    <phoneticPr fontId="30" type="noConversion"/>
  </si>
  <si>
    <t>中科院-高级人工智能-16</t>
    <phoneticPr fontId="30" type="noConversion"/>
  </si>
  <si>
    <t>中科院-[矩阵分析-30讲]</t>
    <phoneticPr fontId="30" type="noConversion"/>
  </si>
  <si>
    <t>模式识别19讲</t>
    <phoneticPr fontId="30" type="noConversion"/>
  </si>
  <si>
    <t>机器学习研究</t>
    <phoneticPr fontId="30" type="noConversion"/>
  </si>
  <si>
    <t>传感器网络系列讲座-17-中科院</t>
    <phoneticPr fontId="30" type="noConversion"/>
  </si>
  <si>
    <t>中科院-[统计模拟与统计软件60课时-42讲]-谢田法</t>
    <phoneticPr fontId="30" type="noConversion"/>
  </si>
  <si>
    <t>中科院-[视觉分析和理解进展-2讲]</t>
    <phoneticPr fontId="30" type="noConversion"/>
  </si>
  <si>
    <t>中科院-[数学模型及其应用-16]</t>
    <phoneticPr fontId="30" type="noConversion"/>
  </si>
  <si>
    <t>中科院-[知识工程与知识管理]-13</t>
    <phoneticPr fontId="30" type="noConversion"/>
  </si>
  <si>
    <t>中科院-[最优化算法].(Algorithms.for.Optimization).(刘振宏).21讲全</t>
    <phoneticPr fontId="30" type="noConversion"/>
  </si>
  <si>
    <t>中科院-机器学习与人工智能学习资源导引</t>
    <phoneticPr fontId="30" type="noConversion"/>
  </si>
  <si>
    <t>中科院-现代传感器技术与应用-12</t>
    <phoneticPr fontId="30" type="noConversion"/>
  </si>
  <si>
    <t>中科院移动通信和无线网络38讲</t>
    <phoneticPr fontId="30" type="noConversion"/>
  </si>
  <si>
    <t>信号及图像处理的框架和伪框架方法</t>
    <phoneticPr fontId="30" type="noConversion"/>
  </si>
  <si>
    <t>产品家第三期个性化推荐</t>
    <phoneticPr fontId="30" type="noConversion"/>
  </si>
  <si>
    <t>段永朝：互联网六大隐喻</t>
    <phoneticPr fontId="30" type="noConversion"/>
  </si>
  <si>
    <t>胡延平：互联网行业发展趋势</t>
    <phoneticPr fontId="30" type="noConversion"/>
  </si>
  <si>
    <t>姜奇平：互联网模式之道</t>
    <phoneticPr fontId="30" type="noConversion"/>
  </si>
  <si>
    <t>吕本富：网络经济的商业模式</t>
    <phoneticPr fontId="30" type="noConversion"/>
  </si>
  <si>
    <t>王煜全：互联网的未来十年</t>
    <phoneticPr fontId="30" type="noConversion"/>
  </si>
  <si>
    <t>王煜全：人类社会化行为</t>
    <phoneticPr fontId="30" type="noConversion"/>
  </si>
  <si>
    <t>王煜全：社会网络对生活的改变</t>
    <phoneticPr fontId="30" type="noConversion"/>
  </si>
  <si>
    <t>吴伯凡：什么是商业模式</t>
    <phoneticPr fontId="30" type="noConversion"/>
  </si>
  <si>
    <t>于国富：隐私与个性化网络服务</t>
    <phoneticPr fontId="30" type="noConversion"/>
  </si>
  <si>
    <t>周汉华：互联网法律问题</t>
    <phoneticPr fontId="30" type="noConversion"/>
  </si>
  <si>
    <t>Alexis Ohanian：如何通过媒体一夜成名</t>
    <phoneticPr fontId="30" type="noConversion"/>
  </si>
  <si>
    <t>Cameron Herold：教育出小创业家</t>
    <phoneticPr fontId="30" type="noConversion"/>
  </si>
  <si>
    <t>Chimamanda Adichie：单一故事的危险性</t>
    <phoneticPr fontId="30" type="noConversion"/>
  </si>
  <si>
    <t>Chip Conley：生命里的不凡</t>
    <phoneticPr fontId="30" type="noConversion"/>
  </si>
  <si>
    <t>Chris Anderson科技的长尾理论</t>
    <phoneticPr fontId="30" type="noConversion"/>
  </si>
  <si>
    <t>Clay Shirky：认知剩余将如何改变世界</t>
    <phoneticPr fontId="30" type="noConversion"/>
  </si>
  <si>
    <t>Clay Shirky社交媒介如何能为历史写下新页</t>
    <phoneticPr fontId="30" type="noConversion"/>
  </si>
  <si>
    <t>David.S.Rose创投提案</t>
    <phoneticPr fontId="30" type="noConversion"/>
  </si>
  <si>
    <t>Derek Sivers：下定的目标不要告诉别人</t>
    <phoneticPr fontId="30" type="noConversion"/>
  </si>
  <si>
    <t>Fabian Hemmer：未来手机的形状变化</t>
    <phoneticPr fontId="30" type="noConversion"/>
  </si>
  <si>
    <t>Gary Flake：枢纽是网络探索方法的转折点吗</t>
    <phoneticPr fontId="30" type="noConversion"/>
  </si>
  <si>
    <t>Graham Hill：我为何在工作日吃素</t>
    <phoneticPr fontId="30" type="noConversion"/>
  </si>
  <si>
    <t>Hans Rosling：亚洲的崛起--如何及何时</t>
    <phoneticPr fontId="30" type="noConversion"/>
  </si>
  <si>
    <t>Johanna Blakley：学习时尚界的自由文化</t>
    <phoneticPr fontId="30" type="noConversion"/>
  </si>
  <si>
    <t>John Gerzema：金融危机后的消费行为</t>
    <phoneticPr fontId="30" type="noConversion"/>
  </si>
  <si>
    <t>Ken Robinson：推动学习革命</t>
    <phoneticPr fontId="30" type="noConversion"/>
  </si>
  <si>
    <t>Seth Priebatsch：世界第一的游戏社交圈</t>
    <phoneticPr fontId="30" type="noConversion"/>
  </si>
  <si>
    <t>Sheena Iyengar：选择的艺术</t>
    <phoneticPr fontId="30" type="noConversion"/>
  </si>
  <si>
    <t>Temple Grandin：世界需要多种思维的人</t>
    <phoneticPr fontId="30" type="noConversion"/>
  </si>
  <si>
    <t>Tom Wujec：搭一个塔，建一个团队</t>
    <phoneticPr fontId="30" type="noConversion"/>
  </si>
  <si>
    <t>Wujec由建塔学习团队合作</t>
    <phoneticPr fontId="30" type="noConversion"/>
  </si>
  <si>
    <t>马丁雅克：了解中国的崛起</t>
    <phoneticPr fontId="30" type="noConversion"/>
  </si>
  <si>
    <t>成功经理人</t>
    <phoneticPr fontId="30" type="noConversion"/>
  </si>
  <si>
    <t>打造职业化团队</t>
    <phoneticPr fontId="30" type="noConversion"/>
  </si>
  <si>
    <t>管理者的领导商数</t>
    <phoneticPr fontId="30" type="noConversion"/>
  </si>
  <si>
    <t>管理者的情商EQ</t>
    <phoneticPr fontId="30" type="noConversion"/>
  </si>
  <si>
    <t>经理人常犯的11种错误</t>
    <phoneticPr fontId="30" type="noConversion"/>
  </si>
  <si>
    <t>领导商数</t>
    <phoneticPr fontId="30" type="noConversion"/>
  </si>
  <si>
    <t>企业变革与企业文化</t>
    <phoneticPr fontId="30" type="noConversion"/>
  </si>
  <si>
    <t>如何塑造管理者的性格魅力</t>
    <phoneticPr fontId="30" type="noConversion"/>
  </si>
  <si>
    <t>软实力</t>
    <phoneticPr fontId="30" type="noConversion"/>
  </si>
  <si>
    <t>市场竞争策略</t>
    <phoneticPr fontId="30" type="noConversion"/>
  </si>
  <si>
    <t>突破人才经营瓶颈</t>
    <phoneticPr fontId="30" type="noConversion"/>
  </si>
  <si>
    <t>突破中小企业发展瓶颈</t>
    <phoneticPr fontId="30" type="noConversion"/>
  </si>
  <si>
    <t>赢在执行</t>
    <phoneticPr fontId="30" type="noConversion"/>
  </si>
  <si>
    <t>有效沟通</t>
    <phoneticPr fontId="30" type="noConversion"/>
  </si>
  <si>
    <t>有效沟通II</t>
    <phoneticPr fontId="30" type="noConversion"/>
  </si>
  <si>
    <t>中层危机</t>
    <phoneticPr fontId="30" type="noConversion"/>
  </si>
  <si>
    <t>卓越管理者的辅导与激励技巧</t>
    <phoneticPr fontId="30" type="noConversion"/>
  </si>
  <si>
    <t>中科院-[计算机控制系统(上)-21讲]</t>
    <phoneticPr fontId="30" type="noConversion"/>
  </si>
  <si>
    <t>[传感器网络系列讲座]-17-中科院</t>
    <phoneticPr fontId="30" type="noConversion"/>
  </si>
  <si>
    <t>中科院-[中科院研究生课程：最优化算法].(Algorithms.for.Optimization).(刘振宏).21讲全</t>
    <phoneticPr fontId="30" type="noConversion"/>
  </si>
  <si>
    <t>爱的沟通</t>
    <phoneticPr fontId="30" type="noConversion"/>
  </si>
  <si>
    <t>活出最乐观的自己</t>
    <phoneticPr fontId="30" type="noConversion"/>
  </si>
  <si>
    <t>掌控谈话</t>
    <phoneticPr fontId="30" type="noConversion"/>
  </si>
  <si>
    <t>最好的告别：关于衰老与死亡，你必须知道的常识</t>
    <phoneticPr fontId="30" type="noConversion"/>
  </si>
  <si>
    <t>算法之美</t>
    <phoneticPr fontId="30" type="noConversion"/>
  </si>
  <si>
    <t>自私基因</t>
    <phoneticPr fontId="30" type="noConversion"/>
  </si>
  <si>
    <t>论人权</t>
    <phoneticPr fontId="30" type="noConversion"/>
  </si>
  <si>
    <t>道德情操论</t>
    <phoneticPr fontId="30" type="noConversion"/>
  </si>
  <si>
    <t>一本正经又怪诞的行为心理学</t>
    <phoneticPr fontId="30" type="noConversion"/>
  </si>
  <si>
    <t>超级快速阅读</t>
    <phoneticPr fontId="30" type="noConversion"/>
  </si>
  <si>
    <t>产品负责人专业化修炼：利用Scrum获得商业竞争优势</t>
    <phoneticPr fontId="30" type="noConversion"/>
  </si>
  <si>
    <t>后疫情时代的中国经济（套装21册）</t>
    <phoneticPr fontId="30" type="noConversion"/>
  </si>
  <si>
    <t>产品思维</t>
    <phoneticPr fontId="30" type="noConversion"/>
  </si>
  <si>
    <t>吸引：与人成功交流的科学</t>
    <phoneticPr fontId="30" type="noConversion"/>
  </si>
  <si>
    <t>商业模式全史</t>
    <phoneticPr fontId="30" type="noConversion"/>
  </si>
  <si>
    <t>只要你想，你就可以编程有钱人（全4册）</t>
    <phoneticPr fontId="30" type="noConversion"/>
  </si>
  <si>
    <t>计算广告：互联网商业变现的市场与技术</t>
    <phoneticPr fontId="30" type="noConversion"/>
  </si>
  <si>
    <t>塑造世界经济的50项伟大发明</t>
    <phoneticPr fontId="30" type="noConversion"/>
  </si>
  <si>
    <t>逻辑思维是训练出来的</t>
    <phoneticPr fontId="30" type="noConversion"/>
  </si>
  <si>
    <t>Excel VBA基础入门</t>
    <phoneticPr fontId="30" type="noConversion"/>
  </si>
  <si>
    <t>行为经济学系列（套装共9册）</t>
    <phoneticPr fontId="30" type="noConversion"/>
  </si>
  <si>
    <t>人人都是产品经理（套装共4册）</t>
    <phoneticPr fontId="30" type="noConversion"/>
  </si>
  <si>
    <t>领导力21法则</t>
    <phoneticPr fontId="30" type="noConversion"/>
  </si>
  <si>
    <t>心流+发现心流</t>
    <phoneticPr fontId="30" type="noConversion"/>
  </si>
  <si>
    <t>End</t>
    <phoneticPr fontId="30" type="noConversion"/>
  </si>
  <si>
    <t>沸腾新十年：移动互联网丛林里的勇敢穿越者</t>
    <phoneticPr fontId="30" type="noConversion"/>
  </si>
  <si>
    <t>阅读是一座随身携带的避难所</t>
    <phoneticPr fontId="30" type="noConversion"/>
  </si>
  <si>
    <t>5秒法则</t>
    <phoneticPr fontId="30" type="noConversion"/>
  </si>
  <si>
    <t>富有的习惯</t>
    <phoneticPr fontId="30" type="noConversion"/>
  </si>
  <si>
    <t>好战略，坏战略</t>
    <phoneticPr fontId="30" type="noConversion"/>
  </si>
  <si>
    <t>タイトル▼</t>
  </si>
  <si>
    <t>著者名▼</t>
  </si>
  <si>
    <t>分類▼</t>
  </si>
  <si>
    <t>貸出日▲▼</t>
  </si>
  <si>
    <t>外国人の法律相談Q&amp;A　</t>
  </si>
  <si>
    <t>世界一わかりやすいHTML5&amp;CSS3コーディングとサイト制作の教科書　</t>
  </si>
  <si>
    <t>マジカルリミックス／著</t>
  </si>
  <si>
    <t>情報資源組織法　</t>
  </si>
  <si>
    <t>日本図書館研究会／編</t>
  </si>
  <si>
    <t>サーバ/インフラエンジニアの基本がこれ1冊でしっかり身につく本　</t>
  </si>
  <si>
    <t>馬場俊彰／著</t>
  </si>
  <si>
    <t>Q&amp;Aリモート新時代の法律実務　</t>
  </si>
  <si>
    <t>足木良太／編著</t>
  </si>
  <si>
    <t>出入国管理制度ガイドブック　</t>
  </si>
  <si>
    <t>ポケット六法　令和4年版　</t>
  </si>
  <si>
    <t>佐伯仁志／編集代表</t>
  </si>
  <si>
    <t>絵で見てわかるITインフラの仕組み　</t>
  </si>
  <si>
    <t>世界を変える100の技術　</t>
  </si>
  <si>
    <t>日経BP／編</t>
  </si>
  <si>
    <t>稲盛和夫の実践アメーバ経営　</t>
  </si>
  <si>
    <t>稲盛和夫／編著</t>
  </si>
  <si>
    <t>5日で学べて一生使える!プレゼンの教科書　</t>
  </si>
  <si>
    <t>小川仁志／著</t>
  </si>
  <si>
    <t>本人訴訟ハンドブック　</t>
  </si>
  <si>
    <t>はじめてのAIリテラシー　</t>
  </si>
  <si>
    <t>岡嶋裕史／共著</t>
  </si>
  <si>
    <t>ITと数学　</t>
  </si>
  <si>
    <t>中井悦司／[ほか]著</t>
  </si>
  <si>
    <t>教育DXで「未来の教室」をつくろう　</t>
  </si>
  <si>
    <t>浅野大介／著</t>
  </si>
  <si>
    <t>DXを成功させる社長81の心得　</t>
  </si>
  <si>
    <t>永井昭弘／著</t>
  </si>
  <si>
    <t>図解簿記・会計の基本テキスト　</t>
  </si>
  <si>
    <t>柳年哉／著</t>
  </si>
  <si>
    <t>GIGAスクール構想で進化する学校、取り残される学校　</t>
  </si>
  <si>
    <t>平井聡一郎／編</t>
  </si>
  <si>
    <t>世界で学べ　</t>
  </si>
  <si>
    <t>大谷真樹／著</t>
  </si>
  <si>
    <t>第四次産業革命と教育の未来　</t>
  </si>
  <si>
    <t>佐藤学／著</t>
  </si>
  <si>
    <t>デジタル時代のカスタマーサービス戦略　</t>
  </si>
  <si>
    <t>ジョン・グッドマン／著</t>
  </si>
  <si>
    <t>Excelビジネスデータ分析徹底活用ガイド　</t>
  </si>
  <si>
    <t>平井明夫／著</t>
  </si>
  <si>
    <t>Amazon Web Services AWSのしくみと技術がこれ1冊でしっかりわかる教科書　</t>
  </si>
  <si>
    <t>小笠原種高／著</t>
  </si>
  <si>
    <t>HR Standard 2020　</t>
  </si>
  <si>
    <t>大野順也／編</t>
  </si>
  <si>
    <t>データで見る行動経済学　</t>
  </si>
  <si>
    <t>キャス・サンスティーン／著</t>
  </si>
  <si>
    <t>モバイルゲーム開発がこれ1冊でしっかりわかる教科書　</t>
  </si>
  <si>
    <t>永田峰弘／著</t>
  </si>
  <si>
    <t>暗号と認証のしくみと理論がこれ1冊でしっかりわかる教科書　</t>
  </si>
  <si>
    <t>光成滋生／著</t>
  </si>
  <si>
    <t>すぐに役立つ泣き寝入り無用!職場のトラブルをめぐる法律問題と実践解決書式　</t>
  </si>
  <si>
    <t>PowerPoint資料作成プロフェッショナルの大原則　</t>
  </si>
  <si>
    <t>松上純一郎／著</t>
  </si>
  <si>
    <t>リース業界のしくみとビジネスがこれ1冊でしっかりわかる教科書　</t>
  </si>
  <si>
    <t>カデナクリエイト／著</t>
  </si>
  <si>
    <t>人権保障と行政救済法　</t>
  </si>
  <si>
    <t>後藤光男／編著</t>
  </si>
  <si>
    <t>最新重要判例250刑法　</t>
  </si>
  <si>
    <t>前田雅英／著</t>
  </si>
  <si>
    <t>訴訟をするならこの1冊　</t>
  </si>
  <si>
    <t>伝わるデザインの基本　</t>
  </si>
  <si>
    <t>高橋佑磨／著</t>
  </si>
  <si>
    <t>行政法　</t>
  </si>
  <si>
    <t>野呂充／著</t>
  </si>
  <si>
    <t>刑事訴訟法　</t>
  </si>
  <si>
    <t>田中開／著</t>
  </si>
  <si>
    <t>酒巻匡／著</t>
  </si>
  <si>
    <t>事例に学ぶ行政事件訴訟入門　</t>
  </si>
  <si>
    <t>野村創／著</t>
  </si>
  <si>
    <t>新ケースでわかる民事訴訟法　</t>
  </si>
  <si>
    <t>小林秀之／著</t>
  </si>
  <si>
    <t>Date</t>
  </si>
  <si>
    <t>Update</t>
  </si>
  <si>
    <t>责任病毒：如何分派任务和承担责任</t>
    <phoneticPr fontId="30" type="noConversion"/>
  </si>
  <si>
    <t>危机时代</t>
    <phoneticPr fontId="30" type="noConversion"/>
  </si>
  <si>
    <t>另一种选择</t>
    <phoneticPr fontId="30" type="noConversion"/>
  </si>
  <si>
    <t>高效PDCA工作术</t>
    <phoneticPr fontId="30" type="noConversion"/>
  </si>
  <si>
    <t>怪诞行为学1：可预测的非理性</t>
    <phoneticPr fontId="30" type="noConversion"/>
  </si>
  <si>
    <t>错误的行为：行为经济学的形成</t>
    <phoneticPr fontId="30" type="noConversion"/>
  </si>
  <si>
    <t>盲从与叛逆：从众、反从众行为与决策的智慧</t>
    <phoneticPr fontId="30" type="noConversion"/>
  </si>
  <si>
    <t>长期投资</t>
    <phoneticPr fontId="30" type="noConversion"/>
  </si>
  <si>
    <t>茑屋经营哲学：茑屋书店创始人增田宗昭只对员工传授的商业思考和工作心法</t>
    <phoneticPr fontId="30" type="noConversion"/>
  </si>
  <si>
    <t>行为设计学：打造峰值体验</t>
    <phoneticPr fontId="30" type="noConversion"/>
  </si>
  <si>
    <t>最富足的投资</t>
    <phoneticPr fontId="30" type="noConversion"/>
  </si>
  <si>
    <t>统计</t>
    <phoneticPr fontId="30" type="noConversion"/>
  </si>
  <si>
    <t>领导者的资质</t>
    <phoneticPr fontId="30" type="noConversion"/>
  </si>
  <si>
    <t>山下英子：断舍离</t>
    <phoneticPr fontId="30" type="noConversion"/>
  </si>
  <si>
    <t>麦肯锡教我的逻辑思维</t>
    <phoneticPr fontId="30" type="noConversion"/>
  </si>
  <si>
    <r>
      <t>麦肯锡</t>
    </r>
    <r>
      <rPr>
        <sz val="11"/>
        <color theme="1"/>
        <rFont val="Yu Gothic"/>
        <family val="2"/>
        <charset val="128"/>
      </rPr>
      <t>&amp;</t>
    </r>
    <r>
      <rPr>
        <sz val="11"/>
        <color theme="1"/>
        <rFont val="宋体"/>
        <family val="2"/>
        <charset val="134"/>
      </rPr>
      <t>波士顿解决问题方法和创造价值技巧</t>
    </r>
    <phoneticPr fontId="30" type="noConversion"/>
  </si>
  <si>
    <t>不妥协的谈判：哈佛大学经典谈判心理课</t>
    <phoneticPr fontId="30" type="noConversion"/>
  </si>
  <si>
    <t>强势</t>
    <phoneticPr fontId="30" type="noConversion"/>
  </si>
  <si>
    <t>十定律：万变世界中绝对不变的超强神秘法则</t>
    <phoneticPr fontId="30" type="noConversion"/>
  </si>
  <si>
    <t>经营战略全史</t>
    <phoneticPr fontId="30" type="noConversion"/>
  </si>
  <si>
    <t>威廉·庞德斯通</t>
    <phoneticPr fontId="30" type="noConversion"/>
  </si>
  <si>
    <t>日语敬语入门</t>
    <phoneticPr fontId="3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</si>
</sst>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¥&quot;#,##0.00;[Red]\-&quot;¥&quot;#,##0.00"/>
    <numFmt numFmtId="177" formatCode="&quot;¥&quot;#,##0.00_);\(&quot;¥&quot;#,##0.00\)"/>
    <numFmt numFmtId="178" formatCode="yyyy/m/d;@"/>
    <numFmt numFmtId="179" formatCode="0_ "/>
    <numFmt numFmtId="180" formatCode="yyyy/mm"/>
  </numFmts>
  <fonts count="38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等线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等线"/>
      <family val="3"/>
      <charset val="128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3"/>
      <charset val="128"/>
      <scheme val="minor"/>
    </font>
    <font>
      <sz val="10"/>
      <color rgb="FF262626"/>
      <name val="等线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等线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等线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Yu Gothic"/>
      <family val="2"/>
      <charset val="128"/>
    </font>
    <font>
      <sz val="11"/>
      <color theme="1"/>
      <name val="Yu Gothic"/>
      <family val="3"/>
      <charset val="128"/>
    </font>
    <font>
      <sz val="12"/>
      <color theme="1"/>
      <name val="等线"/>
      <family val="2"/>
      <charset val="128"/>
      <scheme val="minor"/>
    </font>
    <font>
      <sz val="11"/>
      <color theme="1"/>
      <name val="宋体"/>
      <family val="2"/>
      <charset val="134"/>
    </font>
    <font>
      <sz val="12"/>
      <color theme="1"/>
      <name val="Yu Gothic"/>
      <family val="2"/>
      <charset val="134"/>
    </font>
    <font>
      <sz val="12"/>
      <name val="Yu Gothic"/>
      <family val="2"/>
      <charset val="128"/>
    </font>
    <font>
      <sz val="12"/>
      <name val="等线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DDDDDD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/>
  </cellStyleXfs>
  <cellXfs count="166">
    <xf numFmtId="0" fontId="0" fillId="0" borderId="0" xfId="0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178" fontId="28" fillId="0" borderId="0" xfId="0" applyNumberFormat="1" applyFont="1" applyAlignment="1">
      <alignment horizontal="center" vertical="center" wrapText="1"/>
    </xf>
    <xf numFmtId="178" fontId="21" fillId="2" borderId="0" xfId="0" applyNumberFormat="1" applyFont="1" applyFill="1" applyAlignment="1">
      <alignment horizontal="right" vertical="center" wrapText="1"/>
    </xf>
    <xf numFmtId="178" fontId="21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/>
    <xf numFmtId="0" fontId="21" fillId="0" borderId="0" xfId="0" applyFont="1" applyFill="1" applyAlignment="1">
      <alignment vertical="center" wrapText="1"/>
    </xf>
    <xf numFmtId="178" fontId="28" fillId="0" borderId="0" xfId="0" applyNumberFormat="1" applyFont="1" applyFill="1" applyAlignment="1">
      <alignment horizontal="right" vertical="center" wrapText="1"/>
    </xf>
    <xf numFmtId="0" fontId="21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right" vertical="center" wrapText="1"/>
    </xf>
    <xf numFmtId="0" fontId="28" fillId="0" borderId="0" xfId="0" applyFont="1" applyFill="1" applyAlignment="1">
      <alignment horizontal="left" vertical="center" wrapText="1"/>
    </xf>
    <xf numFmtId="178" fontId="21" fillId="0" borderId="0" xfId="0" applyNumberFormat="1" applyFont="1" applyFill="1" applyAlignment="1">
      <alignment horizontal="right" vertical="center" wrapText="1"/>
    </xf>
    <xf numFmtId="0" fontId="33" fillId="0" borderId="0" xfId="0" applyFon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4" fontId="26" fillId="0" borderId="0" xfId="0" applyNumberFormat="1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left" vertical="center" wrapText="1"/>
    </xf>
    <xf numFmtId="0" fontId="26" fillId="0" borderId="6" xfId="0" applyFont="1" applyFill="1" applyBorder="1" applyAlignment="1">
      <alignment vertical="center" wrapText="1"/>
    </xf>
    <xf numFmtId="0" fontId="0" fillId="0" borderId="5" xfId="0" applyFill="1" applyBorder="1" applyAlignment="1">
      <alignment wrapText="1"/>
    </xf>
    <xf numFmtId="0" fontId="26" fillId="0" borderId="4" xfId="0" applyFont="1" applyFill="1" applyBorder="1" applyAlignment="1">
      <alignment vertical="center" wrapText="1"/>
    </xf>
    <xf numFmtId="0" fontId="0" fillId="0" borderId="3" xfId="0" applyFill="1" applyBorder="1" applyAlignment="1">
      <alignment wrapText="1"/>
    </xf>
    <xf numFmtId="0" fontId="26" fillId="0" borderId="2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6" fillId="0" borderId="7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vertical="center" wrapText="1"/>
    </xf>
    <xf numFmtId="178" fontId="26" fillId="0" borderId="1" xfId="0" applyNumberFormat="1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horizontal="right" vertical="center" wrapText="1"/>
    </xf>
    <xf numFmtId="178" fontId="26" fillId="0" borderId="1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 wrapText="1"/>
    </xf>
    <xf numFmtId="0" fontId="27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center" vertical="center" wrapText="1"/>
    </xf>
    <xf numFmtId="178" fontId="26" fillId="0" borderId="7" xfId="0" applyNumberFormat="1" applyFont="1" applyFill="1" applyBorder="1" applyAlignment="1">
      <alignment vertical="top" wrapText="1"/>
    </xf>
    <xf numFmtId="178" fontId="26" fillId="0" borderId="1" xfId="0" applyNumberFormat="1" applyFont="1" applyFill="1" applyBorder="1" applyAlignment="1">
      <alignment vertical="top" wrapText="1"/>
    </xf>
    <xf numFmtId="178" fontId="0" fillId="0" borderId="0" xfId="0" applyNumberFormat="1" applyFill="1" applyAlignment="1">
      <alignment vertical="center" wrapText="1"/>
    </xf>
    <xf numFmtId="178" fontId="0" fillId="0" borderId="0" xfId="0" applyNumberFormat="1" applyFill="1" applyAlignment="1">
      <alignment wrapText="1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1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wrapText="1"/>
    </xf>
    <xf numFmtId="49" fontId="26" fillId="0" borderId="7" xfId="0" applyNumberFormat="1" applyFont="1" applyFill="1" applyBorder="1" applyAlignment="1">
      <alignment vertical="top" wrapText="1"/>
    </xf>
    <xf numFmtId="49" fontId="26" fillId="0" borderId="1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vertical="center" wrapText="1"/>
    </xf>
    <xf numFmtId="49" fontId="26" fillId="0" borderId="1" xfId="0" applyNumberFormat="1" applyFont="1" applyFill="1" applyBorder="1" applyAlignment="1">
      <alignment vertical="center" wrapText="1"/>
    </xf>
    <xf numFmtId="49" fontId="21" fillId="2" borderId="0" xfId="0" applyNumberFormat="1" applyFont="1" applyFill="1" applyAlignment="1">
      <alignment vertical="center" wrapText="1"/>
    </xf>
    <xf numFmtId="49" fontId="21" fillId="0" borderId="0" xfId="0" applyNumberFormat="1" applyFont="1" applyAlignment="1">
      <alignment vertical="center" wrapText="1"/>
    </xf>
    <xf numFmtId="0" fontId="22" fillId="0" borderId="0" xfId="1" applyFont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 wrapText="1"/>
    </xf>
    <xf numFmtId="0" fontId="19" fillId="2" borderId="0" xfId="10" applyFont="1" applyFill="1" applyBorder="1" applyAlignment="1">
      <alignment horizontal="center" vertical="center"/>
    </xf>
    <xf numFmtId="0" fontId="22" fillId="2" borderId="0" xfId="1" applyFont="1" applyFill="1" applyBorder="1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0" fontId="19" fillId="2" borderId="0" xfId="10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 vertical="center"/>
    </xf>
    <xf numFmtId="0" fontId="23" fillId="0" borderId="0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9" fillId="0" borderId="0" xfId="10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9" fillId="0" borderId="0" xfId="10" applyFont="1" applyBorder="1" applyAlignment="1">
      <alignment horizontal="center" vertical="center" wrapText="1"/>
    </xf>
    <xf numFmtId="0" fontId="17" fillId="0" borderId="0" xfId="10" applyBorder="1">
      <alignment vertical="center"/>
    </xf>
    <xf numFmtId="0" fontId="19" fillId="4" borderId="0" xfId="10" applyFont="1" applyFill="1" applyBorder="1" applyAlignment="1">
      <alignment vertical="center" wrapText="1"/>
    </xf>
    <xf numFmtId="0" fontId="19" fillId="0" borderId="0" xfId="10" applyFont="1" applyBorder="1" applyAlignment="1">
      <alignment vertical="center" wrapText="1"/>
    </xf>
    <xf numFmtId="0" fontId="18" fillId="0" borderId="0" xfId="10" applyFont="1" applyBorder="1">
      <alignment vertical="center"/>
    </xf>
    <xf numFmtId="176" fontId="18" fillId="0" borderId="0" xfId="10" applyNumberFormat="1" applyFont="1" applyBorder="1" applyAlignment="1">
      <alignment horizontal="right" vertical="center"/>
    </xf>
    <xf numFmtId="0" fontId="18" fillId="0" borderId="0" xfId="10" applyFont="1" applyBorder="1" applyAlignment="1">
      <alignment horizontal="center" vertical="center"/>
    </xf>
    <xf numFmtId="0" fontId="18" fillId="4" borderId="0" xfId="10" applyFont="1" applyFill="1" applyBorder="1" applyAlignment="1">
      <alignment vertical="center" wrapText="1"/>
    </xf>
    <xf numFmtId="0" fontId="18" fillId="0" borderId="0" xfId="10" applyFont="1" applyBorder="1" applyAlignment="1">
      <alignment vertical="center" wrapText="1"/>
    </xf>
    <xf numFmtId="0" fontId="19" fillId="0" borderId="0" xfId="10" applyFont="1" applyBorder="1">
      <alignment vertical="center"/>
    </xf>
    <xf numFmtId="176" fontId="19" fillId="0" borderId="0" xfId="10" applyNumberFormat="1" applyFont="1" applyBorder="1" applyAlignment="1">
      <alignment horizontal="right" vertical="center"/>
    </xf>
    <xf numFmtId="176" fontId="18" fillId="0" borderId="0" xfId="10" applyNumberFormat="1" applyFont="1" applyBorder="1">
      <alignment vertical="center"/>
    </xf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horizontal="center" vertical="center" wrapText="1"/>
    </xf>
    <xf numFmtId="0" fontId="1" fillId="0" borderId="0" xfId="1" applyBorder="1">
      <alignment vertical="center"/>
    </xf>
    <xf numFmtId="0" fontId="0" fillId="0" borderId="0" xfId="0" applyBorder="1"/>
    <xf numFmtId="0" fontId="15" fillId="0" borderId="0" xfId="1" applyFont="1" applyBorder="1" applyAlignment="1">
      <alignment vertical="center" wrapText="1"/>
    </xf>
    <xf numFmtId="0" fontId="1" fillId="0" borderId="0" xfId="5" applyBorder="1" applyAlignment="1">
      <alignment vertical="center" wrapText="1"/>
    </xf>
    <xf numFmtId="0" fontId="1" fillId="0" borderId="0" xfId="5" applyBorder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2" fillId="0" borderId="0" xfId="8" applyBorder="1">
      <alignment vertical="center"/>
    </xf>
    <xf numFmtId="0" fontId="2" fillId="0" borderId="0" xfId="8" applyBorder="1" applyAlignment="1">
      <alignment horizontal="center" vertical="center"/>
    </xf>
    <xf numFmtId="0" fontId="2" fillId="3" borderId="0" xfId="8" applyFill="1" applyBorder="1" applyAlignment="1">
      <alignment horizontal="center" vertical="center"/>
    </xf>
    <xf numFmtId="0" fontId="2" fillId="2" borderId="0" xfId="8" applyFill="1" applyBorder="1" applyAlignment="1">
      <alignment horizontal="center" vertical="center"/>
    </xf>
    <xf numFmtId="0" fontId="14" fillId="0" borderId="0" xfId="9" applyBorder="1">
      <alignment vertical="center"/>
    </xf>
    <xf numFmtId="0" fontId="2" fillId="0" borderId="0" xfId="8" applyBorder="1" applyAlignment="1">
      <alignment vertical="center" wrapText="1"/>
    </xf>
    <xf numFmtId="0" fontId="2" fillId="0" borderId="0" xfId="8" applyBorder="1" applyAlignment="1">
      <alignment horizontal="left" vertical="center"/>
    </xf>
    <xf numFmtId="0" fontId="14" fillId="0" borderId="0" xfId="9" applyBorder="1" applyAlignment="1">
      <alignment horizontal="center" vertical="center"/>
    </xf>
    <xf numFmtId="0" fontId="11" fillId="0" borderId="0" xfId="6" applyFont="1" applyBorder="1"/>
    <xf numFmtId="0" fontId="10" fillId="0" borderId="0" xfId="6" applyBorder="1"/>
    <xf numFmtId="177" fontId="10" fillId="0" borderId="0" xfId="6" applyNumberFormat="1" applyBorder="1"/>
    <xf numFmtId="0" fontId="13" fillId="0" borderId="0" xfId="6" applyFont="1" applyBorder="1"/>
    <xf numFmtId="0" fontId="12" fillId="0" borderId="0" xfId="7" applyBorder="1"/>
    <xf numFmtId="0" fontId="6" fillId="0" borderId="0" xfId="3" applyFont="1" applyBorder="1" applyAlignment="1">
      <alignment horizontal="center"/>
    </xf>
    <xf numFmtId="0" fontId="5" fillId="0" borderId="0" xfId="3" applyBorder="1" applyAlignment="1">
      <alignment horizontal="center"/>
    </xf>
    <xf numFmtId="0" fontId="6" fillId="0" borderId="0" xfId="3" applyFont="1" applyBorder="1"/>
    <xf numFmtId="0" fontId="5" fillId="0" borderId="0" xfId="3" applyBorder="1"/>
    <xf numFmtId="0" fontId="9" fillId="0" borderId="0" xfId="3" applyFont="1" applyBorder="1" applyAlignment="1">
      <alignment horizontal="center"/>
    </xf>
    <xf numFmtId="0" fontId="3" fillId="0" borderId="0" xfId="1" applyFont="1" applyBorder="1" applyAlignment="1">
      <alignment vertical="center" wrapText="1"/>
    </xf>
    <xf numFmtId="0" fontId="6" fillId="0" borderId="0" xfId="4" applyFont="1" applyBorder="1" applyAlignment="1">
      <alignment horizontal="center"/>
    </xf>
    <xf numFmtId="0" fontId="5" fillId="0" borderId="0" xfId="4" applyBorder="1" applyAlignment="1">
      <alignment horizontal="center"/>
    </xf>
    <xf numFmtId="0" fontId="6" fillId="0" borderId="0" xfId="4" applyFont="1" applyBorder="1"/>
    <xf numFmtId="0" fontId="5" fillId="0" borderId="0" xfId="4" applyBorder="1"/>
    <xf numFmtId="0" fontId="2" fillId="0" borderId="0" xfId="2" applyBorder="1">
      <alignment vertical="center"/>
    </xf>
    <xf numFmtId="0" fontId="3" fillId="0" borderId="0" xfId="5" applyFont="1" applyBorder="1" applyAlignment="1">
      <alignment vertical="center" wrapText="1"/>
    </xf>
    <xf numFmtId="0" fontId="7" fillId="0" borderId="0" xfId="3" applyFont="1" applyBorder="1" applyAlignment="1">
      <alignment horizontal="center"/>
    </xf>
    <xf numFmtId="0" fontId="1" fillId="0" borderId="0" xfId="1" applyBorder="1" applyAlignment="1"/>
    <xf numFmtId="0" fontId="4" fillId="0" borderId="0" xfId="1" applyFont="1" applyBorder="1" applyAlignment="1">
      <alignment vertical="center" wrapText="1"/>
    </xf>
    <xf numFmtId="0" fontId="1" fillId="2" borderId="0" xfId="1" applyFill="1" applyBorder="1" applyAlignment="1">
      <alignment vertical="center" wrapText="1"/>
    </xf>
    <xf numFmtId="0" fontId="1" fillId="2" borderId="0" xfId="1" applyFill="1" applyBorder="1">
      <alignment vertical="center"/>
    </xf>
    <xf numFmtId="0" fontId="34" fillId="2" borderId="0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/>
    </xf>
    <xf numFmtId="0" fontId="34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9" fillId="0" borderId="0" xfId="10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9" fillId="0" borderId="0" xfId="10" applyFont="1" applyFill="1" applyBorder="1" applyAlignment="1">
      <alignment horizontal="center" vertical="center" wrapText="1"/>
    </xf>
    <xf numFmtId="0" fontId="23" fillId="0" borderId="0" xfId="1" applyFont="1" applyFill="1" applyBorder="1" applyAlignment="1">
      <alignment horizontal="left" vertical="center" wrapText="1"/>
    </xf>
    <xf numFmtId="49" fontId="35" fillId="0" borderId="0" xfId="0" applyNumberFormat="1" applyFont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37" fillId="0" borderId="0" xfId="0" applyFont="1" applyFill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14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horizontal="center" vertical="center"/>
    </xf>
    <xf numFmtId="40" fontId="16" fillId="0" borderId="0" xfId="1" applyNumberFormat="1" applyFont="1" applyFill="1" applyBorder="1" applyAlignment="1">
      <alignment horizontal="center" vertical="center" wrapText="1"/>
    </xf>
    <xf numFmtId="180" fontId="1" fillId="0" borderId="0" xfId="1" applyNumberFormat="1" applyFill="1" applyBorder="1" applyAlignment="1">
      <alignment horizontal="center" vertical="center"/>
    </xf>
    <xf numFmtId="0" fontId="6" fillId="2" borderId="0" xfId="3" applyFont="1" applyFill="1" applyBorder="1"/>
    <xf numFmtId="0" fontId="5" fillId="2" borderId="0" xfId="3" applyFill="1" applyBorder="1" applyAlignment="1">
      <alignment horizontal="center"/>
    </xf>
    <xf numFmtId="0" fontId="5" fillId="2" borderId="0" xfId="3" applyFill="1" applyBorder="1"/>
    <xf numFmtId="0" fontId="1" fillId="0" borderId="0" xfId="1" applyFill="1" applyBorder="1">
      <alignment vertical="center"/>
    </xf>
    <xf numFmtId="0" fontId="1" fillId="0" borderId="0" xfId="1" applyFill="1" applyBorder="1" applyAlignment="1">
      <alignment vertical="center" wrapText="1"/>
    </xf>
    <xf numFmtId="0" fontId="34" fillId="0" borderId="0" xfId="1" applyFont="1" applyFill="1" applyBorder="1" applyAlignment="1">
      <alignment horizontal="left" vertical="center" wrapText="1"/>
    </xf>
    <xf numFmtId="0" fontId="25" fillId="2" borderId="0" xfId="1" applyFont="1" applyFill="1" applyBorder="1">
      <alignment vertical="center"/>
    </xf>
    <xf numFmtId="14" fontId="0" fillId="0" borderId="0" xfId="0" applyNumberFormat="1"/>
    <xf numFmtId="0" fontId="28" fillId="5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vertical="center" wrapText="1"/>
    </xf>
    <xf numFmtId="0" fontId="25" fillId="5" borderId="0" xfId="1" applyFont="1" applyFill="1" applyBorder="1" applyAlignment="1">
      <alignment horizontal="center" vertical="center"/>
    </xf>
    <xf numFmtId="0" fontId="19" fillId="3" borderId="0" xfId="10" applyFont="1" applyFill="1" applyBorder="1" applyAlignment="1">
      <alignment horizontal="center" vertical="center"/>
    </xf>
    <xf numFmtId="0" fontId="1" fillId="0" borderId="0" xfId="1" applyBorder="1" applyAlignment="1">
      <alignment horizontal="right" vertical="center"/>
    </xf>
    <xf numFmtId="0" fontId="1" fillId="0" borderId="0" xfId="1" applyFill="1" applyBorder="1" applyAlignment="1">
      <alignment horizontal="right" vertical="center"/>
    </xf>
    <xf numFmtId="22" fontId="1" fillId="0" borderId="0" xfId="1" applyNumberFormat="1" applyFill="1" applyBorder="1" applyAlignment="1">
      <alignment horizontal="right" vertical="center"/>
    </xf>
    <xf numFmtId="22" fontId="21" fillId="0" borderId="0" xfId="0" applyNumberFormat="1" applyFont="1" applyFill="1" applyAlignment="1">
      <alignment horizontal="right" vertical="center" wrapText="1"/>
    </xf>
    <xf numFmtId="0" fontId="1" fillId="0" borderId="0" xfId="5" applyBorder="1" applyAlignment="1">
      <alignment horizontal="right" vertical="center"/>
    </xf>
    <xf numFmtId="0" fontId="2" fillId="0" borderId="0" xfId="8" applyBorder="1" applyAlignment="1">
      <alignment horizontal="right" vertical="center"/>
    </xf>
    <xf numFmtId="0" fontId="0" fillId="0" borderId="0" xfId="0" applyFill="1" applyAlignment="1">
      <alignment horizontal="right" wrapText="1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0" fontId="18" fillId="0" borderId="0" xfId="10" applyFont="1" applyBorder="1" applyAlignment="1">
      <alignment horizontal="right" vertical="center"/>
    </xf>
    <xf numFmtId="0" fontId="10" fillId="0" borderId="0" xfId="6" applyBorder="1" applyAlignment="1">
      <alignment horizontal="right"/>
    </xf>
    <xf numFmtId="0" fontId="5" fillId="0" borderId="0" xfId="3" applyBorder="1" applyAlignment="1">
      <alignment horizontal="right"/>
    </xf>
    <xf numFmtId="0" fontId="5" fillId="2" borderId="0" xfId="3" applyFill="1" applyBorder="1" applyAlignment="1">
      <alignment horizontal="right"/>
    </xf>
    <xf numFmtId="0" fontId="5" fillId="0" borderId="0" xfId="4" applyBorder="1" applyAlignment="1">
      <alignment horizontal="right"/>
    </xf>
    <xf numFmtId="22" fontId="1" fillId="0" borderId="0" xfId="1" applyNumberFormat="1" applyBorder="1" applyAlignment="1">
      <alignment horizontal="right" vertical="center"/>
    </xf>
    <xf numFmtId="22" fontId="1" fillId="0" borderId="0" xfId="5" applyNumberFormat="1" applyBorder="1" applyAlignment="1">
      <alignment horizontal="right" vertical="center"/>
    </xf>
    <xf numFmtId="22" fontId="2" fillId="0" borderId="0" xfId="8" applyNumberFormat="1" applyBorder="1" applyAlignment="1">
      <alignment horizontal="right" vertical="center"/>
    </xf>
    <xf numFmtId="20" fontId="21" fillId="0" borderId="0" xfId="0" applyNumberFormat="1" applyFont="1" applyFill="1" applyAlignment="1">
      <alignment vertical="center" wrapText="1"/>
    </xf>
  </cellXfs>
  <cellStyles count="12">
    <cellStyle name="標準" xfId="0" builtinId="0"/>
    <cellStyle name="標準 10" xfId="1" xr:uid="{FCD14554-D592-43E1-B78F-1FE84173D3E5}"/>
    <cellStyle name="標準 3" xfId="10" xr:uid="{F9996BAD-6EA6-430C-9B0F-3F5EFC94B7EF}"/>
    <cellStyle name="標準 4" xfId="11" xr:uid="{B36CF346-718F-47EF-863F-A0CCC27A6262}"/>
    <cellStyle name="標準 7" xfId="2" xr:uid="{5BD031ED-DD5D-4679-9698-A976A1E8B184}"/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BX2186"/>
  <sheetViews>
    <sheetView tabSelected="1" zoomScale="90" zoomScaleNormal="90" workbookViewId="0">
      <pane xSplit="3" ySplit="1" topLeftCell="W2" activePane="bottomRight" state="frozen"/>
      <selection pane="topRight" activeCell="D1" sqref="D1"/>
      <selection pane="bottomLeft" activeCell="A2" sqref="A2"/>
      <selection pane="bottomRight" activeCell="AK21" sqref="AK21"/>
    </sheetView>
  </sheetViews>
  <sheetFormatPr defaultColWidth="9" defaultRowHeight="14.25"/>
  <cols>
    <col min="1" max="1" width="9" style="80"/>
    <col min="2" max="2" width="32.75" style="141" customWidth="1"/>
    <col min="3" max="3" width="10" style="78" customWidth="1"/>
    <col min="4" max="4" width="13.625" style="78" customWidth="1"/>
    <col min="5" max="5" width="44" style="78" customWidth="1"/>
    <col min="6" max="8" width="34.125" style="78" customWidth="1"/>
    <col min="9" max="9" width="9" style="80" customWidth="1"/>
    <col min="10" max="10" width="27.625" style="78" customWidth="1"/>
    <col min="11" max="11" width="13.625" style="78" customWidth="1"/>
    <col min="12" max="13" width="19.375" style="78" customWidth="1"/>
    <col min="14" max="14" width="13.125" style="78" customWidth="1"/>
    <col min="15" max="15" width="27.125" style="78" customWidth="1"/>
    <col min="16" max="16" width="11.75" style="61" customWidth="1"/>
    <col min="17" max="18" width="9" style="61" customWidth="1"/>
    <col min="19" max="19" width="9" style="80" customWidth="1"/>
    <col min="20" max="26" width="9" style="61" customWidth="1"/>
    <col min="27" max="27" width="9" style="61"/>
    <col min="28" max="28" width="10.375" style="61" customWidth="1"/>
    <col min="29" max="34" width="9" style="61"/>
    <col min="35" max="35" width="16.625" style="78" customWidth="1"/>
    <col min="36" max="36" width="14.25" style="78" customWidth="1"/>
    <col min="37" max="50" width="16.625" style="78" customWidth="1"/>
    <col min="51" max="51" width="42.625" style="78" customWidth="1"/>
    <col min="52" max="52" width="13.125" style="78" customWidth="1"/>
    <col min="53" max="53" width="10.25" style="61" customWidth="1"/>
    <col min="54" max="54" width="13.125" style="78" customWidth="1"/>
    <col min="55" max="55" width="10.625" style="61" customWidth="1"/>
    <col min="56" max="56" width="13.125" style="78" customWidth="1"/>
    <col min="57" max="58" width="17" style="80" customWidth="1"/>
    <col min="59" max="59" width="52.875" style="80" customWidth="1"/>
    <col min="60" max="61" width="10.25" style="61" customWidth="1"/>
    <col min="62" max="62" width="28.875" style="61" customWidth="1"/>
    <col min="63" max="63" width="11.875" style="61" customWidth="1"/>
    <col min="64" max="64" width="10.625" style="61" customWidth="1"/>
    <col min="65" max="65" width="14.375" style="61" customWidth="1"/>
    <col min="66" max="66" width="16" style="61" customWidth="1"/>
    <col min="67" max="67" width="9" style="80"/>
    <col min="68" max="68" width="10.25" style="61" customWidth="1"/>
    <col min="69" max="69" width="16.375" style="148" customWidth="1"/>
    <col min="70" max="70" width="18.625" style="80" customWidth="1"/>
    <col min="71" max="16384" width="9" style="80"/>
  </cols>
  <sheetData>
    <row r="1" spans="1:71" s="61" customFormat="1" ht="33">
      <c r="A1" s="54" t="s">
        <v>231</v>
      </c>
      <c r="B1" s="119" t="s">
        <v>1557</v>
      </c>
      <c r="C1" s="55" t="s">
        <v>1199</v>
      </c>
      <c r="D1" s="55" t="s">
        <v>230</v>
      </c>
      <c r="E1" s="117" t="s">
        <v>1212</v>
      </c>
      <c r="F1" s="55" t="s">
        <v>1527</v>
      </c>
      <c r="G1" s="55" t="s">
        <v>1211</v>
      </c>
      <c r="H1" s="55" t="s">
        <v>1198</v>
      </c>
      <c r="I1" s="58" t="s">
        <v>222</v>
      </c>
      <c r="J1" s="55" t="s">
        <v>1200</v>
      </c>
      <c r="K1" s="55" t="s">
        <v>1305</v>
      </c>
      <c r="L1" s="55" t="s">
        <v>1210</v>
      </c>
      <c r="M1" s="55" t="s">
        <v>1306</v>
      </c>
      <c r="N1" s="56" t="s">
        <v>1538</v>
      </c>
      <c r="O1" s="55" t="s">
        <v>1207</v>
      </c>
      <c r="P1" s="57" t="s">
        <v>1336</v>
      </c>
      <c r="Q1" s="58" t="s">
        <v>226</v>
      </c>
      <c r="R1" s="59" t="s">
        <v>225</v>
      </c>
      <c r="S1" s="58" t="s">
        <v>1344</v>
      </c>
      <c r="T1" s="59" t="s">
        <v>1539</v>
      </c>
      <c r="U1" s="59"/>
      <c r="V1" s="59"/>
      <c r="W1" s="59"/>
      <c r="X1" s="59"/>
      <c r="Y1" s="59"/>
      <c r="Z1" s="59"/>
      <c r="AA1" s="59" t="s">
        <v>1387</v>
      </c>
      <c r="AB1" s="59" t="s">
        <v>1390</v>
      </c>
      <c r="AC1" s="59" t="s">
        <v>1396</v>
      </c>
      <c r="AD1" s="59" t="s">
        <v>1481</v>
      </c>
      <c r="AE1" s="55" t="s">
        <v>1337</v>
      </c>
      <c r="AF1" s="55" t="s">
        <v>1338</v>
      </c>
      <c r="AG1" s="55" t="s">
        <v>1339</v>
      </c>
      <c r="AH1" s="55" t="s">
        <v>1340</v>
      </c>
      <c r="AI1" s="55" t="s">
        <v>1341</v>
      </c>
      <c r="AJ1" s="55" t="s">
        <v>1335</v>
      </c>
      <c r="AK1" s="55" t="s">
        <v>1342</v>
      </c>
      <c r="AL1" s="55" t="s">
        <v>1243</v>
      </c>
      <c r="AM1" s="55" t="s">
        <v>1343</v>
      </c>
      <c r="AN1" s="55"/>
      <c r="AO1" s="55" t="s">
        <v>1350</v>
      </c>
      <c r="AP1" s="55"/>
      <c r="AQ1" s="55"/>
      <c r="AR1" s="55"/>
      <c r="AS1" s="55"/>
      <c r="AT1" s="55"/>
      <c r="AU1" s="55"/>
      <c r="AV1" s="55"/>
      <c r="AW1" s="55"/>
      <c r="AX1" s="55"/>
      <c r="AY1" s="55" t="s">
        <v>1229</v>
      </c>
      <c r="AZ1" s="56" t="s">
        <v>229</v>
      </c>
      <c r="BA1" s="56" t="s">
        <v>228</v>
      </c>
      <c r="BB1" s="56" t="s">
        <v>227</v>
      </c>
      <c r="BC1" s="58" t="s">
        <v>224</v>
      </c>
      <c r="BD1" s="56" t="s">
        <v>223</v>
      </c>
      <c r="BE1" s="56" t="s">
        <v>221</v>
      </c>
      <c r="BF1" s="60" t="s">
        <v>220</v>
      </c>
      <c r="BG1" s="58" t="s">
        <v>219</v>
      </c>
      <c r="BH1" s="56" t="s">
        <v>218</v>
      </c>
      <c r="BI1" s="56"/>
      <c r="BJ1" s="58" t="s">
        <v>217</v>
      </c>
      <c r="BK1" s="58" t="s">
        <v>216</v>
      </c>
      <c r="BL1" s="58" t="s">
        <v>215</v>
      </c>
      <c r="BM1" s="58" t="s">
        <v>214</v>
      </c>
      <c r="BN1" s="58" t="s">
        <v>213</v>
      </c>
      <c r="BO1" s="58"/>
      <c r="BP1" s="147" t="s">
        <v>212</v>
      </c>
      <c r="BQ1" s="61" t="s">
        <v>2853</v>
      </c>
      <c r="BR1" s="61" t="s">
        <v>2854</v>
      </c>
      <c r="BS1" s="146" t="s">
        <v>2772</v>
      </c>
    </row>
    <row r="2" spans="1:71" s="122" customFormat="1" ht="16.5">
      <c r="A2" s="118"/>
      <c r="B2" s="141" t="s">
        <v>1358</v>
      </c>
      <c r="C2" s="120"/>
      <c r="D2" s="120"/>
      <c r="E2" s="119"/>
      <c r="F2" s="120"/>
      <c r="G2" s="120"/>
      <c r="H2" s="120"/>
      <c r="J2" s="120"/>
      <c r="K2" s="120"/>
      <c r="L2" s="120"/>
      <c r="M2" s="120"/>
      <c r="N2" s="121"/>
      <c r="O2" s="120"/>
      <c r="P2" s="118"/>
      <c r="R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0"/>
      <c r="AJ2" s="134">
        <v>55.3</v>
      </c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 t="str">
        <f>B2&amp;"(第"&amp;C2&amp;"版）"</f>
        <v>社交网络分析(第版）</v>
      </c>
      <c r="AZ2" s="121"/>
      <c r="BA2" s="121"/>
      <c r="BB2" s="121"/>
      <c r="BD2" s="121"/>
      <c r="BE2" s="121"/>
      <c r="BF2" s="124"/>
      <c r="BH2" s="121"/>
      <c r="BI2" s="121"/>
      <c r="BP2" s="121"/>
      <c r="BQ2" s="149"/>
    </row>
    <row r="3" spans="1:71" s="122" customFormat="1" ht="29.25" customHeight="1">
      <c r="A3" s="118"/>
      <c r="B3" s="141" t="s">
        <v>1359</v>
      </c>
      <c r="C3" s="120"/>
      <c r="D3" s="120"/>
      <c r="E3" s="119"/>
      <c r="F3" s="120"/>
      <c r="G3" s="120"/>
      <c r="H3" s="120"/>
      <c r="J3" s="120"/>
      <c r="K3" s="120"/>
      <c r="L3" s="120"/>
      <c r="M3" s="120"/>
      <c r="N3" s="121"/>
      <c r="O3" s="120"/>
      <c r="P3" s="118"/>
      <c r="R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0"/>
      <c r="AJ3" s="134">
        <v>48.3</v>
      </c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0"/>
      <c r="AY3" s="120"/>
      <c r="AZ3" s="121"/>
      <c r="BA3" s="121"/>
      <c r="BB3" s="121"/>
      <c r="BD3" s="121"/>
      <c r="BE3" s="121"/>
      <c r="BF3" s="124"/>
      <c r="BH3" s="121"/>
      <c r="BI3" s="121"/>
      <c r="BP3" s="121"/>
      <c r="BQ3" s="149"/>
    </row>
    <row r="4" spans="1:71" s="122" customFormat="1" ht="16.5">
      <c r="A4" s="118"/>
      <c r="B4" s="141" t="s">
        <v>1431</v>
      </c>
      <c r="C4" s="120"/>
      <c r="D4" s="120"/>
      <c r="E4" s="119"/>
      <c r="F4" s="120"/>
      <c r="G4" s="120"/>
      <c r="H4" s="120"/>
      <c r="J4" s="120"/>
      <c r="K4" s="120"/>
      <c r="L4" s="120"/>
      <c r="M4" s="120"/>
      <c r="N4" s="121"/>
      <c r="O4" s="120"/>
      <c r="P4" s="118"/>
      <c r="R4" s="123"/>
      <c r="T4" s="123"/>
      <c r="U4" s="123"/>
      <c r="V4" s="123"/>
      <c r="W4" s="123"/>
      <c r="X4" s="123"/>
      <c r="Y4" s="123"/>
      <c r="Z4" s="123"/>
      <c r="AA4" s="123">
        <v>10</v>
      </c>
      <c r="AB4" s="123"/>
      <c r="AC4" s="123"/>
      <c r="AD4" s="123"/>
      <c r="AE4" s="123"/>
      <c r="AF4" s="123"/>
      <c r="AG4" s="123"/>
      <c r="AH4" s="123"/>
      <c r="AI4" s="134">
        <v>20</v>
      </c>
      <c r="AJ4" s="130"/>
      <c r="AK4" s="13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20"/>
      <c r="AW4" s="120"/>
      <c r="AX4" s="120"/>
      <c r="AY4" s="120"/>
      <c r="AZ4" s="121"/>
      <c r="BA4" s="121"/>
      <c r="BB4" s="121"/>
      <c r="BD4" s="121"/>
      <c r="BE4" s="121"/>
      <c r="BF4" s="124"/>
      <c r="BH4" s="121"/>
      <c r="BI4" s="121"/>
      <c r="BP4" s="121"/>
      <c r="BQ4" s="149"/>
    </row>
    <row r="5" spans="1:71" s="122" customFormat="1" ht="27">
      <c r="A5" s="118"/>
      <c r="B5" s="141" t="s">
        <v>2758</v>
      </c>
      <c r="C5" s="120"/>
      <c r="D5" s="120"/>
      <c r="E5" s="119"/>
      <c r="F5" s="120"/>
      <c r="G5" s="120"/>
      <c r="H5" s="120"/>
      <c r="J5" s="120"/>
      <c r="K5" s="120"/>
      <c r="L5" s="120"/>
      <c r="M5" s="120"/>
      <c r="N5" s="121"/>
      <c r="O5" s="120"/>
      <c r="P5" s="118"/>
      <c r="R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34">
        <v>45</v>
      </c>
      <c r="AG5" s="123"/>
      <c r="AH5" s="123"/>
      <c r="AI5" s="134">
        <v>45</v>
      </c>
      <c r="AK5" s="120"/>
      <c r="AL5" s="120"/>
      <c r="AM5" s="120"/>
      <c r="AN5" s="120"/>
      <c r="AO5" s="120"/>
      <c r="AP5" s="120"/>
      <c r="AQ5" s="120"/>
      <c r="AR5" s="120"/>
      <c r="AS5" s="120"/>
      <c r="AT5" s="120"/>
      <c r="AU5" s="120"/>
      <c r="AV5" s="120"/>
      <c r="AW5" s="120"/>
      <c r="AX5" s="120"/>
      <c r="AY5" s="120"/>
      <c r="AZ5" s="121"/>
      <c r="BA5" s="121"/>
      <c r="BB5" s="121"/>
      <c r="BD5" s="121"/>
      <c r="BE5" s="121"/>
      <c r="BF5" s="124"/>
      <c r="BH5" s="121"/>
      <c r="BI5" s="121"/>
      <c r="BP5" s="121"/>
      <c r="BQ5" s="150">
        <v>44596.621851851851</v>
      </c>
    </row>
    <row r="6" spans="1:71" s="122" customFormat="1" ht="16.5">
      <c r="A6" s="118"/>
      <c r="B6" s="141" t="s">
        <v>1432</v>
      </c>
      <c r="C6" s="120">
        <v>4</v>
      </c>
      <c r="D6" s="120"/>
      <c r="E6" s="119"/>
      <c r="F6" s="120"/>
      <c r="G6" s="120"/>
      <c r="H6" s="120"/>
      <c r="J6" s="120"/>
      <c r="K6" s="120"/>
      <c r="L6" s="120"/>
      <c r="M6" s="120"/>
      <c r="N6" s="121"/>
      <c r="O6" s="120"/>
      <c r="P6" s="118"/>
      <c r="R6" s="123"/>
      <c r="T6" s="123"/>
      <c r="U6" s="123"/>
      <c r="V6" s="123"/>
      <c r="W6" s="123"/>
      <c r="X6" s="123"/>
      <c r="Y6" s="123"/>
      <c r="Z6" s="123"/>
      <c r="AA6" s="123">
        <v>10</v>
      </c>
      <c r="AB6" s="123"/>
      <c r="AC6" s="123"/>
      <c r="AD6" s="123"/>
      <c r="AE6" s="123"/>
      <c r="AF6" s="123"/>
      <c r="AG6" s="123"/>
      <c r="AH6" s="123"/>
      <c r="AI6" s="134">
        <v>25</v>
      </c>
      <c r="AJ6" s="130"/>
      <c r="AK6" s="130"/>
      <c r="AL6" s="120"/>
      <c r="AM6" s="120"/>
      <c r="AN6" s="120"/>
      <c r="AO6" s="120"/>
      <c r="AP6" s="120"/>
      <c r="AQ6" s="120"/>
      <c r="AR6" s="120"/>
      <c r="AS6" s="120"/>
      <c r="AT6" s="120"/>
      <c r="AU6" s="120"/>
      <c r="AV6" s="120"/>
      <c r="AW6" s="120"/>
      <c r="AX6" s="120"/>
      <c r="AY6" s="120"/>
      <c r="AZ6" s="121"/>
      <c r="BA6" s="121"/>
      <c r="BB6" s="121"/>
      <c r="BD6" s="121"/>
      <c r="BE6" s="121"/>
      <c r="BF6" s="124"/>
      <c r="BH6" s="121"/>
      <c r="BI6" s="121"/>
      <c r="BP6" s="121"/>
      <c r="BQ6" s="149"/>
    </row>
    <row r="7" spans="1:71" s="122" customFormat="1" ht="27">
      <c r="A7" s="118"/>
      <c r="B7" s="141" t="s">
        <v>1366</v>
      </c>
      <c r="C7" s="120"/>
      <c r="D7" s="120"/>
      <c r="E7" s="119"/>
      <c r="F7" s="120"/>
      <c r="G7" s="120"/>
      <c r="H7" s="120"/>
      <c r="J7" s="120"/>
      <c r="K7" s="120"/>
      <c r="L7" s="120"/>
      <c r="M7" s="120"/>
      <c r="N7" s="121"/>
      <c r="O7" s="120"/>
      <c r="P7" s="118"/>
      <c r="R7" s="123"/>
      <c r="T7" s="123"/>
      <c r="U7" s="123"/>
      <c r="V7" s="123"/>
      <c r="W7" s="123"/>
      <c r="X7" s="123"/>
      <c r="Y7" s="123"/>
      <c r="Z7" s="123"/>
      <c r="AA7" s="123">
        <v>10</v>
      </c>
      <c r="AB7" s="123"/>
      <c r="AC7" s="123"/>
      <c r="AD7" s="123"/>
      <c r="AE7" s="123"/>
      <c r="AF7" s="123"/>
      <c r="AG7" s="123"/>
      <c r="AH7" s="123"/>
      <c r="AI7" s="120"/>
      <c r="AJ7" s="134">
        <v>47.4</v>
      </c>
      <c r="AK7" s="120"/>
      <c r="AL7" s="120"/>
      <c r="AM7" s="120"/>
      <c r="AN7" s="120"/>
      <c r="AO7" s="120"/>
      <c r="AP7" s="120"/>
      <c r="AQ7" s="120"/>
      <c r="AR7" s="120"/>
      <c r="AS7" s="120"/>
      <c r="AT7" s="120"/>
      <c r="AU7" s="120"/>
      <c r="AV7" s="120"/>
      <c r="AW7" s="120"/>
      <c r="AX7" s="120"/>
      <c r="AY7" s="120"/>
      <c r="AZ7" s="121"/>
      <c r="BA7" s="121"/>
      <c r="BB7" s="121"/>
      <c r="BD7" s="121"/>
      <c r="BE7" s="121"/>
      <c r="BF7" s="124"/>
      <c r="BH7" s="121"/>
      <c r="BI7" s="121"/>
      <c r="BP7" s="121"/>
      <c r="BQ7" s="149"/>
    </row>
    <row r="8" spans="1:71" s="122" customFormat="1" ht="16.5">
      <c r="A8" s="118"/>
      <c r="B8" s="141"/>
      <c r="C8" s="120"/>
      <c r="D8" s="120"/>
      <c r="E8" s="119"/>
      <c r="F8" s="120"/>
      <c r="G8" s="120"/>
      <c r="H8" s="120"/>
      <c r="J8" s="120"/>
      <c r="K8" s="120"/>
      <c r="L8" s="120"/>
      <c r="M8" s="120"/>
      <c r="N8" s="121"/>
      <c r="O8" s="120"/>
      <c r="P8" s="118"/>
      <c r="R8" s="123"/>
      <c r="T8" s="123"/>
      <c r="U8" s="123"/>
      <c r="V8" s="123"/>
      <c r="W8" s="123"/>
      <c r="X8" s="123"/>
      <c r="Y8" s="123"/>
      <c r="Z8" s="123"/>
      <c r="AA8" s="123"/>
      <c r="AB8" s="123"/>
      <c r="AC8" s="123"/>
      <c r="AD8" s="123"/>
      <c r="AE8" s="123"/>
      <c r="AF8" s="123"/>
      <c r="AG8" s="123"/>
      <c r="AH8" s="123"/>
      <c r="AI8" s="134"/>
      <c r="AJ8" s="130"/>
      <c r="AK8" s="13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1"/>
      <c r="BA8" s="121"/>
      <c r="BB8" s="121"/>
      <c r="BD8" s="121"/>
      <c r="BE8" s="121"/>
      <c r="BF8" s="124"/>
      <c r="BH8" s="121"/>
      <c r="BI8" s="121"/>
      <c r="BP8" s="121"/>
      <c r="BQ8" s="149"/>
    </row>
    <row r="9" spans="1:71" s="122" customFormat="1" ht="16.5">
      <c r="A9" s="118"/>
      <c r="B9" s="141" t="s">
        <v>2759</v>
      </c>
      <c r="C9" s="120"/>
      <c r="D9" s="120"/>
      <c r="E9" s="119"/>
      <c r="F9" s="120"/>
      <c r="G9" s="120"/>
      <c r="H9" s="120"/>
      <c r="J9" s="120"/>
      <c r="K9" s="120"/>
      <c r="L9" s="120"/>
      <c r="M9" s="120"/>
      <c r="N9" s="121"/>
      <c r="O9" s="120"/>
      <c r="P9" s="118"/>
      <c r="R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3"/>
      <c r="AF9" s="123"/>
      <c r="AG9" s="123"/>
      <c r="AH9" s="123"/>
      <c r="AI9" s="120"/>
      <c r="AJ9" s="134"/>
      <c r="AK9" s="134">
        <v>0</v>
      </c>
      <c r="AL9" s="120"/>
      <c r="AM9" s="120"/>
      <c r="AN9" s="120"/>
      <c r="AO9" s="120"/>
      <c r="AP9" s="120"/>
      <c r="AQ9" s="120"/>
      <c r="AR9" s="120"/>
      <c r="AS9" s="120"/>
      <c r="AT9" s="120"/>
      <c r="AU9" s="120"/>
      <c r="AV9" s="120"/>
      <c r="AW9" s="120"/>
      <c r="AX9" s="120"/>
      <c r="AY9" s="120"/>
      <c r="AZ9" s="121"/>
      <c r="BA9" s="121"/>
      <c r="BB9" s="121"/>
      <c r="BD9" s="121"/>
      <c r="BE9" s="121"/>
      <c r="BF9" s="124"/>
      <c r="BH9" s="121"/>
      <c r="BI9" s="121"/>
      <c r="BP9" s="121"/>
      <c r="BQ9" s="149"/>
    </row>
    <row r="10" spans="1:71" s="122" customFormat="1" ht="16.5">
      <c r="A10" s="118"/>
      <c r="B10" s="141" t="s">
        <v>1537</v>
      </c>
      <c r="C10" s="120"/>
      <c r="D10" s="120"/>
      <c r="E10" s="119"/>
      <c r="F10" s="120"/>
      <c r="G10" s="120"/>
      <c r="H10" s="120"/>
      <c r="J10" s="120"/>
      <c r="K10" s="120"/>
      <c r="L10" s="120"/>
      <c r="M10" s="120"/>
      <c r="N10" s="121"/>
      <c r="O10" s="120"/>
      <c r="P10" s="118"/>
      <c r="R10" s="123"/>
      <c r="T10" s="123"/>
      <c r="U10" s="123"/>
      <c r="V10" s="123"/>
      <c r="W10" s="123"/>
      <c r="X10" s="123"/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0"/>
      <c r="AJ10" s="134">
        <v>1.99</v>
      </c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20"/>
      <c r="AW10" s="120"/>
      <c r="AX10" s="120"/>
      <c r="AY10" s="120"/>
      <c r="AZ10" s="121"/>
      <c r="BA10" s="121"/>
      <c r="BB10" s="121"/>
      <c r="BD10" s="121"/>
      <c r="BE10" s="121"/>
      <c r="BF10" s="124"/>
      <c r="BH10" s="121"/>
      <c r="BI10" s="121"/>
      <c r="BP10" s="121"/>
      <c r="BQ10" s="149"/>
    </row>
    <row r="11" spans="1:71" s="122" customFormat="1" ht="16.5">
      <c r="A11" s="118"/>
      <c r="B11" s="141"/>
      <c r="C11" s="120"/>
      <c r="D11" s="120"/>
      <c r="E11" s="119"/>
      <c r="F11" s="120"/>
      <c r="G11" s="120"/>
      <c r="H11" s="120"/>
      <c r="J11" s="120"/>
      <c r="K11" s="120"/>
      <c r="L11" s="120"/>
      <c r="M11" s="120"/>
      <c r="N11" s="121"/>
      <c r="O11" s="120"/>
      <c r="P11" s="118"/>
      <c r="R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0"/>
      <c r="AJ11" s="134"/>
      <c r="AK11" s="120"/>
      <c r="AL11" s="120"/>
      <c r="AM11" s="120"/>
      <c r="AN11" s="120"/>
      <c r="AO11" s="120"/>
      <c r="AP11" s="120"/>
      <c r="AQ11" s="120"/>
      <c r="AR11" s="120"/>
      <c r="AS11" s="120"/>
      <c r="AT11" s="120"/>
      <c r="AU11" s="120"/>
      <c r="AV11" s="120"/>
      <c r="AW11" s="120"/>
      <c r="AX11" s="120"/>
      <c r="AY11" s="120"/>
      <c r="AZ11" s="121"/>
      <c r="BA11" s="121"/>
      <c r="BB11" s="121"/>
      <c r="BD11" s="121"/>
      <c r="BE11" s="121"/>
      <c r="BF11" s="124"/>
      <c r="BH11" s="121"/>
      <c r="BI11" s="121"/>
      <c r="BP11" s="121"/>
      <c r="BQ11" s="149"/>
    </row>
    <row r="12" spans="1:71" s="122" customFormat="1" ht="16.5">
      <c r="A12" s="118"/>
      <c r="B12" s="141" t="s">
        <v>1541</v>
      </c>
      <c r="C12" s="120"/>
      <c r="D12" s="120"/>
      <c r="E12" s="119"/>
      <c r="F12" s="120"/>
      <c r="G12" s="120"/>
      <c r="H12" s="120"/>
      <c r="J12" s="120"/>
      <c r="K12" s="120"/>
      <c r="L12" s="120"/>
      <c r="M12" s="120"/>
      <c r="N12" s="121"/>
      <c r="O12" s="120"/>
      <c r="P12" s="118"/>
      <c r="R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34">
        <v>0</v>
      </c>
      <c r="AF12" s="134">
        <v>0</v>
      </c>
      <c r="AG12" s="134">
        <v>0</v>
      </c>
      <c r="AH12" s="123"/>
      <c r="AI12" s="134">
        <v>0</v>
      </c>
      <c r="AJ12" s="134"/>
      <c r="AK12" s="134">
        <v>0</v>
      </c>
      <c r="AL12" s="120"/>
      <c r="AM12" s="120"/>
      <c r="AN12" s="120"/>
      <c r="AO12" s="120"/>
      <c r="AP12" s="120"/>
      <c r="AQ12" s="120"/>
      <c r="AR12" s="120"/>
      <c r="AS12" s="120"/>
      <c r="AT12" s="120"/>
      <c r="AU12" s="120"/>
      <c r="AV12" s="120"/>
      <c r="AW12" s="120"/>
      <c r="AX12" s="120"/>
      <c r="AY12" s="120"/>
      <c r="AZ12" s="121"/>
      <c r="BA12" s="121"/>
      <c r="BB12" s="121"/>
      <c r="BD12" s="121"/>
      <c r="BE12" s="121"/>
      <c r="BF12" s="124"/>
      <c r="BH12" s="121"/>
      <c r="BI12" s="121"/>
      <c r="BP12" s="121"/>
      <c r="BQ12" s="150">
        <v>44596.608298611114</v>
      </c>
    </row>
    <row r="13" spans="1:71" s="122" customFormat="1" ht="32.25">
      <c r="A13" s="118"/>
      <c r="B13" s="141" t="s">
        <v>2870</v>
      </c>
      <c r="C13" s="120"/>
      <c r="D13" s="120"/>
      <c r="E13" s="119"/>
      <c r="F13" s="120"/>
      <c r="G13" s="120"/>
      <c r="H13" s="120"/>
      <c r="J13" s="120"/>
      <c r="K13" s="120"/>
      <c r="L13" s="120"/>
      <c r="M13" s="120"/>
      <c r="N13" s="121"/>
      <c r="O13" s="120"/>
      <c r="P13" s="118"/>
      <c r="R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34"/>
      <c r="AF13" s="134"/>
      <c r="AG13" s="134"/>
      <c r="AH13" s="123"/>
      <c r="AI13" s="134">
        <v>0</v>
      </c>
      <c r="AJ13" s="134"/>
      <c r="AK13" s="134">
        <v>0</v>
      </c>
      <c r="AL13" s="120"/>
      <c r="AM13" s="120"/>
      <c r="AN13" s="120"/>
      <c r="AO13" s="120"/>
      <c r="AP13" s="120"/>
      <c r="AQ13" s="120"/>
      <c r="AR13" s="120"/>
      <c r="AS13" s="120"/>
      <c r="AT13" s="120"/>
      <c r="AU13" s="120"/>
      <c r="AV13" s="120"/>
      <c r="AW13" s="120"/>
      <c r="AX13" s="120"/>
      <c r="AY13" s="120"/>
      <c r="AZ13" s="121"/>
      <c r="BA13" s="121"/>
      <c r="BB13" s="121"/>
      <c r="BD13" s="121"/>
      <c r="BE13" s="121"/>
      <c r="BF13" s="124"/>
      <c r="BH13" s="121"/>
      <c r="BI13" s="121"/>
      <c r="BP13" s="121"/>
      <c r="BQ13" s="150">
        <v>44596.654120370367</v>
      </c>
    </row>
    <row r="14" spans="1:71" s="122" customFormat="1" ht="16.5">
      <c r="A14" s="118"/>
      <c r="B14" s="141" t="s">
        <v>2857</v>
      </c>
      <c r="C14" s="120"/>
      <c r="D14" s="120"/>
      <c r="E14" s="119"/>
      <c r="F14" s="120"/>
      <c r="G14" s="120"/>
      <c r="H14" s="120"/>
      <c r="J14" s="120"/>
      <c r="K14" s="120"/>
      <c r="L14" s="120"/>
      <c r="M14" s="120"/>
      <c r="N14" s="121"/>
      <c r="O14" s="120"/>
      <c r="P14" s="118"/>
      <c r="R14" s="123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34"/>
      <c r="AF14" s="134">
        <v>0</v>
      </c>
      <c r="AG14" s="134"/>
      <c r="AH14" s="123"/>
      <c r="AI14" s="134"/>
      <c r="AJ14" s="134"/>
      <c r="AK14" s="120"/>
      <c r="AL14" s="120"/>
      <c r="AM14" s="120"/>
      <c r="AN14" s="120"/>
      <c r="AO14" s="120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1"/>
      <c r="BA14" s="121"/>
      <c r="BB14" s="121"/>
      <c r="BD14" s="121"/>
      <c r="BE14" s="121"/>
      <c r="BF14" s="124"/>
      <c r="BH14" s="121"/>
      <c r="BI14" s="121"/>
      <c r="BP14" s="121"/>
      <c r="BQ14" s="150">
        <v>44596.609039351853</v>
      </c>
    </row>
    <row r="15" spans="1:71" s="122" customFormat="1" ht="16.5">
      <c r="A15" s="118"/>
      <c r="B15" s="141" t="s">
        <v>1398</v>
      </c>
      <c r="C15" s="120"/>
      <c r="D15" s="120"/>
      <c r="E15" s="119"/>
      <c r="F15" s="120"/>
      <c r="G15" s="120"/>
      <c r="H15" s="120"/>
      <c r="J15" s="120"/>
      <c r="K15" s="120"/>
      <c r="L15" s="120"/>
      <c r="M15" s="120"/>
      <c r="N15" s="121"/>
      <c r="O15" s="120"/>
      <c r="P15" s="118"/>
      <c r="R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34">
        <v>0</v>
      </c>
      <c r="AF15" s="134">
        <v>0</v>
      </c>
      <c r="AG15" s="134">
        <v>0</v>
      </c>
      <c r="AH15" s="123"/>
      <c r="AI15" s="120"/>
      <c r="AJ15" s="120"/>
      <c r="AK15" s="134">
        <v>0</v>
      </c>
      <c r="AL15" s="134">
        <v>0</v>
      </c>
      <c r="AM15" s="134">
        <v>0</v>
      </c>
      <c r="AN15" s="120"/>
      <c r="AO15" s="120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1"/>
      <c r="BA15" s="121"/>
      <c r="BB15" s="121"/>
      <c r="BD15" s="121"/>
      <c r="BE15" s="121"/>
      <c r="BF15" s="124"/>
      <c r="BH15" s="121"/>
      <c r="BI15" s="121"/>
      <c r="BP15" s="121"/>
      <c r="BQ15" s="150">
        <v>44596.60864583333</v>
      </c>
    </row>
    <row r="16" spans="1:71" s="122" customFormat="1" ht="16.5">
      <c r="A16" s="118"/>
      <c r="B16" s="141" t="s">
        <v>1304</v>
      </c>
      <c r="C16" s="120"/>
      <c r="D16" s="120"/>
      <c r="E16" s="119"/>
      <c r="F16" s="120"/>
      <c r="G16" s="120"/>
      <c r="H16" s="120"/>
      <c r="J16" s="120"/>
      <c r="K16" s="120"/>
      <c r="L16" s="120"/>
      <c r="M16" s="120"/>
      <c r="N16" s="121"/>
      <c r="O16" s="120"/>
      <c r="P16" s="118"/>
      <c r="R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34"/>
      <c r="AJ16" s="120"/>
      <c r="AK16" s="120"/>
      <c r="AL16" s="120"/>
      <c r="AM16" s="120"/>
      <c r="AN16" s="120"/>
      <c r="AO16" s="120"/>
      <c r="AP16" s="120"/>
      <c r="AQ16" s="120"/>
      <c r="AR16" s="120"/>
      <c r="AS16" s="120"/>
      <c r="AT16" s="120"/>
      <c r="AU16" s="120"/>
      <c r="AV16" s="120"/>
      <c r="AW16" s="120"/>
      <c r="AX16" s="120"/>
      <c r="AY16" s="120" t="str">
        <f>B16&amp;"(第"&amp;C16&amp;"版）"</f>
        <v>从0到1：开启商业与未来的秘密(第版）</v>
      </c>
      <c r="AZ16" s="121"/>
      <c r="BA16" s="121"/>
      <c r="BB16" s="121"/>
      <c r="BD16" s="121"/>
      <c r="BE16" s="121"/>
      <c r="BF16" s="124"/>
      <c r="BH16" s="121"/>
      <c r="BI16" s="121"/>
      <c r="BP16" s="121"/>
      <c r="BQ16" s="150">
        <v>44596.658819444441</v>
      </c>
    </row>
    <row r="17" spans="1:69" s="122" customFormat="1" ht="27">
      <c r="A17" s="118"/>
      <c r="B17" s="141" t="s">
        <v>1430</v>
      </c>
      <c r="C17" s="120"/>
      <c r="D17" s="120"/>
      <c r="E17" s="119"/>
      <c r="F17" s="120"/>
      <c r="G17" s="120"/>
      <c r="H17" s="120"/>
      <c r="J17" s="120"/>
      <c r="K17" s="120"/>
      <c r="L17" s="120"/>
      <c r="M17" s="120"/>
      <c r="N17" s="121"/>
      <c r="O17" s="120"/>
      <c r="P17" s="118"/>
      <c r="R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34">
        <v>0</v>
      </c>
      <c r="AG17" s="134">
        <v>0</v>
      </c>
      <c r="AH17" s="123"/>
      <c r="AI17" s="134">
        <v>0</v>
      </c>
      <c r="AJ17" s="130"/>
      <c r="AK17" s="130"/>
      <c r="AL17" s="120"/>
      <c r="AM17" s="120"/>
      <c r="AN17" s="120"/>
      <c r="AO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1"/>
      <c r="BA17" s="121"/>
      <c r="BB17" s="121"/>
      <c r="BD17" s="121"/>
      <c r="BE17" s="121"/>
      <c r="BF17" s="124"/>
      <c r="BH17" s="121"/>
      <c r="BI17" s="121"/>
      <c r="BP17" s="121"/>
      <c r="BQ17" s="150">
        <v>44596.646874999999</v>
      </c>
    </row>
    <row r="18" spans="1:69" s="122" customFormat="1" ht="16.5">
      <c r="A18" s="118"/>
      <c r="B18" s="141"/>
      <c r="C18" s="120"/>
      <c r="D18" s="120"/>
      <c r="E18" s="119"/>
      <c r="F18" s="120"/>
      <c r="G18" s="120"/>
      <c r="H18" s="120"/>
      <c r="J18" s="120"/>
      <c r="K18" s="120"/>
      <c r="L18" s="120"/>
      <c r="M18" s="120"/>
      <c r="N18" s="121"/>
      <c r="O18" s="120"/>
      <c r="P18" s="118"/>
      <c r="R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34"/>
      <c r="AG18" s="123"/>
      <c r="AH18" s="123"/>
      <c r="AI18" s="134"/>
      <c r="AJ18" s="130"/>
      <c r="AK18" s="130"/>
      <c r="AL18" s="120"/>
      <c r="AM18" s="120"/>
      <c r="AN18" s="120"/>
      <c r="AO18" s="120"/>
      <c r="AP18" s="120"/>
      <c r="AQ18" s="120"/>
      <c r="AR18" s="120"/>
      <c r="AS18" s="120"/>
      <c r="AT18" s="120"/>
      <c r="AU18" s="120"/>
      <c r="AV18" s="120"/>
      <c r="AW18" s="120"/>
      <c r="AX18" s="120"/>
      <c r="AY18" s="120"/>
      <c r="AZ18" s="121"/>
      <c r="BA18" s="121"/>
      <c r="BB18" s="121"/>
      <c r="BD18" s="121"/>
      <c r="BE18" s="121"/>
      <c r="BF18" s="124"/>
      <c r="BH18" s="121"/>
      <c r="BI18" s="121"/>
      <c r="BP18" s="121"/>
      <c r="BQ18" s="149"/>
    </row>
    <row r="19" spans="1:69" s="122" customFormat="1" ht="16.5">
      <c r="A19" s="118"/>
      <c r="B19" s="141" t="s">
        <v>2760</v>
      </c>
      <c r="C19" s="120"/>
      <c r="D19" s="120"/>
      <c r="E19" s="119"/>
      <c r="F19" s="120"/>
      <c r="G19" s="120"/>
      <c r="H19" s="120"/>
      <c r="J19" s="120"/>
      <c r="K19" s="120"/>
      <c r="L19" s="120"/>
      <c r="M19" s="120"/>
      <c r="N19" s="121"/>
      <c r="O19" s="120"/>
      <c r="P19" s="118"/>
      <c r="R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34"/>
      <c r="AG19" s="123"/>
      <c r="AH19" s="123"/>
      <c r="AI19" s="134"/>
      <c r="AJ19" s="130"/>
      <c r="AK19" s="134">
        <v>0</v>
      </c>
      <c r="AL19" s="120"/>
      <c r="AM19" s="120"/>
      <c r="AN19" s="120"/>
      <c r="AO19" s="120"/>
      <c r="AP19" s="120"/>
      <c r="AQ19" s="120"/>
      <c r="AR19" s="120"/>
      <c r="AS19" s="120"/>
      <c r="AT19" s="120"/>
      <c r="AU19" s="120"/>
      <c r="AV19" s="120"/>
      <c r="AW19" s="120"/>
      <c r="AX19" s="120"/>
      <c r="AY19" s="120"/>
      <c r="AZ19" s="121"/>
      <c r="BA19" s="121"/>
      <c r="BB19" s="121"/>
      <c r="BD19" s="121"/>
      <c r="BE19" s="121"/>
      <c r="BF19" s="124"/>
      <c r="BH19" s="121"/>
      <c r="BI19" s="121"/>
      <c r="BP19" s="121"/>
      <c r="BQ19" s="149"/>
    </row>
    <row r="20" spans="1:69" s="122" customFormat="1" ht="16.5">
      <c r="A20" s="118"/>
      <c r="B20" s="141" t="s">
        <v>2762</v>
      </c>
      <c r="C20" s="120"/>
      <c r="D20" s="120"/>
      <c r="E20" s="119"/>
      <c r="F20" s="120"/>
      <c r="G20" s="120"/>
      <c r="H20" s="120"/>
      <c r="J20" s="120"/>
      <c r="K20" s="120"/>
      <c r="L20" s="120"/>
      <c r="M20" s="120"/>
      <c r="N20" s="121"/>
      <c r="O20" s="120"/>
      <c r="P20" s="118"/>
      <c r="R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34"/>
      <c r="AG20" s="123"/>
      <c r="AH20" s="123"/>
      <c r="AI20" s="134"/>
      <c r="AJ20" s="130"/>
      <c r="AK20" s="134">
        <v>9.99</v>
      </c>
      <c r="AL20" s="120"/>
      <c r="AM20" s="120"/>
      <c r="AN20" s="120"/>
      <c r="AO20" s="120"/>
      <c r="AP20" s="120"/>
      <c r="AQ20" s="120"/>
      <c r="AR20" s="120"/>
      <c r="AS20" s="120"/>
      <c r="AT20" s="120"/>
      <c r="AU20" s="120"/>
      <c r="AV20" s="120"/>
      <c r="AW20" s="120"/>
      <c r="AX20" s="120"/>
      <c r="AY20" s="120"/>
      <c r="AZ20" s="121"/>
      <c r="BA20" s="121"/>
      <c r="BB20" s="121"/>
      <c r="BD20" s="121"/>
      <c r="BE20" s="121"/>
      <c r="BF20" s="124"/>
      <c r="BH20" s="121"/>
      <c r="BI20" s="121"/>
      <c r="BP20" s="121"/>
      <c r="BQ20" s="149"/>
    </row>
    <row r="21" spans="1:69" s="122" customFormat="1" ht="16.5">
      <c r="A21" s="118"/>
      <c r="B21" s="141" t="s">
        <v>1395</v>
      </c>
      <c r="C21" s="120"/>
      <c r="D21" s="120"/>
      <c r="E21" s="119"/>
      <c r="F21" s="120"/>
      <c r="G21" s="120"/>
      <c r="H21" s="120"/>
      <c r="J21" s="120"/>
      <c r="K21" s="120"/>
      <c r="L21" s="120"/>
      <c r="M21" s="120"/>
      <c r="N21" s="121"/>
      <c r="O21" s="120"/>
      <c r="P21" s="118"/>
      <c r="R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0"/>
      <c r="AJ21" s="130"/>
      <c r="AK21" s="134">
        <v>15.6</v>
      </c>
      <c r="AL21" s="120"/>
      <c r="AM21" s="120"/>
      <c r="AN21" s="120"/>
      <c r="AO21" s="120"/>
      <c r="AP21" s="120"/>
      <c r="AQ21" s="120"/>
      <c r="AR21" s="120"/>
      <c r="AS21" s="120"/>
      <c r="AT21" s="120"/>
      <c r="AU21" s="120"/>
      <c r="AV21" s="120"/>
      <c r="AW21" s="120"/>
      <c r="AX21" s="120"/>
      <c r="AY21" s="120"/>
      <c r="AZ21" s="121"/>
      <c r="BA21" s="121"/>
      <c r="BB21" s="121"/>
      <c r="BD21" s="121"/>
      <c r="BE21" s="121"/>
      <c r="BF21" s="124"/>
      <c r="BH21" s="121"/>
      <c r="BI21" s="121"/>
      <c r="BP21" s="121"/>
      <c r="BQ21" s="150">
        <v>44596.683518518519</v>
      </c>
    </row>
    <row r="22" spans="1:69" s="122" customFormat="1" ht="16.5">
      <c r="A22" s="118"/>
      <c r="B22" s="141" t="s">
        <v>2769</v>
      </c>
      <c r="C22" s="120"/>
      <c r="D22" s="120"/>
      <c r="E22" s="119"/>
      <c r="F22" s="120"/>
      <c r="G22" s="120"/>
      <c r="H22" s="120"/>
      <c r="J22" s="120"/>
      <c r="K22" s="120"/>
      <c r="L22" s="120"/>
      <c r="M22" s="120"/>
      <c r="N22" s="121"/>
      <c r="O22" s="120"/>
      <c r="P22" s="118"/>
      <c r="R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34"/>
      <c r="AG22" s="123"/>
      <c r="AH22" s="123"/>
      <c r="AI22" s="134"/>
      <c r="AJ22" s="134">
        <v>0</v>
      </c>
      <c r="AK22" s="130"/>
      <c r="AL22" s="120"/>
      <c r="AM22" s="120"/>
      <c r="AN22" s="120"/>
      <c r="AO22" s="120"/>
      <c r="AP22" s="120"/>
      <c r="AQ22" s="120"/>
      <c r="AR22" s="120"/>
      <c r="AS22" s="120"/>
      <c r="AT22" s="120"/>
      <c r="AU22" s="120"/>
      <c r="AV22" s="120"/>
      <c r="AW22" s="120"/>
      <c r="AX22" s="120"/>
      <c r="AY22" s="120"/>
      <c r="AZ22" s="121"/>
      <c r="BA22" s="121"/>
      <c r="BB22" s="121"/>
      <c r="BD22" s="121"/>
      <c r="BE22" s="121"/>
      <c r="BF22" s="124"/>
      <c r="BH22" s="121"/>
      <c r="BI22" s="121"/>
      <c r="BP22" s="121"/>
      <c r="BQ22" s="149"/>
    </row>
    <row r="23" spans="1:69" s="122" customFormat="1" ht="16.5">
      <c r="A23" s="118"/>
      <c r="B23" s="141"/>
      <c r="C23" s="120"/>
      <c r="D23" s="120"/>
      <c r="E23" s="119"/>
      <c r="F23" s="120"/>
      <c r="G23" s="120"/>
      <c r="H23" s="120"/>
      <c r="J23" s="120"/>
      <c r="K23" s="120"/>
      <c r="L23" s="120"/>
      <c r="M23" s="120"/>
      <c r="N23" s="121"/>
      <c r="O23" s="120"/>
      <c r="P23" s="118"/>
      <c r="R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34"/>
      <c r="AG23" s="123"/>
      <c r="AH23" s="123"/>
      <c r="AI23" s="134"/>
      <c r="AJ23" s="130"/>
      <c r="AK23" s="130"/>
      <c r="AL23" s="120"/>
      <c r="AM23" s="120"/>
      <c r="AN23" s="120"/>
      <c r="AO23" s="120"/>
      <c r="AP23" s="120"/>
      <c r="AQ23" s="120"/>
      <c r="AR23" s="120"/>
      <c r="AS23" s="120"/>
      <c r="AT23" s="120"/>
      <c r="AU23" s="120"/>
      <c r="AV23" s="120"/>
      <c r="AW23" s="120"/>
      <c r="AX23" s="120"/>
      <c r="AY23" s="120"/>
      <c r="AZ23" s="121"/>
      <c r="BA23" s="121"/>
      <c r="BB23" s="121"/>
      <c r="BD23" s="121"/>
      <c r="BE23" s="121"/>
      <c r="BF23" s="124"/>
      <c r="BH23" s="121"/>
      <c r="BI23" s="121"/>
      <c r="BP23" s="121"/>
      <c r="BQ23" s="149"/>
    </row>
    <row r="24" spans="1:69" s="122" customFormat="1" ht="16.5">
      <c r="A24" s="118"/>
      <c r="B24" s="141"/>
      <c r="C24" s="120"/>
      <c r="D24" s="120"/>
      <c r="E24" s="119"/>
      <c r="F24" s="120"/>
      <c r="G24" s="120"/>
      <c r="H24" s="120"/>
      <c r="J24" s="120"/>
      <c r="K24" s="120"/>
      <c r="L24" s="120"/>
      <c r="M24" s="120"/>
      <c r="N24" s="121"/>
      <c r="O24" s="120"/>
      <c r="P24" s="118"/>
      <c r="R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34"/>
      <c r="AG24" s="123"/>
      <c r="AH24" s="123"/>
      <c r="AI24" s="134"/>
      <c r="AJ24" s="130"/>
      <c r="AK24" s="130"/>
      <c r="AL24" s="120"/>
      <c r="AM24" s="120"/>
      <c r="AN24" s="120"/>
      <c r="AO24" s="120"/>
      <c r="AP24" s="120"/>
      <c r="AQ24" s="120"/>
      <c r="AR24" s="120"/>
      <c r="AS24" s="120"/>
      <c r="AT24" s="120"/>
      <c r="AU24" s="120"/>
      <c r="AV24" s="120"/>
      <c r="AW24" s="120"/>
      <c r="AX24" s="120"/>
      <c r="AY24" s="120"/>
      <c r="AZ24" s="121"/>
      <c r="BA24" s="121"/>
      <c r="BB24" s="121"/>
      <c r="BD24" s="121"/>
      <c r="BE24" s="121"/>
      <c r="BF24" s="124"/>
      <c r="BH24" s="121"/>
      <c r="BI24" s="121"/>
      <c r="BP24" s="121"/>
      <c r="BQ24" s="149"/>
    </row>
    <row r="25" spans="1:69" s="122" customFormat="1" ht="16.5">
      <c r="A25" s="118"/>
      <c r="B25" s="141" t="s">
        <v>1488</v>
      </c>
      <c r="C25" s="120"/>
      <c r="D25" s="120"/>
      <c r="E25" s="119"/>
      <c r="F25" s="120"/>
      <c r="G25" s="120"/>
      <c r="H25" s="120"/>
      <c r="J25" s="120"/>
      <c r="K25" s="120"/>
      <c r="L25" s="120"/>
      <c r="M25" s="120"/>
      <c r="N25" s="121"/>
      <c r="O25" s="120"/>
      <c r="P25" s="118"/>
      <c r="R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>
        <v>1</v>
      </c>
      <c r="AE25" s="134">
        <v>0</v>
      </c>
      <c r="AF25" s="123"/>
      <c r="AG25" s="134">
        <v>0</v>
      </c>
      <c r="AH25" s="123"/>
      <c r="AI25" s="129" t="s">
        <v>1354</v>
      </c>
      <c r="AJ25" s="120"/>
      <c r="AK25" s="120"/>
      <c r="AL25" s="120"/>
      <c r="AN25" s="120"/>
      <c r="AO25" s="120"/>
      <c r="AP25" s="120"/>
      <c r="AQ25" s="120"/>
      <c r="AR25" s="120"/>
      <c r="AS25" s="120"/>
      <c r="AT25" s="120"/>
      <c r="AU25" s="120"/>
      <c r="AV25" s="120"/>
      <c r="AW25" s="120"/>
      <c r="AX25" s="120"/>
      <c r="AY25" s="120"/>
      <c r="AZ25" s="121"/>
      <c r="BA25" s="121"/>
      <c r="BB25" s="121"/>
      <c r="BD25" s="121"/>
      <c r="BE25" s="121"/>
      <c r="BF25" s="124"/>
      <c r="BH25" s="121"/>
      <c r="BI25" s="121"/>
      <c r="BP25" s="121"/>
      <c r="BQ25" s="150">
        <v>44596.6015625</v>
      </c>
    </row>
    <row r="26" spans="1:69" s="13" customFormat="1" ht="26.25" customHeight="1">
      <c r="B26" s="141"/>
      <c r="D26" s="46"/>
      <c r="F26" s="15"/>
      <c r="G26" s="17"/>
      <c r="H26" s="16"/>
      <c r="AG26" s="134"/>
      <c r="BQ26" s="37"/>
    </row>
    <row r="27" spans="1:69" s="13" customFormat="1" ht="26.25" customHeight="1">
      <c r="B27" s="141"/>
      <c r="D27" s="46"/>
      <c r="F27" s="15"/>
      <c r="G27" s="17"/>
      <c r="H27" s="16"/>
      <c r="AG27" s="134"/>
      <c r="BQ27" s="37"/>
    </row>
    <row r="28" spans="1:69" s="13" customFormat="1" ht="26.25" customHeight="1">
      <c r="B28" s="141"/>
      <c r="D28" s="46"/>
      <c r="F28" s="15"/>
      <c r="G28" s="17"/>
      <c r="H28" s="16"/>
      <c r="AG28" s="134"/>
      <c r="BQ28" s="37"/>
    </row>
    <row r="29" spans="1:69" s="13" customFormat="1" ht="26.25" customHeight="1">
      <c r="B29" s="141"/>
      <c r="D29" s="46"/>
      <c r="F29" s="15"/>
      <c r="G29" s="17"/>
      <c r="H29" s="16"/>
      <c r="AG29" s="134"/>
      <c r="BQ29" s="37"/>
    </row>
    <row r="30" spans="1:69" s="122" customFormat="1" ht="16.5">
      <c r="A30" s="118"/>
      <c r="B30" s="141" t="s">
        <v>2855</v>
      </c>
      <c r="C30" s="120"/>
      <c r="D30" s="120"/>
      <c r="E30" s="119"/>
      <c r="F30" s="120"/>
      <c r="G30" s="120"/>
      <c r="H30" s="120"/>
      <c r="J30" s="120"/>
      <c r="K30" s="120"/>
      <c r="L30" s="120"/>
      <c r="M30" s="120"/>
      <c r="N30" s="121"/>
      <c r="O30" s="120"/>
      <c r="P30" s="118"/>
      <c r="R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34">
        <v>0</v>
      </c>
      <c r="AF30" s="123"/>
      <c r="AG30" s="123"/>
      <c r="AH30" s="123"/>
      <c r="AI30" s="134">
        <v>0</v>
      </c>
      <c r="AJ30" s="134"/>
      <c r="AK30" s="120"/>
      <c r="AL30" s="120"/>
      <c r="AN30" s="120"/>
      <c r="AO30" s="120"/>
      <c r="AP30" s="120"/>
      <c r="AQ30" s="120"/>
      <c r="AR30" s="120"/>
      <c r="AS30" s="120"/>
      <c r="AT30" s="120"/>
      <c r="AU30" s="120"/>
      <c r="AV30" s="120"/>
      <c r="AW30" s="120"/>
      <c r="AX30" s="120"/>
      <c r="AY30" s="120"/>
      <c r="AZ30" s="121"/>
      <c r="BA30" s="121"/>
      <c r="BB30" s="121"/>
      <c r="BD30" s="121"/>
      <c r="BE30" s="121"/>
      <c r="BF30" s="124"/>
      <c r="BH30" s="121"/>
      <c r="BI30" s="121"/>
      <c r="BP30" s="121"/>
      <c r="BQ30" s="150">
        <v>44596.600601851853</v>
      </c>
    </row>
    <row r="31" spans="1:69" s="122" customFormat="1" ht="16.5">
      <c r="A31" s="118"/>
      <c r="B31" s="141" t="s">
        <v>1440</v>
      </c>
      <c r="C31" s="120"/>
      <c r="D31" s="120"/>
      <c r="E31" s="119"/>
      <c r="F31" s="120"/>
      <c r="G31" s="120"/>
      <c r="H31" s="120"/>
      <c r="J31" s="120"/>
      <c r="K31" s="120"/>
      <c r="L31" s="120"/>
      <c r="M31" s="120"/>
      <c r="N31" s="121"/>
      <c r="O31" s="120"/>
      <c r="P31" s="118"/>
      <c r="R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30"/>
      <c r="AJ31" s="134">
        <v>0</v>
      </c>
      <c r="AK31" s="130"/>
      <c r="AL31" s="134">
        <v>0</v>
      </c>
      <c r="AM31" s="120"/>
      <c r="AN31" s="120"/>
      <c r="AO31" s="120"/>
      <c r="AP31" s="120"/>
      <c r="AQ31" s="120"/>
      <c r="AR31" s="120"/>
      <c r="AS31" s="120"/>
      <c r="AT31" s="120"/>
      <c r="AU31" s="120"/>
      <c r="AV31" s="120"/>
      <c r="AW31" s="120"/>
      <c r="AX31" s="120"/>
      <c r="AY31" s="120"/>
      <c r="AZ31" s="121"/>
      <c r="BA31" s="121"/>
      <c r="BB31" s="121"/>
      <c r="BD31" s="121"/>
      <c r="BE31" s="121"/>
      <c r="BF31" s="124"/>
      <c r="BH31" s="121"/>
      <c r="BI31" s="121"/>
      <c r="BP31" s="121"/>
      <c r="BQ31" s="150">
        <v>44596.600439814814</v>
      </c>
    </row>
    <row r="32" spans="1:69" s="122" customFormat="1" ht="16.5">
      <c r="A32" s="118"/>
      <c r="B32" s="141" t="s">
        <v>1556</v>
      </c>
      <c r="C32" s="120"/>
      <c r="D32" s="120" t="s">
        <v>1357</v>
      </c>
      <c r="E32" s="119"/>
      <c r="F32" s="120"/>
      <c r="G32" s="120"/>
      <c r="H32" s="120" t="s">
        <v>1356</v>
      </c>
      <c r="J32" s="120"/>
      <c r="K32" s="120"/>
      <c r="L32" s="120"/>
      <c r="M32" s="120"/>
      <c r="N32" s="121"/>
      <c r="O32" s="120"/>
      <c r="P32" s="118"/>
      <c r="R32" s="123"/>
      <c r="T32" s="123"/>
      <c r="U32" s="123"/>
      <c r="V32" s="123"/>
      <c r="W32" s="123"/>
      <c r="X32" s="123"/>
      <c r="Y32" s="123"/>
      <c r="Z32" s="123"/>
      <c r="AA32" s="123">
        <v>10</v>
      </c>
      <c r="AB32" s="123">
        <v>10</v>
      </c>
      <c r="AC32" s="123"/>
      <c r="AD32" s="123"/>
      <c r="AE32" s="134">
        <v>0</v>
      </c>
      <c r="AF32" s="134">
        <v>0</v>
      </c>
      <c r="AG32" s="123"/>
      <c r="AH32" s="123"/>
      <c r="AI32" s="120" t="s">
        <v>1234</v>
      </c>
      <c r="AJ32" s="134">
        <v>0</v>
      </c>
      <c r="AK32" s="120"/>
      <c r="AL32" s="120"/>
      <c r="AM32" s="120"/>
      <c r="AN32" s="120"/>
      <c r="AO32" s="120"/>
      <c r="AP32" s="120"/>
      <c r="AQ32" s="120"/>
      <c r="AR32" s="120"/>
      <c r="AS32" s="120"/>
      <c r="AT32" s="120"/>
      <c r="AU32" s="120"/>
      <c r="AV32" s="120"/>
      <c r="AW32" s="120"/>
      <c r="AX32" s="120"/>
      <c r="AY32" s="120" t="str">
        <f>B32&amp;"(第"&amp;C32&amp;"版）"</f>
        <v>敏捷革命(第版）</v>
      </c>
      <c r="AZ32" s="121"/>
      <c r="BA32" s="121"/>
      <c r="BB32" s="121"/>
      <c r="BD32" s="121"/>
      <c r="BE32" s="121"/>
      <c r="BF32" s="124"/>
      <c r="BH32" s="121"/>
      <c r="BI32" s="121"/>
      <c r="BP32" s="121"/>
      <c r="BQ32" s="149"/>
    </row>
    <row r="33" spans="1:69" s="122" customFormat="1" ht="16.5">
      <c r="A33" s="118"/>
      <c r="B33" s="141" t="s">
        <v>1364</v>
      </c>
      <c r="C33" s="120"/>
      <c r="D33" s="120"/>
      <c r="E33" s="119"/>
      <c r="F33" s="120"/>
      <c r="G33" s="120"/>
      <c r="H33" s="120"/>
      <c r="J33" s="120"/>
      <c r="K33" s="120"/>
      <c r="L33" s="120"/>
      <c r="M33" s="120"/>
      <c r="N33" s="121"/>
      <c r="O33" s="120"/>
      <c r="P33" s="118"/>
      <c r="R33" s="123"/>
      <c r="T33" s="123"/>
      <c r="U33" s="123"/>
      <c r="V33" s="123"/>
      <c r="W33" s="123"/>
      <c r="X33" s="123"/>
      <c r="Y33" s="123"/>
      <c r="Z33" s="123"/>
      <c r="AA33" s="123"/>
      <c r="AB33" s="123">
        <v>10</v>
      </c>
      <c r="AC33" s="123"/>
      <c r="AD33" s="123"/>
      <c r="AE33" s="123"/>
      <c r="AF33" s="134">
        <v>0</v>
      </c>
      <c r="AG33" s="134">
        <v>0</v>
      </c>
      <c r="AH33" s="123"/>
      <c r="AI33" s="120"/>
      <c r="AJ33" s="134">
        <v>0</v>
      </c>
      <c r="AK33" s="120"/>
      <c r="AL33" s="134">
        <v>0</v>
      </c>
      <c r="AM33" s="120"/>
      <c r="AN33" s="120"/>
      <c r="AO33" s="120"/>
      <c r="AP33" s="120"/>
      <c r="AQ33" s="120"/>
      <c r="AR33" s="120"/>
      <c r="AS33" s="120"/>
      <c r="AT33" s="120"/>
      <c r="AU33" s="120"/>
      <c r="AV33" s="120"/>
      <c r="AW33" s="120"/>
      <c r="AX33" s="120"/>
      <c r="AY33" s="120"/>
      <c r="AZ33" s="121"/>
      <c r="BA33" s="121"/>
      <c r="BB33" s="121"/>
      <c r="BD33" s="121"/>
      <c r="BE33" s="121"/>
      <c r="BF33" s="124"/>
      <c r="BH33" s="121"/>
      <c r="BI33" s="121"/>
      <c r="BP33" s="121"/>
      <c r="BQ33" s="150">
        <v>44596.608090277776</v>
      </c>
    </row>
    <row r="34" spans="1:69" s="122" customFormat="1" ht="16.5">
      <c r="A34" s="118"/>
      <c r="B34" s="141" t="s">
        <v>1581</v>
      </c>
      <c r="C34" s="120"/>
      <c r="D34" s="120"/>
      <c r="E34" s="119"/>
      <c r="F34" s="120"/>
      <c r="G34" s="120"/>
      <c r="H34" s="120"/>
      <c r="J34" s="120"/>
      <c r="K34" s="120"/>
      <c r="L34" s="120"/>
      <c r="M34" s="120"/>
      <c r="N34" s="121"/>
      <c r="O34" s="120"/>
      <c r="P34" s="118"/>
      <c r="R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34"/>
      <c r="AH34" s="123"/>
      <c r="AI34" s="134">
        <v>0</v>
      </c>
      <c r="AJ34" s="134"/>
      <c r="AK34" s="120"/>
      <c r="AL34" s="120"/>
      <c r="AM34" s="120"/>
      <c r="AN34" s="120"/>
      <c r="AO34" s="120"/>
      <c r="AP34" s="120"/>
      <c r="AQ34" s="120"/>
      <c r="AR34" s="120"/>
      <c r="AS34" s="120"/>
      <c r="AT34" s="120"/>
      <c r="AU34" s="120"/>
      <c r="AV34" s="120"/>
      <c r="AW34" s="120"/>
      <c r="AX34" s="120"/>
      <c r="AY34" s="120"/>
      <c r="AZ34" s="121"/>
      <c r="BA34" s="121"/>
      <c r="BB34" s="121"/>
      <c r="BD34" s="121"/>
      <c r="BE34" s="121"/>
      <c r="BF34" s="124"/>
      <c r="BH34" s="121"/>
      <c r="BI34" s="121"/>
      <c r="BP34" s="121"/>
      <c r="BQ34" s="149"/>
    </row>
    <row r="35" spans="1:69" s="84" customFormat="1" ht="28.5">
      <c r="B35" s="141" t="s">
        <v>1529</v>
      </c>
      <c r="D35" s="86"/>
      <c r="F35" s="84" t="s">
        <v>1417</v>
      </c>
      <c r="I35" s="86"/>
      <c r="K35" s="86"/>
      <c r="L35" s="86"/>
      <c r="M35" s="86"/>
      <c r="O35" s="85" t="s">
        <v>1418</v>
      </c>
      <c r="Q35" s="84" t="s">
        <v>1416</v>
      </c>
      <c r="S35" s="86"/>
      <c r="AA35" s="123">
        <v>10</v>
      </c>
      <c r="AG35" s="134">
        <v>0</v>
      </c>
      <c r="AJ35" s="134">
        <v>0</v>
      </c>
      <c r="AK35" s="86"/>
      <c r="AL35" s="86"/>
      <c r="AM35" s="134">
        <v>0</v>
      </c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  <c r="AY35" s="86"/>
      <c r="BB35" s="86"/>
      <c r="BQ35" s="163">
        <v>44596.665509259263</v>
      </c>
    </row>
    <row r="36" spans="1:69" s="84" customFormat="1" ht="30" customHeight="1">
      <c r="B36" s="141" t="s">
        <v>1553</v>
      </c>
      <c r="D36" s="86"/>
      <c r="I36" s="86"/>
      <c r="K36" s="86"/>
      <c r="L36" s="86"/>
      <c r="M36" s="86"/>
      <c r="O36" s="85"/>
      <c r="S36" s="86"/>
      <c r="AA36" s="123"/>
      <c r="AF36" s="134">
        <v>0</v>
      </c>
      <c r="AG36" s="134">
        <v>0</v>
      </c>
      <c r="AI36" s="134">
        <v>0</v>
      </c>
      <c r="AJ36" s="86"/>
      <c r="AK36" s="86"/>
      <c r="AL36" s="86"/>
      <c r="AM36" s="86"/>
      <c r="AN36" s="86"/>
      <c r="AO36" s="86"/>
      <c r="AP36" s="86"/>
      <c r="AQ36" s="86"/>
      <c r="AR36" s="86"/>
      <c r="AS36" s="86"/>
      <c r="AT36" s="86"/>
      <c r="AU36" s="86"/>
      <c r="AV36" s="86"/>
      <c r="AW36" s="86"/>
      <c r="AX36" s="86"/>
      <c r="AY36" s="86"/>
      <c r="BB36" s="86"/>
      <c r="BQ36" s="163">
        <v>44596.609733796293</v>
      </c>
    </row>
    <row r="37" spans="1:69" s="122" customFormat="1" ht="16.5">
      <c r="A37" s="118"/>
      <c r="B37" s="141" t="s">
        <v>1386</v>
      </c>
      <c r="C37" s="120"/>
      <c r="D37" s="120"/>
      <c r="E37" s="119"/>
      <c r="F37" s="120"/>
      <c r="G37" s="120"/>
      <c r="H37" s="120"/>
      <c r="J37" s="120"/>
      <c r="K37" s="120"/>
      <c r="L37" s="120"/>
      <c r="M37" s="120"/>
      <c r="N37" s="121"/>
      <c r="O37" s="120"/>
      <c r="P37" s="118"/>
      <c r="R37" s="123"/>
      <c r="T37" s="123"/>
      <c r="U37" s="123"/>
      <c r="V37" s="123"/>
      <c r="W37" s="123"/>
      <c r="X37" s="123"/>
      <c r="Y37" s="123"/>
      <c r="Z37" s="123"/>
      <c r="AA37" s="123">
        <v>10</v>
      </c>
      <c r="AB37" s="123"/>
      <c r="AC37" s="123"/>
      <c r="AD37" s="123"/>
      <c r="AE37" s="123"/>
      <c r="AF37" s="134">
        <v>0</v>
      </c>
      <c r="AG37" s="123"/>
      <c r="AH37" s="134">
        <v>0</v>
      </c>
      <c r="AI37" s="129" t="s">
        <v>1354</v>
      </c>
      <c r="AJ37" s="130"/>
      <c r="AK37" s="134">
        <v>0</v>
      </c>
      <c r="AL37" s="134">
        <v>0</v>
      </c>
      <c r="AM37" s="134">
        <v>0</v>
      </c>
      <c r="AN37" s="120"/>
      <c r="AO37" s="120"/>
      <c r="AP37" s="120"/>
      <c r="AQ37" s="120"/>
      <c r="AR37" s="120"/>
      <c r="AS37" s="120"/>
      <c r="AT37" s="120"/>
      <c r="AU37" s="120"/>
      <c r="AV37" s="120"/>
      <c r="AW37" s="120"/>
      <c r="AX37" s="120"/>
      <c r="AY37" s="120"/>
      <c r="AZ37" s="121"/>
      <c r="BA37" s="121"/>
      <c r="BB37" s="121"/>
      <c r="BD37" s="121"/>
      <c r="BE37" s="121"/>
      <c r="BF37" s="124"/>
      <c r="BH37" s="121"/>
      <c r="BI37" s="121"/>
      <c r="BP37" s="121"/>
      <c r="BQ37" s="150">
        <v>44596.62841435185</v>
      </c>
    </row>
    <row r="38" spans="1:69" s="13" customFormat="1" ht="26.25" customHeight="1">
      <c r="B38" s="141"/>
      <c r="D38" s="46"/>
      <c r="F38" s="15"/>
      <c r="G38" s="17"/>
      <c r="H38" s="16"/>
      <c r="BQ38" s="37"/>
    </row>
    <row r="39" spans="1:69" s="13" customFormat="1" ht="26.25" customHeight="1">
      <c r="B39" s="141" t="s">
        <v>1540</v>
      </c>
      <c r="D39" s="46"/>
      <c r="F39" s="15" t="s">
        <v>2875</v>
      </c>
      <c r="G39" s="17"/>
      <c r="H39" s="16"/>
      <c r="AE39" s="134">
        <v>0</v>
      </c>
      <c r="AI39" s="134">
        <v>0</v>
      </c>
      <c r="AK39" s="134">
        <v>0</v>
      </c>
      <c r="BQ39" s="151">
        <v>44596.68273148148</v>
      </c>
    </row>
    <row r="40" spans="1:69" s="13" customFormat="1" ht="26.25" customHeight="1">
      <c r="B40" s="141"/>
      <c r="D40" s="46"/>
      <c r="F40" s="15"/>
      <c r="G40" s="17"/>
      <c r="H40" s="16"/>
      <c r="AE40" s="134"/>
      <c r="AI40" s="129"/>
      <c r="BQ40" s="151">
        <v>44596.682858796295</v>
      </c>
    </row>
    <row r="41" spans="1:69" s="13" customFormat="1" ht="26.25" customHeight="1">
      <c r="B41" s="141" t="s">
        <v>2768</v>
      </c>
      <c r="D41" s="46"/>
      <c r="F41" s="15"/>
      <c r="G41" s="17"/>
      <c r="H41" s="16"/>
      <c r="AE41" s="134"/>
      <c r="AF41" s="134">
        <v>0</v>
      </c>
      <c r="AI41" s="129"/>
      <c r="AJ41" s="134">
        <v>0</v>
      </c>
      <c r="AK41" s="134">
        <v>0</v>
      </c>
      <c r="BQ41" s="151">
        <v>44596.612592592595</v>
      </c>
    </row>
    <row r="42" spans="1:69" s="122" customFormat="1" ht="16.5">
      <c r="A42" s="118"/>
      <c r="B42" s="141" t="s">
        <v>1441</v>
      </c>
      <c r="C42" s="120"/>
      <c r="D42" s="120"/>
      <c r="E42" s="119"/>
      <c r="F42" s="120"/>
      <c r="G42" s="120"/>
      <c r="H42" s="120"/>
      <c r="J42" s="120"/>
      <c r="K42" s="120"/>
      <c r="L42" s="120"/>
      <c r="M42" s="120"/>
      <c r="N42" s="121"/>
      <c r="O42" s="120"/>
      <c r="P42" s="118"/>
      <c r="R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34">
        <v>0</v>
      </c>
      <c r="AI42" s="130"/>
      <c r="AJ42" s="130"/>
      <c r="AK42" s="130"/>
      <c r="AL42" s="134">
        <v>0</v>
      </c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  <c r="AZ42" s="121"/>
      <c r="BA42" s="121"/>
      <c r="BB42" s="121"/>
      <c r="BD42" s="121"/>
      <c r="BE42" s="121"/>
      <c r="BF42" s="124"/>
      <c r="BH42" s="121"/>
      <c r="BI42" s="121"/>
      <c r="BP42" s="121"/>
      <c r="BQ42" s="150">
        <v>44596.629004629627</v>
      </c>
    </row>
    <row r="43" spans="1:69" s="13" customFormat="1" ht="26.25" customHeight="1">
      <c r="B43" s="141" t="s">
        <v>1820</v>
      </c>
      <c r="D43" s="46"/>
      <c r="F43" s="15"/>
      <c r="G43" s="17"/>
      <c r="H43" s="16" t="s">
        <v>624</v>
      </c>
      <c r="AF43" s="134"/>
      <c r="AI43" s="129" t="s">
        <v>1354</v>
      </c>
      <c r="BQ43" s="151">
        <v>44596.614027777781</v>
      </c>
    </row>
    <row r="44" spans="1:69" s="13" customFormat="1" ht="26.25" customHeight="1">
      <c r="B44" s="141" t="s">
        <v>1821</v>
      </c>
      <c r="D44" s="46"/>
      <c r="F44" s="15"/>
      <c r="G44" s="17"/>
      <c r="H44" s="16" t="s">
        <v>624</v>
      </c>
      <c r="AF44" s="134">
        <v>0</v>
      </c>
      <c r="AI44" s="129" t="s">
        <v>1354</v>
      </c>
      <c r="BQ44" s="37"/>
    </row>
    <row r="45" spans="1:69" s="13" customFormat="1" ht="26.25" customHeight="1">
      <c r="B45" s="141" t="s">
        <v>1822</v>
      </c>
      <c r="D45" s="46"/>
      <c r="F45" s="15"/>
      <c r="G45" s="17"/>
      <c r="H45" s="16" t="s">
        <v>624</v>
      </c>
      <c r="AF45" s="134">
        <v>0</v>
      </c>
      <c r="AI45" s="129" t="s">
        <v>1354</v>
      </c>
      <c r="BQ45" s="37"/>
    </row>
    <row r="46" spans="1:69" s="13" customFormat="1" ht="26.25" customHeight="1">
      <c r="B46" s="141" t="s">
        <v>1823</v>
      </c>
      <c r="D46" s="46"/>
      <c r="F46" s="15"/>
      <c r="G46" s="17"/>
      <c r="H46" s="16" t="s">
        <v>624</v>
      </c>
      <c r="AF46" s="134">
        <v>0</v>
      </c>
      <c r="AI46" s="129" t="s">
        <v>1354</v>
      </c>
      <c r="BQ46" s="37"/>
    </row>
    <row r="47" spans="1:69" s="13" customFormat="1" ht="26.25" customHeight="1">
      <c r="B47" s="141" t="s">
        <v>1824</v>
      </c>
      <c r="D47" s="46"/>
      <c r="F47" s="15"/>
      <c r="G47" s="17"/>
      <c r="H47" s="16" t="s">
        <v>624</v>
      </c>
      <c r="AF47" s="134">
        <v>0</v>
      </c>
      <c r="AI47" s="129" t="s">
        <v>1354</v>
      </c>
      <c r="BQ47" s="37"/>
    </row>
    <row r="48" spans="1:69" s="13" customFormat="1" ht="26.25" customHeight="1">
      <c r="B48" s="141" t="s">
        <v>2859</v>
      </c>
      <c r="D48" s="46"/>
      <c r="F48" s="15"/>
      <c r="G48" s="17"/>
      <c r="H48" s="16" t="s">
        <v>624</v>
      </c>
      <c r="AF48" s="134">
        <v>0</v>
      </c>
      <c r="AI48" s="129" t="s">
        <v>1354</v>
      </c>
      <c r="BQ48" s="151">
        <v>44596.615405092591</v>
      </c>
    </row>
    <row r="49" spans="1:69" s="13" customFormat="1" ht="26.25" customHeight="1">
      <c r="B49" s="141" t="s">
        <v>2860</v>
      </c>
      <c r="D49" s="46"/>
      <c r="F49" s="15"/>
      <c r="G49" s="17"/>
      <c r="H49" s="16"/>
      <c r="AF49" s="134">
        <v>0</v>
      </c>
      <c r="AI49" s="129"/>
      <c r="BQ49" s="151">
        <v>44596.61614583333</v>
      </c>
    </row>
    <row r="50" spans="1:69" s="13" customFormat="1" ht="26.25" customHeight="1">
      <c r="B50" s="141" t="s">
        <v>2861</v>
      </c>
      <c r="D50" s="46"/>
      <c r="F50" s="15"/>
      <c r="G50" s="17"/>
      <c r="H50" s="16"/>
      <c r="AF50" s="134">
        <v>0</v>
      </c>
      <c r="AI50" s="129"/>
      <c r="BQ50" s="151">
        <v>44596.617118055554</v>
      </c>
    </row>
    <row r="51" spans="1:69" s="13" customFormat="1" ht="26.25" customHeight="1">
      <c r="B51" s="141" t="s">
        <v>1561</v>
      </c>
      <c r="D51" s="46"/>
      <c r="F51" s="15"/>
      <c r="G51" s="17"/>
      <c r="H51" s="16" t="s">
        <v>624</v>
      </c>
      <c r="AF51" s="134">
        <v>0</v>
      </c>
      <c r="AI51" s="129" t="s">
        <v>1354</v>
      </c>
      <c r="BQ51" s="151">
        <v>44596.617928240739</v>
      </c>
    </row>
    <row r="52" spans="1:69" s="13" customFormat="1" ht="26.25" customHeight="1">
      <c r="B52" s="141" t="s">
        <v>1610</v>
      </c>
      <c r="D52" s="46"/>
      <c r="F52" s="15"/>
      <c r="G52" s="17"/>
      <c r="H52" s="16"/>
      <c r="AF52" s="134">
        <v>0</v>
      </c>
      <c r="AI52" s="129" t="s">
        <v>1354</v>
      </c>
      <c r="BQ52" s="37"/>
    </row>
    <row r="53" spans="1:69" s="13" customFormat="1" ht="26.25" customHeight="1">
      <c r="B53" s="141" t="s">
        <v>2864</v>
      </c>
      <c r="D53" s="46"/>
      <c r="F53" s="15"/>
      <c r="G53" s="17"/>
      <c r="H53" s="16"/>
      <c r="AF53" s="134"/>
      <c r="AH53" s="134">
        <v>0</v>
      </c>
      <c r="AI53" s="129"/>
      <c r="BQ53" s="151">
        <v>44596.627974537034</v>
      </c>
    </row>
    <row r="54" spans="1:69" s="87" customFormat="1" ht="16.5">
      <c r="B54" s="141" t="s">
        <v>1544</v>
      </c>
      <c r="D54" s="88"/>
      <c r="K54" s="88"/>
      <c r="L54" s="88"/>
      <c r="M54" s="88"/>
      <c r="N54" s="88"/>
      <c r="O54" s="88"/>
      <c r="AE54" s="134">
        <v>0</v>
      </c>
      <c r="AI54" s="88"/>
      <c r="AJ54" s="134">
        <v>0</v>
      </c>
      <c r="AK54" s="88"/>
      <c r="AL54" s="88"/>
      <c r="AM54" s="88"/>
      <c r="AN54" s="88"/>
      <c r="AO54" s="88"/>
      <c r="AP54" s="88"/>
      <c r="AQ54" s="88"/>
      <c r="AR54" s="88"/>
      <c r="AS54" s="88"/>
      <c r="AT54" s="88"/>
      <c r="AU54" s="88"/>
      <c r="AV54" s="88"/>
      <c r="AW54" s="88"/>
      <c r="AX54" s="88"/>
      <c r="AY54" s="88"/>
      <c r="BQ54" s="164">
        <v>44596.613819444443</v>
      </c>
    </row>
    <row r="55" spans="1:69" s="13" customFormat="1" ht="26.25" customHeight="1">
      <c r="B55" s="141" t="s">
        <v>2756</v>
      </c>
      <c r="D55" s="46"/>
      <c r="F55" s="15"/>
      <c r="G55" s="17"/>
      <c r="H55" s="16"/>
      <c r="AE55" s="134"/>
      <c r="AI55" s="134">
        <v>0</v>
      </c>
      <c r="AL55" s="134">
        <v>0</v>
      </c>
      <c r="BQ55" s="37"/>
    </row>
    <row r="56" spans="1:69" s="13" customFormat="1" ht="26.25" customHeight="1">
      <c r="B56" s="141" t="s">
        <v>1542</v>
      </c>
      <c r="D56" s="46"/>
      <c r="F56" s="15"/>
      <c r="G56" s="17"/>
      <c r="H56" s="16"/>
      <c r="AE56" s="134">
        <v>0</v>
      </c>
      <c r="AI56" s="129"/>
      <c r="BQ56" s="37"/>
    </row>
    <row r="57" spans="1:69" s="122" customFormat="1" ht="16.5">
      <c r="A57" s="118"/>
      <c r="B57" s="141" t="s">
        <v>1383</v>
      </c>
      <c r="C57" s="120"/>
      <c r="D57" s="120"/>
      <c r="E57" s="119"/>
      <c r="F57" s="120"/>
      <c r="G57" s="120"/>
      <c r="H57" s="120"/>
      <c r="J57" s="120"/>
      <c r="K57" s="120"/>
      <c r="L57" s="120"/>
      <c r="M57" s="120"/>
      <c r="N57" s="121"/>
      <c r="O57" s="120"/>
      <c r="P57" s="118"/>
      <c r="R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34">
        <v>0</v>
      </c>
      <c r="AH57" s="123"/>
      <c r="AI57" s="134">
        <v>0</v>
      </c>
      <c r="AJ57" s="130"/>
      <c r="AK57" s="134">
        <v>0</v>
      </c>
      <c r="AL57" s="120"/>
      <c r="AM57" s="120"/>
      <c r="AN57" s="120"/>
      <c r="AO57" s="120"/>
      <c r="AP57" s="120"/>
      <c r="AQ57" s="120"/>
      <c r="AR57" s="120"/>
      <c r="AS57" s="120"/>
      <c r="AT57" s="120"/>
      <c r="AU57" s="120"/>
      <c r="AV57" s="120"/>
      <c r="AW57" s="120"/>
      <c r="AX57" s="120"/>
      <c r="AY57" s="120"/>
      <c r="AZ57" s="121"/>
      <c r="BA57" s="121"/>
      <c r="BB57" s="121"/>
      <c r="BD57" s="121"/>
      <c r="BE57" s="121"/>
      <c r="BF57" s="124"/>
      <c r="BH57" s="121"/>
      <c r="BI57" s="121"/>
      <c r="BP57" s="121"/>
      <c r="BQ57" s="150">
        <v>44596.640972222223</v>
      </c>
    </row>
    <row r="58" spans="1:69" s="13" customFormat="1" ht="26.25" customHeight="1">
      <c r="B58" s="141"/>
      <c r="D58" s="46"/>
      <c r="F58" s="15"/>
      <c r="G58" s="17"/>
      <c r="H58" s="16"/>
      <c r="AE58" s="134"/>
      <c r="AI58" s="129"/>
      <c r="BQ58" s="37"/>
    </row>
    <row r="59" spans="1:69" s="13" customFormat="1" ht="26.25" customHeight="1">
      <c r="B59" s="141"/>
      <c r="D59" s="46"/>
      <c r="F59" s="15"/>
      <c r="G59" s="17"/>
      <c r="H59" s="16"/>
      <c r="AE59" s="134"/>
      <c r="AI59" s="129"/>
      <c r="BQ59" s="37"/>
    </row>
    <row r="60" spans="1:69" s="13" customFormat="1" ht="26.25" customHeight="1">
      <c r="B60" s="141" t="s">
        <v>1718</v>
      </c>
      <c r="D60" s="46"/>
      <c r="F60" s="15"/>
      <c r="G60" s="17"/>
      <c r="H60" s="16"/>
      <c r="AI60" s="134">
        <v>0</v>
      </c>
      <c r="BQ60" s="151">
        <v>44596.655347222222</v>
      </c>
    </row>
    <row r="61" spans="1:69" s="13" customFormat="1" ht="26.25" customHeight="1">
      <c r="B61" s="141" t="s">
        <v>1719</v>
      </c>
      <c r="D61" s="46"/>
      <c r="F61" s="15"/>
      <c r="G61" s="17"/>
      <c r="H61" s="16"/>
      <c r="AI61" s="129" t="s">
        <v>1354</v>
      </c>
      <c r="BQ61" s="37"/>
    </row>
    <row r="62" spans="1:69" s="122" customFormat="1" ht="16.5">
      <c r="A62" s="118"/>
      <c r="B62" s="141" t="s">
        <v>1389</v>
      </c>
      <c r="C62" s="120"/>
      <c r="D62" s="120"/>
      <c r="E62" s="119"/>
      <c r="F62" s="120"/>
      <c r="G62" s="120"/>
      <c r="H62" s="120"/>
      <c r="J62" s="120"/>
      <c r="K62" s="120"/>
      <c r="L62" s="120"/>
      <c r="M62" s="120"/>
      <c r="N62" s="121"/>
      <c r="O62" s="120"/>
      <c r="P62" s="118"/>
      <c r="R62" s="123"/>
      <c r="T62" s="123"/>
      <c r="U62" s="123"/>
      <c r="V62" s="123"/>
      <c r="W62" s="123"/>
      <c r="X62" s="123"/>
      <c r="Y62" s="123"/>
      <c r="Z62" s="123"/>
      <c r="AA62" s="123">
        <v>10</v>
      </c>
      <c r="AB62" s="123"/>
      <c r="AC62" s="123"/>
      <c r="AD62" s="123">
        <v>1</v>
      </c>
      <c r="AE62" s="123"/>
      <c r="AF62" s="123"/>
      <c r="AG62" s="123"/>
      <c r="AH62" s="123"/>
      <c r="AI62" s="134">
        <v>0</v>
      </c>
      <c r="AJ62" s="130"/>
      <c r="AK62" s="134">
        <v>0</v>
      </c>
      <c r="AL62" s="120"/>
      <c r="AM62" s="120"/>
      <c r="AN62" s="120"/>
      <c r="AO62" s="120"/>
      <c r="AP62" s="120"/>
      <c r="AQ62" s="120"/>
      <c r="AR62" s="120"/>
      <c r="AS62" s="120"/>
      <c r="AT62" s="120"/>
      <c r="AU62" s="120"/>
      <c r="AV62" s="120"/>
      <c r="AW62" s="120"/>
      <c r="AX62" s="120"/>
      <c r="AY62" s="120"/>
      <c r="AZ62" s="121"/>
      <c r="BA62" s="121"/>
      <c r="BB62" s="121"/>
      <c r="BD62" s="121"/>
      <c r="BE62" s="121"/>
      <c r="BF62" s="124"/>
      <c r="BH62" s="121"/>
      <c r="BI62" s="121"/>
      <c r="BP62" s="121"/>
      <c r="BQ62" s="149"/>
    </row>
    <row r="63" spans="1:69" ht="16.5">
      <c r="B63" s="141" t="s">
        <v>2777</v>
      </c>
      <c r="AI63" s="134">
        <v>0</v>
      </c>
      <c r="AL63" s="134">
        <v>0</v>
      </c>
      <c r="BQ63" s="162">
        <v>44596.65724537037</v>
      </c>
    </row>
    <row r="64" spans="1:69" s="122" customFormat="1" ht="16.5">
      <c r="A64" s="118"/>
      <c r="B64" s="141" t="s">
        <v>1413</v>
      </c>
      <c r="C64" s="120"/>
      <c r="D64" s="120"/>
      <c r="E64" s="119"/>
      <c r="F64" s="120"/>
      <c r="G64" s="120"/>
      <c r="H64" s="120"/>
      <c r="J64" s="120"/>
      <c r="K64" s="120"/>
      <c r="L64" s="120"/>
      <c r="M64" s="120"/>
      <c r="N64" s="121"/>
      <c r="O64" s="120"/>
      <c r="P64" s="118"/>
      <c r="R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>
        <v>6</v>
      </c>
      <c r="AD64" s="123"/>
      <c r="AE64" s="134">
        <v>0</v>
      </c>
      <c r="AF64" s="134">
        <v>0</v>
      </c>
      <c r="AG64" s="123"/>
      <c r="AH64" s="123"/>
      <c r="AI64" s="120"/>
      <c r="AJ64" s="120"/>
      <c r="AK64" s="120"/>
      <c r="AL64" s="120"/>
      <c r="AM64" s="120"/>
      <c r="AN64" s="120"/>
      <c r="AO64" s="120"/>
      <c r="AP64" s="120"/>
      <c r="AQ64" s="120"/>
      <c r="AR64" s="120"/>
      <c r="AS64" s="120"/>
      <c r="AT64" s="120"/>
      <c r="AU64" s="120"/>
      <c r="AV64" s="120"/>
      <c r="AW64" s="120"/>
      <c r="AX64" s="120"/>
      <c r="AY64" s="120"/>
      <c r="AZ64" s="121"/>
      <c r="BA64" s="121"/>
      <c r="BB64" s="121"/>
      <c r="BD64" s="121"/>
      <c r="BE64" s="121"/>
      <c r="BF64" s="124"/>
      <c r="BH64" s="121"/>
      <c r="BI64" s="121"/>
      <c r="BP64" s="121"/>
      <c r="BQ64" s="149"/>
    </row>
    <row r="65" spans="1:69" s="13" customFormat="1" ht="26.25" customHeight="1">
      <c r="B65" s="141" t="s">
        <v>1802</v>
      </c>
      <c r="D65" s="46"/>
      <c r="F65" s="15"/>
      <c r="G65" s="17"/>
      <c r="H65" s="16"/>
      <c r="AH65" s="134">
        <v>0</v>
      </c>
      <c r="AI65" s="129" t="s">
        <v>1354</v>
      </c>
      <c r="AM65" s="134">
        <v>0</v>
      </c>
      <c r="BQ65" s="37"/>
    </row>
    <row r="66" spans="1:69" s="122" customFormat="1" ht="16.5">
      <c r="A66" s="118"/>
      <c r="B66" s="141" t="s">
        <v>1427</v>
      </c>
      <c r="C66" s="120"/>
      <c r="D66" s="120"/>
      <c r="E66" s="119"/>
      <c r="F66" s="120"/>
      <c r="G66" s="120"/>
      <c r="H66" s="120"/>
      <c r="J66" s="120"/>
      <c r="K66" s="120"/>
      <c r="L66" s="120"/>
      <c r="M66" s="120"/>
      <c r="N66" s="121"/>
      <c r="O66" s="120"/>
      <c r="P66" s="118"/>
      <c r="R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34">
        <v>0</v>
      </c>
      <c r="AG66" s="134">
        <v>0</v>
      </c>
      <c r="AH66" s="123"/>
      <c r="AI66" s="134">
        <v>0</v>
      </c>
      <c r="AJ66" s="130"/>
      <c r="AK66" s="130"/>
      <c r="AL66" s="134">
        <v>0</v>
      </c>
      <c r="AM66" s="134">
        <v>0</v>
      </c>
      <c r="AN66" s="120"/>
      <c r="AO66" s="120"/>
      <c r="AP66" s="120"/>
      <c r="AQ66" s="120"/>
      <c r="AR66" s="120"/>
      <c r="AS66" s="120"/>
      <c r="AT66" s="120"/>
      <c r="AU66" s="120"/>
      <c r="AV66" s="120"/>
      <c r="AW66" s="120"/>
      <c r="AX66" s="120"/>
      <c r="AY66" s="120"/>
      <c r="AZ66" s="121"/>
      <c r="BA66" s="121"/>
      <c r="BB66" s="121"/>
      <c r="BD66" s="121"/>
      <c r="BE66" s="121"/>
      <c r="BF66" s="124"/>
      <c r="BH66" s="121"/>
      <c r="BI66" s="121"/>
      <c r="BP66" s="121"/>
      <c r="BQ66" s="150">
        <v>44596.592488425929</v>
      </c>
    </row>
    <row r="67" spans="1:69" s="122" customFormat="1" ht="16.5">
      <c r="A67" s="118"/>
      <c r="B67" s="141" t="s">
        <v>1799</v>
      </c>
      <c r="C67" s="120"/>
      <c r="D67" s="120"/>
      <c r="E67" s="119"/>
      <c r="F67" s="120"/>
      <c r="G67" s="120"/>
      <c r="H67" s="120"/>
      <c r="J67" s="120"/>
      <c r="K67" s="120"/>
      <c r="L67" s="120"/>
      <c r="M67" s="120"/>
      <c r="N67" s="121"/>
      <c r="O67" s="120"/>
      <c r="P67" s="118"/>
      <c r="R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34"/>
      <c r="AH67" s="123"/>
      <c r="AI67" s="129" t="s">
        <v>1354</v>
      </c>
      <c r="AJ67" s="134">
        <v>0</v>
      </c>
      <c r="AK67" s="130"/>
      <c r="AL67" s="120"/>
      <c r="AM67" s="134">
        <v>0</v>
      </c>
      <c r="AN67" s="120"/>
      <c r="AO67" s="120"/>
      <c r="AP67" s="120"/>
      <c r="AQ67" s="120"/>
      <c r="AR67" s="120"/>
      <c r="AS67" s="120"/>
      <c r="AT67" s="120"/>
      <c r="AU67" s="120"/>
      <c r="AV67" s="120"/>
      <c r="AW67" s="120"/>
      <c r="AX67" s="120"/>
      <c r="AY67" s="120"/>
      <c r="AZ67" s="121"/>
      <c r="BA67" s="121"/>
      <c r="BB67" s="121"/>
      <c r="BD67" s="121"/>
      <c r="BE67" s="121"/>
      <c r="BF67" s="124"/>
      <c r="BH67" s="121"/>
      <c r="BI67" s="121"/>
      <c r="BP67" s="121"/>
      <c r="BQ67" s="149"/>
    </row>
    <row r="68" spans="1:69" s="122" customFormat="1" ht="16.5">
      <c r="A68" s="118"/>
      <c r="B68" s="141"/>
      <c r="C68" s="120"/>
      <c r="D68" s="120"/>
      <c r="E68" s="119"/>
      <c r="F68" s="120"/>
      <c r="G68" s="120"/>
      <c r="H68" s="120"/>
      <c r="J68" s="120"/>
      <c r="K68" s="120"/>
      <c r="L68" s="120"/>
      <c r="M68" s="120"/>
      <c r="N68" s="121"/>
      <c r="O68" s="120"/>
      <c r="P68" s="118"/>
      <c r="R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34"/>
      <c r="AH68" s="123"/>
      <c r="AI68" s="134"/>
      <c r="AJ68" s="130"/>
      <c r="AK68" s="130"/>
      <c r="AL68" s="120"/>
      <c r="AM68" s="120"/>
      <c r="AN68" s="120"/>
      <c r="AO68" s="120"/>
      <c r="AP68" s="120"/>
      <c r="AQ68" s="120"/>
      <c r="AR68" s="120"/>
      <c r="AS68" s="120"/>
      <c r="AT68" s="120"/>
      <c r="AU68" s="120"/>
      <c r="AV68" s="120"/>
      <c r="AW68" s="120"/>
      <c r="AX68" s="120"/>
      <c r="AY68" s="120"/>
      <c r="AZ68" s="121"/>
      <c r="BA68" s="121"/>
      <c r="BB68" s="121"/>
      <c r="BD68" s="121"/>
      <c r="BE68" s="121"/>
      <c r="BF68" s="124"/>
      <c r="BH68" s="121"/>
      <c r="BI68" s="121"/>
      <c r="BP68" s="121"/>
      <c r="BQ68" s="149"/>
    </row>
    <row r="69" spans="1:69" s="122" customFormat="1" ht="16.5">
      <c r="A69" s="118"/>
      <c r="B69" s="141" t="s">
        <v>2856</v>
      </c>
      <c r="C69" s="120"/>
      <c r="D69" s="120"/>
      <c r="E69" s="119"/>
      <c r="F69" s="120"/>
      <c r="G69" s="120"/>
      <c r="H69" s="120"/>
      <c r="J69" s="120"/>
      <c r="K69" s="120"/>
      <c r="L69" s="120"/>
      <c r="M69" s="120"/>
      <c r="N69" s="121"/>
      <c r="O69" s="120"/>
      <c r="P69" s="118"/>
      <c r="R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34">
        <v>0</v>
      </c>
      <c r="AF69" s="123"/>
      <c r="AG69" s="134"/>
      <c r="AH69" s="123"/>
      <c r="AI69" s="134"/>
      <c r="AJ69" s="130"/>
      <c r="AK69" s="130"/>
      <c r="AL69" s="120"/>
      <c r="AM69" s="120"/>
      <c r="AN69" s="120"/>
      <c r="AO69" s="120"/>
      <c r="AP69" s="120"/>
      <c r="AQ69" s="120"/>
      <c r="AR69" s="120"/>
      <c r="AS69" s="120"/>
      <c r="AT69" s="120"/>
      <c r="AU69" s="120"/>
      <c r="AV69" s="120"/>
      <c r="AW69" s="120"/>
      <c r="AX69" s="120"/>
      <c r="AY69" s="120"/>
      <c r="AZ69" s="121"/>
      <c r="BA69" s="121"/>
      <c r="BB69" s="121"/>
      <c r="BD69" s="121"/>
      <c r="BE69" s="121"/>
      <c r="BF69" s="124"/>
      <c r="BH69" s="121"/>
      <c r="BI69" s="121"/>
      <c r="BP69" s="121"/>
      <c r="BQ69" s="150">
        <v>44596.603622685187</v>
      </c>
    </row>
    <row r="70" spans="1:69" s="122" customFormat="1" ht="16.5">
      <c r="A70" s="118"/>
      <c r="B70" s="141"/>
      <c r="C70" s="120"/>
      <c r="D70" s="120"/>
      <c r="E70" s="119"/>
      <c r="F70" s="120"/>
      <c r="G70" s="120"/>
      <c r="H70" s="120"/>
      <c r="J70" s="120"/>
      <c r="K70" s="120"/>
      <c r="L70" s="120"/>
      <c r="M70" s="120"/>
      <c r="N70" s="121"/>
      <c r="O70" s="120"/>
      <c r="P70" s="118"/>
      <c r="R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34"/>
      <c r="AF70" s="134"/>
      <c r="AG70" s="123"/>
      <c r="AH70" s="123"/>
      <c r="AI70" s="120"/>
      <c r="AJ70" s="120"/>
      <c r="AK70" s="120"/>
      <c r="AL70" s="120"/>
      <c r="AM70" s="120"/>
      <c r="AN70" s="120"/>
      <c r="AO70" s="120"/>
      <c r="AP70" s="120"/>
      <c r="AQ70" s="120"/>
      <c r="AR70" s="120"/>
      <c r="AS70" s="120"/>
      <c r="AT70" s="120"/>
      <c r="AU70" s="120"/>
      <c r="AV70" s="120"/>
      <c r="AW70" s="120"/>
      <c r="AX70" s="120"/>
      <c r="AY70" s="120"/>
      <c r="AZ70" s="121"/>
      <c r="BA70" s="121"/>
      <c r="BB70" s="121"/>
      <c r="BD70" s="121"/>
      <c r="BE70" s="121"/>
      <c r="BF70" s="124"/>
      <c r="BH70" s="121"/>
      <c r="BI70" s="121"/>
      <c r="BP70" s="121"/>
      <c r="BQ70" s="150">
        <v>44596.603298611109</v>
      </c>
    </row>
    <row r="71" spans="1:69" s="122" customFormat="1" ht="16.5">
      <c r="A71" s="118"/>
      <c r="B71" s="141" t="s">
        <v>1439</v>
      </c>
      <c r="C71" s="120"/>
      <c r="D71" s="120"/>
      <c r="E71" s="119"/>
      <c r="F71" s="120"/>
      <c r="G71" s="120"/>
      <c r="H71" s="120"/>
      <c r="J71" s="120"/>
      <c r="K71" s="120"/>
      <c r="L71" s="120"/>
      <c r="M71" s="120"/>
      <c r="N71" s="121"/>
      <c r="O71" s="120"/>
      <c r="P71" s="118"/>
      <c r="R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30"/>
      <c r="AJ71" s="134">
        <v>0</v>
      </c>
      <c r="AK71" s="130"/>
      <c r="AL71" s="134">
        <v>0</v>
      </c>
      <c r="AM71" s="134">
        <v>0</v>
      </c>
      <c r="AN71" s="120"/>
      <c r="AO71" s="120"/>
      <c r="AP71" s="120"/>
      <c r="AQ71" s="120"/>
      <c r="AR71" s="120"/>
      <c r="AS71" s="120"/>
      <c r="AT71" s="120"/>
      <c r="AU71" s="120"/>
      <c r="AV71" s="120"/>
      <c r="AW71" s="120"/>
      <c r="AX71" s="120"/>
      <c r="AY71" s="120"/>
      <c r="AZ71" s="121"/>
      <c r="BA71" s="121"/>
      <c r="BB71" s="121"/>
      <c r="BD71" s="121"/>
      <c r="BE71" s="121"/>
      <c r="BF71" s="124"/>
      <c r="BH71" s="121"/>
      <c r="BI71" s="121"/>
      <c r="BP71" s="121"/>
      <c r="BQ71" s="150">
        <v>44596.663344907407</v>
      </c>
    </row>
    <row r="72" spans="1:69" s="122" customFormat="1" ht="16.5">
      <c r="A72" s="118"/>
      <c r="B72" s="141" t="s">
        <v>1551</v>
      </c>
      <c r="C72" s="120"/>
      <c r="D72" s="120"/>
      <c r="E72" s="119"/>
      <c r="F72" s="120"/>
      <c r="G72" s="120"/>
      <c r="H72" s="120"/>
      <c r="J72" s="120"/>
      <c r="K72" s="120"/>
      <c r="L72" s="120"/>
      <c r="M72" s="120"/>
      <c r="N72" s="121"/>
      <c r="O72" s="120"/>
      <c r="P72" s="118"/>
      <c r="R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34">
        <v>0</v>
      </c>
      <c r="AG72" s="134">
        <v>0</v>
      </c>
      <c r="AH72" s="134">
        <v>0</v>
      </c>
      <c r="AI72" s="120" t="s">
        <v>1234</v>
      </c>
      <c r="AJ72" s="130"/>
      <c r="AK72" s="130"/>
      <c r="AL72" s="134"/>
      <c r="AM72" s="134"/>
      <c r="AN72" s="120"/>
      <c r="AO72" s="120"/>
      <c r="AP72" s="120"/>
      <c r="AQ72" s="120"/>
      <c r="AR72" s="120"/>
      <c r="AS72" s="120"/>
      <c r="AT72" s="120"/>
      <c r="AU72" s="120"/>
      <c r="AV72" s="120"/>
      <c r="AW72" s="120"/>
      <c r="AX72" s="120"/>
      <c r="AY72" s="120"/>
      <c r="AZ72" s="121"/>
      <c r="BA72" s="121"/>
      <c r="BB72" s="121"/>
      <c r="BD72" s="121"/>
      <c r="BE72" s="121"/>
      <c r="BF72" s="124"/>
      <c r="BH72" s="121"/>
      <c r="BI72" s="121"/>
      <c r="BP72" s="121"/>
      <c r="BQ72" s="150">
        <v>44596.641909722224</v>
      </c>
    </row>
    <row r="73" spans="1:69" s="122" customFormat="1" ht="16.5">
      <c r="A73" s="118"/>
      <c r="B73" s="141" t="s">
        <v>1443</v>
      </c>
      <c r="C73" s="120"/>
      <c r="D73" s="120"/>
      <c r="E73" s="119"/>
      <c r="F73" s="120"/>
      <c r="G73" s="120"/>
      <c r="H73" s="120"/>
      <c r="J73" s="120"/>
      <c r="K73" s="120"/>
      <c r="L73" s="120"/>
      <c r="M73" s="120"/>
      <c r="N73" s="121"/>
      <c r="O73" s="120"/>
      <c r="P73" s="118"/>
      <c r="R73" s="123"/>
      <c r="T73" s="123"/>
      <c r="U73" s="123"/>
      <c r="V73" s="123"/>
      <c r="W73" s="123"/>
      <c r="X73" s="123"/>
      <c r="Y73" s="123"/>
      <c r="Z73" s="123"/>
      <c r="AA73" s="123"/>
      <c r="AB73" s="123"/>
      <c r="AC73" s="123"/>
      <c r="AD73" s="123"/>
      <c r="AE73" s="134">
        <v>0</v>
      </c>
      <c r="AF73" s="134">
        <v>0</v>
      </c>
      <c r="AG73" s="123"/>
      <c r="AH73" s="134">
        <v>0</v>
      </c>
      <c r="AI73" s="130"/>
      <c r="AJ73" s="134">
        <v>0</v>
      </c>
      <c r="AK73" s="134">
        <v>0</v>
      </c>
      <c r="AL73" s="134">
        <v>0</v>
      </c>
      <c r="AM73" s="134">
        <v>0</v>
      </c>
      <c r="AN73" s="120"/>
      <c r="AO73" s="120"/>
      <c r="AP73" s="120"/>
      <c r="AQ73" s="120"/>
      <c r="AR73" s="120"/>
      <c r="AS73" s="120"/>
      <c r="AT73" s="120"/>
      <c r="AU73" s="120"/>
      <c r="AV73" s="120"/>
      <c r="AW73" s="120"/>
      <c r="AX73" s="120"/>
      <c r="AY73" s="120"/>
      <c r="AZ73" s="121"/>
      <c r="BA73" s="121"/>
      <c r="BB73" s="121"/>
      <c r="BD73" s="121"/>
      <c r="BE73" s="121"/>
      <c r="BF73" s="124"/>
      <c r="BH73" s="121"/>
      <c r="BI73" s="121"/>
      <c r="BP73" s="121"/>
      <c r="BQ73" s="150">
        <v>44596.592094907406</v>
      </c>
    </row>
    <row r="74" spans="1:69" s="122" customFormat="1" ht="16.5">
      <c r="A74" s="118"/>
      <c r="B74" s="141" t="s">
        <v>1384</v>
      </c>
      <c r="C74" s="120"/>
      <c r="D74" s="120"/>
      <c r="E74" s="119"/>
      <c r="F74" s="120"/>
      <c r="G74" s="120"/>
      <c r="H74" s="120"/>
      <c r="J74" s="120"/>
      <c r="K74" s="120"/>
      <c r="L74" s="120"/>
      <c r="M74" s="120"/>
      <c r="N74" s="121"/>
      <c r="O74" s="120"/>
      <c r="P74" s="118"/>
      <c r="R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34">
        <v>0</v>
      </c>
      <c r="AG74" s="123"/>
      <c r="AH74" s="134">
        <v>0</v>
      </c>
      <c r="AI74" s="120"/>
      <c r="AJ74" s="134">
        <v>0</v>
      </c>
      <c r="AK74" s="134">
        <v>0</v>
      </c>
      <c r="AL74" s="120"/>
      <c r="AM74" s="134">
        <v>0</v>
      </c>
      <c r="AN74" s="120"/>
      <c r="AO74" s="120"/>
      <c r="AP74" s="120"/>
      <c r="AQ74" s="120"/>
      <c r="AR74" s="120"/>
      <c r="AS74" s="120"/>
      <c r="AT74" s="120"/>
      <c r="AU74" s="120"/>
      <c r="AV74" s="120"/>
      <c r="AW74" s="120"/>
      <c r="AX74" s="120"/>
      <c r="AY74" s="120"/>
      <c r="AZ74" s="121"/>
      <c r="BA74" s="121"/>
      <c r="BB74" s="121"/>
      <c r="BD74" s="121"/>
      <c r="BE74" s="121"/>
      <c r="BF74" s="124"/>
      <c r="BH74" s="121"/>
      <c r="BI74" s="121"/>
      <c r="BP74" s="121"/>
      <c r="BQ74" s="150">
        <v>44596.609456018516</v>
      </c>
    </row>
    <row r="75" spans="1:69" s="13" customFormat="1" ht="26.25" customHeight="1">
      <c r="B75" s="141" t="s">
        <v>1709</v>
      </c>
      <c r="D75" s="46"/>
      <c r="F75" s="15"/>
      <c r="G75" s="17"/>
      <c r="H75" s="16"/>
      <c r="AI75" s="134">
        <v>0</v>
      </c>
      <c r="BQ75" s="37"/>
    </row>
    <row r="76" spans="1:69" s="122" customFormat="1" ht="16.5">
      <c r="A76" s="118"/>
      <c r="B76" s="141" t="s">
        <v>2749</v>
      </c>
      <c r="C76" s="120"/>
      <c r="D76" s="120"/>
      <c r="E76" s="119"/>
      <c r="F76" s="120"/>
      <c r="G76" s="120"/>
      <c r="H76" s="120"/>
      <c r="J76" s="120"/>
      <c r="K76" s="120"/>
      <c r="L76" s="120"/>
      <c r="M76" s="120"/>
      <c r="N76" s="121"/>
      <c r="O76" s="120"/>
      <c r="P76" s="118"/>
      <c r="R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34">
        <v>0</v>
      </c>
      <c r="AI76" s="120"/>
      <c r="AJ76" s="130"/>
      <c r="AK76" s="134"/>
      <c r="AL76" s="120"/>
      <c r="AM76" s="134"/>
      <c r="AN76" s="120"/>
      <c r="AO76" s="120"/>
      <c r="AP76" s="120"/>
      <c r="AQ76" s="120"/>
      <c r="AR76" s="120"/>
      <c r="AS76" s="120"/>
      <c r="AT76" s="120"/>
      <c r="AU76" s="120"/>
      <c r="AV76" s="120"/>
      <c r="AW76" s="120"/>
      <c r="AX76" s="120"/>
      <c r="AY76" s="120"/>
      <c r="AZ76" s="121"/>
      <c r="BA76" s="121"/>
      <c r="BB76" s="121"/>
      <c r="BD76" s="121"/>
      <c r="BE76" s="121"/>
      <c r="BF76" s="124"/>
      <c r="BH76" s="121"/>
      <c r="BI76" s="121"/>
      <c r="BP76" s="121"/>
      <c r="BQ76" s="149"/>
    </row>
    <row r="77" spans="1:69" s="122" customFormat="1" ht="16.5">
      <c r="A77" s="118"/>
      <c r="B77" s="141" t="s">
        <v>1379</v>
      </c>
      <c r="C77" s="120"/>
      <c r="D77" s="120"/>
      <c r="E77" s="119"/>
      <c r="F77" s="120"/>
      <c r="G77" s="120"/>
      <c r="H77" s="120"/>
      <c r="J77" s="120"/>
      <c r="K77" s="120"/>
      <c r="L77" s="120"/>
      <c r="M77" s="120"/>
      <c r="N77" s="121"/>
      <c r="O77" s="120"/>
      <c r="P77" s="118"/>
      <c r="R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0"/>
      <c r="AJ77" s="130"/>
      <c r="AK77" s="134">
        <v>0</v>
      </c>
      <c r="AL77" s="120"/>
      <c r="AM77" s="120"/>
      <c r="AN77" s="120"/>
      <c r="AO77" s="120"/>
      <c r="AP77" s="120"/>
      <c r="AQ77" s="120"/>
      <c r="AR77" s="120"/>
      <c r="AS77" s="120"/>
      <c r="AT77" s="120"/>
      <c r="AU77" s="120"/>
      <c r="AV77" s="120"/>
      <c r="AW77" s="120"/>
      <c r="AX77" s="120"/>
      <c r="AY77" s="120"/>
      <c r="AZ77" s="121"/>
      <c r="BA77" s="121"/>
      <c r="BB77" s="121"/>
      <c r="BD77" s="121"/>
      <c r="BE77" s="121"/>
      <c r="BF77" s="124"/>
      <c r="BH77" s="121"/>
      <c r="BI77" s="121"/>
      <c r="BP77" s="121"/>
      <c r="BQ77" s="149"/>
    </row>
    <row r="78" spans="1:69" s="122" customFormat="1" ht="27">
      <c r="A78" s="118"/>
      <c r="B78" s="141" t="s">
        <v>2763</v>
      </c>
      <c r="C78" s="120"/>
      <c r="D78" s="120"/>
      <c r="E78" s="119"/>
      <c r="F78" s="120"/>
      <c r="G78" s="120"/>
      <c r="H78" s="120"/>
      <c r="J78" s="120"/>
      <c r="K78" s="120"/>
      <c r="L78" s="120"/>
      <c r="M78" s="120"/>
      <c r="N78" s="121"/>
      <c r="O78" s="120"/>
      <c r="P78" s="118"/>
      <c r="R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34">
        <v>0</v>
      </c>
      <c r="AH78" s="134"/>
      <c r="AI78" s="120"/>
      <c r="AJ78" s="130"/>
      <c r="AK78" s="134">
        <v>0</v>
      </c>
      <c r="AL78" s="120"/>
      <c r="AM78" s="134"/>
      <c r="AN78" s="120"/>
      <c r="AO78" s="120"/>
      <c r="AP78" s="120"/>
      <c r="AQ78" s="120"/>
      <c r="AR78" s="120"/>
      <c r="AS78" s="120"/>
      <c r="AT78" s="120"/>
      <c r="AU78" s="120"/>
      <c r="AV78" s="120"/>
      <c r="AW78" s="120"/>
      <c r="AX78" s="120"/>
      <c r="AY78" s="120"/>
      <c r="AZ78" s="121"/>
      <c r="BA78" s="121"/>
      <c r="BB78" s="121"/>
      <c r="BD78" s="121"/>
      <c r="BE78" s="121"/>
      <c r="BF78" s="124"/>
      <c r="BH78" s="121"/>
      <c r="BI78" s="121"/>
      <c r="BP78" s="121"/>
      <c r="BQ78" s="150">
        <v>44596.6330787037</v>
      </c>
    </row>
    <row r="79" spans="1:69" s="122" customFormat="1" ht="16.5">
      <c r="A79" s="118"/>
      <c r="B79" s="141" t="s">
        <v>1438</v>
      </c>
      <c r="C79" s="120"/>
      <c r="D79" s="120"/>
      <c r="E79" s="119"/>
      <c r="F79" s="120"/>
      <c r="G79" s="120"/>
      <c r="H79" s="120"/>
      <c r="J79" s="120"/>
      <c r="K79" s="120"/>
      <c r="L79" s="120"/>
      <c r="M79" s="120"/>
      <c r="N79" s="121"/>
      <c r="O79" s="120"/>
      <c r="P79" s="118"/>
      <c r="R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34">
        <v>0</v>
      </c>
      <c r="AH79" s="123"/>
      <c r="AI79" s="130"/>
      <c r="AJ79" s="130"/>
      <c r="AK79" s="130"/>
      <c r="AL79" s="134">
        <v>0</v>
      </c>
      <c r="AM79" s="120"/>
      <c r="AN79" s="120"/>
      <c r="AO79" s="120"/>
      <c r="AP79" s="120"/>
      <c r="AQ79" s="120"/>
      <c r="AR79" s="120"/>
      <c r="AS79" s="120"/>
      <c r="AT79" s="120"/>
      <c r="AU79" s="120"/>
      <c r="AV79" s="120"/>
      <c r="AW79" s="120"/>
      <c r="AX79" s="120"/>
      <c r="AY79" s="120"/>
      <c r="AZ79" s="121"/>
      <c r="BA79" s="121"/>
      <c r="BB79" s="121"/>
      <c r="BD79" s="121"/>
      <c r="BE79" s="121"/>
      <c r="BF79" s="124"/>
      <c r="BH79" s="121"/>
      <c r="BI79" s="121"/>
      <c r="BP79" s="121"/>
      <c r="BQ79" s="149"/>
    </row>
    <row r="80" spans="1:69" s="122" customFormat="1" ht="16.5">
      <c r="A80" s="118"/>
      <c r="B80" s="141" t="s">
        <v>2776</v>
      </c>
      <c r="C80" s="120"/>
      <c r="D80" s="120"/>
      <c r="E80" s="119"/>
      <c r="F80" s="120"/>
      <c r="G80" s="120"/>
      <c r="H80" s="120"/>
      <c r="J80" s="120"/>
      <c r="K80" s="120"/>
      <c r="L80" s="120"/>
      <c r="M80" s="120"/>
      <c r="N80" s="121"/>
      <c r="O80" s="120"/>
      <c r="P80" s="118"/>
      <c r="R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34">
        <v>0</v>
      </c>
      <c r="AH80" s="134"/>
      <c r="AI80" s="120"/>
      <c r="AJ80" s="130"/>
      <c r="AK80" s="134"/>
      <c r="AL80" s="120"/>
      <c r="AM80" s="134"/>
      <c r="AN80" s="120"/>
      <c r="AO80" s="120"/>
      <c r="AP80" s="120"/>
      <c r="AQ80" s="120"/>
      <c r="AR80" s="120"/>
      <c r="AS80" s="120"/>
      <c r="AT80" s="120"/>
      <c r="AU80" s="120"/>
      <c r="AV80" s="120"/>
      <c r="AW80" s="120"/>
      <c r="AX80" s="120"/>
      <c r="AY80" s="120"/>
      <c r="AZ80" s="121"/>
      <c r="BA80" s="121"/>
      <c r="BB80" s="121"/>
      <c r="BD80" s="121"/>
      <c r="BE80" s="121"/>
      <c r="BF80" s="124"/>
      <c r="BH80" s="121"/>
      <c r="BI80" s="121"/>
      <c r="BP80" s="121"/>
      <c r="BQ80" s="149"/>
    </row>
    <row r="81" spans="1:69" s="122" customFormat="1" ht="16.5">
      <c r="A81" s="118"/>
      <c r="B81" s="141" t="s">
        <v>2865</v>
      </c>
      <c r="C81" s="120"/>
      <c r="D81" s="120"/>
      <c r="E81" s="119"/>
      <c r="F81" s="120"/>
      <c r="G81" s="120"/>
      <c r="H81" s="120"/>
      <c r="J81" s="120"/>
      <c r="K81" s="120"/>
      <c r="L81" s="120"/>
      <c r="M81" s="120"/>
      <c r="N81" s="121"/>
      <c r="O81" s="120"/>
      <c r="P81" s="118"/>
      <c r="R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34">
        <v>0</v>
      </c>
      <c r="AH81" s="134"/>
      <c r="AI81" s="120"/>
      <c r="AJ81" s="130"/>
      <c r="AK81" s="134"/>
      <c r="AL81" s="120"/>
      <c r="AM81" s="134"/>
      <c r="AN81" s="120"/>
      <c r="AO81" s="120"/>
      <c r="AP81" s="120"/>
      <c r="AQ81" s="120"/>
      <c r="AR81" s="120"/>
      <c r="AS81" s="120"/>
      <c r="AT81" s="120"/>
      <c r="AU81" s="120"/>
      <c r="AV81" s="120"/>
      <c r="AW81" s="120"/>
      <c r="AX81" s="120"/>
      <c r="AY81" s="120"/>
      <c r="AZ81" s="121"/>
      <c r="BA81" s="121"/>
      <c r="BB81" s="121"/>
      <c r="BD81" s="121"/>
      <c r="BE81" s="121"/>
      <c r="BF81" s="124"/>
      <c r="BH81" s="121"/>
      <c r="BI81" s="121"/>
      <c r="BP81" s="121"/>
      <c r="BQ81" s="150">
        <v>44596.633425925924</v>
      </c>
    </row>
    <row r="82" spans="1:69" s="13" customFormat="1" ht="26.25" customHeight="1">
      <c r="B82" s="141" t="s">
        <v>1555</v>
      </c>
      <c r="D82" s="46"/>
      <c r="F82" s="15"/>
      <c r="G82" s="17"/>
      <c r="H82" s="16"/>
      <c r="AG82" s="134">
        <v>0</v>
      </c>
      <c r="BQ82" s="151">
        <v>44596.601493055554</v>
      </c>
    </row>
    <row r="83" spans="1:69" s="122" customFormat="1" ht="16.5">
      <c r="A83" s="118"/>
      <c r="B83" s="141"/>
      <c r="C83" s="120"/>
      <c r="D83" s="120"/>
      <c r="E83" s="119"/>
      <c r="F83" s="120"/>
      <c r="G83" s="120"/>
      <c r="H83" s="120"/>
      <c r="J83" s="120"/>
      <c r="K83" s="120"/>
      <c r="L83" s="120"/>
      <c r="M83" s="120"/>
      <c r="N83" s="121"/>
      <c r="O83" s="120"/>
      <c r="P83" s="118"/>
      <c r="R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34"/>
      <c r="AI83" s="120"/>
      <c r="AJ83" s="130"/>
      <c r="AK83" s="134"/>
      <c r="AL83" s="120"/>
      <c r="AM83" s="134"/>
      <c r="AN83" s="120"/>
      <c r="AO83" s="120"/>
      <c r="AP83" s="120"/>
      <c r="AQ83" s="120"/>
      <c r="AR83" s="120"/>
      <c r="AS83" s="120"/>
      <c r="AT83" s="120"/>
      <c r="AU83" s="120"/>
      <c r="AV83" s="120"/>
      <c r="AW83" s="120"/>
      <c r="AX83" s="120"/>
      <c r="AY83" s="120"/>
      <c r="AZ83" s="121"/>
      <c r="BA83" s="121"/>
      <c r="BB83" s="121"/>
      <c r="BD83" s="121"/>
      <c r="BE83" s="121"/>
      <c r="BF83" s="124"/>
      <c r="BH83" s="121"/>
      <c r="BI83" s="121"/>
      <c r="BP83" s="121"/>
      <c r="BQ83" s="150">
        <v>44596.633506944447</v>
      </c>
    </row>
    <row r="84" spans="1:69" s="122" customFormat="1" ht="16.5">
      <c r="A84" s="118"/>
      <c r="B84" s="141"/>
      <c r="C84" s="120"/>
      <c r="D84" s="120"/>
      <c r="E84" s="119"/>
      <c r="F84" s="120"/>
      <c r="G84" s="120"/>
      <c r="H84" s="120"/>
      <c r="J84" s="120"/>
      <c r="K84" s="120"/>
      <c r="L84" s="120"/>
      <c r="M84" s="120"/>
      <c r="N84" s="121"/>
      <c r="O84" s="120"/>
      <c r="P84" s="118"/>
      <c r="R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34"/>
      <c r="AI84" s="120"/>
      <c r="AJ84" s="130"/>
      <c r="AK84" s="134"/>
      <c r="AL84" s="120"/>
      <c r="AM84" s="134"/>
      <c r="AN84" s="120"/>
      <c r="AO84" s="120"/>
      <c r="AP84" s="120"/>
      <c r="AQ84" s="120"/>
      <c r="AR84" s="120"/>
      <c r="AS84" s="120"/>
      <c r="AT84" s="120"/>
      <c r="AU84" s="120"/>
      <c r="AV84" s="120"/>
      <c r="AW84" s="120"/>
      <c r="AX84" s="120"/>
      <c r="AY84" s="120"/>
      <c r="AZ84" s="121"/>
      <c r="BA84" s="121"/>
      <c r="BB84" s="121"/>
      <c r="BD84" s="121"/>
      <c r="BE84" s="121"/>
      <c r="BF84" s="124"/>
      <c r="BH84" s="121"/>
      <c r="BI84" s="121"/>
      <c r="BP84" s="121"/>
      <c r="BQ84" s="149"/>
    </row>
    <row r="85" spans="1:69" s="122" customFormat="1" ht="16.5">
      <c r="A85" s="118"/>
      <c r="B85" s="141" t="s">
        <v>1550</v>
      </c>
      <c r="C85" s="120">
        <v>5</v>
      </c>
      <c r="D85" s="120"/>
      <c r="E85" s="119"/>
      <c r="F85" s="120"/>
      <c r="G85" s="120"/>
      <c r="H85" s="120"/>
      <c r="J85" s="120"/>
      <c r="K85" s="120"/>
      <c r="L85" s="120"/>
      <c r="M85" s="120"/>
      <c r="N85" s="121"/>
      <c r="O85" s="120"/>
      <c r="P85" s="118"/>
      <c r="R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34">
        <v>0</v>
      </c>
      <c r="AG85" s="134">
        <v>0</v>
      </c>
      <c r="AH85" s="134">
        <v>0</v>
      </c>
      <c r="AI85" s="134">
        <v>0</v>
      </c>
      <c r="AJ85" s="130"/>
      <c r="AK85" s="134">
        <v>0</v>
      </c>
      <c r="AL85" s="134">
        <v>0</v>
      </c>
      <c r="AM85" s="134"/>
      <c r="AN85" s="120"/>
      <c r="AO85" s="120"/>
      <c r="AP85" s="120"/>
      <c r="AQ85" s="120"/>
      <c r="AR85" s="120"/>
      <c r="AS85" s="120"/>
      <c r="AT85" s="120"/>
      <c r="AU85" s="120"/>
      <c r="AV85" s="120"/>
      <c r="AW85" s="120"/>
      <c r="AX85" s="120"/>
      <c r="AY85" s="120"/>
      <c r="AZ85" s="121"/>
      <c r="BA85" s="121"/>
      <c r="BB85" s="121"/>
      <c r="BD85" s="121"/>
      <c r="BE85" s="121"/>
      <c r="BF85" s="124"/>
      <c r="BH85" s="121"/>
      <c r="BI85" s="121"/>
      <c r="BP85" s="121"/>
      <c r="BQ85" s="150">
        <v>44596.629814814813</v>
      </c>
    </row>
    <row r="86" spans="1:69" s="13" customFormat="1" ht="26.25" customHeight="1">
      <c r="B86" s="141" t="s">
        <v>1704</v>
      </c>
      <c r="D86" s="46"/>
      <c r="F86" s="15"/>
      <c r="G86" s="17"/>
      <c r="H86" s="16"/>
      <c r="AI86" s="129" t="s">
        <v>1354</v>
      </c>
      <c r="AM86" s="134">
        <v>0</v>
      </c>
      <c r="BQ86" s="37"/>
    </row>
    <row r="87" spans="1:69" s="13" customFormat="1" ht="26.25" customHeight="1">
      <c r="B87" s="141"/>
      <c r="D87" s="46"/>
      <c r="F87" s="15"/>
      <c r="G87" s="17"/>
      <c r="H87" s="16"/>
      <c r="AI87" s="129"/>
      <c r="AM87" s="134"/>
      <c r="BQ87" s="37"/>
    </row>
    <row r="88" spans="1:69" s="13" customFormat="1" ht="26.25" customHeight="1">
      <c r="B88" s="141" t="s">
        <v>2858</v>
      </c>
      <c r="D88" s="46"/>
      <c r="F88" s="15"/>
      <c r="G88" s="17"/>
      <c r="H88" s="16"/>
      <c r="AF88" s="134">
        <v>0</v>
      </c>
      <c r="AI88" s="129"/>
      <c r="AM88" s="134"/>
      <c r="BQ88" s="151">
        <v>44596.611041666663</v>
      </c>
    </row>
    <row r="89" spans="1:69" s="13" customFormat="1" ht="26.25" customHeight="1">
      <c r="B89" s="141" t="s">
        <v>2874</v>
      </c>
      <c r="D89" s="46"/>
      <c r="F89" s="15"/>
      <c r="G89" s="17"/>
      <c r="H89" s="16"/>
      <c r="AI89" s="129"/>
      <c r="AK89" s="134">
        <v>0</v>
      </c>
      <c r="AM89" s="134"/>
      <c r="BQ89" s="151">
        <v>44596.610925925925</v>
      </c>
    </row>
    <row r="90" spans="1:69" s="13" customFormat="1" ht="26.25" customHeight="1">
      <c r="B90" s="141" t="s">
        <v>2873</v>
      </c>
      <c r="D90" s="46"/>
      <c r="F90" s="15"/>
      <c r="G90" s="17"/>
      <c r="H90" s="16"/>
      <c r="AI90" s="129"/>
      <c r="AL90" s="134">
        <v>0</v>
      </c>
      <c r="AM90" s="134"/>
      <c r="BQ90" s="151">
        <v>44596.670636574076</v>
      </c>
    </row>
    <row r="91" spans="1:69" s="13" customFormat="1" ht="26.25" customHeight="1">
      <c r="B91" s="141"/>
      <c r="D91" s="46"/>
      <c r="F91" s="15"/>
      <c r="G91" s="17"/>
      <c r="H91" s="16"/>
      <c r="AI91" s="129"/>
      <c r="BQ91" s="151">
        <v>44596.670520833337</v>
      </c>
    </row>
    <row r="92" spans="1:69" s="122" customFormat="1" ht="16.5">
      <c r="A92" s="118"/>
      <c r="B92" s="141" t="s">
        <v>2770</v>
      </c>
      <c r="C92" s="120"/>
      <c r="D92" s="120"/>
      <c r="E92" s="119"/>
      <c r="F92" s="120"/>
      <c r="G92" s="120"/>
      <c r="H92" s="120"/>
      <c r="J92" s="120"/>
      <c r="K92" s="120"/>
      <c r="L92" s="120"/>
      <c r="M92" s="120"/>
      <c r="N92" s="121"/>
      <c r="O92" s="120"/>
      <c r="P92" s="118"/>
      <c r="R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34"/>
      <c r="AG92" s="134">
        <v>0</v>
      </c>
      <c r="AH92" s="134">
        <v>0</v>
      </c>
      <c r="AI92" s="134"/>
      <c r="AJ92" s="134">
        <v>0</v>
      </c>
      <c r="AK92" s="134"/>
      <c r="AL92" s="134">
        <v>0</v>
      </c>
      <c r="AM92" s="134"/>
      <c r="AN92" s="120"/>
      <c r="AO92" s="120"/>
      <c r="AP92" s="120"/>
      <c r="AQ92" s="120"/>
      <c r="AR92" s="120"/>
      <c r="AS92" s="120"/>
      <c r="AT92" s="120"/>
      <c r="AU92" s="120"/>
      <c r="AV92" s="120"/>
      <c r="AW92" s="120"/>
      <c r="AX92" s="120"/>
      <c r="AY92" s="120"/>
      <c r="AZ92" s="121"/>
      <c r="BA92" s="121"/>
      <c r="BB92" s="121"/>
      <c r="BD92" s="121"/>
      <c r="BE92" s="121"/>
      <c r="BF92" s="124"/>
      <c r="BH92" s="121"/>
      <c r="BI92" s="121"/>
      <c r="BP92" s="121"/>
      <c r="BQ92" s="150">
        <v>44596.628761574073</v>
      </c>
    </row>
    <row r="93" spans="1:69" s="122" customFormat="1" ht="16.5">
      <c r="A93" s="118"/>
      <c r="B93" s="141" t="s">
        <v>2867</v>
      </c>
      <c r="C93" s="120"/>
      <c r="D93" s="120"/>
      <c r="E93" s="119"/>
      <c r="F93" s="120"/>
      <c r="G93" s="120"/>
      <c r="H93" s="120"/>
      <c r="J93" s="120"/>
      <c r="K93" s="120"/>
      <c r="L93" s="120"/>
      <c r="M93" s="120"/>
      <c r="N93" s="121"/>
      <c r="O93" s="120"/>
      <c r="P93" s="118"/>
      <c r="R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34"/>
      <c r="AG93" s="134">
        <v>0</v>
      </c>
      <c r="AH93" s="134"/>
      <c r="AI93" s="134"/>
      <c r="AJ93" s="134"/>
      <c r="AK93" s="134"/>
      <c r="AL93" s="120"/>
      <c r="AM93" s="134"/>
      <c r="AN93" s="120"/>
      <c r="AO93" s="120"/>
      <c r="AP93" s="120"/>
      <c r="AQ93" s="120"/>
      <c r="AR93" s="120"/>
      <c r="AS93" s="120"/>
      <c r="AT93" s="120"/>
      <c r="AU93" s="120"/>
      <c r="AV93" s="120"/>
      <c r="AW93" s="120"/>
      <c r="AX93" s="120"/>
      <c r="AY93" s="120"/>
      <c r="AZ93" s="121"/>
      <c r="BA93" s="121"/>
      <c r="BB93" s="121"/>
      <c r="BD93" s="121"/>
      <c r="BE93" s="121"/>
      <c r="BF93" s="124"/>
      <c r="BH93" s="121"/>
      <c r="BI93" s="121"/>
      <c r="BP93" s="121"/>
      <c r="BQ93" s="150">
        <v>44596.643680555557</v>
      </c>
    </row>
    <row r="94" spans="1:69" s="122" customFormat="1" ht="16.5">
      <c r="A94" s="118"/>
      <c r="B94" s="141"/>
      <c r="C94" s="120"/>
      <c r="D94" s="120"/>
      <c r="E94" s="119"/>
      <c r="F94" s="120"/>
      <c r="G94" s="120"/>
      <c r="H94" s="120"/>
      <c r="J94" s="120"/>
      <c r="K94" s="120"/>
      <c r="L94" s="120"/>
      <c r="M94" s="120"/>
      <c r="N94" s="121"/>
      <c r="O94" s="120"/>
      <c r="P94" s="118"/>
      <c r="R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34"/>
      <c r="AG94" s="134"/>
      <c r="AH94" s="134"/>
      <c r="AI94" s="134"/>
      <c r="AJ94" s="134"/>
      <c r="AK94" s="134"/>
      <c r="AL94" s="120"/>
      <c r="AM94" s="134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  <c r="AZ94" s="121"/>
      <c r="BA94" s="121"/>
      <c r="BB94" s="121"/>
      <c r="BD94" s="121"/>
      <c r="BE94" s="121"/>
      <c r="BF94" s="124"/>
      <c r="BH94" s="121"/>
      <c r="BI94" s="121"/>
      <c r="BP94" s="121"/>
      <c r="BQ94" s="150"/>
    </row>
    <row r="95" spans="1:69" s="122" customFormat="1" ht="27">
      <c r="A95" s="118"/>
      <c r="B95" s="141" t="s">
        <v>1549</v>
      </c>
      <c r="C95" s="120"/>
      <c r="D95" s="120"/>
      <c r="E95" s="119"/>
      <c r="F95" s="120"/>
      <c r="G95" s="120"/>
      <c r="H95" s="120"/>
      <c r="J95" s="120"/>
      <c r="K95" s="120"/>
      <c r="L95" s="120"/>
      <c r="M95" s="120"/>
      <c r="N95" s="121"/>
      <c r="O95" s="120"/>
      <c r="P95" s="118"/>
      <c r="R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34">
        <v>0</v>
      </c>
      <c r="AG95" s="134">
        <v>0</v>
      </c>
      <c r="AH95" s="123"/>
      <c r="AI95" s="120"/>
      <c r="AJ95" s="130"/>
      <c r="AK95" s="134">
        <v>0</v>
      </c>
      <c r="AL95" s="134">
        <v>0</v>
      </c>
      <c r="AM95" s="134">
        <v>0</v>
      </c>
      <c r="AN95" s="120"/>
      <c r="AO95" s="120"/>
      <c r="AP95" s="120"/>
      <c r="AQ95" s="120"/>
      <c r="AR95" s="120"/>
      <c r="AS95" s="120"/>
      <c r="AT95" s="120"/>
      <c r="AU95" s="120"/>
      <c r="AV95" s="120"/>
      <c r="AW95" s="120"/>
      <c r="AX95" s="120"/>
      <c r="AY95" s="120"/>
      <c r="AZ95" s="121"/>
      <c r="BA95" s="121"/>
      <c r="BB95" s="121"/>
      <c r="BD95" s="121"/>
      <c r="BE95" s="121"/>
      <c r="BF95" s="124"/>
      <c r="BH95" s="121"/>
      <c r="BI95" s="121"/>
      <c r="BP95" s="121"/>
      <c r="BQ95" s="150">
        <v>44596.591747685183</v>
      </c>
    </row>
    <row r="96" spans="1:69" s="122" customFormat="1" ht="27">
      <c r="A96" s="118"/>
      <c r="B96" s="141" t="s">
        <v>1554</v>
      </c>
      <c r="C96" s="120"/>
      <c r="D96" s="120"/>
      <c r="E96" s="119"/>
      <c r="F96" s="120"/>
      <c r="G96" s="120"/>
      <c r="H96" s="120"/>
      <c r="J96" s="120"/>
      <c r="K96" s="120"/>
      <c r="L96" s="120"/>
      <c r="M96" s="120"/>
      <c r="N96" s="121"/>
      <c r="O96" s="120"/>
      <c r="P96" s="118"/>
      <c r="R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34"/>
      <c r="AG96" s="134">
        <v>0</v>
      </c>
      <c r="AH96" s="123"/>
      <c r="AI96" s="120"/>
      <c r="AJ96" s="130"/>
      <c r="AK96" s="134"/>
      <c r="AL96" s="120"/>
      <c r="AM96" s="134"/>
      <c r="AN96" s="120"/>
      <c r="AO96" s="120"/>
      <c r="AP96" s="120"/>
      <c r="AQ96" s="120"/>
      <c r="AR96" s="120"/>
      <c r="AS96" s="120"/>
      <c r="AT96" s="120"/>
      <c r="AU96" s="120"/>
      <c r="AV96" s="120"/>
      <c r="AW96" s="120"/>
      <c r="AX96" s="120"/>
      <c r="AY96" s="120"/>
      <c r="AZ96" s="121"/>
      <c r="BA96" s="121"/>
      <c r="BB96" s="121"/>
      <c r="BD96" s="121"/>
      <c r="BE96" s="121"/>
      <c r="BF96" s="124"/>
      <c r="BH96" s="121"/>
      <c r="BI96" s="121"/>
      <c r="BP96" s="121"/>
      <c r="BQ96" s="149"/>
    </row>
    <row r="97" spans="1:69" s="122" customFormat="1" ht="16.5">
      <c r="A97" s="118"/>
      <c r="B97" s="141" t="s">
        <v>2761</v>
      </c>
      <c r="C97" s="120"/>
      <c r="D97" s="120"/>
      <c r="E97" s="119"/>
      <c r="F97" s="120"/>
      <c r="G97" s="120"/>
      <c r="H97" s="120"/>
      <c r="J97" s="120"/>
      <c r="K97" s="120"/>
      <c r="L97" s="120"/>
      <c r="M97" s="120"/>
      <c r="N97" s="121"/>
      <c r="O97" s="120"/>
      <c r="P97" s="118"/>
      <c r="R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34"/>
      <c r="AG97" s="134"/>
      <c r="AH97" s="123"/>
      <c r="AI97" s="120"/>
      <c r="AJ97" s="130"/>
      <c r="AK97" s="134">
        <v>0</v>
      </c>
      <c r="AL97" s="134">
        <v>0</v>
      </c>
      <c r="AM97" s="134">
        <v>0</v>
      </c>
      <c r="AN97" s="120"/>
      <c r="AO97" s="120"/>
      <c r="AP97" s="120"/>
      <c r="AQ97" s="120"/>
      <c r="AR97" s="120"/>
      <c r="AS97" s="120"/>
      <c r="AT97" s="120"/>
      <c r="AU97" s="120"/>
      <c r="AV97" s="120"/>
      <c r="AW97" s="120"/>
      <c r="AX97" s="120"/>
      <c r="AY97" s="120"/>
      <c r="AZ97" s="121"/>
      <c r="BA97" s="121"/>
      <c r="BB97" s="121"/>
      <c r="BD97" s="121"/>
      <c r="BE97" s="121"/>
      <c r="BF97" s="124"/>
      <c r="BH97" s="121"/>
      <c r="BI97" s="121"/>
      <c r="BP97" s="121"/>
      <c r="BQ97" s="150">
        <v>44596.590081018519</v>
      </c>
    </row>
    <row r="98" spans="1:69" s="122" customFormat="1" ht="16.5">
      <c r="A98" s="118"/>
      <c r="B98" s="141" t="s">
        <v>2771</v>
      </c>
      <c r="C98" s="120"/>
      <c r="D98" s="120"/>
      <c r="E98" s="119"/>
      <c r="F98" s="120"/>
      <c r="G98" s="120"/>
      <c r="H98" s="120"/>
      <c r="J98" s="120"/>
      <c r="K98" s="120"/>
      <c r="L98" s="120"/>
      <c r="M98" s="120"/>
      <c r="N98" s="121"/>
      <c r="O98" s="120"/>
      <c r="P98" s="118"/>
      <c r="R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34"/>
      <c r="AG98" s="134"/>
      <c r="AH98" s="123"/>
      <c r="AI98" s="120"/>
      <c r="AJ98" s="134">
        <v>0</v>
      </c>
      <c r="AK98" s="134"/>
      <c r="AL98" s="120"/>
      <c r="AM98" s="134"/>
      <c r="AN98" s="120"/>
      <c r="AO98" s="120"/>
      <c r="AP98" s="120"/>
      <c r="AQ98" s="120"/>
      <c r="AR98" s="120"/>
      <c r="AS98" s="120"/>
      <c r="AT98" s="120"/>
      <c r="AU98" s="120"/>
      <c r="AV98" s="120"/>
      <c r="AW98" s="120"/>
      <c r="AX98" s="120"/>
      <c r="AY98" s="120"/>
      <c r="AZ98" s="121"/>
      <c r="BA98" s="121"/>
      <c r="BB98" s="121"/>
      <c r="BD98" s="121"/>
      <c r="BE98" s="121"/>
      <c r="BF98" s="124"/>
      <c r="BH98" s="121"/>
      <c r="BI98" s="121"/>
      <c r="BP98" s="121"/>
      <c r="BQ98" s="150">
        <v>44596.629502314812</v>
      </c>
    </row>
    <row r="99" spans="1:69" s="122" customFormat="1" ht="16.5">
      <c r="A99" s="118"/>
      <c r="B99" s="141" t="s">
        <v>2748</v>
      </c>
      <c r="C99" s="120"/>
      <c r="D99" s="120"/>
      <c r="E99" s="119"/>
      <c r="F99" s="120"/>
      <c r="G99" s="120"/>
      <c r="H99" s="120"/>
      <c r="J99" s="120"/>
      <c r="K99" s="120"/>
      <c r="L99" s="120"/>
      <c r="M99" s="120"/>
      <c r="N99" s="121"/>
      <c r="O99" s="120"/>
      <c r="P99" s="118"/>
      <c r="R99" s="123"/>
      <c r="T99" s="123"/>
      <c r="U99" s="123"/>
      <c r="V99" s="123"/>
      <c r="W99" s="123"/>
      <c r="X99" s="123"/>
      <c r="Y99" s="123"/>
      <c r="Z99" s="123"/>
      <c r="AA99" s="123"/>
      <c r="AB99" s="123"/>
      <c r="AC99" s="123"/>
      <c r="AD99" s="123"/>
      <c r="AE99" s="123"/>
      <c r="AF99" s="134"/>
      <c r="AG99" s="134"/>
      <c r="AH99" s="134">
        <v>0</v>
      </c>
      <c r="AI99" s="120"/>
      <c r="AJ99" s="134"/>
      <c r="AK99" s="134"/>
      <c r="AL99" s="120"/>
      <c r="AM99" s="134"/>
      <c r="AN99" s="120"/>
      <c r="AO99" s="120"/>
      <c r="AP99" s="120"/>
      <c r="AQ99" s="120"/>
      <c r="AR99" s="120"/>
      <c r="AS99" s="120"/>
      <c r="AT99" s="120"/>
      <c r="AU99" s="120"/>
      <c r="AV99" s="120"/>
      <c r="AW99" s="120"/>
      <c r="AX99" s="120"/>
      <c r="AY99" s="120"/>
      <c r="AZ99" s="121"/>
      <c r="BA99" s="121"/>
      <c r="BB99" s="121"/>
      <c r="BD99" s="121"/>
      <c r="BE99" s="121"/>
      <c r="BF99" s="124"/>
      <c r="BH99" s="121"/>
      <c r="BI99" s="121"/>
      <c r="BP99" s="121"/>
      <c r="BQ99" s="150">
        <v>44596.629560185182</v>
      </c>
    </row>
    <row r="100" spans="1:69" s="122" customFormat="1" ht="16.5">
      <c r="A100" s="118"/>
      <c r="B100" s="141"/>
      <c r="C100" s="120"/>
      <c r="D100" s="120"/>
      <c r="E100" s="119"/>
      <c r="F100" s="120"/>
      <c r="G100" s="120"/>
      <c r="H100" s="120"/>
      <c r="J100" s="120"/>
      <c r="K100" s="120"/>
      <c r="L100" s="120"/>
      <c r="M100" s="120"/>
      <c r="N100" s="121"/>
      <c r="O100" s="120"/>
      <c r="P100" s="118"/>
      <c r="R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E100" s="123"/>
      <c r="AF100" s="134"/>
      <c r="AG100" s="134"/>
      <c r="AH100" s="123"/>
      <c r="AI100" s="120"/>
      <c r="AJ100" s="134"/>
      <c r="AK100" s="134"/>
      <c r="AL100" s="120"/>
      <c r="AM100" s="134"/>
      <c r="AN100" s="120"/>
      <c r="AO100" s="120"/>
      <c r="AP100" s="120"/>
      <c r="AQ100" s="120"/>
      <c r="AR100" s="120"/>
      <c r="AS100" s="120"/>
      <c r="AT100" s="120"/>
      <c r="AU100" s="120"/>
      <c r="AV100" s="120"/>
      <c r="AW100" s="120"/>
      <c r="AX100" s="120"/>
      <c r="AY100" s="120"/>
      <c r="AZ100" s="121"/>
      <c r="BA100" s="121"/>
      <c r="BB100" s="121"/>
      <c r="BD100" s="121"/>
      <c r="BE100" s="121"/>
      <c r="BF100" s="124"/>
      <c r="BH100" s="121"/>
      <c r="BI100" s="121"/>
      <c r="BP100" s="121"/>
      <c r="BQ100" s="149"/>
    </row>
    <row r="101" spans="1:69" s="122" customFormat="1" ht="27">
      <c r="A101" s="118"/>
      <c r="B101" s="141" t="s">
        <v>2871</v>
      </c>
      <c r="C101" s="120"/>
      <c r="D101" s="120"/>
      <c r="E101" s="119"/>
      <c r="F101" s="120"/>
      <c r="G101" s="120"/>
      <c r="H101" s="120"/>
      <c r="J101" s="120"/>
      <c r="K101" s="120"/>
      <c r="L101" s="120"/>
      <c r="M101" s="120"/>
      <c r="N101" s="121"/>
      <c r="O101" s="120"/>
      <c r="P101" s="118"/>
      <c r="R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E101" s="123"/>
      <c r="AF101" s="134"/>
      <c r="AG101" s="134"/>
      <c r="AH101" s="123"/>
      <c r="AI101" s="134">
        <v>0</v>
      </c>
      <c r="AJ101" s="134"/>
      <c r="AK101" s="134"/>
      <c r="AL101" s="120"/>
      <c r="AM101" s="134"/>
      <c r="AN101" s="120"/>
      <c r="AO101" s="120"/>
      <c r="AP101" s="120"/>
      <c r="AQ101" s="120"/>
      <c r="AR101" s="120"/>
      <c r="AS101" s="120"/>
      <c r="AT101" s="120"/>
      <c r="AU101" s="120"/>
      <c r="AV101" s="120"/>
      <c r="AW101" s="120"/>
      <c r="AX101" s="120"/>
      <c r="AY101" s="120"/>
      <c r="AZ101" s="121"/>
      <c r="BA101" s="121"/>
      <c r="BB101" s="121"/>
      <c r="BD101" s="121"/>
      <c r="BE101" s="121"/>
      <c r="BF101" s="124"/>
      <c r="BH101" s="121"/>
      <c r="BI101" s="121"/>
      <c r="BP101" s="121"/>
      <c r="BQ101" s="150">
        <v>44596.656712962962</v>
      </c>
    </row>
    <row r="102" spans="1:69" s="122" customFormat="1" ht="16.5">
      <c r="A102" s="118"/>
      <c r="B102" s="141" t="s">
        <v>1570</v>
      </c>
      <c r="C102" s="120">
        <v>2</v>
      </c>
      <c r="D102" s="120"/>
      <c r="E102" s="119"/>
      <c r="F102" s="120"/>
      <c r="G102" s="120"/>
      <c r="H102" s="120"/>
      <c r="J102" s="120"/>
      <c r="K102" s="120"/>
      <c r="L102" s="120"/>
      <c r="M102" s="120"/>
      <c r="N102" s="121"/>
      <c r="O102" s="120"/>
      <c r="P102" s="118"/>
      <c r="R102" s="123"/>
      <c r="T102" s="123"/>
      <c r="U102" s="123"/>
      <c r="V102" s="123"/>
      <c r="W102" s="123"/>
      <c r="X102" s="123"/>
      <c r="Y102" s="123"/>
      <c r="Z102" s="123"/>
      <c r="AA102" s="123"/>
      <c r="AB102" s="123"/>
      <c r="AC102" s="123"/>
      <c r="AD102" s="123"/>
      <c r="AE102" s="134">
        <v>0</v>
      </c>
      <c r="AF102" s="123"/>
      <c r="AG102" s="123"/>
      <c r="AH102" s="123"/>
      <c r="AI102" s="120" t="s">
        <v>1234</v>
      </c>
      <c r="AJ102" s="134">
        <v>0</v>
      </c>
      <c r="AK102" s="120"/>
      <c r="AL102" s="120"/>
      <c r="AN102" s="120"/>
      <c r="AO102" s="120"/>
      <c r="AP102" s="120"/>
      <c r="AQ102" s="120"/>
      <c r="AR102" s="120"/>
      <c r="AS102" s="120"/>
      <c r="AT102" s="120"/>
      <c r="AU102" s="120"/>
      <c r="AV102" s="120"/>
      <c r="AW102" s="120"/>
      <c r="AX102" s="120"/>
      <c r="AY102" s="120" t="str">
        <f>B102&amp;"(第"&amp;C102&amp;"版）"</f>
        <v>关键对话：如何高效能对话(第2版）</v>
      </c>
      <c r="AZ102" s="121"/>
      <c r="BA102" s="121"/>
      <c r="BB102" s="121"/>
      <c r="BD102" s="121"/>
      <c r="BE102" s="121"/>
      <c r="BF102" s="124"/>
      <c r="BH102" s="121"/>
      <c r="BI102" s="121"/>
      <c r="BP102" s="121"/>
      <c r="BQ102" s="150">
        <v>44596.602650462963</v>
      </c>
    </row>
    <row r="103" spans="1:69" s="13" customFormat="1" ht="26.25" customHeight="1">
      <c r="B103" s="141" t="s">
        <v>1691</v>
      </c>
      <c r="D103" s="46"/>
      <c r="F103" s="15"/>
      <c r="G103" s="17"/>
      <c r="H103" s="16"/>
      <c r="AI103" s="129" t="s">
        <v>1354</v>
      </c>
      <c r="AK103" s="134">
        <v>0</v>
      </c>
      <c r="BQ103" s="37"/>
    </row>
    <row r="104" spans="1:69" s="122" customFormat="1" ht="16.5">
      <c r="A104" s="118"/>
      <c r="B104" s="141" t="s">
        <v>2750</v>
      </c>
      <c r="C104" s="120"/>
      <c r="D104" s="120"/>
      <c r="E104" s="119"/>
      <c r="F104" s="120"/>
      <c r="G104" s="120"/>
      <c r="H104" s="120"/>
      <c r="J104" s="120"/>
      <c r="K104" s="120"/>
      <c r="L104" s="120"/>
      <c r="M104" s="120"/>
      <c r="N104" s="121"/>
      <c r="O104" s="120"/>
      <c r="P104" s="118"/>
      <c r="R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34"/>
      <c r="AG104" s="134"/>
      <c r="AH104" s="134">
        <v>0</v>
      </c>
      <c r="AI104" s="120"/>
      <c r="AJ104" s="134">
        <v>0</v>
      </c>
      <c r="AK104" s="134"/>
      <c r="AL104" s="120"/>
      <c r="AM104" s="134">
        <v>0</v>
      </c>
      <c r="AN104" s="120"/>
      <c r="AO104" s="120"/>
      <c r="AP104" s="120"/>
      <c r="AQ104" s="120"/>
      <c r="AR104" s="120"/>
      <c r="AS104" s="120"/>
      <c r="AT104" s="120"/>
      <c r="AU104" s="120"/>
      <c r="AV104" s="120"/>
      <c r="AW104" s="120"/>
      <c r="AX104" s="120"/>
      <c r="AY104" s="120"/>
      <c r="AZ104" s="121"/>
      <c r="BA104" s="121"/>
      <c r="BB104" s="121"/>
      <c r="BD104" s="121"/>
      <c r="BE104" s="121"/>
      <c r="BF104" s="124"/>
      <c r="BH104" s="121"/>
      <c r="BI104" s="121"/>
      <c r="BP104" s="121"/>
      <c r="BQ104" s="149"/>
    </row>
    <row r="105" spans="1:69" s="122" customFormat="1" ht="16.5">
      <c r="A105" s="118"/>
      <c r="B105" s="141" t="s">
        <v>1363</v>
      </c>
      <c r="C105" s="120"/>
      <c r="D105" s="120"/>
      <c r="E105" s="119"/>
      <c r="F105" s="120"/>
      <c r="G105" s="120"/>
      <c r="H105" s="120"/>
      <c r="J105" s="120"/>
      <c r="K105" s="120"/>
      <c r="L105" s="120"/>
      <c r="M105" s="120"/>
      <c r="N105" s="121"/>
      <c r="O105" s="120"/>
      <c r="P105" s="118"/>
      <c r="R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J105" s="134">
        <v>0</v>
      </c>
      <c r="AK105" s="120"/>
      <c r="AL105" s="120"/>
      <c r="AM105" s="134">
        <v>0</v>
      </c>
      <c r="AN105" s="120"/>
      <c r="AO105" s="120"/>
      <c r="AP105" s="120"/>
      <c r="AQ105" s="120"/>
      <c r="AR105" s="120"/>
      <c r="AS105" s="120"/>
      <c r="AT105" s="120"/>
      <c r="AU105" s="120"/>
      <c r="AV105" s="120"/>
      <c r="AW105" s="120"/>
      <c r="AX105" s="120"/>
      <c r="AZ105" s="121"/>
      <c r="BA105" s="121"/>
      <c r="BB105" s="121"/>
      <c r="BD105" s="121"/>
      <c r="BE105" s="121"/>
      <c r="BF105" s="124"/>
      <c r="BH105" s="121"/>
      <c r="BI105" s="121"/>
      <c r="BP105" s="121"/>
      <c r="BQ105" s="150">
        <v>44596.664201388892</v>
      </c>
    </row>
    <row r="106" spans="1:69" s="122" customFormat="1" ht="16.5">
      <c r="A106" s="118"/>
      <c r="B106" s="141" t="s">
        <v>2872</v>
      </c>
      <c r="C106" s="120"/>
      <c r="D106" s="120"/>
      <c r="E106" s="119"/>
      <c r="F106" s="120"/>
      <c r="G106" s="120"/>
      <c r="H106" s="120"/>
      <c r="J106" s="120"/>
      <c r="K106" s="120"/>
      <c r="L106" s="120"/>
      <c r="M106" s="120"/>
      <c r="N106" s="121"/>
      <c r="O106" s="120"/>
      <c r="P106" s="118"/>
      <c r="R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34"/>
      <c r="AG106" s="134"/>
      <c r="AH106" s="134"/>
      <c r="AI106" s="120"/>
      <c r="AJ106" s="134">
        <v>0</v>
      </c>
      <c r="AK106" s="134"/>
      <c r="AL106" s="120"/>
      <c r="AM106" s="134"/>
      <c r="AN106" s="120"/>
      <c r="AO106" s="120"/>
      <c r="AP106" s="120"/>
      <c r="AQ106" s="120"/>
      <c r="AR106" s="120"/>
      <c r="AS106" s="120"/>
      <c r="AT106" s="120"/>
      <c r="AU106" s="120"/>
      <c r="AV106" s="120"/>
      <c r="AW106" s="120"/>
      <c r="AX106" s="120"/>
      <c r="AY106" s="120"/>
      <c r="AZ106" s="121"/>
      <c r="BA106" s="121"/>
      <c r="BB106" s="121"/>
      <c r="BD106" s="121"/>
      <c r="BE106" s="121"/>
      <c r="BF106" s="124"/>
      <c r="BH106" s="121"/>
      <c r="BI106" s="121"/>
      <c r="BP106" s="121"/>
      <c r="BQ106" s="149"/>
    </row>
    <row r="107" spans="1:69" s="122" customFormat="1" ht="16.5">
      <c r="A107" s="118"/>
      <c r="B107" s="141"/>
      <c r="C107" s="120"/>
      <c r="D107" s="120"/>
      <c r="E107" s="119"/>
      <c r="F107" s="120"/>
      <c r="G107" s="120"/>
      <c r="H107" s="120"/>
      <c r="J107" s="120"/>
      <c r="K107" s="120"/>
      <c r="L107" s="120"/>
      <c r="M107" s="120"/>
      <c r="N107" s="121"/>
      <c r="O107" s="120"/>
      <c r="P107" s="118"/>
      <c r="R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34"/>
      <c r="AG107" s="134"/>
      <c r="AH107" s="134"/>
      <c r="AI107" s="120"/>
      <c r="AJ107" s="130"/>
      <c r="AK107" s="134"/>
      <c r="AL107" s="120"/>
      <c r="AM107" s="134"/>
      <c r="AN107" s="120"/>
      <c r="AO107" s="120"/>
      <c r="AP107" s="120"/>
      <c r="AQ107" s="120"/>
      <c r="AR107" s="120"/>
      <c r="AS107" s="120"/>
      <c r="AT107" s="120"/>
      <c r="AU107" s="120"/>
      <c r="AV107" s="120"/>
      <c r="AW107" s="120"/>
      <c r="AX107" s="120"/>
      <c r="AY107" s="120"/>
      <c r="AZ107" s="121"/>
      <c r="BA107" s="121"/>
      <c r="BB107" s="121"/>
      <c r="BD107" s="121"/>
      <c r="BE107" s="121"/>
      <c r="BF107" s="124"/>
      <c r="BH107" s="121"/>
      <c r="BI107" s="121"/>
      <c r="BP107" s="121"/>
      <c r="BQ107" s="150">
        <v>44596.664085648146</v>
      </c>
    </row>
    <row r="108" spans="1:69" s="122" customFormat="1" ht="27">
      <c r="A108" s="118"/>
      <c r="B108" s="141" t="s">
        <v>2751</v>
      </c>
      <c r="C108" s="120"/>
      <c r="D108" s="120"/>
      <c r="E108" s="119"/>
      <c r="F108" s="120"/>
      <c r="G108" s="120"/>
      <c r="H108" s="120"/>
      <c r="J108" s="120"/>
      <c r="K108" s="120"/>
      <c r="L108" s="120"/>
      <c r="M108" s="120"/>
      <c r="N108" s="121"/>
      <c r="O108" s="120"/>
      <c r="P108" s="118"/>
      <c r="R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34"/>
      <c r="AG108" s="134"/>
      <c r="AH108" s="134">
        <v>0</v>
      </c>
      <c r="AI108" s="120"/>
      <c r="AJ108" s="130"/>
      <c r="AK108" s="134"/>
      <c r="AL108" s="120"/>
      <c r="AM108" s="134"/>
      <c r="AN108" s="120"/>
      <c r="AO108" s="120"/>
      <c r="AP108" s="120"/>
      <c r="AQ108" s="120"/>
      <c r="AR108" s="120"/>
      <c r="AS108" s="120"/>
      <c r="AT108" s="120"/>
      <c r="AU108" s="120"/>
      <c r="AV108" s="120"/>
      <c r="AW108" s="120"/>
      <c r="AX108" s="120"/>
      <c r="AY108" s="120"/>
      <c r="AZ108" s="121"/>
      <c r="BA108" s="121"/>
      <c r="BB108" s="121"/>
      <c r="BD108" s="121"/>
      <c r="BE108" s="121"/>
      <c r="BF108" s="124"/>
      <c r="BH108" s="121"/>
      <c r="BI108" s="121"/>
      <c r="BP108" s="121"/>
      <c r="BQ108" s="149"/>
    </row>
    <row r="109" spans="1:69" s="122" customFormat="1" ht="16.5">
      <c r="A109" s="118"/>
      <c r="B109" s="141" t="s">
        <v>2776</v>
      </c>
      <c r="C109" s="120"/>
      <c r="D109" s="120"/>
      <c r="E109" s="119"/>
      <c r="F109" s="120"/>
      <c r="G109" s="120"/>
      <c r="H109" s="120"/>
      <c r="J109" s="120"/>
      <c r="K109" s="120"/>
      <c r="L109" s="120"/>
      <c r="M109" s="120"/>
      <c r="N109" s="121"/>
      <c r="O109" s="120"/>
      <c r="P109" s="118"/>
      <c r="R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34"/>
      <c r="AG109" s="134"/>
      <c r="AH109" s="134"/>
      <c r="AI109" s="120"/>
      <c r="AJ109" s="130"/>
      <c r="AK109" s="134"/>
      <c r="AL109" s="134">
        <v>0</v>
      </c>
      <c r="AM109" s="134"/>
      <c r="AN109" s="120"/>
      <c r="AO109" s="120"/>
      <c r="AP109" s="120"/>
      <c r="AQ109" s="120"/>
      <c r="AR109" s="120"/>
      <c r="AS109" s="120"/>
      <c r="AT109" s="120"/>
      <c r="AU109" s="120"/>
      <c r="AV109" s="120"/>
      <c r="AW109" s="120"/>
      <c r="AX109" s="120"/>
      <c r="AY109" s="120"/>
      <c r="AZ109" s="121"/>
      <c r="BA109" s="121"/>
      <c r="BB109" s="121"/>
      <c r="BD109" s="121"/>
      <c r="BE109" s="121"/>
      <c r="BF109" s="124"/>
      <c r="BH109" s="121"/>
      <c r="BI109" s="121"/>
      <c r="BP109" s="121"/>
      <c r="BQ109" s="149"/>
    </row>
    <row r="110" spans="1:69" s="122" customFormat="1" ht="16.5">
      <c r="A110" s="118"/>
      <c r="B110" s="141" t="s">
        <v>1380</v>
      </c>
      <c r="C110" s="120"/>
      <c r="D110" s="120"/>
      <c r="E110" s="119"/>
      <c r="F110" s="120"/>
      <c r="G110" s="120"/>
      <c r="H110" s="120"/>
      <c r="J110" s="120"/>
      <c r="K110" s="120"/>
      <c r="L110" s="120"/>
      <c r="M110" s="120"/>
      <c r="N110" s="121"/>
      <c r="O110" s="120"/>
      <c r="P110" s="118"/>
      <c r="R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34">
        <v>0</v>
      </c>
      <c r="AF110" s="123"/>
      <c r="AG110" s="134">
        <v>0</v>
      </c>
      <c r="AH110" s="134">
        <v>0</v>
      </c>
      <c r="AI110" s="134">
        <v>0</v>
      </c>
      <c r="AJ110" s="130"/>
      <c r="AK110" s="134">
        <v>0</v>
      </c>
      <c r="AL110" s="120"/>
      <c r="AM110" s="120"/>
      <c r="AN110" s="120"/>
      <c r="AO110" s="120"/>
      <c r="AP110" s="120"/>
      <c r="AQ110" s="120"/>
      <c r="AR110" s="120"/>
      <c r="AS110" s="120"/>
      <c r="AT110" s="120"/>
      <c r="AU110" s="120"/>
      <c r="AV110" s="120"/>
      <c r="AW110" s="120"/>
      <c r="AX110" s="120"/>
      <c r="AY110" s="120"/>
      <c r="AZ110" s="121"/>
      <c r="BA110" s="121"/>
      <c r="BB110" s="121"/>
      <c r="BD110" s="121"/>
      <c r="BE110" s="121"/>
      <c r="BF110" s="124"/>
      <c r="BH110" s="121"/>
      <c r="BI110" s="121"/>
      <c r="BP110" s="121"/>
      <c r="BQ110" s="149"/>
    </row>
    <row r="111" spans="1:69" s="122" customFormat="1" ht="16.5">
      <c r="A111" s="118"/>
      <c r="B111" s="141" t="s">
        <v>2775</v>
      </c>
      <c r="C111" s="120"/>
      <c r="D111" s="120"/>
      <c r="E111" s="119"/>
      <c r="F111" s="120"/>
      <c r="G111" s="120"/>
      <c r="H111" s="120"/>
      <c r="J111" s="120"/>
      <c r="K111" s="120"/>
      <c r="L111" s="120"/>
      <c r="M111" s="120"/>
      <c r="N111" s="121"/>
      <c r="O111" s="120"/>
      <c r="P111" s="118"/>
      <c r="R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34"/>
      <c r="AF111" s="123"/>
      <c r="AG111" s="134"/>
      <c r="AH111" s="134"/>
      <c r="AI111" s="134"/>
      <c r="AJ111" s="130"/>
      <c r="AK111" s="134"/>
      <c r="AL111" s="134">
        <v>0</v>
      </c>
      <c r="AM111" s="120"/>
      <c r="AN111" s="120"/>
      <c r="AO111" s="120"/>
      <c r="AP111" s="120"/>
      <c r="AQ111" s="120"/>
      <c r="AR111" s="120"/>
      <c r="AS111" s="120"/>
      <c r="AT111" s="120"/>
      <c r="AU111" s="120"/>
      <c r="AV111" s="120"/>
      <c r="AW111" s="120"/>
      <c r="AX111" s="120"/>
      <c r="AY111" s="120"/>
      <c r="AZ111" s="121"/>
      <c r="BA111" s="121"/>
      <c r="BB111" s="121"/>
      <c r="BD111" s="121"/>
      <c r="BE111" s="121"/>
      <c r="BF111" s="124"/>
      <c r="BH111" s="121"/>
      <c r="BI111" s="121"/>
      <c r="BP111" s="121"/>
      <c r="BQ111" s="149"/>
    </row>
    <row r="112" spans="1:69" s="122" customFormat="1" ht="16.5">
      <c r="A112" s="118"/>
      <c r="B112" s="141" t="s">
        <v>1365</v>
      </c>
      <c r="C112" s="120"/>
      <c r="D112" s="120"/>
      <c r="E112" s="119"/>
      <c r="F112" s="120"/>
      <c r="G112" s="120"/>
      <c r="H112" s="120"/>
      <c r="J112" s="120"/>
      <c r="K112" s="120"/>
      <c r="L112" s="120"/>
      <c r="M112" s="120"/>
      <c r="N112" s="121"/>
      <c r="O112" s="120"/>
      <c r="P112" s="118"/>
      <c r="R112" s="123"/>
      <c r="T112" s="12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34">
        <v>0</v>
      </c>
      <c r="AJ112" s="134">
        <v>0</v>
      </c>
      <c r="AK112" s="120"/>
      <c r="AL112" s="120"/>
      <c r="AM112" s="120"/>
      <c r="AN112" s="120"/>
      <c r="AO112" s="120"/>
      <c r="AP112" s="120"/>
      <c r="AQ112" s="120"/>
      <c r="AR112" s="120"/>
      <c r="AS112" s="120"/>
      <c r="AT112" s="120"/>
      <c r="AU112" s="120"/>
      <c r="AV112" s="120"/>
      <c r="AW112" s="120"/>
      <c r="AX112" s="120"/>
      <c r="AY112" s="120"/>
      <c r="AZ112" s="121"/>
      <c r="BA112" s="121"/>
      <c r="BB112" s="121"/>
      <c r="BD112" s="121"/>
      <c r="BE112" s="121"/>
      <c r="BF112" s="124"/>
      <c r="BH112" s="121"/>
      <c r="BI112" s="121"/>
      <c r="BP112" s="121"/>
      <c r="BQ112" s="149"/>
    </row>
    <row r="113" spans="1:69" s="122" customFormat="1" ht="16.5">
      <c r="A113" s="118"/>
      <c r="B113" s="141"/>
      <c r="C113" s="120"/>
      <c r="D113" s="120"/>
      <c r="E113" s="119"/>
      <c r="F113" s="120"/>
      <c r="G113" s="120"/>
      <c r="H113" s="120"/>
      <c r="J113" s="120"/>
      <c r="K113" s="120"/>
      <c r="L113" s="120"/>
      <c r="M113" s="120"/>
      <c r="N113" s="121"/>
      <c r="O113" s="120"/>
      <c r="P113" s="118"/>
      <c r="R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34"/>
      <c r="AF113" s="123"/>
      <c r="AG113" s="134"/>
      <c r="AH113" s="134"/>
      <c r="AI113" s="134"/>
      <c r="AJ113" s="130"/>
      <c r="AK113" s="134"/>
      <c r="AL113" s="120"/>
      <c r="AM113" s="120"/>
      <c r="AN113" s="120"/>
      <c r="AO113" s="120"/>
      <c r="AP113" s="120"/>
      <c r="AQ113" s="120"/>
      <c r="AR113" s="120"/>
      <c r="AS113" s="120"/>
      <c r="AT113" s="120"/>
      <c r="AU113" s="120"/>
      <c r="AV113" s="120"/>
      <c r="AW113" s="120"/>
      <c r="AX113" s="120"/>
      <c r="AY113" s="120"/>
      <c r="AZ113" s="121"/>
      <c r="BA113" s="121"/>
      <c r="BB113" s="121"/>
      <c r="BD113" s="121"/>
      <c r="BE113" s="121"/>
      <c r="BF113" s="124"/>
      <c r="BH113" s="121"/>
      <c r="BI113" s="121"/>
      <c r="BP113" s="121"/>
      <c r="BQ113" s="149"/>
    </row>
    <row r="114" spans="1:69" s="122" customFormat="1" ht="16.5">
      <c r="A114" s="118"/>
      <c r="B114" s="141" t="s">
        <v>2868</v>
      </c>
      <c r="C114" s="120"/>
      <c r="D114" s="120"/>
      <c r="E114" s="119"/>
      <c r="F114" s="120"/>
      <c r="G114" s="120"/>
      <c r="H114" s="120"/>
      <c r="J114" s="120"/>
      <c r="K114" s="120"/>
      <c r="L114" s="120"/>
      <c r="M114" s="120"/>
      <c r="N114" s="121"/>
      <c r="O114" s="120"/>
      <c r="P114" s="118"/>
      <c r="R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34"/>
      <c r="AF114" s="123"/>
      <c r="AG114" s="134">
        <v>0</v>
      </c>
      <c r="AH114" s="134"/>
      <c r="AI114" s="134"/>
      <c r="AJ114" s="130"/>
      <c r="AK114" s="134"/>
      <c r="AL114" s="120"/>
      <c r="AM114" s="120"/>
      <c r="AN114" s="120"/>
      <c r="AO114" s="120"/>
      <c r="AP114" s="120"/>
      <c r="AQ114" s="120"/>
      <c r="AR114" s="120"/>
      <c r="AS114" s="120"/>
      <c r="AT114" s="120"/>
      <c r="AU114" s="120"/>
      <c r="AV114" s="120"/>
      <c r="AW114" s="120"/>
      <c r="AX114" s="120"/>
      <c r="AY114" s="120"/>
      <c r="AZ114" s="121"/>
      <c r="BA114" s="121"/>
      <c r="BB114" s="121"/>
      <c r="BD114" s="121"/>
      <c r="BE114" s="121"/>
      <c r="BF114" s="124"/>
      <c r="BH114" s="121"/>
      <c r="BI114" s="121"/>
      <c r="BP114" s="121"/>
      <c r="BQ114" s="150">
        <v>44596.646516203706</v>
      </c>
    </row>
    <row r="115" spans="1:69" s="122" customFormat="1" ht="16.5">
      <c r="A115" s="118"/>
      <c r="B115" s="141"/>
      <c r="C115" s="120"/>
      <c r="D115" s="120"/>
      <c r="E115" s="119"/>
      <c r="F115" s="120"/>
      <c r="G115" s="120"/>
      <c r="H115" s="120"/>
      <c r="J115" s="120"/>
      <c r="K115" s="120"/>
      <c r="L115" s="120"/>
      <c r="M115" s="120"/>
      <c r="N115" s="121"/>
      <c r="O115" s="120"/>
      <c r="P115" s="118"/>
      <c r="R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34"/>
      <c r="AF115" s="123"/>
      <c r="AG115" s="134"/>
      <c r="AH115" s="134"/>
      <c r="AI115" s="134"/>
      <c r="AJ115" s="130"/>
      <c r="AK115" s="134"/>
      <c r="AL115" s="120"/>
      <c r="AM115" s="120"/>
      <c r="AN115" s="120"/>
      <c r="AO115" s="120"/>
      <c r="AP115" s="120"/>
      <c r="AQ115" s="120"/>
      <c r="AR115" s="120"/>
      <c r="AS115" s="120"/>
      <c r="AT115" s="120"/>
      <c r="AU115" s="120"/>
      <c r="AV115" s="120"/>
      <c r="AW115" s="120"/>
      <c r="AX115" s="120"/>
      <c r="AY115" s="120"/>
      <c r="AZ115" s="121"/>
      <c r="BA115" s="121"/>
      <c r="BB115" s="121"/>
      <c r="BD115" s="121"/>
      <c r="BE115" s="121"/>
      <c r="BF115" s="124"/>
      <c r="BH115" s="121"/>
      <c r="BI115" s="121"/>
      <c r="BP115" s="121"/>
      <c r="BQ115" s="149"/>
    </row>
    <row r="116" spans="1:69" s="122" customFormat="1" ht="16.5">
      <c r="A116" s="118"/>
      <c r="B116" s="141" t="s">
        <v>1368</v>
      </c>
      <c r="C116" s="120"/>
      <c r="D116" s="120"/>
      <c r="E116" s="119"/>
      <c r="F116" s="120"/>
      <c r="G116" s="120"/>
      <c r="H116" s="120"/>
      <c r="J116" s="120"/>
      <c r="K116" s="120"/>
      <c r="L116" s="120"/>
      <c r="M116" s="120"/>
      <c r="N116" s="121"/>
      <c r="O116" s="120"/>
      <c r="P116" s="118"/>
      <c r="R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0"/>
      <c r="AJ116" s="134">
        <v>0</v>
      </c>
      <c r="AK116" s="134">
        <v>0</v>
      </c>
      <c r="AL116" s="120"/>
      <c r="AM116" s="120"/>
      <c r="AN116" s="120"/>
      <c r="AO116" s="120"/>
      <c r="AP116" s="120"/>
      <c r="AQ116" s="120"/>
      <c r="AR116" s="120"/>
      <c r="AS116" s="120"/>
      <c r="AT116" s="120"/>
      <c r="AU116" s="120"/>
      <c r="AV116" s="120"/>
      <c r="AW116" s="120"/>
      <c r="AX116" s="120"/>
      <c r="AY116" s="120"/>
      <c r="AZ116" s="121"/>
      <c r="BA116" s="121"/>
      <c r="BB116" s="121"/>
      <c r="BD116" s="121"/>
      <c r="BE116" s="121"/>
      <c r="BF116" s="124"/>
      <c r="BH116" s="121"/>
      <c r="BI116" s="121"/>
      <c r="BP116" s="121"/>
      <c r="BQ116" s="149"/>
    </row>
    <row r="117" spans="1:69" s="122" customFormat="1" ht="16.5">
      <c r="A117" s="118"/>
      <c r="B117" s="141" t="s">
        <v>2869</v>
      </c>
      <c r="C117" s="120"/>
      <c r="D117" s="120"/>
      <c r="E117" s="119"/>
      <c r="F117" s="120"/>
      <c r="G117" s="120"/>
      <c r="H117" s="120"/>
      <c r="J117" s="120"/>
      <c r="K117" s="120"/>
      <c r="L117" s="120"/>
      <c r="M117" s="120"/>
      <c r="N117" s="121"/>
      <c r="O117" s="120"/>
      <c r="P117" s="118"/>
      <c r="R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34"/>
      <c r="AF117" s="134">
        <v>0</v>
      </c>
      <c r="AG117" s="123"/>
      <c r="AH117" s="123"/>
      <c r="AI117" s="130"/>
      <c r="AJ117" s="130"/>
      <c r="AK117" s="130"/>
      <c r="AL117" s="120"/>
      <c r="AM117" s="134"/>
      <c r="AN117" s="120"/>
      <c r="AO117" s="120"/>
      <c r="AP117" s="120"/>
      <c r="AQ117" s="120"/>
      <c r="AR117" s="120"/>
      <c r="AS117" s="120"/>
      <c r="AT117" s="120"/>
      <c r="AU117" s="120"/>
      <c r="AV117" s="120"/>
      <c r="AW117" s="120"/>
      <c r="AX117" s="120"/>
      <c r="AY117" s="120"/>
      <c r="AZ117" s="121"/>
      <c r="BA117" s="121"/>
      <c r="BB117" s="121"/>
      <c r="BD117" s="121"/>
      <c r="BE117" s="121"/>
      <c r="BF117" s="124"/>
      <c r="BH117" s="121"/>
      <c r="BI117" s="121"/>
      <c r="BP117" s="121"/>
      <c r="BQ117" s="149"/>
    </row>
    <row r="118" spans="1:69" s="122" customFormat="1" ht="28.5" customHeight="1">
      <c r="A118" s="118"/>
      <c r="B118" s="141" t="s">
        <v>1546</v>
      </c>
      <c r="C118" s="120"/>
      <c r="D118" s="120"/>
      <c r="E118" s="119"/>
      <c r="F118" s="120"/>
      <c r="G118" s="120"/>
      <c r="H118" s="120"/>
      <c r="J118" s="120"/>
      <c r="K118" s="120"/>
      <c r="L118" s="120"/>
      <c r="M118" s="120"/>
      <c r="N118" s="121"/>
      <c r="O118" s="120"/>
      <c r="P118" s="118"/>
      <c r="R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34">
        <v>0</v>
      </c>
      <c r="AF118" s="123"/>
      <c r="AG118" s="134"/>
      <c r="AH118" s="123"/>
      <c r="AI118" s="134">
        <v>0</v>
      </c>
      <c r="AJ118" s="130"/>
      <c r="AK118" s="134">
        <v>0</v>
      </c>
      <c r="AL118" s="120"/>
      <c r="AM118" s="120"/>
      <c r="AN118" s="120"/>
      <c r="AO118" s="120"/>
      <c r="AP118" s="120"/>
      <c r="AQ118" s="120"/>
      <c r="AR118" s="120"/>
      <c r="AS118" s="120"/>
      <c r="AT118" s="120"/>
      <c r="AU118" s="120"/>
      <c r="AV118" s="120"/>
      <c r="AW118" s="120"/>
      <c r="AX118" s="120"/>
      <c r="AY118" s="120"/>
      <c r="AZ118" s="121"/>
      <c r="BA118" s="121"/>
      <c r="BB118" s="121"/>
      <c r="BD118" s="121"/>
      <c r="BE118" s="121"/>
      <c r="BF118" s="124"/>
      <c r="BH118" s="121"/>
      <c r="BI118" s="121"/>
      <c r="BP118" s="121"/>
      <c r="BQ118" s="150">
        <v>44596.653171296297</v>
      </c>
    </row>
    <row r="119" spans="1:69" s="122" customFormat="1" ht="16.5">
      <c r="A119" s="118"/>
      <c r="B119" s="141" t="s">
        <v>1409</v>
      </c>
      <c r="C119" s="120"/>
      <c r="D119" s="120"/>
      <c r="E119" s="119"/>
      <c r="F119" s="120"/>
      <c r="G119" s="120"/>
      <c r="H119" s="120"/>
      <c r="J119" s="120"/>
      <c r="K119" s="120"/>
      <c r="L119" s="120"/>
      <c r="M119" s="120"/>
      <c r="N119" s="121"/>
      <c r="O119" s="120"/>
      <c r="P119" s="118"/>
      <c r="R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0"/>
      <c r="AF119" s="134">
        <v>0</v>
      </c>
      <c r="AG119" s="123"/>
      <c r="AH119" s="134">
        <v>0</v>
      </c>
      <c r="AI119" s="134">
        <v>0</v>
      </c>
      <c r="AJ119" s="134">
        <v>0</v>
      </c>
      <c r="AK119" s="120"/>
      <c r="AL119" s="120"/>
      <c r="AM119" s="134">
        <v>0</v>
      </c>
      <c r="AN119" s="120"/>
      <c r="AO119" s="120"/>
      <c r="AP119" s="120"/>
      <c r="AQ119" s="120"/>
      <c r="AR119" s="120"/>
      <c r="AS119" s="120"/>
      <c r="AT119" s="120"/>
      <c r="AU119" s="120"/>
      <c r="AV119" s="120"/>
      <c r="AW119" s="120"/>
      <c r="AX119" s="120"/>
      <c r="AY119" s="120"/>
      <c r="AZ119" s="121"/>
      <c r="BA119" s="121"/>
      <c r="BB119" s="121"/>
      <c r="BD119" s="121"/>
      <c r="BE119" s="121"/>
      <c r="BF119" s="124"/>
      <c r="BH119" s="121"/>
      <c r="BI119" s="121"/>
      <c r="BP119" s="121"/>
      <c r="BQ119" s="150">
        <v>44596.591354166667</v>
      </c>
    </row>
    <row r="120" spans="1:69" s="122" customFormat="1" ht="16.5">
      <c r="A120" s="118"/>
      <c r="B120" s="141" t="s">
        <v>2766</v>
      </c>
      <c r="C120" s="120"/>
      <c r="D120" s="120"/>
      <c r="E120" s="119"/>
      <c r="F120" s="120"/>
      <c r="G120" s="120"/>
      <c r="H120" s="120"/>
      <c r="J120" s="120"/>
      <c r="K120" s="120"/>
      <c r="L120" s="120"/>
      <c r="M120" s="120"/>
      <c r="N120" s="121"/>
      <c r="O120" s="120"/>
      <c r="P120" s="118"/>
      <c r="R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0"/>
      <c r="AF120" s="134"/>
      <c r="AG120" s="123"/>
      <c r="AH120" s="134"/>
      <c r="AI120" s="120"/>
      <c r="AJ120" s="120"/>
      <c r="AK120" s="134">
        <v>0</v>
      </c>
      <c r="AL120" s="120"/>
      <c r="AM120" s="120"/>
      <c r="AN120" s="120"/>
      <c r="AO120" s="120"/>
      <c r="AP120" s="120"/>
      <c r="AQ120" s="120"/>
      <c r="AR120" s="120"/>
      <c r="AS120" s="120"/>
      <c r="AT120" s="120"/>
      <c r="AU120" s="120"/>
      <c r="AV120" s="120"/>
      <c r="AW120" s="120"/>
      <c r="AX120" s="120"/>
      <c r="AY120" s="120"/>
      <c r="AZ120" s="121"/>
      <c r="BA120" s="121"/>
      <c r="BB120" s="121"/>
      <c r="BD120" s="121"/>
      <c r="BE120" s="121"/>
      <c r="BF120" s="124"/>
      <c r="BH120" s="121"/>
      <c r="BI120" s="121"/>
      <c r="BP120" s="121"/>
      <c r="BQ120" s="149"/>
    </row>
    <row r="121" spans="1:69" s="122" customFormat="1" ht="15.75" customHeight="1">
      <c r="A121" s="118"/>
      <c r="B121" s="141" t="s">
        <v>1405</v>
      </c>
      <c r="C121" s="120"/>
      <c r="D121" s="120"/>
      <c r="E121" s="119"/>
      <c r="F121" s="120"/>
      <c r="G121" s="120"/>
      <c r="H121" s="120"/>
      <c r="J121" s="120"/>
      <c r="K121" s="120"/>
      <c r="L121" s="120"/>
      <c r="M121" s="120"/>
      <c r="N121" s="121"/>
      <c r="O121" s="120"/>
      <c r="P121" s="118"/>
      <c r="R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0"/>
      <c r="AF121" s="134">
        <v>0</v>
      </c>
      <c r="AG121" s="123"/>
      <c r="AH121" s="123"/>
      <c r="AI121" s="134">
        <v>0</v>
      </c>
      <c r="AJ121" s="120"/>
      <c r="AK121" s="120"/>
      <c r="AL121" s="120"/>
      <c r="AM121" s="120"/>
      <c r="AN121" s="120"/>
      <c r="AO121" s="120"/>
      <c r="AP121" s="120"/>
      <c r="AQ121" s="120"/>
      <c r="AR121" s="120"/>
      <c r="AS121" s="120"/>
      <c r="AT121" s="120"/>
      <c r="AU121" s="120"/>
      <c r="AV121" s="120"/>
      <c r="AW121" s="120"/>
      <c r="AX121" s="120"/>
      <c r="AY121" s="120"/>
      <c r="AZ121" s="121"/>
      <c r="BA121" s="121"/>
      <c r="BB121" s="121"/>
      <c r="BD121" s="121"/>
      <c r="BE121" s="121"/>
      <c r="BF121" s="124"/>
      <c r="BH121" s="121"/>
      <c r="BI121" s="121"/>
      <c r="BP121" s="121"/>
      <c r="BQ121" s="149"/>
    </row>
    <row r="122" spans="1:69" s="13" customFormat="1" ht="26.25" customHeight="1">
      <c r="B122" s="141" t="s">
        <v>1688</v>
      </c>
      <c r="D122" s="46"/>
      <c r="F122" s="15"/>
      <c r="G122" s="17"/>
      <c r="H122" s="16"/>
      <c r="AI122" s="134">
        <v>0</v>
      </c>
      <c r="AL122" s="134">
        <v>0</v>
      </c>
      <c r="BQ122" s="37"/>
    </row>
    <row r="123" spans="1:69" s="122" customFormat="1" ht="16.5">
      <c r="A123" s="118"/>
      <c r="B123" s="141" t="s">
        <v>1410</v>
      </c>
      <c r="C123" s="120"/>
      <c r="D123" s="120"/>
      <c r="E123" s="119"/>
      <c r="F123" s="120"/>
      <c r="G123" s="120"/>
      <c r="H123" s="120"/>
      <c r="J123" s="120"/>
      <c r="K123" s="120"/>
      <c r="L123" s="120"/>
      <c r="M123" s="120"/>
      <c r="N123" s="121"/>
      <c r="O123" s="120"/>
      <c r="P123" s="118"/>
      <c r="R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0"/>
      <c r="AF123" s="134">
        <v>0</v>
      </c>
      <c r="AG123" s="123"/>
      <c r="AH123" s="123"/>
      <c r="AI123" s="134">
        <v>0</v>
      </c>
      <c r="AJ123" s="120"/>
      <c r="AK123" s="120"/>
      <c r="AL123" s="120"/>
      <c r="AM123" s="134">
        <v>0</v>
      </c>
      <c r="AN123" s="120"/>
      <c r="AO123" s="120"/>
      <c r="AP123" s="120"/>
      <c r="AQ123" s="120"/>
      <c r="AR123" s="120"/>
      <c r="AS123" s="120"/>
      <c r="AT123" s="120"/>
      <c r="AU123" s="120"/>
      <c r="AV123" s="120"/>
      <c r="AW123" s="120"/>
      <c r="AX123" s="120"/>
      <c r="AY123" s="120"/>
      <c r="AZ123" s="121"/>
      <c r="BA123" s="121"/>
      <c r="BB123" s="121"/>
      <c r="BD123" s="121"/>
      <c r="BE123" s="121"/>
      <c r="BF123" s="124"/>
      <c r="BH123" s="121"/>
      <c r="BI123" s="121"/>
      <c r="BP123" s="121"/>
      <c r="BQ123" s="149"/>
    </row>
    <row r="124" spans="1:69" s="122" customFormat="1" ht="16.5">
      <c r="A124" s="118"/>
      <c r="B124" s="141"/>
      <c r="C124" s="120"/>
      <c r="D124" s="120"/>
      <c r="E124" s="119"/>
      <c r="F124" s="120"/>
      <c r="G124" s="120"/>
      <c r="H124" s="120"/>
      <c r="J124" s="120"/>
      <c r="K124" s="120"/>
      <c r="L124" s="120"/>
      <c r="M124" s="120"/>
      <c r="N124" s="121"/>
      <c r="O124" s="120"/>
      <c r="P124" s="118"/>
      <c r="R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0"/>
      <c r="AF124" s="134"/>
      <c r="AG124" s="123"/>
      <c r="AH124" s="123"/>
      <c r="AI124" s="120"/>
      <c r="AJ124" s="120"/>
      <c r="AK124" s="120"/>
      <c r="AL124" s="120"/>
      <c r="AM124" s="134"/>
      <c r="AN124" s="120"/>
      <c r="AO124" s="120"/>
      <c r="AP124" s="120"/>
      <c r="AQ124" s="120"/>
      <c r="AR124" s="120"/>
      <c r="AS124" s="120"/>
      <c r="AT124" s="120"/>
      <c r="AU124" s="120"/>
      <c r="AV124" s="120"/>
      <c r="AW124" s="120"/>
      <c r="AX124" s="120"/>
      <c r="AY124" s="120"/>
      <c r="AZ124" s="121"/>
      <c r="BA124" s="121"/>
      <c r="BB124" s="121"/>
      <c r="BD124" s="121"/>
      <c r="BE124" s="121"/>
      <c r="BF124" s="124"/>
      <c r="BH124" s="121"/>
      <c r="BI124" s="121"/>
      <c r="BP124" s="121"/>
      <c r="BQ124" s="150">
        <v>44596.590937499997</v>
      </c>
    </row>
    <row r="125" spans="1:69" s="122" customFormat="1" ht="16.5">
      <c r="A125" s="118"/>
      <c r="B125" s="141" t="s">
        <v>2862</v>
      </c>
      <c r="C125" s="120"/>
      <c r="D125" s="120"/>
      <c r="E125" s="119"/>
      <c r="F125" s="120"/>
      <c r="G125" s="120"/>
      <c r="H125" s="120"/>
      <c r="J125" s="120"/>
      <c r="K125" s="120"/>
      <c r="L125" s="120"/>
      <c r="M125" s="120"/>
      <c r="N125" s="121"/>
      <c r="O125" s="120"/>
      <c r="P125" s="118"/>
      <c r="R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3"/>
      <c r="AD125" s="123"/>
      <c r="AE125" s="120"/>
      <c r="AF125" s="134">
        <v>0</v>
      </c>
      <c r="AG125" s="123"/>
      <c r="AH125" s="123"/>
      <c r="AI125" s="120"/>
      <c r="AJ125" s="120"/>
      <c r="AK125" s="120"/>
      <c r="AL125" s="120"/>
      <c r="AM125" s="134"/>
      <c r="AN125" s="120"/>
      <c r="AO125" s="120"/>
      <c r="AP125" s="120"/>
      <c r="AQ125" s="120"/>
      <c r="AR125" s="120"/>
      <c r="AS125" s="120"/>
      <c r="AT125" s="120"/>
      <c r="AU125" s="120"/>
      <c r="AV125" s="120"/>
      <c r="AW125" s="120"/>
      <c r="AX125" s="120"/>
      <c r="AY125" s="120"/>
      <c r="AZ125" s="121"/>
      <c r="BA125" s="121"/>
      <c r="BB125" s="121"/>
      <c r="BD125" s="121"/>
      <c r="BE125" s="121"/>
      <c r="BF125" s="124"/>
      <c r="BH125" s="121"/>
      <c r="BI125" s="121"/>
      <c r="BP125" s="121"/>
      <c r="BQ125" s="150">
        <v>44596.618958333333</v>
      </c>
    </row>
    <row r="126" spans="1:69" s="122" customFormat="1" ht="27">
      <c r="A126" s="118"/>
      <c r="B126" s="141" t="s">
        <v>2863</v>
      </c>
      <c r="C126" s="120"/>
      <c r="D126" s="120"/>
      <c r="E126" s="119"/>
      <c r="F126" s="120"/>
      <c r="G126" s="120"/>
      <c r="H126" s="120"/>
      <c r="J126" s="120"/>
      <c r="K126" s="120"/>
      <c r="L126" s="120"/>
      <c r="M126" s="120"/>
      <c r="N126" s="121"/>
      <c r="O126" s="120"/>
      <c r="P126" s="118"/>
      <c r="R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  <c r="AE126" s="120"/>
      <c r="AF126" s="134">
        <v>0</v>
      </c>
      <c r="AG126" s="123"/>
      <c r="AH126" s="123"/>
      <c r="AI126" s="120"/>
      <c r="AJ126" s="120"/>
      <c r="AK126" s="120"/>
      <c r="AL126" s="120"/>
      <c r="AM126" s="134"/>
      <c r="AN126" s="120"/>
      <c r="AO126" s="120"/>
      <c r="AP126" s="120"/>
      <c r="AQ126" s="120"/>
      <c r="AR126" s="120"/>
      <c r="AS126" s="120"/>
      <c r="AT126" s="120"/>
      <c r="AU126" s="120"/>
      <c r="AV126" s="120"/>
      <c r="AW126" s="120"/>
      <c r="AX126" s="120"/>
      <c r="AY126" s="120"/>
      <c r="AZ126" s="121"/>
      <c r="BA126" s="121"/>
      <c r="BB126" s="121"/>
      <c r="BD126" s="121"/>
      <c r="BE126" s="121"/>
      <c r="BF126" s="124"/>
      <c r="BH126" s="121"/>
      <c r="BI126" s="121"/>
      <c r="BP126" s="121"/>
      <c r="BQ126" s="150">
        <v>44596.61886574074</v>
      </c>
    </row>
    <row r="127" spans="1:69" s="13" customFormat="1" ht="26.25" customHeight="1">
      <c r="B127" s="141" t="s">
        <v>1721</v>
      </c>
      <c r="D127" s="46"/>
      <c r="F127" s="15"/>
      <c r="G127" s="17"/>
      <c r="H127" s="16"/>
      <c r="AI127" s="129" t="s">
        <v>1354</v>
      </c>
      <c r="AM127" s="134">
        <v>0</v>
      </c>
      <c r="BQ127" s="151">
        <v>44596.591053240743</v>
      </c>
    </row>
    <row r="128" spans="1:69" s="122" customFormat="1" ht="16.5">
      <c r="A128" s="118"/>
      <c r="B128" s="141" t="s">
        <v>1552</v>
      </c>
      <c r="C128" s="120"/>
      <c r="D128" s="120"/>
      <c r="E128" s="119"/>
      <c r="F128" s="120"/>
      <c r="G128" s="120"/>
      <c r="H128" s="120"/>
      <c r="J128" s="120"/>
      <c r="K128" s="120"/>
      <c r="L128" s="120"/>
      <c r="M128" s="120"/>
      <c r="N128" s="121"/>
      <c r="O128" s="120"/>
      <c r="P128" s="118"/>
      <c r="R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3"/>
      <c r="AD128" s="123"/>
      <c r="AE128" s="120"/>
      <c r="AF128" s="134">
        <v>0</v>
      </c>
      <c r="AG128" s="134">
        <v>0</v>
      </c>
      <c r="AH128" s="123"/>
      <c r="AI128" s="120"/>
      <c r="AJ128" s="120"/>
      <c r="AK128" s="120"/>
      <c r="AL128" s="120"/>
      <c r="AM128" s="134"/>
      <c r="AN128" s="120"/>
      <c r="AO128" s="120"/>
      <c r="AP128" s="120"/>
      <c r="AQ128" s="120"/>
      <c r="AR128" s="120"/>
      <c r="AS128" s="120"/>
      <c r="AT128" s="120"/>
      <c r="AU128" s="120"/>
      <c r="AV128" s="120"/>
      <c r="AW128" s="120"/>
      <c r="AX128" s="120"/>
      <c r="AY128" s="120"/>
      <c r="AZ128" s="121"/>
      <c r="BA128" s="121"/>
      <c r="BB128" s="121"/>
      <c r="BD128" s="121"/>
      <c r="BE128" s="121"/>
      <c r="BF128" s="124"/>
      <c r="BH128" s="121"/>
      <c r="BI128" s="121"/>
      <c r="BP128" s="121"/>
      <c r="BQ128" s="149"/>
    </row>
    <row r="129" spans="1:69" ht="16.5">
      <c r="B129" s="141" t="s">
        <v>2400</v>
      </c>
      <c r="AG129" s="134">
        <v>0</v>
      </c>
      <c r="AH129" s="134">
        <v>0</v>
      </c>
      <c r="BQ129" s="162">
        <v>44596.647083333337</v>
      </c>
    </row>
    <row r="130" spans="1:69" s="122" customFormat="1" ht="16.5">
      <c r="A130" s="118"/>
      <c r="B130" s="141" t="s">
        <v>2748</v>
      </c>
      <c r="C130" s="120"/>
      <c r="D130" s="120"/>
      <c r="E130" s="119"/>
      <c r="F130" s="120"/>
      <c r="G130" s="120"/>
      <c r="H130" s="120"/>
      <c r="J130" s="120"/>
      <c r="K130" s="120"/>
      <c r="L130" s="120"/>
      <c r="M130" s="120"/>
      <c r="N130" s="121"/>
      <c r="O130" s="120"/>
      <c r="P130" s="118"/>
      <c r="R130" s="123"/>
      <c r="T130" s="123"/>
      <c r="U130" s="123"/>
      <c r="V130" s="123"/>
      <c r="W130" s="123"/>
      <c r="X130" s="123"/>
      <c r="Y130" s="123"/>
      <c r="Z130" s="123"/>
      <c r="AA130" s="123"/>
      <c r="AB130" s="123"/>
      <c r="AC130" s="123"/>
      <c r="AD130" s="123"/>
      <c r="AE130" s="120"/>
      <c r="AF130" s="134"/>
      <c r="AG130" s="134"/>
      <c r="AH130" s="134">
        <v>0</v>
      </c>
      <c r="AI130" s="120"/>
      <c r="AJ130" s="120"/>
      <c r="AK130" s="120"/>
      <c r="AL130" s="120"/>
      <c r="AM130" s="134"/>
      <c r="AN130" s="120"/>
      <c r="AO130" s="120"/>
      <c r="AP130" s="120"/>
      <c r="AQ130" s="120"/>
      <c r="AR130" s="120"/>
      <c r="AS130" s="120"/>
      <c r="AT130" s="120"/>
      <c r="AU130" s="120"/>
      <c r="AV130" s="120"/>
      <c r="AW130" s="120"/>
      <c r="AX130" s="120"/>
      <c r="AY130" s="120"/>
      <c r="AZ130" s="121"/>
      <c r="BA130" s="121"/>
      <c r="BB130" s="121"/>
      <c r="BD130" s="121"/>
      <c r="BE130" s="121"/>
      <c r="BF130" s="124"/>
      <c r="BH130" s="121"/>
      <c r="BI130" s="121"/>
      <c r="BP130" s="121"/>
      <c r="BQ130" s="149"/>
    </row>
    <row r="131" spans="1:69" s="122" customFormat="1" ht="16.5">
      <c r="A131" s="118"/>
      <c r="B131" s="141" t="s">
        <v>2753</v>
      </c>
      <c r="C131" s="120"/>
      <c r="D131" s="120"/>
      <c r="E131" s="119"/>
      <c r="F131" s="120"/>
      <c r="G131" s="120"/>
      <c r="H131" s="120"/>
      <c r="J131" s="120"/>
      <c r="K131" s="120"/>
      <c r="L131" s="120"/>
      <c r="M131" s="120"/>
      <c r="N131" s="121"/>
      <c r="O131" s="120"/>
      <c r="P131" s="118"/>
      <c r="R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0"/>
      <c r="AF131" s="134"/>
      <c r="AG131" s="123"/>
      <c r="AH131" s="134">
        <v>0</v>
      </c>
      <c r="AI131" s="120"/>
      <c r="AJ131" s="120"/>
      <c r="AK131" s="120"/>
      <c r="AL131" s="120"/>
      <c r="AM131" s="134"/>
      <c r="AN131" s="120"/>
      <c r="AO131" s="120"/>
      <c r="AP131" s="120"/>
      <c r="AQ131" s="120"/>
      <c r="AR131" s="120"/>
      <c r="AS131" s="120"/>
      <c r="AT131" s="120"/>
      <c r="AU131" s="120"/>
      <c r="AV131" s="120"/>
      <c r="AW131" s="120"/>
      <c r="AX131" s="120"/>
      <c r="AY131" s="120"/>
      <c r="AZ131" s="121"/>
      <c r="BA131" s="121"/>
      <c r="BB131" s="121"/>
      <c r="BD131" s="121"/>
      <c r="BE131" s="121"/>
      <c r="BF131" s="124"/>
      <c r="BH131" s="121"/>
      <c r="BI131" s="121"/>
      <c r="BP131" s="121"/>
      <c r="BQ131" s="149"/>
    </row>
    <row r="132" spans="1:69" s="122" customFormat="1" ht="16.5">
      <c r="A132" s="118"/>
      <c r="B132" s="141" t="s">
        <v>2754</v>
      </c>
      <c r="C132" s="120"/>
      <c r="D132" s="120"/>
      <c r="E132" s="119"/>
      <c r="F132" s="120"/>
      <c r="G132" s="120"/>
      <c r="H132" s="120"/>
      <c r="J132" s="120"/>
      <c r="K132" s="120"/>
      <c r="L132" s="120"/>
      <c r="M132" s="120"/>
      <c r="N132" s="121"/>
      <c r="O132" s="120"/>
      <c r="P132" s="118"/>
      <c r="R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0"/>
      <c r="AF132" s="134"/>
      <c r="AG132" s="123"/>
      <c r="AH132" s="134">
        <v>0</v>
      </c>
      <c r="AI132" s="120"/>
      <c r="AJ132" s="120"/>
      <c r="AK132" s="120"/>
      <c r="AL132" s="120"/>
      <c r="AM132" s="134"/>
      <c r="AN132" s="120"/>
      <c r="AO132" s="120"/>
      <c r="AP132" s="120"/>
      <c r="AQ132" s="120"/>
      <c r="AR132" s="120"/>
      <c r="AS132" s="120"/>
      <c r="AT132" s="120"/>
      <c r="AU132" s="120"/>
      <c r="AV132" s="120"/>
      <c r="AW132" s="120"/>
      <c r="AX132" s="120"/>
      <c r="AY132" s="120"/>
      <c r="AZ132" s="121"/>
      <c r="BA132" s="121"/>
      <c r="BB132" s="121"/>
      <c r="BD132" s="121"/>
      <c r="BE132" s="121"/>
      <c r="BF132" s="124"/>
      <c r="BH132" s="121"/>
      <c r="BI132" s="121"/>
      <c r="BP132" s="121"/>
      <c r="BQ132" s="149"/>
    </row>
    <row r="133" spans="1:69" s="122" customFormat="1" ht="16.5">
      <c r="A133" s="118"/>
      <c r="B133" s="141" t="s">
        <v>2755</v>
      </c>
      <c r="C133" s="120"/>
      <c r="D133" s="120"/>
      <c r="E133" s="119"/>
      <c r="F133" s="120"/>
      <c r="G133" s="120"/>
      <c r="H133" s="120"/>
      <c r="J133" s="120"/>
      <c r="K133" s="120"/>
      <c r="L133" s="120"/>
      <c r="M133" s="120"/>
      <c r="N133" s="121"/>
      <c r="O133" s="120"/>
      <c r="P133" s="118"/>
      <c r="R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  <c r="AE133" s="120"/>
      <c r="AF133" s="134"/>
      <c r="AG133" s="123"/>
      <c r="AH133" s="134">
        <v>0</v>
      </c>
      <c r="AI133" s="120"/>
      <c r="AJ133" s="120"/>
      <c r="AK133" s="120"/>
      <c r="AL133" s="120"/>
      <c r="AM133" s="134"/>
      <c r="AN133" s="120"/>
      <c r="AO133" s="120"/>
      <c r="AP133" s="120"/>
      <c r="AQ133" s="120"/>
      <c r="AR133" s="120"/>
      <c r="AS133" s="120"/>
      <c r="AT133" s="120"/>
      <c r="AU133" s="120"/>
      <c r="AV133" s="120"/>
      <c r="AW133" s="120"/>
      <c r="AX133" s="120"/>
      <c r="AY133" s="120"/>
      <c r="AZ133" s="121"/>
      <c r="BA133" s="121"/>
      <c r="BB133" s="121"/>
      <c r="BD133" s="121"/>
      <c r="BE133" s="121"/>
      <c r="BF133" s="124"/>
      <c r="BH133" s="121"/>
      <c r="BI133" s="121"/>
      <c r="BP133" s="121"/>
      <c r="BQ133" s="149"/>
    </row>
    <row r="134" spans="1:69" s="13" customFormat="1" ht="26.25" customHeight="1">
      <c r="B134" s="141" t="s">
        <v>1615</v>
      </c>
      <c r="D134" s="46"/>
      <c r="F134" s="15"/>
      <c r="G134" s="17"/>
      <c r="H134" s="16"/>
      <c r="AI134" s="129" t="s">
        <v>1354</v>
      </c>
      <c r="AM134" s="134">
        <v>0</v>
      </c>
      <c r="BQ134" s="37"/>
    </row>
    <row r="135" spans="1:69" s="122" customFormat="1" ht="16.5">
      <c r="A135" s="118"/>
      <c r="B135" s="141"/>
      <c r="C135" s="120"/>
      <c r="D135" s="120"/>
      <c r="E135" s="119"/>
      <c r="F135" s="120"/>
      <c r="G135" s="120"/>
      <c r="H135" s="120"/>
      <c r="J135" s="120"/>
      <c r="K135" s="120"/>
      <c r="L135" s="120"/>
      <c r="M135" s="120"/>
      <c r="N135" s="121"/>
      <c r="O135" s="120"/>
      <c r="P135" s="118"/>
      <c r="R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0"/>
      <c r="AF135" s="134"/>
      <c r="AG135" s="123"/>
      <c r="AH135" s="134"/>
      <c r="AI135" s="120"/>
      <c r="AJ135" s="120"/>
      <c r="AK135" s="120"/>
      <c r="AL135" s="120"/>
      <c r="AM135" s="134"/>
      <c r="AN135" s="120"/>
      <c r="AO135" s="120"/>
      <c r="AP135" s="120"/>
      <c r="AQ135" s="120"/>
      <c r="AR135" s="120"/>
      <c r="AS135" s="120"/>
      <c r="AT135" s="120"/>
      <c r="AU135" s="120"/>
      <c r="AV135" s="120"/>
      <c r="AW135" s="120"/>
      <c r="AX135" s="120"/>
      <c r="AY135" s="120"/>
      <c r="AZ135" s="121"/>
      <c r="BA135" s="121"/>
      <c r="BB135" s="121"/>
      <c r="BD135" s="121"/>
      <c r="BE135" s="121"/>
      <c r="BF135" s="124"/>
      <c r="BH135" s="121"/>
      <c r="BI135" s="121"/>
      <c r="BP135" s="121"/>
      <c r="BQ135" s="149"/>
    </row>
    <row r="136" spans="1:69" s="122" customFormat="1" ht="16.5">
      <c r="A136" s="118"/>
      <c r="B136" s="141"/>
      <c r="C136" s="120"/>
      <c r="D136" s="120"/>
      <c r="E136" s="119"/>
      <c r="F136" s="120"/>
      <c r="G136" s="120"/>
      <c r="H136" s="120"/>
      <c r="J136" s="120"/>
      <c r="K136" s="120"/>
      <c r="L136" s="120"/>
      <c r="M136" s="120"/>
      <c r="N136" s="121"/>
      <c r="O136" s="120"/>
      <c r="P136" s="118"/>
      <c r="R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0"/>
      <c r="AF136" s="134"/>
      <c r="AG136" s="123"/>
      <c r="AH136" s="134"/>
      <c r="AI136" s="120"/>
      <c r="AJ136" s="120"/>
      <c r="AK136" s="120"/>
      <c r="AL136" s="120"/>
      <c r="AM136" s="134"/>
      <c r="AN136" s="120"/>
      <c r="AO136" s="120"/>
      <c r="AP136" s="120"/>
      <c r="AQ136" s="120"/>
      <c r="AR136" s="120"/>
      <c r="AS136" s="120"/>
      <c r="AT136" s="120"/>
      <c r="AU136" s="120"/>
      <c r="AV136" s="120"/>
      <c r="AW136" s="120"/>
      <c r="AX136" s="120"/>
      <c r="AY136" s="120"/>
      <c r="AZ136" s="121"/>
      <c r="BA136" s="121"/>
      <c r="BB136" s="121"/>
      <c r="BD136" s="121"/>
      <c r="BE136" s="121"/>
      <c r="BF136" s="124"/>
      <c r="BH136" s="121"/>
      <c r="BI136" s="121"/>
      <c r="BP136" s="121"/>
      <c r="BQ136" s="149"/>
    </row>
    <row r="137" spans="1:69" s="122" customFormat="1" ht="16.5">
      <c r="A137" s="118"/>
      <c r="B137" s="141"/>
      <c r="C137" s="120"/>
      <c r="D137" s="120"/>
      <c r="E137" s="119"/>
      <c r="F137" s="120"/>
      <c r="G137" s="120"/>
      <c r="H137" s="120"/>
      <c r="J137" s="120"/>
      <c r="K137" s="120"/>
      <c r="L137" s="120"/>
      <c r="M137" s="120"/>
      <c r="N137" s="121"/>
      <c r="O137" s="120"/>
      <c r="P137" s="118"/>
      <c r="R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0"/>
      <c r="AF137" s="134"/>
      <c r="AG137" s="123"/>
      <c r="AH137" s="134"/>
      <c r="AI137" s="120"/>
      <c r="AJ137" s="120"/>
      <c r="AK137" s="120"/>
      <c r="AL137" s="120"/>
      <c r="AM137" s="134"/>
      <c r="AN137" s="120"/>
      <c r="AO137" s="120"/>
      <c r="AP137" s="120"/>
      <c r="AQ137" s="120"/>
      <c r="AR137" s="120"/>
      <c r="AS137" s="120"/>
      <c r="AT137" s="120"/>
      <c r="AU137" s="120"/>
      <c r="AV137" s="120"/>
      <c r="AW137" s="120"/>
      <c r="AX137" s="120"/>
      <c r="AY137" s="120"/>
      <c r="AZ137" s="121"/>
      <c r="BA137" s="121"/>
      <c r="BB137" s="121"/>
      <c r="BD137" s="121"/>
      <c r="BE137" s="121"/>
      <c r="BF137" s="124"/>
      <c r="BH137" s="121"/>
      <c r="BI137" s="121"/>
      <c r="BP137" s="121"/>
      <c r="BQ137" s="149"/>
    </row>
    <row r="138" spans="1:69" s="122" customFormat="1" ht="27">
      <c r="A138" s="118"/>
      <c r="B138" s="141" t="s">
        <v>2764</v>
      </c>
      <c r="C138" s="120"/>
      <c r="D138" s="120"/>
      <c r="E138" s="119"/>
      <c r="F138" s="120"/>
      <c r="G138" s="120"/>
      <c r="H138" s="120"/>
      <c r="J138" s="120"/>
      <c r="K138" s="120"/>
      <c r="L138" s="120"/>
      <c r="M138" s="120"/>
      <c r="N138" s="121"/>
      <c r="O138" s="120"/>
      <c r="P138" s="118"/>
      <c r="R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0"/>
      <c r="AF138" s="134"/>
      <c r="AG138" s="123"/>
      <c r="AH138" s="134"/>
      <c r="AI138" s="120"/>
      <c r="AJ138" s="120"/>
      <c r="AK138" s="134">
        <v>0</v>
      </c>
      <c r="AL138" s="120"/>
      <c r="AM138" s="134"/>
      <c r="AN138" s="120"/>
      <c r="AO138" s="120"/>
      <c r="AP138" s="120"/>
      <c r="AQ138" s="120"/>
      <c r="AR138" s="120"/>
      <c r="AS138" s="120"/>
      <c r="AT138" s="120"/>
      <c r="AU138" s="120"/>
      <c r="AV138" s="120"/>
      <c r="AW138" s="120"/>
      <c r="AX138" s="120"/>
      <c r="AY138" s="120"/>
      <c r="AZ138" s="121"/>
      <c r="BA138" s="121"/>
      <c r="BB138" s="121"/>
      <c r="BD138" s="121"/>
      <c r="BE138" s="121"/>
      <c r="BF138" s="124"/>
      <c r="BH138" s="121"/>
      <c r="BI138" s="121"/>
      <c r="BP138" s="121"/>
      <c r="BQ138" s="149"/>
    </row>
    <row r="139" spans="1:69" s="122" customFormat="1" ht="16.5">
      <c r="A139" s="118"/>
      <c r="B139" s="141" t="s">
        <v>1419</v>
      </c>
      <c r="C139" s="120"/>
      <c r="D139" s="120"/>
      <c r="E139" s="119"/>
      <c r="F139" s="120"/>
      <c r="G139" s="120"/>
      <c r="H139" s="120"/>
      <c r="J139" s="120"/>
      <c r="K139" s="120"/>
      <c r="L139" s="120"/>
      <c r="M139" s="120"/>
      <c r="N139" s="121"/>
      <c r="O139" s="120"/>
      <c r="P139" s="118"/>
      <c r="R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0"/>
      <c r="AF139" s="134">
        <v>0</v>
      </c>
      <c r="AG139" s="134">
        <v>0</v>
      </c>
      <c r="AH139" s="123"/>
      <c r="AI139" s="120"/>
      <c r="AJ139" s="120"/>
      <c r="AK139" s="134">
        <v>0</v>
      </c>
      <c r="AL139" s="120"/>
      <c r="AM139" s="120"/>
      <c r="AN139" s="120"/>
      <c r="AO139" s="120"/>
      <c r="AP139" s="120"/>
      <c r="AQ139" s="120"/>
      <c r="AR139" s="120"/>
      <c r="AS139" s="120"/>
      <c r="AT139" s="120"/>
      <c r="AU139" s="120"/>
      <c r="AV139" s="120"/>
      <c r="AW139" s="120"/>
      <c r="AX139" s="120"/>
      <c r="AY139" s="120"/>
      <c r="AZ139" s="121"/>
      <c r="BA139" s="121"/>
      <c r="BB139" s="121"/>
      <c r="BD139" s="121"/>
      <c r="BE139" s="121"/>
      <c r="BF139" s="124"/>
      <c r="BH139" s="121"/>
      <c r="BI139" s="121"/>
      <c r="BP139" s="121"/>
      <c r="BQ139" s="150">
        <v>44596.678182870368</v>
      </c>
    </row>
    <row r="140" spans="1:69" s="122" customFormat="1" ht="16.5">
      <c r="A140" s="118"/>
      <c r="B140" s="141" t="s">
        <v>2752</v>
      </c>
      <c r="C140" s="120"/>
      <c r="D140" s="120"/>
      <c r="E140" s="119"/>
      <c r="F140" s="120"/>
      <c r="G140" s="120"/>
      <c r="H140" s="120"/>
      <c r="J140" s="120"/>
      <c r="K140" s="120"/>
      <c r="L140" s="120"/>
      <c r="M140" s="120"/>
      <c r="N140" s="121"/>
      <c r="O140" s="120"/>
      <c r="P140" s="118"/>
      <c r="R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0"/>
      <c r="AF140" s="134"/>
      <c r="AG140" s="134">
        <v>0</v>
      </c>
      <c r="AH140" s="123"/>
      <c r="AI140" s="120"/>
      <c r="AJ140" s="120"/>
      <c r="AK140" s="120"/>
      <c r="AL140" s="120"/>
      <c r="AM140" s="120"/>
      <c r="AN140" s="120"/>
      <c r="AO140" s="120"/>
      <c r="AP140" s="120"/>
      <c r="AQ140" s="120"/>
      <c r="AR140" s="120"/>
      <c r="AS140" s="120"/>
      <c r="AT140" s="120"/>
      <c r="AU140" s="120"/>
      <c r="AV140" s="120"/>
      <c r="AW140" s="120"/>
      <c r="AX140" s="120"/>
      <c r="AY140" s="120"/>
      <c r="AZ140" s="121"/>
      <c r="BA140" s="121"/>
      <c r="BB140" s="121"/>
      <c r="BD140" s="121"/>
      <c r="BE140" s="121"/>
      <c r="BF140" s="124"/>
      <c r="BH140" s="121"/>
      <c r="BI140" s="121"/>
      <c r="BP140" s="121"/>
      <c r="BQ140" s="149"/>
    </row>
    <row r="141" spans="1:69" s="122" customFormat="1" ht="16.5">
      <c r="A141" s="118"/>
      <c r="B141" s="141" t="s">
        <v>1407</v>
      </c>
      <c r="C141" s="120"/>
      <c r="D141" s="120"/>
      <c r="E141" s="119"/>
      <c r="F141" s="120"/>
      <c r="G141" s="120"/>
      <c r="H141" s="120"/>
      <c r="J141" s="120"/>
      <c r="K141" s="120"/>
      <c r="L141" s="120"/>
      <c r="M141" s="120"/>
      <c r="N141" s="121"/>
      <c r="O141" s="120"/>
      <c r="P141" s="118"/>
      <c r="R141" s="123"/>
      <c r="T141" s="123"/>
      <c r="U141" s="123"/>
      <c r="V141" s="123"/>
      <c r="W141" s="123"/>
      <c r="X141" s="123"/>
      <c r="Y141" s="123"/>
      <c r="Z141" s="123"/>
      <c r="AA141" s="123"/>
      <c r="AB141" s="123"/>
      <c r="AC141" s="123"/>
      <c r="AD141" s="123"/>
      <c r="AE141" s="120"/>
      <c r="AF141" s="134">
        <v>0</v>
      </c>
      <c r="AG141" s="123"/>
      <c r="AH141" s="123"/>
      <c r="AI141" s="134">
        <v>0</v>
      </c>
      <c r="AJ141" s="120"/>
      <c r="AK141" s="120"/>
      <c r="AL141" s="120"/>
      <c r="AM141" s="120"/>
      <c r="AN141" s="120"/>
      <c r="AO141" s="120"/>
      <c r="AP141" s="120"/>
      <c r="AQ141" s="120"/>
      <c r="AR141" s="120"/>
      <c r="AS141" s="120"/>
      <c r="AT141" s="120"/>
      <c r="AU141" s="120"/>
      <c r="AV141" s="120"/>
      <c r="AW141" s="120"/>
      <c r="AX141" s="120"/>
      <c r="AY141" s="120"/>
      <c r="AZ141" s="121"/>
      <c r="BA141" s="121"/>
      <c r="BB141" s="121"/>
      <c r="BD141" s="121"/>
      <c r="BE141" s="121"/>
      <c r="BF141" s="124"/>
      <c r="BH141" s="121"/>
      <c r="BI141" s="121"/>
      <c r="BP141" s="121"/>
      <c r="BQ141" s="149"/>
    </row>
    <row r="142" spans="1:69" s="122" customFormat="1" ht="16.5">
      <c r="A142" s="118"/>
      <c r="B142" s="141" t="s">
        <v>2767</v>
      </c>
      <c r="C142" s="120">
        <v>2</v>
      </c>
      <c r="D142" s="120"/>
      <c r="E142" s="119"/>
      <c r="F142" s="120"/>
      <c r="G142" s="120"/>
      <c r="H142" s="120"/>
      <c r="J142" s="120"/>
      <c r="K142" s="120"/>
      <c r="L142" s="120"/>
      <c r="M142" s="120"/>
      <c r="N142" s="121"/>
      <c r="O142" s="120"/>
      <c r="P142" s="118"/>
      <c r="R142" s="123"/>
      <c r="T142" s="123"/>
      <c r="U142" s="123"/>
      <c r="V142" s="123"/>
      <c r="W142" s="123"/>
      <c r="X142" s="123"/>
      <c r="Y142" s="123"/>
      <c r="Z142" s="123"/>
      <c r="AA142" s="123"/>
      <c r="AB142" s="123"/>
      <c r="AC142" s="123"/>
      <c r="AD142" s="123"/>
      <c r="AE142" s="120"/>
      <c r="AF142" s="134"/>
      <c r="AG142" s="123"/>
      <c r="AH142" s="123"/>
      <c r="AI142" s="134"/>
      <c r="AJ142" s="134">
        <v>0</v>
      </c>
      <c r="AK142" s="120"/>
      <c r="AL142" s="120"/>
      <c r="AM142" s="120"/>
      <c r="AN142" s="120"/>
      <c r="AO142" s="120"/>
      <c r="AP142" s="120"/>
      <c r="AQ142" s="120"/>
      <c r="AR142" s="120"/>
      <c r="AS142" s="120"/>
      <c r="AT142" s="120"/>
      <c r="AU142" s="120"/>
      <c r="AV142" s="120"/>
      <c r="AW142" s="120"/>
      <c r="AX142" s="120"/>
      <c r="AY142" s="120"/>
      <c r="AZ142" s="121"/>
      <c r="BA142" s="121"/>
      <c r="BB142" s="121"/>
      <c r="BD142" s="121"/>
      <c r="BE142" s="121"/>
      <c r="BF142" s="124"/>
      <c r="BH142" s="121"/>
      <c r="BI142" s="121"/>
      <c r="BP142" s="121"/>
      <c r="BQ142" s="149"/>
    </row>
    <row r="143" spans="1:69" s="122" customFormat="1" ht="16.5">
      <c r="A143" s="118"/>
      <c r="B143" s="141" t="s">
        <v>1547</v>
      </c>
      <c r="C143" s="120"/>
      <c r="D143" s="120"/>
      <c r="E143" s="119"/>
      <c r="F143" s="120"/>
      <c r="G143" s="120"/>
      <c r="H143" s="120"/>
      <c r="J143" s="120"/>
      <c r="K143" s="120"/>
      <c r="L143" s="120"/>
      <c r="M143" s="120"/>
      <c r="N143" s="121"/>
      <c r="O143" s="120"/>
      <c r="P143" s="118"/>
      <c r="R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34">
        <v>0</v>
      </c>
      <c r="AF143" s="123"/>
      <c r="AG143" s="123"/>
      <c r="AH143" s="123"/>
      <c r="AI143" s="120"/>
      <c r="AJ143" s="120"/>
      <c r="AK143" s="120"/>
      <c r="AL143" s="120"/>
      <c r="AM143" s="120"/>
      <c r="AN143" s="120"/>
      <c r="AO143" s="120"/>
      <c r="AP143" s="120"/>
      <c r="AQ143" s="120"/>
      <c r="AR143" s="120"/>
      <c r="AS143" s="120"/>
      <c r="AT143" s="120"/>
      <c r="AU143" s="120"/>
      <c r="AV143" s="120"/>
      <c r="AW143" s="120"/>
      <c r="AX143" s="120"/>
      <c r="AY143" s="120"/>
      <c r="AZ143" s="121"/>
      <c r="BA143" s="121"/>
      <c r="BB143" s="121"/>
      <c r="BD143" s="121"/>
      <c r="BE143" s="121"/>
      <c r="BF143" s="124"/>
      <c r="BH143" s="121"/>
      <c r="BI143" s="121"/>
      <c r="BP143" s="121"/>
      <c r="BQ143" s="149"/>
    </row>
    <row r="144" spans="1:69" s="122" customFormat="1" ht="16.5">
      <c r="A144" s="118"/>
      <c r="B144" s="141" t="s">
        <v>2757</v>
      </c>
      <c r="C144" s="120"/>
      <c r="D144" s="120"/>
      <c r="E144" s="119"/>
      <c r="F144" s="120"/>
      <c r="G144" s="120"/>
      <c r="H144" s="120"/>
      <c r="J144" s="120"/>
      <c r="K144" s="120"/>
      <c r="L144" s="120"/>
      <c r="M144" s="120"/>
      <c r="N144" s="121"/>
      <c r="O144" s="120"/>
      <c r="P144" s="118"/>
      <c r="R144" s="123"/>
      <c r="T144" s="123"/>
      <c r="U144" s="123"/>
      <c r="V144" s="123"/>
      <c r="W144" s="123"/>
      <c r="X144" s="123"/>
      <c r="Y144" s="123"/>
      <c r="Z144" s="123"/>
      <c r="AA144" s="123"/>
      <c r="AB144" s="123"/>
      <c r="AC144" s="123"/>
      <c r="AD144" s="123"/>
      <c r="AE144" s="134"/>
      <c r="AF144" s="123"/>
      <c r="AG144" s="123"/>
      <c r="AH144" s="123"/>
      <c r="AI144" s="134">
        <v>0</v>
      </c>
      <c r="AJ144" s="120"/>
      <c r="AK144" s="134">
        <v>0</v>
      </c>
      <c r="AL144" s="120"/>
      <c r="AM144" s="120"/>
      <c r="AN144" s="120"/>
      <c r="AO144" s="120"/>
      <c r="AP144" s="120"/>
      <c r="AQ144" s="120"/>
      <c r="AR144" s="120"/>
      <c r="AS144" s="120"/>
      <c r="AT144" s="120"/>
      <c r="AU144" s="120"/>
      <c r="AV144" s="120"/>
      <c r="AW144" s="120"/>
      <c r="AX144" s="120"/>
      <c r="AY144" s="120"/>
      <c r="AZ144" s="121"/>
      <c r="BA144" s="121"/>
      <c r="BB144" s="121"/>
      <c r="BD144" s="121"/>
      <c r="BE144" s="121"/>
      <c r="BF144" s="124"/>
      <c r="BH144" s="121"/>
      <c r="BI144" s="121"/>
      <c r="BP144" s="121"/>
      <c r="BQ144" s="149"/>
    </row>
    <row r="145" spans="1:69" s="122" customFormat="1" ht="16.5">
      <c r="A145" s="118"/>
      <c r="B145" s="141" t="s">
        <v>1476</v>
      </c>
      <c r="C145" s="120"/>
      <c r="D145" s="120"/>
      <c r="E145" s="119"/>
      <c r="F145" s="120"/>
      <c r="G145" s="120"/>
      <c r="H145" s="120"/>
      <c r="J145" s="120"/>
      <c r="K145" s="120"/>
      <c r="L145" s="120"/>
      <c r="M145" s="120"/>
      <c r="N145" s="121"/>
      <c r="O145" s="120"/>
      <c r="P145" s="118"/>
      <c r="R145" s="123"/>
      <c r="T145" s="123"/>
      <c r="U145" s="123"/>
      <c r="V145" s="123"/>
      <c r="W145" s="123"/>
      <c r="X145" s="123"/>
      <c r="Y145" s="123"/>
      <c r="Z145" s="123"/>
      <c r="AA145" s="123"/>
      <c r="AB145" s="123"/>
      <c r="AC145" s="123"/>
      <c r="AD145" s="123"/>
      <c r="AE145" s="134">
        <v>0</v>
      </c>
      <c r="AF145" s="123"/>
      <c r="AG145" s="123"/>
      <c r="AH145" s="123"/>
      <c r="AI145" s="130"/>
      <c r="AJ145" s="130"/>
      <c r="AK145" s="134">
        <v>0</v>
      </c>
      <c r="AL145" s="120"/>
      <c r="AM145" s="134">
        <v>0</v>
      </c>
      <c r="AN145" s="120"/>
      <c r="AO145" s="120"/>
      <c r="AP145" s="120"/>
      <c r="AQ145" s="120"/>
      <c r="AR145" s="120"/>
      <c r="AS145" s="120"/>
      <c r="AT145" s="120"/>
      <c r="AU145" s="120"/>
      <c r="AV145" s="120"/>
      <c r="AW145" s="120"/>
      <c r="AX145" s="120"/>
      <c r="AY145" s="120"/>
      <c r="AZ145" s="121"/>
      <c r="BA145" s="121"/>
      <c r="BB145" s="121"/>
      <c r="BD145" s="121"/>
      <c r="BE145" s="121"/>
      <c r="BF145" s="124"/>
      <c r="BH145" s="121"/>
      <c r="BI145" s="121"/>
      <c r="BP145" s="121"/>
      <c r="BQ145" s="150">
        <v>44596.677916666667</v>
      </c>
    </row>
    <row r="146" spans="1:69" s="122" customFormat="1" ht="16.5">
      <c r="A146" s="118"/>
      <c r="B146" s="141" t="s">
        <v>2774</v>
      </c>
      <c r="C146" s="120"/>
      <c r="D146" s="120"/>
      <c r="E146" s="119"/>
      <c r="F146" s="120"/>
      <c r="G146" s="120"/>
      <c r="H146" s="120"/>
      <c r="J146" s="120"/>
      <c r="K146" s="120"/>
      <c r="L146" s="120"/>
      <c r="M146" s="120"/>
      <c r="N146" s="121"/>
      <c r="O146" s="120"/>
      <c r="P146" s="118"/>
      <c r="R146" s="123"/>
      <c r="T146" s="123"/>
      <c r="U146" s="123"/>
      <c r="V146" s="123"/>
      <c r="W146" s="123"/>
      <c r="X146" s="123"/>
      <c r="Y146" s="123"/>
      <c r="Z146" s="123"/>
      <c r="AA146" s="123"/>
      <c r="AB146" s="123"/>
      <c r="AC146" s="123"/>
      <c r="AD146" s="123"/>
      <c r="AE146" s="134"/>
      <c r="AF146" s="123"/>
      <c r="AG146" s="123"/>
      <c r="AH146" s="123"/>
      <c r="AI146" s="130"/>
      <c r="AJ146" s="130"/>
      <c r="AK146" s="130"/>
      <c r="AL146" s="134">
        <v>0</v>
      </c>
      <c r="AM146" s="134"/>
      <c r="AN146" s="120"/>
      <c r="AO146" s="120"/>
      <c r="AP146" s="120"/>
      <c r="AQ146" s="120"/>
      <c r="AR146" s="120"/>
      <c r="AS146" s="120"/>
      <c r="AT146" s="120"/>
      <c r="AU146" s="120"/>
      <c r="AV146" s="120"/>
      <c r="AW146" s="120"/>
      <c r="AX146" s="120"/>
      <c r="AY146" s="120"/>
      <c r="AZ146" s="121"/>
      <c r="BA146" s="121"/>
      <c r="BB146" s="121"/>
      <c r="BD146" s="121"/>
      <c r="BE146" s="121"/>
      <c r="BF146" s="124"/>
      <c r="BH146" s="121"/>
      <c r="BI146" s="121"/>
      <c r="BP146" s="121"/>
      <c r="BQ146" s="149"/>
    </row>
    <row r="147" spans="1:69" s="122" customFormat="1" ht="16.5">
      <c r="A147" s="118"/>
      <c r="B147" s="141" t="s">
        <v>1401</v>
      </c>
      <c r="C147" s="120"/>
      <c r="D147" s="120"/>
      <c r="E147" s="119"/>
      <c r="F147" s="120"/>
      <c r="G147" s="120"/>
      <c r="H147" s="120"/>
      <c r="J147" s="120"/>
      <c r="K147" s="120"/>
      <c r="L147" s="120"/>
      <c r="M147" s="120"/>
      <c r="N147" s="121"/>
      <c r="O147" s="120"/>
      <c r="P147" s="118"/>
      <c r="R147" s="123"/>
      <c r="T147" s="123"/>
      <c r="U147" s="123"/>
      <c r="V147" s="123"/>
      <c r="W147" s="123"/>
      <c r="X147" s="123"/>
      <c r="Y147" s="123"/>
      <c r="Z147" s="123"/>
      <c r="AA147" s="123"/>
      <c r="AB147" s="123"/>
      <c r="AC147" s="123"/>
      <c r="AD147" s="123"/>
      <c r="AE147" s="134">
        <v>0</v>
      </c>
      <c r="AF147" s="123"/>
      <c r="AG147" s="123"/>
      <c r="AH147" s="123"/>
      <c r="AI147" s="134">
        <v>0</v>
      </c>
      <c r="AJ147" s="120"/>
      <c r="AK147" s="120"/>
      <c r="AL147" s="120"/>
      <c r="AM147" s="120"/>
      <c r="AN147" s="120"/>
      <c r="AO147" s="120"/>
      <c r="AP147" s="120"/>
      <c r="AQ147" s="120"/>
      <c r="AR147" s="120"/>
      <c r="AS147" s="120"/>
      <c r="AT147" s="120"/>
      <c r="AU147" s="120"/>
      <c r="AV147" s="120"/>
      <c r="AW147" s="120"/>
      <c r="AX147" s="120"/>
      <c r="AY147" s="120"/>
      <c r="AZ147" s="121"/>
      <c r="BA147" s="121"/>
      <c r="BB147" s="121"/>
      <c r="BD147" s="121"/>
      <c r="BE147" s="121"/>
      <c r="BF147" s="124"/>
      <c r="BH147" s="121"/>
      <c r="BI147" s="121"/>
      <c r="BP147" s="121"/>
      <c r="BQ147" s="149"/>
    </row>
    <row r="148" spans="1:69" s="122" customFormat="1" ht="16.5">
      <c r="A148" s="118"/>
      <c r="B148" s="141"/>
      <c r="C148" s="120"/>
      <c r="D148" s="120"/>
      <c r="E148" s="119"/>
      <c r="F148" s="120"/>
      <c r="G148" s="120"/>
      <c r="H148" s="120"/>
      <c r="J148" s="120"/>
      <c r="K148" s="120"/>
      <c r="L148" s="120"/>
      <c r="M148" s="120"/>
      <c r="N148" s="121"/>
      <c r="O148" s="120"/>
      <c r="P148" s="118"/>
      <c r="R148" s="123"/>
      <c r="T148" s="123"/>
      <c r="U148" s="123"/>
      <c r="V148" s="123"/>
      <c r="W148" s="123"/>
      <c r="X148" s="123"/>
      <c r="Y148" s="123"/>
      <c r="Z148" s="123"/>
      <c r="AA148" s="123"/>
      <c r="AB148" s="123"/>
      <c r="AC148" s="123"/>
      <c r="AD148" s="123"/>
      <c r="AE148" s="120"/>
      <c r="AF148" s="134"/>
      <c r="AG148" s="123"/>
      <c r="AH148" s="123"/>
      <c r="AI148" s="120"/>
      <c r="AJ148" s="120"/>
      <c r="AK148" s="120"/>
      <c r="AL148" s="120"/>
      <c r="AM148" s="134"/>
      <c r="AN148" s="120"/>
      <c r="AO148" s="120"/>
      <c r="AP148" s="120"/>
      <c r="AQ148" s="120"/>
      <c r="AR148" s="120"/>
      <c r="AS148" s="120"/>
      <c r="AT148" s="120"/>
      <c r="AU148" s="120"/>
      <c r="AV148" s="120"/>
      <c r="AW148" s="120"/>
      <c r="AX148" s="120"/>
      <c r="AY148" s="120"/>
      <c r="AZ148" s="121"/>
      <c r="BA148" s="121"/>
      <c r="BB148" s="121"/>
      <c r="BD148" s="121"/>
      <c r="BE148" s="121"/>
      <c r="BF148" s="124"/>
      <c r="BH148" s="121"/>
      <c r="BI148" s="121"/>
      <c r="BP148" s="121"/>
      <c r="BQ148" s="149"/>
    </row>
    <row r="149" spans="1:69" s="122" customFormat="1" ht="16.5">
      <c r="A149" s="118"/>
      <c r="B149" s="141" t="s">
        <v>1548</v>
      </c>
      <c r="C149" s="120"/>
      <c r="D149" s="120"/>
      <c r="E149" s="119"/>
      <c r="F149" s="120"/>
      <c r="G149" s="120"/>
      <c r="H149" s="120"/>
      <c r="J149" s="120"/>
      <c r="K149" s="120"/>
      <c r="L149" s="120"/>
      <c r="M149" s="120"/>
      <c r="N149" s="121"/>
      <c r="O149" s="120"/>
      <c r="P149" s="118"/>
      <c r="R149" s="123"/>
      <c r="T149" s="123"/>
      <c r="U149" s="123"/>
      <c r="V149" s="123"/>
      <c r="W149" s="123"/>
      <c r="X149" s="123"/>
      <c r="Y149" s="123"/>
      <c r="Z149" s="123"/>
      <c r="AA149" s="123"/>
      <c r="AB149" s="123"/>
      <c r="AC149" s="123"/>
      <c r="AD149" s="123"/>
      <c r="AE149" s="123"/>
      <c r="AF149" s="134">
        <v>0</v>
      </c>
      <c r="AG149" s="123"/>
      <c r="AH149" s="123"/>
      <c r="AI149" s="120"/>
      <c r="AJ149" s="134"/>
      <c r="AK149" s="120"/>
      <c r="AL149" s="120"/>
      <c r="AM149" s="120"/>
      <c r="AN149" s="120"/>
      <c r="AO149" s="120"/>
      <c r="AP149" s="120"/>
      <c r="AQ149" s="120"/>
      <c r="AR149" s="120"/>
      <c r="AS149" s="120"/>
      <c r="AT149" s="120"/>
      <c r="AU149" s="120"/>
      <c r="AV149" s="120"/>
      <c r="AW149" s="120"/>
      <c r="AX149" s="120"/>
      <c r="AY149" s="120"/>
      <c r="AZ149" s="121"/>
      <c r="BA149" s="121"/>
      <c r="BB149" s="121"/>
      <c r="BD149" s="121"/>
      <c r="BE149" s="121"/>
      <c r="BF149" s="124"/>
      <c r="BH149" s="121"/>
      <c r="BI149" s="121"/>
      <c r="BP149" s="121"/>
      <c r="BQ149" s="149"/>
    </row>
    <row r="150" spans="1:69" s="122" customFormat="1" ht="16.5">
      <c r="A150" s="118"/>
      <c r="B150" s="141" t="s">
        <v>2765</v>
      </c>
      <c r="C150" s="120"/>
      <c r="D150" s="120"/>
      <c r="E150" s="119"/>
      <c r="F150" s="120"/>
      <c r="G150" s="120"/>
      <c r="H150" s="120"/>
      <c r="J150" s="120"/>
      <c r="K150" s="120"/>
      <c r="L150" s="120"/>
      <c r="M150" s="120"/>
      <c r="N150" s="121"/>
      <c r="O150" s="120"/>
      <c r="P150" s="118"/>
      <c r="R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0"/>
      <c r="AJ150" s="134"/>
      <c r="AK150" s="134">
        <v>0</v>
      </c>
      <c r="AL150" s="120"/>
      <c r="AM150" s="120"/>
      <c r="AN150" s="120"/>
      <c r="AO150" s="120"/>
      <c r="AP150" s="120"/>
      <c r="AQ150" s="120"/>
      <c r="AR150" s="120"/>
      <c r="AS150" s="120"/>
      <c r="AT150" s="120"/>
      <c r="AU150" s="120"/>
      <c r="AV150" s="120"/>
      <c r="AW150" s="120"/>
      <c r="AX150" s="120"/>
      <c r="AY150" s="120"/>
      <c r="AZ150" s="121"/>
      <c r="BA150" s="121"/>
      <c r="BB150" s="121"/>
      <c r="BD150" s="121"/>
      <c r="BE150" s="121"/>
      <c r="BF150" s="124"/>
      <c r="BH150" s="121"/>
      <c r="BI150" s="121"/>
      <c r="BP150" s="121"/>
      <c r="BQ150" s="149"/>
    </row>
    <row r="151" spans="1:69" s="122" customFormat="1" ht="16.5">
      <c r="A151" s="118"/>
      <c r="B151" s="141"/>
      <c r="C151" s="120"/>
      <c r="D151" s="120"/>
      <c r="E151" s="119"/>
      <c r="F151" s="120"/>
      <c r="G151" s="120"/>
      <c r="H151" s="120"/>
      <c r="J151" s="120"/>
      <c r="K151" s="120"/>
      <c r="L151" s="120"/>
      <c r="M151" s="120"/>
      <c r="N151" s="121"/>
      <c r="O151" s="120"/>
      <c r="P151" s="118"/>
      <c r="R151" s="123"/>
      <c r="T151" s="123"/>
      <c r="U151" s="123"/>
      <c r="V151" s="123"/>
      <c r="W151" s="123"/>
      <c r="X151" s="123"/>
      <c r="Y151" s="123"/>
      <c r="Z151" s="123"/>
      <c r="AA151" s="123"/>
      <c r="AB151" s="123"/>
      <c r="AC151" s="123"/>
      <c r="AD151" s="123"/>
      <c r="AE151" s="123"/>
      <c r="AF151" s="123"/>
      <c r="AG151" s="123"/>
      <c r="AH151" s="123"/>
      <c r="AI151" s="120"/>
      <c r="AJ151" s="134"/>
      <c r="AK151" s="134"/>
      <c r="AL151" s="120"/>
      <c r="AM151" s="120"/>
      <c r="AN151" s="120"/>
      <c r="AO151" s="120"/>
      <c r="AP151" s="120"/>
      <c r="AQ151" s="120"/>
      <c r="AR151" s="120"/>
      <c r="AS151" s="120"/>
      <c r="AT151" s="120"/>
      <c r="AU151" s="120"/>
      <c r="AV151" s="120"/>
      <c r="AW151" s="120"/>
      <c r="AX151" s="120"/>
      <c r="AY151" s="120"/>
      <c r="AZ151" s="121"/>
      <c r="BA151" s="121"/>
      <c r="BB151" s="121"/>
      <c r="BD151" s="121"/>
      <c r="BE151" s="121"/>
      <c r="BF151" s="124"/>
      <c r="BH151" s="121"/>
      <c r="BI151" s="121"/>
      <c r="BP151" s="121"/>
      <c r="BQ151" s="149"/>
    </row>
    <row r="152" spans="1:69" s="122" customFormat="1" ht="16.5">
      <c r="A152" s="118"/>
      <c r="B152" s="141" t="s">
        <v>1267</v>
      </c>
      <c r="C152" s="120"/>
      <c r="D152" s="120"/>
      <c r="E152" s="119"/>
      <c r="F152" s="120"/>
      <c r="G152" s="120"/>
      <c r="H152" s="120"/>
      <c r="J152" s="120"/>
      <c r="K152" s="120"/>
      <c r="L152" s="120"/>
      <c r="M152" s="120"/>
      <c r="N152" s="121"/>
      <c r="O152" s="120"/>
      <c r="P152" s="118"/>
      <c r="R152" s="123"/>
      <c r="T152" s="123"/>
      <c r="U152" s="123"/>
      <c r="V152" s="123"/>
      <c r="W152" s="123"/>
      <c r="X152" s="123"/>
      <c r="Y152" s="123"/>
      <c r="Z152" s="123"/>
      <c r="AA152" s="123"/>
      <c r="AB152" s="123"/>
      <c r="AC152" s="123"/>
      <c r="AD152" s="123"/>
      <c r="AE152" s="123"/>
      <c r="AF152" s="123"/>
      <c r="AG152" s="123"/>
      <c r="AH152" s="123"/>
      <c r="AI152" s="120" t="s">
        <v>1234</v>
      </c>
      <c r="AJ152" s="120"/>
      <c r="AK152" s="120"/>
      <c r="AL152" s="120"/>
      <c r="AM152" s="134">
        <v>0</v>
      </c>
      <c r="AN152" s="120"/>
      <c r="AO152" s="120"/>
      <c r="AP152" s="120"/>
      <c r="AQ152" s="120"/>
      <c r="AR152" s="120"/>
      <c r="AS152" s="120"/>
      <c r="AT152" s="120"/>
      <c r="AU152" s="120"/>
      <c r="AV152" s="120"/>
      <c r="AW152" s="120"/>
      <c r="AX152" s="120"/>
      <c r="AY152" s="120" t="str">
        <f>B152&amp;"(第"&amp;C152&amp;"版）"</f>
        <v>运动改造大脑(第版）</v>
      </c>
      <c r="AZ152" s="121"/>
      <c r="BA152" s="121"/>
      <c r="BB152" s="121"/>
      <c r="BD152" s="121"/>
      <c r="BE152" s="121"/>
      <c r="BF152" s="124"/>
      <c r="BH152" s="121"/>
      <c r="BI152" s="121"/>
      <c r="BP152" s="121"/>
      <c r="BQ152" s="150">
        <v>44596.589317129627</v>
      </c>
    </row>
    <row r="153" spans="1:69" s="122" customFormat="1" ht="16.5">
      <c r="A153" s="118"/>
      <c r="B153" s="141"/>
      <c r="C153" s="120"/>
      <c r="D153" s="120"/>
      <c r="E153" s="119"/>
      <c r="F153" s="120"/>
      <c r="G153" s="120"/>
      <c r="H153" s="120"/>
      <c r="J153" s="120"/>
      <c r="K153" s="120"/>
      <c r="L153" s="120"/>
      <c r="M153" s="120"/>
      <c r="N153" s="121"/>
      <c r="O153" s="120"/>
      <c r="P153" s="118"/>
      <c r="R153" s="123"/>
      <c r="T153" s="123"/>
      <c r="U153" s="123"/>
      <c r="V153" s="123"/>
      <c r="W153" s="123"/>
      <c r="X153" s="123"/>
      <c r="Y153" s="123"/>
      <c r="Z153" s="123"/>
      <c r="AA153" s="123"/>
      <c r="AB153" s="123"/>
      <c r="AC153" s="123"/>
      <c r="AD153" s="123"/>
      <c r="AE153" s="123"/>
      <c r="AF153" s="123"/>
      <c r="AG153" s="123"/>
      <c r="AH153" s="123"/>
      <c r="AI153" s="120"/>
      <c r="AJ153" s="120"/>
      <c r="AK153" s="120"/>
      <c r="AL153" s="120"/>
      <c r="AM153" s="134"/>
      <c r="AN153" s="120"/>
      <c r="AO153" s="120"/>
      <c r="AP153" s="120"/>
      <c r="AQ153" s="120"/>
      <c r="AR153" s="120"/>
      <c r="AS153" s="120"/>
      <c r="AT153" s="120"/>
      <c r="AU153" s="120"/>
      <c r="AV153" s="120"/>
      <c r="AW153" s="120"/>
      <c r="AX153" s="120"/>
      <c r="AY153" s="120"/>
      <c r="AZ153" s="121"/>
      <c r="BA153" s="121"/>
      <c r="BB153" s="121"/>
      <c r="BD153" s="121"/>
      <c r="BE153" s="121"/>
      <c r="BF153" s="124"/>
      <c r="BH153" s="121"/>
      <c r="BI153" s="121"/>
      <c r="BP153" s="121"/>
      <c r="BQ153" s="150"/>
    </row>
    <row r="154" spans="1:69" s="13" customFormat="1" ht="26.25" customHeight="1">
      <c r="B154" s="141" t="s">
        <v>1825</v>
      </c>
      <c r="D154" s="46"/>
      <c r="F154" s="15"/>
      <c r="G154" s="17"/>
      <c r="H154" s="16" t="s">
        <v>624</v>
      </c>
      <c r="AF154" s="134">
        <v>0</v>
      </c>
      <c r="AG154" s="134">
        <v>0</v>
      </c>
      <c r="AI154" s="129" t="s">
        <v>1354</v>
      </c>
      <c r="AM154" s="134">
        <v>0</v>
      </c>
      <c r="BQ154" s="151">
        <v>44596.611712962964</v>
      </c>
    </row>
    <row r="155" spans="1:69" s="122" customFormat="1" ht="16.5">
      <c r="A155" s="118"/>
      <c r="B155" s="141"/>
      <c r="C155" s="120"/>
      <c r="D155" s="120"/>
      <c r="E155" s="119"/>
      <c r="F155" s="120"/>
      <c r="G155" s="120"/>
      <c r="H155" s="120"/>
      <c r="J155" s="120"/>
      <c r="K155" s="120"/>
      <c r="L155" s="120"/>
      <c r="M155" s="120"/>
      <c r="N155" s="121"/>
      <c r="O155" s="120"/>
      <c r="P155" s="118"/>
      <c r="R155" s="123"/>
      <c r="T155" s="123"/>
      <c r="U155" s="123"/>
      <c r="V155" s="123"/>
      <c r="W155" s="123"/>
      <c r="X155" s="123"/>
      <c r="Y155" s="123"/>
      <c r="Z155" s="123"/>
      <c r="AA155" s="123"/>
      <c r="AB155" s="123"/>
      <c r="AC155" s="123"/>
      <c r="AD155" s="123"/>
      <c r="AE155" s="123"/>
      <c r="AF155" s="123"/>
      <c r="AG155" s="123"/>
      <c r="AH155" s="123"/>
      <c r="AI155" s="120"/>
      <c r="AJ155" s="134"/>
      <c r="AK155" s="120"/>
      <c r="AL155" s="120"/>
      <c r="AM155" s="120"/>
      <c r="AN155" s="120"/>
      <c r="AO155" s="120"/>
      <c r="AP155" s="120"/>
      <c r="AQ155" s="120"/>
      <c r="AR155" s="120"/>
      <c r="AS155" s="120"/>
      <c r="AT155" s="120"/>
      <c r="AU155" s="120"/>
      <c r="AV155" s="120"/>
      <c r="AW155" s="120"/>
      <c r="AX155" s="120"/>
      <c r="AY155" s="120"/>
      <c r="AZ155" s="121"/>
      <c r="BA155" s="121"/>
      <c r="BB155" s="121"/>
      <c r="BD155" s="121"/>
      <c r="BE155" s="121"/>
      <c r="BF155" s="124"/>
      <c r="BH155" s="121"/>
      <c r="BI155" s="121"/>
      <c r="BP155" s="121"/>
      <c r="BQ155" s="149"/>
    </row>
    <row r="156" spans="1:69" s="122" customFormat="1" ht="16.5">
      <c r="A156" s="118"/>
      <c r="B156" s="141" t="s">
        <v>1406</v>
      </c>
      <c r="C156" s="120"/>
      <c r="D156" s="120"/>
      <c r="E156" s="119"/>
      <c r="F156" s="120"/>
      <c r="G156" s="120"/>
      <c r="H156" s="120"/>
      <c r="J156" s="120"/>
      <c r="K156" s="120"/>
      <c r="L156" s="120"/>
      <c r="M156" s="120"/>
      <c r="N156" s="121"/>
      <c r="O156" s="120"/>
      <c r="P156" s="118"/>
      <c r="R156" s="123"/>
      <c r="T156" s="123"/>
      <c r="U156" s="123"/>
      <c r="V156" s="123"/>
      <c r="W156" s="123"/>
      <c r="X156" s="123"/>
      <c r="Y156" s="123"/>
      <c r="Z156" s="123"/>
      <c r="AA156" s="123"/>
      <c r="AB156" s="123"/>
      <c r="AC156" s="123"/>
      <c r="AD156" s="123"/>
      <c r="AE156" s="120"/>
      <c r="AF156" s="134">
        <v>0</v>
      </c>
      <c r="AG156" s="134">
        <v>0</v>
      </c>
      <c r="AH156" s="123"/>
      <c r="AI156" s="120"/>
      <c r="AJ156" s="120"/>
      <c r="AK156" s="120"/>
      <c r="AL156" s="120"/>
      <c r="AM156" s="120"/>
      <c r="AN156" s="120"/>
      <c r="AO156" s="120"/>
      <c r="AP156" s="120"/>
      <c r="AQ156" s="120"/>
      <c r="AR156" s="120"/>
      <c r="AS156" s="120"/>
      <c r="AT156" s="120"/>
      <c r="AU156" s="120"/>
      <c r="AV156" s="120"/>
      <c r="AW156" s="120"/>
      <c r="AX156" s="120"/>
      <c r="AY156" s="120"/>
      <c r="AZ156" s="121"/>
      <c r="BA156" s="121"/>
      <c r="BB156" s="121"/>
      <c r="BD156" s="121"/>
      <c r="BE156" s="121"/>
      <c r="BF156" s="124"/>
      <c r="BH156" s="121"/>
      <c r="BI156" s="121"/>
      <c r="BP156" s="121"/>
      <c r="BQ156" s="149"/>
    </row>
    <row r="157" spans="1:69" s="122" customFormat="1" ht="16.5">
      <c r="A157" s="118"/>
      <c r="B157" s="141" t="s">
        <v>1381</v>
      </c>
      <c r="C157" s="120"/>
      <c r="D157" s="120"/>
      <c r="E157" s="119"/>
      <c r="F157" s="120"/>
      <c r="G157" s="120"/>
      <c r="H157" s="120"/>
      <c r="J157" s="120"/>
      <c r="K157" s="120"/>
      <c r="L157" s="120"/>
      <c r="M157" s="120"/>
      <c r="N157" s="121"/>
      <c r="O157" s="120"/>
      <c r="P157" s="118"/>
      <c r="R157" s="123"/>
      <c r="T157" s="123"/>
      <c r="U157" s="123"/>
      <c r="V157" s="123"/>
      <c r="W157" s="123"/>
      <c r="X157" s="123"/>
      <c r="Y157" s="123"/>
      <c r="Z157" s="123"/>
      <c r="AA157" s="123"/>
      <c r="AB157" s="123"/>
      <c r="AC157" s="123"/>
      <c r="AD157" s="123"/>
      <c r="AE157" s="123"/>
      <c r="AF157" s="123"/>
      <c r="AG157" s="134">
        <v>0</v>
      </c>
      <c r="AH157" s="123"/>
      <c r="AI157" s="120"/>
      <c r="AJ157" s="130"/>
      <c r="AK157" s="134">
        <v>0</v>
      </c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  <c r="AY157" s="120"/>
      <c r="AZ157" s="121"/>
      <c r="BA157" s="121"/>
      <c r="BB157" s="121"/>
      <c r="BD157" s="121"/>
      <c r="BE157" s="121"/>
      <c r="BF157" s="124"/>
      <c r="BH157" s="121"/>
      <c r="BI157" s="121"/>
      <c r="BP157" s="121"/>
      <c r="BQ157" s="149"/>
    </row>
    <row r="158" spans="1:69" s="122" customFormat="1" ht="16.5">
      <c r="A158" s="118"/>
      <c r="B158" s="141" t="s">
        <v>1543</v>
      </c>
      <c r="C158" s="120"/>
      <c r="D158" s="120"/>
      <c r="E158" s="119"/>
      <c r="F158" s="120"/>
      <c r="G158" s="120"/>
      <c r="H158" s="120"/>
      <c r="J158" s="120"/>
      <c r="K158" s="120"/>
      <c r="L158" s="120"/>
      <c r="M158" s="120"/>
      <c r="N158" s="121"/>
      <c r="O158" s="120"/>
      <c r="P158" s="118"/>
      <c r="R158" s="123"/>
      <c r="T158" s="123"/>
      <c r="U158" s="123"/>
      <c r="V158" s="123"/>
      <c r="W158" s="123"/>
      <c r="X158" s="123"/>
      <c r="Y158" s="123"/>
      <c r="Z158" s="123"/>
      <c r="AA158" s="123"/>
      <c r="AB158" s="123"/>
      <c r="AC158" s="123"/>
      <c r="AD158" s="123"/>
      <c r="AE158" s="134">
        <v>0</v>
      </c>
      <c r="AF158" s="123"/>
      <c r="AG158" s="134">
        <v>0</v>
      </c>
      <c r="AH158" s="123"/>
      <c r="AI158" s="120"/>
      <c r="AJ158" s="130"/>
      <c r="AK158" s="134"/>
      <c r="AL158" s="120"/>
      <c r="AM158" s="120"/>
      <c r="AN158" s="120"/>
      <c r="AO158" s="120"/>
      <c r="AP158" s="120"/>
      <c r="AQ158" s="120"/>
      <c r="AR158" s="120"/>
      <c r="AS158" s="120"/>
      <c r="AT158" s="120"/>
      <c r="AU158" s="120"/>
      <c r="AV158" s="120"/>
      <c r="AW158" s="120"/>
      <c r="AX158" s="120"/>
      <c r="AY158" s="120"/>
      <c r="AZ158" s="121"/>
      <c r="BA158" s="121"/>
      <c r="BB158" s="121"/>
      <c r="BD158" s="121"/>
      <c r="BE158" s="121"/>
      <c r="BF158" s="124"/>
      <c r="BH158" s="121"/>
      <c r="BI158" s="121"/>
      <c r="BP158" s="121"/>
      <c r="BQ158" s="149"/>
    </row>
    <row r="159" spans="1:69" s="122" customFormat="1" ht="16.5">
      <c r="A159" s="118"/>
      <c r="B159" s="141" t="s">
        <v>1503</v>
      </c>
      <c r="C159" s="120"/>
      <c r="D159" s="120"/>
      <c r="E159" s="119"/>
      <c r="F159" s="120"/>
      <c r="G159" s="120"/>
      <c r="H159" s="120"/>
      <c r="J159" s="120"/>
      <c r="K159" s="120"/>
      <c r="L159" s="120"/>
      <c r="M159" s="120"/>
      <c r="N159" s="121"/>
      <c r="O159" s="120"/>
      <c r="P159" s="118"/>
      <c r="R159" s="123"/>
      <c r="T159" s="123"/>
      <c r="U159" s="123"/>
      <c r="V159" s="123"/>
      <c r="W159" s="123"/>
      <c r="X159" s="123"/>
      <c r="Y159" s="123"/>
      <c r="Z159" s="123"/>
      <c r="AA159" s="123"/>
      <c r="AB159" s="123"/>
      <c r="AC159" s="123"/>
      <c r="AD159" s="123">
        <v>1</v>
      </c>
      <c r="AE159" s="123"/>
      <c r="AF159" s="134">
        <v>0</v>
      </c>
      <c r="AG159" s="134">
        <v>0</v>
      </c>
      <c r="AH159" s="123"/>
      <c r="AI159" s="120"/>
      <c r="AJ159" s="120"/>
      <c r="AK159" s="120"/>
      <c r="AL159" s="120"/>
      <c r="AM159" s="120"/>
      <c r="AN159" s="120"/>
      <c r="AO159" s="120"/>
      <c r="AP159" s="120"/>
      <c r="AQ159" s="120"/>
      <c r="AR159" s="120"/>
      <c r="AS159" s="120"/>
      <c r="AT159" s="120"/>
      <c r="AU159" s="120"/>
      <c r="AV159" s="120"/>
      <c r="AW159" s="120"/>
      <c r="AX159" s="120"/>
      <c r="AY159" s="120"/>
      <c r="AZ159" s="121"/>
      <c r="BA159" s="121"/>
      <c r="BB159" s="121"/>
      <c r="BD159" s="121"/>
      <c r="BE159" s="121"/>
      <c r="BF159" s="124"/>
      <c r="BH159" s="121"/>
      <c r="BI159" s="121"/>
      <c r="BP159" s="121"/>
      <c r="BQ159" s="149"/>
    </row>
    <row r="160" spans="1:69" s="13" customFormat="1" ht="26.25" customHeight="1">
      <c r="B160" s="141" t="s">
        <v>1768</v>
      </c>
      <c r="D160" s="46"/>
      <c r="F160" s="15"/>
      <c r="G160" s="17"/>
      <c r="H160" s="16"/>
      <c r="AI160" s="134">
        <v>0</v>
      </c>
      <c r="BQ160" s="37"/>
    </row>
    <row r="161" spans="1:69" s="122" customFormat="1" ht="27">
      <c r="A161" s="118"/>
      <c r="B161" s="141" t="s">
        <v>1471</v>
      </c>
      <c r="C161" s="120"/>
      <c r="D161" s="120"/>
      <c r="E161" s="119"/>
      <c r="F161" s="120"/>
      <c r="G161" s="120"/>
      <c r="H161" s="120"/>
      <c r="J161" s="120"/>
      <c r="K161" s="120"/>
      <c r="L161" s="120"/>
      <c r="M161" s="120"/>
      <c r="N161" s="121"/>
      <c r="O161" s="120"/>
      <c r="P161" s="118"/>
      <c r="R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30"/>
      <c r="AJ161" s="134">
        <v>0</v>
      </c>
      <c r="AK161" s="130"/>
      <c r="AL161" s="120"/>
      <c r="AM161" s="134">
        <v>0</v>
      </c>
      <c r="AN161" s="120"/>
      <c r="AO161" s="120"/>
      <c r="AP161" s="120"/>
      <c r="AQ161" s="120"/>
      <c r="AR161" s="120"/>
      <c r="AS161" s="120"/>
      <c r="AT161" s="120"/>
      <c r="AU161" s="120"/>
      <c r="AV161" s="120"/>
      <c r="AW161" s="120"/>
      <c r="AX161" s="120"/>
      <c r="AY161" s="120"/>
      <c r="AZ161" s="121"/>
      <c r="BA161" s="121"/>
      <c r="BB161" s="121"/>
      <c r="BD161" s="121"/>
      <c r="BE161" s="121"/>
      <c r="BF161" s="124"/>
      <c r="BH161" s="121"/>
      <c r="BI161" s="121"/>
      <c r="BP161" s="121"/>
      <c r="BQ161" s="149"/>
    </row>
    <row r="162" spans="1:69" s="122" customFormat="1" ht="27">
      <c r="A162" s="118"/>
      <c r="B162" s="141" t="s">
        <v>2773</v>
      </c>
      <c r="C162" s="120"/>
      <c r="D162" s="120"/>
      <c r="E162" s="119"/>
      <c r="F162" s="120"/>
      <c r="G162" s="120"/>
      <c r="H162" s="120"/>
      <c r="J162" s="120"/>
      <c r="K162" s="120"/>
      <c r="L162" s="120"/>
      <c r="M162" s="120"/>
      <c r="N162" s="121"/>
      <c r="O162" s="120"/>
      <c r="P162" s="118"/>
      <c r="R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34"/>
      <c r="AF162" s="123"/>
      <c r="AG162" s="134"/>
      <c r="AH162" s="123"/>
      <c r="AI162" s="120"/>
      <c r="AJ162" s="130"/>
      <c r="AK162" s="134"/>
      <c r="AL162" s="134">
        <v>0</v>
      </c>
      <c r="AM162" s="120"/>
      <c r="AN162" s="120"/>
      <c r="AO162" s="120"/>
      <c r="AP162" s="120"/>
      <c r="AQ162" s="120"/>
      <c r="AR162" s="120"/>
      <c r="AS162" s="120"/>
      <c r="AT162" s="120"/>
      <c r="AU162" s="120"/>
      <c r="AV162" s="120"/>
      <c r="AW162" s="120"/>
      <c r="AX162" s="120"/>
      <c r="AY162" s="120"/>
      <c r="AZ162" s="121"/>
      <c r="BA162" s="121"/>
      <c r="BB162" s="121"/>
      <c r="BD162" s="121"/>
      <c r="BE162" s="121"/>
      <c r="BF162" s="124"/>
      <c r="BH162" s="121"/>
      <c r="BI162" s="121"/>
      <c r="BP162" s="121"/>
      <c r="BQ162" s="149"/>
    </row>
    <row r="163" spans="1:69" s="122" customFormat="1" ht="16.5">
      <c r="A163" s="118"/>
      <c r="B163" s="141"/>
      <c r="C163" s="120"/>
      <c r="D163" s="120"/>
      <c r="E163" s="119"/>
      <c r="F163" s="120"/>
      <c r="G163" s="120"/>
      <c r="H163" s="120"/>
      <c r="J163" s="120"/>
      <c r="K163" s="120"/>
      <c r="L163" s="120"/>
      <c r="M163" s="120"/>
      <c r="N163" s="121"/>
      <c r="O163" s="120"/>
      <c r="P163" s="118"/>
      <c r="R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34"/>
      <c r="AF163" s="123"/>
      <c r="AG163" s="134"/>
      <c r="AH163" s="123"/>
      <c r="AI163" s="120"/>
      <c r="AJ163" s="130"/>
      <c r="AK163" s="134"/>
      <c r="AL163" s="120"/>
      <c r="AM163" s="120"/>
      <c r="AN163" s="120"/>
      <c r="AO163" s="120"/>
      <c r="AP163" s="120"/>
      <c r="AQ163" s="120"/>
      <c r="AR163" s="120"/>
      <c r="AS163" s="120"/>
      <c r="AT163" s="120"/>
      <c r="AU163" s="120"/>
      <c r="AV163" s="120"/>
      <c r="AW163" s="120"/>
      <c r="AX163" s="120"/>
      <c r="AY163" s="120"/>
      <c r="AZ163" s="121"/>
      <c r="BA163" s="121"/>
      <c r="BB163" s="121"/>
      <c r="BD163" s="121"/>
      <c r="BE163" s="121"/>
      <c r="BF163" s="124"/>
      <c r="BH163" s="121"/>
      <c r="BI163" s="121"/>
      <c r="BP163" s="121"/>
      <c r="BQ163" s="149"/>
    </row>
    <row r="164" spans="1:69" s="122" customFormat="1" ht="16.5">
      <c r="A164" s="118"/>
      <c r="B164" s="141"/>
      <c r="C164" s="120"/>
      <c r="D164" s="120"/>
      <c r="E164" s="119"/>
      <c r="F164" s="120"/>
      <c r="G164" s="120"/>
      <c r="H164" s="120"/>
      <c r="J164" s="120"/>
      <c r="K164" s="120"/>
      <c r="L164" s="120"/>
      <c r="M164" s="120"/>
      <c r="N164" s="121"/>
      <c r="O164" s="120"/>
      <c r="P164" s="118"/>
      <c r="R164" s="123"/>
      <c r="T164" s="123"/>
      <c r="U164" s="123"/>
      <c r="V164" s="123"/>
      <c r="W164" s="123"/>
      <c r="X164" s="123"/>
      <c r="Y164" s="123"/>
      <c r="Z164" s="123"/>
      <c r="AA164" s="123"/>
      <c r="AB164" s="123"/>
      <c r="AC164" s="123"/>
      <c r="AD164" s="123"/>
      <c r="AE164" s="134"/>
      <c r="AF164" s="123"/>
      <c r="AG164" s="134"/>
      <c r="AH164" s="123"/>
      <c r="AI164" s="120"/>
      <c r="AJ164" s="130"/>
      <c r="AK164" s="134"/>
      <c r="AL164" s="120"/>
      <c r="AM164" s="120"/>
      <c r="AN164" s="120"/>
      <c r="AO164" s="120"/>
      <c r="AP164" s="120"/>
      <c r="AQ164" s="120"/>
      <c r="AR164" s="120"/>
      <c r="AS164" s="120"/>
      <c r="AT164" s="120"/>
      <c r="AU164" s="120"/>
      <c r="AV164" s="120"/>
      <c r="AW164" s="120"/>
      <c r="AX164" s="120"/>
      <c r="AY164" s="120"/>
      <c r="AZ164" s="121"/>
      <c r="BA164" s="121"/>
      <c r="BB164" s="121"/>
      <c r="BD164" s="121"/>
      <c r="BE164" s="121"/>
      <c r="BF164" s="124"/>
      <c r="BH164" s="121"/>
      <c r="BI164" s="121"/>
      <c r="BP164" s="121"/>
      <c r="BQ164" s="149"/>
    </row>
    <row r="165" spans="1:69" s="122" customFormat="1" ht="16.5">
      <c r="A165" s="118"/>
      <c r="B165" s="141" t="s">
        <v>1545</v>
      </c>
      <c r="C165" s="120"/>
      <c r="D165" s="120"/>
      <c r="E165" s="119"/>
      <c r="F165" s="120"/>
      <c r="G165" s="120"/>
      <c r="H165" s="120"/>
      <c r="J165" s="120"/>
      <c r="K165" s="120"/>
      <c r="L165" s="120"/>
      <c r="M165" s="120"/>
      <c r="N165" s="121"/>
      <c r="O165" s="120"/>
      <c r="P165" s="118"/>
      <c r="R165" s="123"/>
      <c r="T165" s="123"/>
      <c r="U165" s="123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34">
        <v>0</v>
      </c>
      <c r="AF165" s="123"/>
      <c r="AG165" s="134"/>
      <c r="AH165" s="123"/>
      <c r="AI165" s="120"/>
      <c r="AJ165" s="130"/>
      <c r="AK165" s="134"/>
      <c r="AL165" s="120"/>
      <c r="AM165" s="120"/>
      <c r="AN165" s="120"/>
      <c r="AO165" s="120"/>
      <c r="AP165" s="120"/>
      <c r="AQ165" s="120"/>
      <c r="AR165" s="120"/>
      <c r="AS165" s="120"/>
      <c r="AT165" s="120"/>
      <c r="AU165" s="120"/>
      <c r="AV165" s="120"/>
      <c r="AW165" s="120"/>
      <c r="AX165" s="120"/>
      <c r="AY165" s="120"/>
      <c r="AZ165" s="121"/>
      <c r="BA165" s="121"/>
      <c r="BB165" s="121"/>
      <c r="BD165" s="121"/>
      <c r="BE165" s="121"/>
      <c r="BF165" s="124"/>
      <c r="BH165" s="121"/>
      <c r="BI165" s="121"/>
      <c r="BP165" s="121"/>
      <c r="BQ165" s="149"/>
    </row>
    <row r="166" spans="1:69" s="122" customFormat="1" ht="16.5">
      <c r="A166" s="118"/>
      <c r="B166" s="141"/>
      <c r="C166" s="120"/>
      <c r="D166" s="120"/>
      <c r="E166" s="119"/>
      <c r="F166" s="120"/>
      <c r="G166" s="120"/>
      <c r="H166" s="120"/>
      <c r="J166" s="120"/>
      <c r="K166" s="120"/>
      <c r="L166" s="120"/>
      <c r="M166" s="120"/>
      <c r="N166" s="121"/>
      <c r="O166" s="120"/>
      <c r="P166" s="118"/>
      <c r="R166" s="123"/>
      <c r="T166" s="123"/>
      <c r="U166" s="123"/>
      <c r="V166" s="123"/>
      <c r="W166" s="123"/>
      <c r="X166" s="123"/>
      <c r="Y166" s="123"/>
      <c r="Z166" s="123"/>
      <c r="AA166" s="123"/>
      <c r="AB166" s="123"/>
      <c r="AC166" s="123"/>
      <c r="AD166" s="123"/>
      <c r="AE166" s="123"/>
      <c r="AF166" s="123"/>
      <c r="AG166" s="123"/>
      <c r="AH166" s="123"/>
      <c r="AI166" s="120"/>
      <c r="AJ166" s="134"/>
      <c r="AK166" s="120"/>
      <c r="AL166" s="120"/>
      <c r="AM166" s="120"/>
      <c r="AN166" s="120"/>
      <c r="AO166" s="120"/>
      <c r="AP166" s="120"/>
      <c r="AQ166" s="120"/>
      <c r="AR166" s="120"/>
      <c r="AS166" s="120"/>
      <c r="AT166" s="120"/>
      <c r="AU166" s="120"/>
      <c r="AV166" s="120"/>
      <c r="AW166" s="120"/>
      <c r="AX166" s="120"/>
      <c r="AY166" s="120"/>
      <c r="AZ166" s="121"/>
      <c r="BA166" s="121"/>
      <c r="BB166" s="121"/>
      <c r="BD166" s="121"/>
      <c r="BE166" s="121"/>
      <c r="BF166" s="124"/>
      <c r="BH166" s="121"/>
      <c r="BI166" s="121"/>
      <c r="BP166" s="121"/>
      <c r="BQ166" s="149"/>
    </row>
    <row r="167" spans="1:69" s="122" customFormat="1" ht="16.5">
      <c r="A167" s="118"/>
      <c r="B167" s="141" t="s">
        <v>1482</v>
      </c>
      <c r="C167" s="120"/>
      <c r="D167" s="120"/>
      <c r="E167" s="119"/>
      <c r="F167" s="120"/>
      <c r="G167" s="120"/>
      <c r="H167" s="120"/>
      <c r="J167" s="120"/>
      <c r="K167" s="120"/>
      <c r="L167" s="120"/>
      <c r="M167" s="120"/>
      <c r="N167" s="121"/>
      <c r="O167" s="120"/>
      <c r="P167" s="118"/>
      <c r="R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>
        <v>1</v>
      </c>
      <c r="AE167" s="123"/>
      <c r="AF167" s="123"/>
      <c r="AG167" s="123"/>
      <c r="AH167" s="123"/>
      <c r="AI167" s="120"/>
      <c r="AJ167" s="134"/>
      <c r="AK167" s="120"/>
      <c r="AL167" s="120"/>
      <c r="AM167" s="120"/>
      <c r="AN167" s="120"/>
      <c r="AO167" s="120"/>
      <c r="AP167" s="120"/>
      <c r="AQ167" s="120"/>
      <c r="AR167" s="120"/>
      <c r="AS167" s="120"/>
      <c r="AT167" s="120"/>
      <c r="AU167" s="120"/>
      <c r="AV167" s="120"/>
      <c r="AW167" s="120"/>
      <c r="AX167" s="120"/>
      <c r="AY167" s="120"/>
      <c r="AZ167" s="121"/>
      <c r="BA167" s="121"/>
      <c r="BB167" s="121"/>
      <c r="BD167" s="121"/>
      <c r="BE167" s="121"/>
      <c r="BF167" s="124"/>
      <c r="BH167" s="121"/>
      <c r="BI167" s="121"/>
      <c r="BP167" s="121"/>
      <c r="BQ167" s="149"/>
    </row>
    <row r="168" spans="1:69" s="122" customFormat="1" ht="16.5">
      <c r="A168" s="118"/>
      <c r="B168" s="141" t="s">
        <v>1483</v>
      </c>
      <c r="C168" s="120"/>
      <c r="D168" s="120"/>
      <c r="E168" s="119"/>
      <c r="F168" s="120"/>
      <c r="G168" s="120"/>
      <c r="H168" s="120"/>
      <c r="J168" s="120"/>
      <c r="K168" s="120"/>
      <c r="L168" s="120"/>
      <c r="M168" s="120"/>
      <c r="N168" s="121"/>
      <c r="O168" s="120"/>
      <c r="P168" s="118"/>
      <c r="R168" s="123"/>
      <c r="T168" s="123"/>
      <c r="U168" s="123"/>
      <c r="V168" s="123"/>
      <c r="W168" s="123"/>
      <c r="X168" s="123"/>
      <c r="Y168" s="123"/>
      <c r="Z168" s="123"/>
      <c r="AA168" s="123"/>
      <c r="AB168" s="123"/>
      <c r="AC168" s="123"/>
      <c r="AD168" s="123">
        <v>1</v>
      </c>
      <c r="AE168" s="123"/>
      <c r="AF168" s="123"/>
      <c r="AG168" s="123"/>
      <c r="AH168" s="123"/>
      <c r="AI168" s="120"/>
      <c r="AJ168" s="134"/>
      <c r="AK168" s="120"/>
      <c r="AL168" s="120"/>
      <c r="AM168" s="120"/>
      <c r="AN168" s="120"/>
      <c r="AO168" s="120"/>
      <c r="AP168" s="120"/>
      <c r="AQ168" s="120"/>
      <c r="AR168" s="120"/>
      <c r="AS168" s="120"/>
      <c r="AT168" s="120"/>
      <c r="AU168" s="120"/>
      <c r="AV168" s="120"/>
      <c r="AW168" s="120"/>
      <c r="AX168" s="120"/>
      <c r="AY168" s="120"/>
      <c r="AZ168" s="121"/>
      <c r="BA168" s="121"/>
      <c r="BB168" s="121"/>
      <c r="BD168" s="121"/>
      <c r="BE168" s="121"/>
      <c r="BF168" s="124"/>
      <c r="BH168" s="121"/>
      <c r="BI168" s="121"/>
      <c r="BP168" s="121"/>
      <c r="BQ168" s="149"/>
    </row>
    <row r="169" spans="1:69" s="122" customFormat="1" ht="16.5">
      <c r="A169" s="118"/>
      <c r="B169" s="141" t="s">
        <v>1484</v>
      </c>
      <c r="C169" s="120"/>
      <c r="D169" s="120"/>
      <c r="E169" s="119"/>
      <c r="F169" s="120"/>
      <c r="G169" s="120"/>
      <c r="H169" s="120"/>
      <c r="J169" s="120"/>
      <c r="K169" s="120"/>
      <c r="L169" s="120"/>
      <c r="M169" s="120"/>
      <c r="N169" s="121"/>
      <c r="O169" s="120"/>
      <c r="P169" s="118"/>
      <c r="R169" s="123"/>
      <c r="T169" s="123"/>
      <c r="U169" s="123"/>
      <c r="V169" s="123"/>
      <c r="W169" s="123"/>
      <c r="X169" s="123"/>
      <c r="Y169" s="123"/>
      <c r="Z169" s="123"/>
      <c r="AA169" s="123"/>
      <c r="AB169" s="123"/>
      <c r="AC169" s="123"/>
      <c r="AD169" s="123">
        <v>1</v>
      </c>
      <c r="AE169" s="123"/>
      <c r="AF169" s="123"/>
      <c r="AG169" s="123"/>
      <c r="AH169" s="123"/>
      <c r="AI169" s="120"/>
      <c r="AJ169" s="120"/>
      <c r="AK169" s="120"/>
      <c r="AL169" s="120"/>
      <c r="AM169" s="120"/>
      <c r="AN169" s="120"/>
      <c r="AO169" s="120"/>
      <c r="AP169" s="120"/>
      <c r="AQ169" s="120"/>
      <c r="AR169" s="120"/>
      <c r="AS169" s="120"/>
      <c r="AT169" s="120"/>
      <c r="AU169" s="120"/>
      <c r="AV169" s="120"/>
      <c r="AW169" s="120"/>
      <c r="AX169" s="120"/>
      <c r="AY169" s="120"/>
      <c r="AZ169" s="121"/>
      <c r="BA169" s="121"/>
      <c r="BB169" s="121"/>
      <c r="BD169" s="121"/>
      <c r="BE169" s="121"/>
      <c r="BF169" s="124"/>
      <c r="BH169" s="121"/>
      <c r="BI169" s="121"/>
      <c r="BP169" s="121"/>
      <c r="BQ169" s="149"/>
    </row>
    <row r="170" spans="1:69" s="122" customFormat="1" ht="16.5">
      <c r="A170" s="118"/>
      <c r="B170" s="141" t="s">
        <v>1296</v>
      </c>
      <c r="C170" s="120"/>
      <c r="D170" s="120"/>
      <c r="E170" s="119"/>
      <c r="F170" s="120"/>
      <c r="G170" s="120"/>
      <c r="H170" s="120"/>
      <c r="J170" s="120"/>
      <c r="K170" s="120"/>
      <c r="L170" s="120"/>
      <c r="M170" s="120"/>
      <c r="N170" s="121"/>
      <c r="O170" s="120"/>
      <c r="P170" s="118"/>
      <c r="R170" s="123"/>
      <c r="T170" s="123"/>
      <c r="U170" s="123"/>
      <c r="V170" s="123"/>
      <c r="W170" s="123"/>
      <c r="X170" s="123"/>
      <c r="Y170" s="123"/>
      <c r="Z170" s="123"/>
      <c r="AA170" s="123"/>
      <c r="AB170" s="123"/>
      <c r="AC170" s="123"/>
      <c r="AD170" s="123">
        <v>1</v>
      </c>
      <c r="AE170" s="123"/>
      <c r="AF170" s="123"/>
      <c r="AG170" s="123"/>
      <c r="AH170" s="123"/>
      <c r="AI170" s="120" t="s">
        <v>1234</v>
      </c>
      <c r="AJ170" s="120"/>
      <c r="AK170" s="120"/>
      <c r="AL170" s="120"/>
      <c r="AM170" s="120"/>
      <c r="AN170" s="120"/>
      <c r="AO170" s="120"/>
      <c r="AP170" s="120"/>
      <c r="AQ170" s="120"/>
      <c r="AR170" s="120"/>
      <c r="AS170" s="120"/>
      <c r="AT170" s="120"/>
      <c r="AU170" s="120"/>
      <c r="AV170" s="120"/>
      <c r="AW170" s="120"/>
      <c r="AX170" s="120"/>
      <c r="AY170" s="120" t="str">
        <f>B170&amp;"(第"&amp;C170&amp;"版）"</f>
        <v>乌合之众(第版）</v>
      </c>
      <c r="AZ170" s="121"/>
      <c r="BA170" s="121"/>
      <c r="BB170" s="121"/>
      <c r="BD170" s="121"/>
      <c r="BE170" s="121"/>
      <c r="BF170" s="124"/>
      <c r="BH170" s="121"/>
      <c r="BI170" s="121"/>
      <c r="BP170" s="121"/>
      <c r="BQ170" s="149"/>
    </row>
    <row r="171" spans="1:69" s="122" customFormat="1" ht="16.5">
      <c r="A171" s="118"/>
      <c r="B171" s="141" t="s">
        <v>1485</v>
      </c>
      <c r="C171" s="120"/>
      <c r="D171" s="120"/>
      <c r="E171" s="119"/>
      <c r="F171" s="120"/>
      <c r="G171" s="120"/>
      <c r="H171" s="120"/>
      <c r="J171" s="120"/>
      <c r="K171" s="120"/>
      <c r="L171" s="120"/>
      <c r="M171" s="120"/>
      <c r="N171" s="121"/>
      <c r="O171" s="120"/>
      <c r="P171" s="118"/>
      <c r="R171" s="123"/>
      <c r="T171" s="123"/>
      <c r="U171" s="123"/>
      <c r="V171" s="123"/>
      <c r="W171" s="123"/>
      <c r="X171" s="123"/>
      <c r="Y171" s="123"/>
      <c r="Z171" s="123"/>
      <c r="AA171" s="123"/>
      <c r="AB171" s="123"/>
      <c r="AC171" s="123"/>
      <c r="AD171" s="123">
        <v>1</v>
      </c>
      <c r="AE171" s="123"/>
      <c r="AF171" s="123"/>
      <c r="AG171" s="123"/>
      <c r="AH171" s="123"/>
      <c r="AI171" s="120"/>
      <c r="AJ171" s="120"/>
      <c r="AK171" s="120"/>
      <c r="AL171" s="120"/>
      <c r="AM171" s="120"/>
      <c r="AN171" s="120"/>
      <c r="AO171" s="120"/>
      <c r="AP171" s="120"/>
      <c r="AQ171" s="120"/>
      <c r="AR171" s="120"/>
      <c r="AS171" s="120"/>
      <c r="AT171" s="120"/>
      <c r="AU171" s="120"/>
      <c r="AV171" s="120"/>
      <c r="AW171" s="120"/>
      <c r="AX171" s="120"/>
      <c r="AY171" s="120"/>
      <c r="AZ171" s="121"/>
      <c r="BA171" s="121"/>
      <c r="BB171" s="121"/>
      <c r="BD171" s="121"/>
      <c r="BE171" s="121"/>
      <c r="BF171" s="124"/>
      <c r="BH171" s="121"/>
      <c r="BI171" s="121"/>
      <c r="BP171" s="121"/>
      <c r="BQ171" s="149"/>
    </row>
    <row r="172" spans="1:69" s="122" customFormat="1" ht="16.5">
      <c r="A172" s="118"/>
      <c r="B172" s="141" t="s">
        <v>1486</v>
      </c>
      <c r="C172" s="120"/>
      <c r="D172" s="120"/>
      <c r="E172" s="119"/>
      <c r="F172" s="120"/>
      <c r="G172" s="120"/>
      <c r="H172" s="120"/>
      <c r="J172" s="120"/>
      <c r="K172" s="120"/>
      <c r="L172" s="120"/>
      <c r="M172" s="120"/>
      <c r="N172" s="121"/>
      <c r="O172" s="120"/>
      <c r="P172" s="118"/>
      <c r="R172" s="123"/>
      <c r="T172" s="123"/>
      <c r="U172" s="123"/>
      <c r="V172" s="123"/>
      <c r="W172" s="123"/>
      <c r="X172" s="123"/>
      <c r="Y172" s="123"/>
      <c r="Z172" s="123"/>
      <c r="AA172" s="123"/>
      <c r="AB172" s="123"/>
      <c r="AC172" s="123"/>
      <c r="AD172" s="123">
        <v>1</v>
      </c>
      <c r="AE172" s="123"/>
      <c r="AF172" s="123"/>
      <c r="AG172" s="123"/>
      <c r="AH172" s="123"/>
      <c r="AI172" s="120"/>
      <c r="AJ172" s="120"/>
      <c r="AK172" s="120"/>
      <c r="AL172" s="120"/>
      <c r="AM172" s="120"/>
      <c r="AN172" s="120"/>
      <c r="AO172" s="120"/>
      <c r="AP172" s="120"/>
      <c r="AQ172" s="120"/>
      <c r="AR172" s="120"/>
      <c r="AS172" s="120"/>
      <c r="AT172" s="120"/>
      <c r="AU172" s="120"/>
      <c r="AV172" s="120"/>
      <c r="AW172" s="120"/>
      <c r="AX172" s="120"/>
      <c r="AY172" s="120"/>
      <c r="AZ172" s="121"/>
      <c r="BA172" s="121"/>
      <c r="BB172" s="121"/>
      <c r="BD172" s="121"/>
      <c r="BE172" s="121"/>
      <c r="BF172" s="124"/>
      <c r="BH172" s="121"/>
      <c r="BI172" s="121"/>
      <c r="BP172" s="121"/>
      <c r="BQ172" s="149"/>
    </row>
    <row r="173" spans="1:69" s="122" customFormat="1" ht="16.5">
      <c r="A173" s="118"/>
      <c r="B173" s="141" t="s">
        <v>1487</v>
      </c>
      <c r="C173" s="120"/>
      <c r="D173" s="120"/>
      <c r="E173" s="119"/>
      <c r="F173" s="120"/>
      <c r="G173" s="120"/>
      <c r="H173" s="120"/>
      <c r="J173" s="120"/>
      <c r="K173" s="120"/>
      <c r="L173" s="120"/>
      <c r="M173" s="120"/>
      <c r="N173" s="121"/>
      <c r="O173" s="120"/>
      <c r="P173" s="118"/>
      <c r="R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>
        <v>1</v>
      </c>
      <c r="AE173" s="123"/>
      <c r="AF173" s="123"/>
      <c r="AG173" s="123"/>
      <c r="AH173" s="123"/>
      <c r="AI173" s="120"/>
      <c r="AJ173" s="120"/>
      <c r="AK173" s="120"/>
      <c r="AL173" s="120"/>
      <c r="AM173" s="120"/>
      <c r="AN173" s="120"/>
      <c r="AO173" s="120"/>
      <c r="AP173" s="120"/>
      <c r="AQ173" s="120"/>
      <c r="AR173" s="120"/>
      <c r="AS173" s="120"/>
      <c r="AT173" s="120"/>
      <c r="AU173" s="120"/>
      <c r="AV173" s="120"/>
      <c r="AW173" s="120"/>
      <c r="AX173" s="120"/>
      <c r="AY173" s="120"/>
      <c r="AZ173" s="121"/>
      <c r="BA173" s="121"/>
      <c r="BB173" s="121"/>
      <c r="BD173" s="121"/>
      <c r="BE173" s="121"/>
      <c r="BF173" s="124"/>
      <c r="BH173" s="121"/>
      <c r="BI173" s="121"/>
      <c r="BP173" s="121"/>
      <c r="BQ173" s="149"/>
    </row>
    <row r="174" spans="1:69" s="122" customFormat="1" ht="16.5">
      <c r="A174" s="118"/>
      <c r="B174" s="141" t="s">
        <v>1489</v>
      </c>
      <c r="C174" s="120"/>
      <c r="D174" s="120"/>
      <c r="E174" s="119"/>
      <c r="F174" s="120"/>
      <c r="G174" s="120"/>
      <c r="H174" s="120"/>
      <c r="J174" s="120"/>
      <c r="K174" s="120"/>
      <c r="L174" s="120"/>
      <c r="M174" s="120"/>
      <c r="N174" s="121"/>
      <c r="O174" s="120"/>
      <c r="P174" s="118"/>
      <c r="R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>
        <v>1</v>
      </c>
      <c r="AE174" s="123"/>
      <c r="AF174" s="123"/>
      <c r="AG174" s="123"/>
      <c r="AH174" s="123"/>
      <c r="AI174" s="120"/>
      <c r="AJ174" s="120"/>
      <c r="AK174" s="120"/>
      <c r="AL174" s="120"/>
      <c r="AM174" s="120"/>
      <c r="AN174" s="120"/>
      <c r="AO174" s="120"/>
      <c r="AP174" s="120"/>
      <c r="AQ174" s="120"/>
      <c r="AR174" s="120"/>
      <c r="AS174" s="120"/>
      <c r="AT174" s="120"/>
      <c r="AU174" s="120"/>
      <c r="AV174" s="120"/>
      <c r="AW174" s="120"/>
      <c r="AX174" s="120"/>
      <c r="AY174" s="120"/>
      <c r="AZ174" s="121"/>
      <c r="BA174" s="121"/>
      <c r="BB174" s="121"/>
      <c r="BD174" s="121"/>
      <c r="BE174" s="121"/>
      <c r="BF174" s="124"/>
      <c r="BH174" s="121"/>
      <c r="BI174" s="121"/>
      <c r="BP174" s="121"/>
      <c r="BQ174" s="149"/>
    </row>
    <row r="175" spans="1:69" s="122" customFormat="1" ht="16.5">
      <c r="A175" s="118"/>
      <c r="B175" s="141" t="s">
        <v>1490</v>
      </c>
      <c r="C175" s="120"/>
      <c r="D175" s="120"/>
      <c r="E175" s="119"/>
      <c r="F175" s="120"/>
      <c r="G175" s="120"/>
      <c r="H175" s="120"/>
      <c r="J175" s="120"/>
      <c r="K175" s="120"/>
      <c r="L175" s="120"/>
      <c r="M175" s="120"/>
      <c r="N175" s="121"/>
      <c r="O175" s="120"/>
      <c r="P175" s="118"/>
      <c r="R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>
        <v>1</v>
      </c>
      <c r="AE175" s="123"/>
      <c r="AF175" s="123"/>
      <c r="AG175" s="123"/>
      <c r="AH175" s="123"/>
      <c r="AI175" s="120"/>
      <c r="AJ175" s="120"/>
      <c r="AK175" s="120"/>
      <c r="AL175" s="120"/>
      <c r="AM175" s="120"/>
      <c r="AN175" s="120"/>
      <c r="AO175" s="120"/>
      <c r="AP175" s="120"/>
      <c r="AQ175" s="120"/>
      <c r="AR175" s="120"/>
      <c r="AS175" s="120"/>
      <c r="AT175" s="120"/>
      <c r="AU175" s="120"/>
      <c r="AV175" s="120"/>
      <c r="AW175" s="120"/>
      <c r="AX175" s="120"/>
      <c r="AY175" s="120"/>
      <c r="AZ175" s="121"/>
      <c r="BA175" s="121"/>
      <c r="BB175" s="121"/>
      <c r="BD175" s="121"/>
      <c r="BE175" s="121"/>
      <c r="BF175" s="124"/>
      <c r="BH175" s="121"/>
      <c r="BI175" s="121"/>
      <c r="BP175" s="121"/>
      <c r="BQ175" s="149"/>
    </row>
    <row r="176" spans="1:69" s="122" customFormat="1" ht="16.5">
      <c r="A176" s="118"/>
      <c r="B176" s="141" t="s">
        <v>1491</v>
      </c>
      <c r="C176" s="120"/>
      <c r="D176" s="120"/>
      <c r="E176" s="119"/>
      <c r="F176" s="120"/>
      <c r="G176" s="120"/>
      <c r="H176" s="120"/>
      <c r="J176" s="120"/>
      <c r="K176" s="120"/>
      <c r="L176" s="120"/>
      <c r="M176" s="120"/>
      <c r="N176" s="121"/>
      <c r="O176" s="120"/>
      <c r="P176" s="118"/>
      <c r="R176" s="123"/>
      <c r="T176" s="123"/>
      <c r="U176" s="123"/>
      <c r="V176" s="123"/>
      <c r="W176" s="123"/>
      <c r="X176" s="123"/>
      <c r="Y176" s="123"/>
      <c r="Z176" s="123"/>
      <c r="AA176" s="123"/>
      <c r="AB176" s="123"/>
      <c r="AC176" s="123"/>
      <c r="AD176" s="123">
        <v>1</v>
      </c>
      <c r="AE176" s="123"/>
      <c r="AF176" s="123"/>
      <c r="AG176" s="123"/>
      <c r="AH176" s="123"/>
      <c r="AI176" s="120"/>
      <c r="AJ176" s="120"/>
      <c r="AK176" s="120"/>
      <c r="AL176" s="120"/>
      <c r="AM176" s="120"/>
      <c r="AN176" s="120"/>
      <c r="AO176" s="120"/>
      <c r="AP176" s="120"/>
      <c r="AQ176" s="120"/>
      <c r="AR176" s="120"/>
      <c r="AS176" s="120"/>
      <c r="AT176" s="120"/>
      <c r="AU176" s="120"/>
      <c r="AV176" s="120"/>
      <c r="AW176" s="120"/>
      <c r="AX176" s="120"/>
      <c r="AY176" s="120"/>
      <c r="AZ176" s="121"/>
      <c r="BA176" s="121"/>
      <c r="BB176" s="121"/>
      <c r="BD176" s="121"/>
      <c r="BE176" s="121"/>
      <c r="BF176" s="124"/>
      <c r="BH176" s="121"/>
      <c r="BI176" s="121"/>
      <c r="BP176" s="121"/>
      <c r="BQ176" s="149"/>
    </row>
    <row r="177" spans="1:69" s="122" customFormat="1" ht="16.5">
      <c r="A177" s="118"/>
      <c r="B177" s="141" t="s">
        <v>1492</v>
      </c>
      <c r="C177" s="120"/>
      <c r="D177" s="120"/>
      <c r="E177" s="119"/>
      <c r="F177" s="120"/>
      <c r="G177" s="120"/>
      <c r="H177" s="120"/>
      <c r="J177" s="120"/>
      <c r="K177" s="120"/>
      <c r="L177" s="120"/>
      <c r="M177" s="120"/>
      <c r="N177" s="121"/>
      <c r="O177" s="120"/>
      <c r="P177" s="118"/>
      <c r="R177" s="123"/>
      <c r="T177" s="123"/>
      <c r="U177" s="123"/>
      <c r="V177" s="123"/>
      <c r="W177" s="123"/>
      <c r="X177" s="123"/>
      <c r="Y177" s="123"/>
      <c r="Z177" s="123"/>
      <c r="AA177" s="123"/>
      <c r="AB177" s="123"/>
      <c r="AC177" s="123"/>
      <c r="AD177" s="123">
        <v>1</v>
      </c>
      <c r="AE177" s="123"/>
      <c r="AF177" s="123"/>
      <c r="AG177" s="123"/>
      <c r="AH177" s="123"/>
      <c r="AI177" s="120"/>
      <c r="AJ177" s="120"/>
      <c r="AK177" s="120"/>
      <c r="AL177" s="120"/>
      <c r="AM177" s="120"/>
      <c r="AN177" s="120"/>
      <c r="AO177" s="120"/>
      <c r="AP177" s="120"/>
      <c r="AQ177" s="120"/>
      <c r="AR177" s="120"/>
      <c r="AS177" s="120"/>
      <c r="AT177" s="120"/>
      <c r="AU177" s="120"/>
      <c r="AV177" s="120"/>
      <c r="AW177" s="120"/>
      <c r="AX177" s="120"/>
      <c r="AY177" s="120"/>
      <c r="AZ177" s="121"/>
      <c r="BA177" s="121"/>
      <c r="BB177" s="121"/>
      <c r="BD177" s="121"/>
      <c r="BE177" s="121"/>
      <c r="BF177" s="124"/>
      <c r="BH177" s="121"/>
      <c r="BI177" s="121"/>
      <c r="BP177" s="121"/>
      <c r="BQ177" s="149"/>
    </row>
    <row r="178" spans="1:69" s="122" customFormat="1" ht="16.5">
      <c r="A178" s="118"/>
      <c r="B178" s="141" t="s">
        <v>1493</v>
      </c>
      <c r="C178" s="120"/>
      <c r="D178" s="120"/>
      <c r="E178" s="119"/>
      <c r="F178" s="120"/>
      <c r="G178" s="120"/>
      <c r="H178" s="120"/>
      <c r="J178" s="120"/>
      <c r="K178" s="120"/>
      <c r="L178" s="120"/>
      <c r="M178" s="120"/>
      <c r="N178" s="121"/>
      <c r="O178" s="120"/>
      <c r="P178" s="118"/>
      <c r="R178" s="123"/>
      <c r="T178" s="123"/>
      <c r="U178" s="123"/>
      <c r="V178" s="123"/>
      <c r="W178" s="123"/>
      <c r="X178" s="123"/>
      <c r="Y178" s="123"/>
      <c r="Z178" s="123"/>
      <c r="AA178" s="123"/>
      <c r="AB178" s="123"/>
      <c r="AC178" s="123"/>
      <c r="AD178" s="123">
        <v>1</v>
      </c>
      <c r="AE178" s="123"/>
      <c r="AF178" s="123"/>
      <c r="AG178" s="123"/>
      <c r="AH178" s="123"/>
      <c r="AI178" s="120"/>
      <c r="AJ178" s="120"/>
      <c r="AK178" s="120"/>
      <c r="AL178" s="120"/>
      <c r="AM178" s="120"/>
      <c r="AN178" s="120"/>
      <c r="AO178" s="120"/>
      <c r="AP178" s="120"/>
      <c r="AQ178" s="120"/>
      <c r="AR178" s="120"/>
      <c r="AS178" s="120"/>
      <c r="AT178" s="120"/>
      <c r="AU178" s="120"/>
      <c r="AV178" s="120"/>
      <c r="AW178" s="120"/>
      <c r="AX178" s="120"/>
      <c r="AY178" s="120"/>
      <c r="AZ178" s="121"/>
      <c r="BA178" s="121"/>
      <c r="BB178" s="121"/>
      <c r="BD178" s="121"/>
      <c r="BE178" s="121"/>
      <c r="BF178" s="124"/>
      <c r="BH178" s="121"/>
      <c r="BI178" s="121"/>
      <c r="BP178" s="121"/>
      <c r="BQ178" s="149"/>
    </row>
    <row r="179" spans="1:69" s="122" customFormat="1" ht="16.5">
      <c r="A179" s="118"/>
      <c r="B179" s="141" t="s">
        <v>1494</v>
      </c>
      <c r="C179" s="120"/>
      <c r="D179" s="120"/>
      <c r="E179" s="119"/>
      <c r="F179" s="120"/>
      <c r="G179" s="120"/>
      <c r="H179" s="120"/>
      <c r="J179" s="120"/>
      <c r="K179" s="120"/>
      <c r="L179" s="120"/>
      <c r="M179" s="120"/>
      <c r="N179" s="121"/>
      <c r="O179" s="120"/>
      <c r="P179" s="118"/>
      <c r="R179" s="123"/>
      <c r="T179" s="123"/>
      <c r="U179" s="123"/>
      <c r="V179" s="123"/>
      <c r="W179" s="123"/>
      <c r="X179" s="123"/>
      <c r="Y179" s="123"/>
      <c r="Z179" s="123"/>
      <c r="AA179" s="123"/>
      <c r="AB179" s="123"/>
      <c r="AC179" s="123"/>
      <c r="AD179" s="123">
        <v>1</v>
      </c>
      <c r="AE179" s="123"/>
      <c r="AF179" s="123"/>
      <c r="AG179" s="123"/>
      <c r="AH179" s="123"/>
      <c r="AI179" s="120"/>
      <c r="AJ179" s="120"/>
      <c r="AK179" s="120"/>
      <c r="AL179" s="120"/>
      <c r="AM179" s="120"/>
      <c r="AN179" s="120"/>
      <c r="AO179" s="120"/>
      <c r="AP179" s="120"/>
      <c r="AQ179" s="120"/>
      <c r="AR179" s="120"/>
      <c r="AS179" s="120"/>
      <c r="AT179" s="120"/>
      <c r="AU179" s="120"/>
      <c r="AV179" s="120"/>
      <c r="AW179" s="120"/>
      <c r="AX179" s="120"/>
      <c r="AY179" s="120"/>
      <c r="AZ179" s="121"/>
      <c r="BA179" s="121"/>
      <c r="BB179" s="121"/>
      <c r="BD179" s="121"/>
      <c r="BE179" s="121"/>
      <c r="BF179" s="124"/>
      <c r="BH179" s="121"/>
      <c r="BI179" s="121"/>
      <c r="BP179" s="121"/>
      <c r="BQ179" s="149"/>
    </row>
    <row r="180" spans="1:69" s="122" customFormat="1" ht="16.5">
      <c r="A180" s="118"/>
      <c r="B180" s="141" t="s">
        <v>1495</v>
      </c>
      <c r="C180" s="120"/>
      <c r="D180" s="120"/>
      <c r="E180" s="119"/>
      <c r="F180" s="120"/>
      <c r="G180" s="120"/>
      <c r="H180" s="120"/>
      <c r="J180" s="120"/>
      <c r="K180" s="120"/>
      <c r="L180" s="120"/>
      <c r="M180" s="120"/>
      <c r="N180" s="121"/>
      <c r="O180" s="120"/>
      <c r="P180" s="118"/>
      <c r="R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>
        <v>1</v>
      </c>
      <c r="AE180" s="123"/>
      <c r="AF180" s="123"/>
      <c r="AG180" s="123"/>
      <c r="AH180" s="123"/>
      <c r="AI180" s="120"/>
      <c r="AJ180" s="120"/>
      <c r="AK180" s="120"/>
      <c r="AL180" s="120"/>
      <c r="AM180" s="120"/>
      <c r="AN180" s="120"/>
      <c r="AO180" s="120"/>
      <c r="AP180" s="120"/>
      <c r="AQ180" s="120"/>
      <c r="AR180" s="120"/>
      <c r="AS180" s="120"/>
      <c r="AT180" s="120"/>
      <c r="AU180" s="120"/>
      <c r="AV180" s="120"/>
      <c r="AW180" s="120"/>
      <c r="AX180" s="120"/>
      <c r="AY180" s="120"/>
      <c r="AZ180" s="121"/>
      <c r="BA180" s="121"/>
      <c r="BB180" s="121"/>
      <c r="BD180" s="121"/>
      <c r="BE180" s="121"/>
      <c r="BF180" s="124"/>
      <c r="BH180" s="121"/>
      <c r="BI180" s="121"/>
      <c r="BP180" s="121"/>
      <c r="BQ180" s="149"/>
    </row>
    <row r="181" spans="1:69" s="122" customFormat="1" ht="16.5">
      <c r="A181" s="118"/>
      <c r="B181" s="141" t="s">
        <v>1496</v>
      </c>
      <c r="C181" s="120"/>
      <c r="D181" s="120"/>
      <c r="E181" s="119"/>
      <c r="F181" s="120"/>
      <c r="G181" s="120"/>
      <c r="H181" s="120"/>
      <c r="J181" s="120"/>
      <c r="K181" s="120"/>
      <c r="L181" s="120"/>
      <c r="M181" s="120"/>
      <c r="N181" s="121"/>
      <c r="O181" s="120"/>
      <c r="P181" s="118"/>
      <c r="R181" s="123"/>
      <c r="T181" s="123"/>
      <c r="U181" s="123"/>
      <c r="V181" s="123"/>
      <c r="W181" s="123"/>
      <c r="X181" s="123"/>
      <c r="Y181" s="123"/>
      <c r="Z181" s="123"/>
      <c r="AA181" s="123"/>
      <c r="AB181" s="123"/>
      <c r="AC181" s="123"/>
      <c r="AD181" s="123">
        <v>1</v>
      </c>
      <c r="AE181" s="123"/>
      <c r="AF181" s="123"/>
      <c r="AG181" s="123"/>
      <c r="AH181" s="123"/>
      <c r="AI181" s="120"/>
      <c r="AJ181" s="120"/>
      <c r="AK181" s="120"/>
      <c r="AL181" s="120"/>
      <c r="AM181" s="120"/>
      <c r="AN181" s="120"/>
      <c r="AO181" s="120"/>
      <c r="AP181" s="120"/>
      <c r="AQ181" s="120"/>
      <c r="AR181" s="120"/>
      <c r="AS181" s="120"/>
      <c r="AT181" s="120"/>
      <c r="AU181" s="120"/>
      <c r="AV181" s="120"/>
      <c r="AW181" s="120"/>
      <c r="AX181" s="120"/>
      <c r="AY181" s="120"/>
      <c r="AZ181" s="121"/>
      <c r="BA181" s="121"/>
      <c r="BB181" s="121"/>
      <c r="BD181" s="121"/>
      <c r="BE181" s="121"/>
      <c r="BF181" s="124"/>
      <c r="BH181" s="121"/>
      <c r="BI181" s="121"/>
      <c r="BP181" s="121"/>
      <c r="BQ181" s="149"/>
    </row>
    <row r="182" spans="1:69" s="122" customFormat="1" ht="16.5">
      <c r="A182" s="118"/>
      <c r="B182" s="141" t="s">
        <v>1294</v>
      </c>
      <c r="C182" s="120"/>
      <c r="D182" s="120"/>
      <c r="E182" s="119"/>
      <c r="F182" s="120"/>
      <c r="G182" s="120"/>
      <c r="H182" s="120"/>
      <c r="J182" s="120"/>
      <c r="K182" s="120"/>
      <c r="L182" s="120"/>
      <c r="M182" s="120"/>
      <c r="N182" s="121"/>
      <c r="O182" s="120"/>
      <c r="P182" s="118"/>
      <c r="R182" s="123"/>
      <c r="T182" s="123"/>
      <c r="U182" s="123"/>
      <c r="V182" s="123"/>
      <c r="W182" s="123"/>
      <c r="X182" s="123"/>
      <c r="Y182" s="123"/>
      <c r="Z182" s="123"/>
      <c r="AA182" s="123"/>
      <c r="AB182" s="123"/>
      <c r="AC182" s="123"/>
      <c r="AD182" s="123">
        <v>1</v>
      </c>
      <c r="AE182" s="123"/>
      <c r="AF182" s="123"/>
      <c r="AG182" s="123"/>
      <c r="AH182" s="123"/>
      <c r="AI182" s="120"/>
      <c r="AJ182" s="120"/>
      <c r="AK182" s="120"/>
      <c r="AL182" s="120"/>
      <c r="AM182" s="120"/>
      <c r="AN182" s="120"/>
      <c r="AO182" s="120"/>
      <c r="AP182" s="120"/>
      <c r="AQ182" s="120"/>
      <c r="AR182" s="120"/>
      <c r="AS182" s="120"/>
      <c r="AT182" s="120"/>
      <c r="AU182" s="120"/>
      <c r="AV182" s="120"/>
      <c r="AW182" s="120"/>
      <c r="AX182" s="120"/>
      <c r="AY182" s="120"/>
      <c r="AZ182" s="121"/>
      <c r="BA182" s="121"/>
      <c r="BB182" s="121"/>
      <c r="BD182" s="121"/>
      <c r="BE182" s="121"/>
      <c r="BF182" s="124"/>
      <c r="BH182" s="121"/>
      <c r="BI182" s="121"/>
      <c r="BP182" s="121"/>
      <c r="BQ182" s="149"/>
    </row>
    <row r="183" spans="1:69" s="122" customFormat="1" ht="16.5">
      <c r="A183" s="118"/>
      <c r="B183" s="141" t="s">
        <v>1497</v>
      </c>
      <c r="C183" s="120"/>
      <c r="D183" s="120"/>
      <c r="E183" s="119"/>
      <c r="F183" s="120"/>
      <c r="G183" s="120"/>
      <c r="H183" s="120"/>
      <c r="J183" s="120"/>
      <c r="K183" s="120"/>
      <c r="L183" s="120"/>
      <c r="M183" s="120"/>
      <c r="N183" s="121"/>
      <c r="O183" s="120"/>
      <c r="P183" s="118"/>
      <c r="R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>
        <v>1</v>
      </c>
      <c r="AE183" s="123"/>
      <c r="AF183" s="123"/>
      <c r="AG183" s="123"/>
      <c r="AH183" s="123"/>
      <c r="AI183" s="120"/>
      <c r="AJ183" s="120"/>
      <c r="AK183" s="120"/>
      <c r="AL183" s="120"/>
      <c r="AM183" s="120"/>
      <c r="AN183" s="120"/>
      <c r="AO183" s="120"/>
      <c r="AP183" s="120"/>
      <c r="AQ183" s="120"/>
      <c r="AR183" s="120"/>
      <c r="AS183" s="120"/>
      <c r="AT183" s="120"/>
      <c r="AU183" s="120"/>
      <c r="AV183" s="120"/>
      <c r="AW183" s="120"/>
      <c r="AX183" s="120"/>
      <c r="AY183" s="120"/>
      <c r="AZ183" s="121"/>
      <c r="BA183" s="121"/>
      <c r="BB183" s="121"/>
      <c r="BD183" s="121"/>
      <c r="BE183" s="121"/>
      <c r="BF183" s="124"/>
      <c r="BH183" s="121"/>
      <c r="BI183" s="121"/>
      <c r="BP183" s="121"/>
      <c r="BQ183" s="149"/>
    </row>
    <row r="184" spans="1:69" s="122" customFormat="1" ht="16.5">
      <c r="A184" s="118"/>
      <c r="B184" s="141" t="s">
        <v>1498</v>
      </c>
      <c r="C184" s="120"/>
      <c r="D184" s="120"/>
      <c r="E184" s="119"/>
      <c r="F184" s="120"/>
      <c r="G184" s="120"/>
      <c r="H184" s="120"/>
      <c r="J184" s="120"/>
      <c r="K184" s="120"/>
      <c r="L184" s="120"/>
      <c r="M184" s="120"/>
      <c r="N184" s="121"/>
      <c r="O184" s="120"/>
      <c r="P184" s="118"/>
      <c r="R184" s="123"/>
      <c r="T184" s="123"/>
      <c r="U184" s="123"/>
      <c r="V184" s="123"/>
      <c r="W184" s="123"/>
      <c r="X184" s="123"/>
      <c r="Y184" s="123"/>
      <c r="Z184" s="123"/>
      <c r="AA184" s="123"/>
      <c r="AB184" s="123"/>
      <c r="AC184" s="123"/>
      <c r="AD184" s="123">
        <v>1</v>
      </c>
      <c r="AE184" s="123"/>
      <c r="AF184" s="123"/>
      <c r="AG184" s="123"/>
      <c r="AH184" s="123"/>
      <c r="AI184" s="120"/>
      <c r="AJ184" s="120"/>
      <c r="AK184" s="120"/>
      <c r="AL184" s="120"/>
      <c r="AM184" s="120"/>
      <c r="AN184" s="120"/>
      <c r="AO184" s="120"/>
      <c r="AP184" s="120"/>
      <c r="AQ184" s="120"/>
      <c r="AR184" s="120"/>
      <c r="AS184" s="120"/>
      <c r="AT184" s="120"/>
      <c r="AU184" s="120"/>
      <c r="AV184" s="120"/>
      <c r="AW184" s="120"/>
      <c r="AX184" s="120"/>
      <c r="AY184" s="120"/>
      <c r="AZ184" s="121"/>
      <c r="BA184" s="121"/>
      <c r="BB184" s="121"/>
      <c r="BD184" s="121"/>
      <c r="BE184" s="121"/>
      <c r="BF184" s="124"/>
      <c r="BH184" s="121"/>
      <c r="BI184" s="121"/>
      <c r="BP184" s="121"/>
      <c r="BQ184" s="149"/>
    </row>
    <row r="185" spans="1:69" s="122" customFormat="1" ht="16.5">
      <c r="A185" s="118"/>
      <c r="B185" s="141" t="s">
        <v>1499</v>
      </c>
      <c r="C185" s="120"/>
      <c r="D185" s="120"/>
      <c r="E185" s="119"/>
      <c r="F185" s="120"/>
      <c r="G185" s="120"/>
      <c r="H185" s="120"/>
      <c r="J185" s="120"/>
      <c r="K185" s="120"/>
      <c r="L185" s="120"/>
      <c r="M185" s="120"/>
      <c r="N185" s="121"/>
      <c r="O185" s="120"/>
      <c r="P185" s="118"/>
      <c r="R185" s="123"/>
      <c r="T185" s="123"/>
      <c r="U185" s="123"/>
      <c r="V185" s="123"/>
      <c r="W185" s="123"/>
      <c r="X185" s="123"/>
      <c r="Y185" s="123"/>
      <c r="Z185" s="123"/>
      <c r="AA185" s="123"/>
      <c r="AB185" s="123"/>
      <c r="AC185" s="123"/>
      <c r="AD185" s="123">
        <v>1</v>
      </c>
      <c r="AE185" s="123"/>
      <c r="AF185" s="123"/>
      <c r="AG185" s="123"/>
      <c r="AH185" s="123"/>
      <c r="AI185" s="120"/>
      <c r="AJ185" s="120"/>
      <c r="AK185" s="120"/>
      <c r="AL185" s="120"/>
      <c r="AM185" s="120"/>
      <c r="AN185" s="120"/>
      <c r="AO185" s="120"/>
      <c r="AP185" s="120"/>
      <c r="AQ185" s="120"/>
      <c r="AR185" s="120"/>
      <c r="AS185" s="120"/>
      <c r="AT185" s="120"/>
      <c r="AU185" s="120"/>
      <c r="AV185" s="120"/>
      <c r="AW185" s="120"/>
      <c r="AX185" s="120"/>
      <c r="AY185" s="120"/>
      <c r="AZ185" s="121"/>
      <c r="BA185" s="121"/>
      <c r="BB185" s="121"/>
      <c r="BD185" s="121"/>
      <c r="BE185" s="121"/>
      <c r="BF185" s="124"/>
      <c r="BH185" s="121"/>
      <c r="BI185" s="121"/>
      <c r="BP185" s="121"/>
      <c r="BQ185" s="149"/>
    </row>
    <row r="186" spans="1:69" s="122" customFormat="1" ht="16.5">
      <c r="A186" s="118"/>
      <c r="B186" s="141" t="s">
        <v>1500</v>
      </c>
      <c r="C186" s="120"/>
      <c r="D186" s="120"/>
      <c r="E186" s="119"/>
      <c r="F186" s="120"/>
      <c r="G186" s="120"/>
      <c r="H186" s="120"/>
      <c r="J186" s="120"/>
      <c r="K186" s="120"/>
      <c r="L186" s="120"/>
      <c r="M186" s="120"/>
      <c r="N186" s="121"/>
      <c r="O186" s="120"/>
      <c r="P186" s="118"/>
      <c r="R186" s="123"/>
      <c r="T186" s="123"/>
      <c r="U186" s="123"/>
      <c r="V186" s="123"/>
      <c r="W186" s="123"/>
      <c r="X186" s="123"/>
      <c r="Y186" s="123"/>
      <c r="Z186" s="123"/>
      <c r="AA186" s="123"/>
      <c r="AB186" s="123"/>
      <c r="AC186" s="123"/>
      <c r="AD186" s="123">
        <v>1</v>
      </c>
      <c r="AE186" s="123"/>
      <c r="AF186" s="123"/>
      <c r="AG186" s="123"/>
      <c r="AH186" s="123"/>
      <c r="AI186" s="120"/>
      <c r="AJ186" s="120"/>
      <c r="AK186" s="120"/>
      <c r="AL186" s="120"/>
      <c r="AM186" s="120"/>
      <c r="AN186" s="120"/>
      <c r="AO186" s="120"/>
      <c r="AP186" s="120"/>
      <c r="AQ186" s="120"/>
      <c r="AR186" s="120"/>
      <c r="AS186" s="120"/>
      <c r="AT186" s="120"/>
      <c r="AU186" s="120"/>
      <c r="AV186" s="120"/>
      <c r="AW186" s="120"/>
      <c r="AX186" s="120"/>
      <c r="AY186" s="120"/>
      <c r="AZ186" s="121"/>
      <c r="BA186" s="121"/>
      <c r="BB186" s="121"/>
      <c r="BD186" s="121"/>
      <c r="BE186" s="121"/>
      <c r="BF186" s="124"/>
      <c r="BH186" s="121"/>
      <c r="BI186" s="121"/>
      <c r="BP186" s="121"/>
      <c r="BQ186" s="149"/>
    </row>
    <row r="187" spans="1:69" s="122" customFormat="1" ht="16.5">
      <c r="A187" s="118"/>
      <c r="B187" s="141" t="s">
        <v>1501</v>
      </c>
      <c r="C187" s="120"/>
      <c r="D187" s="120"/>
      <c r="E187" s="119"/>
      <c r="F187" s="120"/>
      <c r="G187" s="120"/>
      <c r="H187" s="120"/>
      <c r="J187" s="120"/>
      <c r="K187" s="120"/>
      <c r="L187" s="120"/>
      <c r="M187" s="120"/>
      <c r="N187" s="121"/>
      <c r="O187" s="120"/>
      <c r="P187" s="118"/>
      <c r="R187" s="123"/>
      <c r="T187" s="123"/>
      <c r="U187" s="123"/>
      <c r="V187" s="123"/>
      <c r="W187" s="123"/>
      <c r="X187" s="123"/>
      <c r="Y187" s="123"/>
      <c r="Z187" s="123"/>
      <c r="AA187" s="123"/>
      <c r="AB187" s="123"/>
      <c r="AC187" s="123"/>
      <c r="AD187" s="123">
        <v>1</v>
      </c>
      <c r="AE187" s="123"/>
      <c r="AF187" s="123"/>
      <c r="AG187" s="123"/>
      <c r="AH187" s="123"/>
      <c r="AI187" s="120"/>
      <c r="AJ187" s="120"/>
      <c r="AK187" s="120"/>
      <c r="AL187" s="120"/>
      <c r="AM187" s="120"/>
      <c r="AN187" s="120"/>
      <c r="AO187" s="120"/>
      <c r="AP187" s="120"/>
      <c r="AQ187" s="120"/>
      <c r="AR187" s="120"/>
      <c r="AS187" s="120"/>
      <c r="AT187" s="120"/>
      <c r="AU187" s="120"/>
      <c r="AV187" s="120"/>
      <c r="AW187" s="120"/>
      <c r="AX187" s="120"/>
      <c r="AY187" s="120"/>
      <c r="AZ187" s="121"/>
      <c r="BA187" s="121"/>
      <c r="BB187" s="121"/>
      <c r="BD187" s="121"/>
      <c r="BE187" s="121"/>
      <c r="BF187" s="124"/>
      <c r="BH187" s="121"/>
      <c r="BI187" s="121"/>
      <c r="BP187" s="121"/>
      <c r="BQ187" s="149"/>
    </row>
    <row r="188" spans="1:69" s="122" customFormat="1" ht="16.5">
      <c r="A188" s="118"/>
      <c r="B188" s="141" t="s">
        <v>1502</v>
      </c>
      <c r="C188" s="120"/>
      <c r="D188" s="120"/>
      <c r="E188" s="119"/>
      <c r="F188" s="120"/>
      <c r="G188" s="120"/>
      <c r="H188" s="120"/>
      <c r="J188" s="120"/>
      <c r="K188" s="120"/>
      <c r="L188" s="120"/>
      <c r="M188" s="120"/>
      <c r="N188" s="121"/>
      <c r="O188" s="120"/>
      <c r="P188" s="118"/>
      <c r="R188" s="123"/>
      <c r="T188" s="123"/>
      <c r="U188" s="123"/>
      <c r="V188" s="123"/>
      <c r="W188" s="123"/>
      <c r="X188" s="123"/>
      <c r="Y188" s="123"/>
      <c r="Z188" s="123"/>
      <c r="AA188" s="123"/>
      <c r="AB188" s="123"/>
      <c r="AC188" s="123"/>
      <c r="AD188" s="123">
        <v>1</v>
      </c>
      <c r="AE188" s="123"/>
      <c r="AF188" s="123"/>
      <c r="AG188" s="123"/>
      <c r="AH188" s="123"/>
      <c r="AI188" s="120"/>
      <c r="AJ188" s="120"/>
      <c r="AK188" s="120"/>
      <c r="AL188" s="120"/>
      <c r="AM188" s="120"/>
      <c r="AN188" s="120"/>
      <c r="AO188" s="120"/>
      <c r="AP188" s="120"/>
      <c r="AQ188" s="120"/>
      <c r="AR188" s="120"/>
      <c r="AS188" s="120"/>
      <c r="AT188" s="120"/>
      <c r="AU188" s="120"/>
      <c r="AV188" s="120"/>
      <c r="AW188" s="120"/>
      <c r="AX188" s="120"/>
      <c r="AY188" s="120"/>
      <c r="AZ188" s="121"/>
      <c r="BA188" s="121"/>
      <c r="BB188" s="121"/>
      <c r="BD188" s="121"/>
      <c r="BE188" s="121"/>
      <c r="BF188" s="124"/>
      <c r="BH188" s="121"/>
      <c r="BI188" s="121"/>
      <c r="BP188" s="121"/>
      <c r="BQ188" s="149"/>
    </row>
    <row r="189" spans="1:69" s="122" customFormat="1" ht="16.5">
      <c r="A189" s="118"/>
      <c r="B189" s="141" t="s">
        <v>1504</v>
      </c>
      <c r="C189" s="120"/>
      <c r="D189" s="120"/>
      <c r="E189" s="119"/>
      <c r="F189" s="120"/>
      <c r="G189" s="120"/>
      <c r="H189" s="120"/>
      <c r="J189" s="120"/>
      <c r="K189" s="120"/>
      <c r="L189" s="120"/>
      <c r="M189" s="120"/>
      <c r="N189" s="121"/>
      <c r="O189" s="120"/>
      <c r="P189" s="118"/>
      <c r="R189" s="123"/>
      <c r="T189" s="123"/>
      <c r="U189" s="123"/>
      <c r="V189" s="123"/>
      <c r="W189" s="123"/>
      <c r="X189" s="123"/>
      <c r="Y189" s="123"/>
      <c r="Z189" s="123"/>
      <c r="AA189" s="123"/>
      <c r="AB189" s="123"/>
      <c r="AC189" s="123"/>
      <c r="AD189" s="123">
        <v>1</v>
      </c>
      <c r="AE189" s="123"/>
      <c r="AF189" s="123"/>
      <c r="AG189" s="123"/>
      <c r="AH189" s="123"/>
      <c r="AI189" s="120"/>
      <c r="AJ189" s="120"/>
      <c r="AK189" s="120"/>
      <c r="AL189" s="120"/>
      <c r="AM189" s="120"/>
      <c r="AN189" s="120"/>
      <c r="AO189" s="120"/>
      <c r="AP189" s="120"/>
      <c r="AQ189" s="120"/>
      <c r="AR189" s="120"/>
      <c r="AS189" s="120"/>
      <c r="AT189" s="120"/>
      <c r="AU189" s="120"/>
      <c r="AV189" s="120"/>
      <c r="AW189" s="120"/>
      <c r="AX189" s="120"/>
      <c r="AY189" s="120"/>
      <c r="AZ189" s="121"/>
      <c r="BA189" s="121"/>
      <c r="BB189" s="121"/>
      <c r="BD189" s="121"/>
      <c r="BE189" s="121"/>
      <c r="BF189" s="124"/>
      <c r="BH189" s="121"/>
      <c r="BI189" s="121"/>
      <c r="BP189" s="121"/>
      <c r="BQ189" s="149"/>
    </row>
    <row r="190" spans="1:69" s="122" customFormat="1" ht="16.5">
      <c r="A190" s="118"/>
      <c r="B190" s="141" t="s">
        <v>1505</v>
      </c>
      <c r="C190" s="120"/>
      <c r="D190" s="120"/>
      <c r="E190" s="119"/>
      <c r="F190" s="120"/>
      <c r="G190" s="120"/>
      <c r="H190" s="120"/>
      <c r="J190" s="120"/>
      <c r="K190" s="120"/>
      <c r="L190" s="120"/>
      <c r="M190" s="120"/>
      <c r="N190" s="121"/>
      <c r="O190" s="120"/>
      <c r="P190" s="118"/>
      <c r="R190" s="123"/>
      <c r="T190" s="123"/>
      <c r="U190" s="123"/>
      <c r="V190" s="123"/>
      <c r="W190" s="123"/>
      <c r="X190" s="123"/>
      <c r="Y190" s="123"/>
      <c r="Z190" s="123"/>
      <c r="AA190" s="123"/>
      <c r="AB190" s="123"/>
      <c r="AC190" s="123"/>
      <c r="AD190" s="123">
        <v>1</v>
      </c>
      <c r="AE190" s="123"/>
      <c r="AF190" s="123"/>
      <c r="AG190" s="123"/>
      <c r="AH190" s="123"/>
      <c r="AI190" s="120"/>
      <c r="AJ190" s="120"/>
      <c r="AK190" s="120"/>
      <c r="AL190" s="120"/>
      <c r="AM190" s="120"/>
      <c r="AN190" s="120"/>
      <c r="AO190" s="120"/>
      <c r="AP190" s="120"/>
      <c r="AQ190" s="120"/>
      <c r="AR190" s="120"/>
      <c r="AS190" s="120"/>
      <c r="AT190" s="120"/>
      <c r="AU190" s="120"/>
      <c r="AV190" s="120"/>
      <c r="AW190" s="120"/>
      <c r="AX190" s="120"/>
      <c r="AY190" s="120"/>
      <c r="AZ190" s="121"/>
      <c r="BA190" s="121"/>
      <c r="BB190" s="121"/>
      <c r="BD190" s="121"/>
      <c r="BE190" s="121"/>
      <c r="BF190" s="124"/>
      <c r="BH190" s="121"/>
      <c r="BI190" s="121"/>
      <c r="BP190" s="121"/>
      <c r="BQ190" s="149"/>
    </row>
    <row r="191" spans="1:69" s="122" customFormat="1" ht="16.5">
      <c r="A191" s="118"/>
      <c r="B191" s="141" t="s">
        <v>1506</v>
      </c>
      <c r="C191" s="120"/>
      <c r="D191" s="120"/>
      <c r="E191" s="119"/>
      <c r="F191" s="120"/>
      <c r="G191" s="120"/>
      <c r="H191" s="120"/>
      <c r="J191" s="120"/>
      <c r="K191" s="120"/>
      <c r="L191" s="120"/>
      <c r="M191" s="120"/>
      <c r="N191" s="121"/>
      <c r="O191" s="120"/>
      <c r="P191" s="118"/>
      <c r="R191" s="123"/>
      <c r="T191" s="123"/>
      <c r="U191" s="123"/>
      <c r="V191" s="123"/>
      <c r="W191" s="123"/>
      <c r="X191" s="123"/>
      <c r="Y191" s="123"/>
      <c r="Z191" s="123"/>
      <c r="AA191" s="123"/>
      <c r="AB191" s="123"/>
      <c r="AC191" s="123"/>
      <c r="AD191" s="123">
        <v>1</v>
      </c>
      <c r="AE191" s="123"/>
      <c r="AF191" s="123"/>
      <c r="AG191" s="123"/>
      <c r="AH191" s="123"/>
      <c r="AI191" s="120"/>
      <c r="AJ191" s="120"/>
      <c r="AK191" s="120"/>
      <c r="AL191" s="120"/>
      <c r="AM191" s="120"/>
      <c r="AN191" s="120"/>
      <c r="AO191" s="120"/>
      <c r="AP191" s="120"/>
      <c r="AQ191" s="120"/>
      <c r="AR191" s="120"/>
      <c r="AS191" s="120"/>
      <c r="AT191" s="120"/>
      <c r="AU191" s="120"/>
      <c r="AV191" s="120"/>
      <c r="AW191" s="120"/>
      <c r="AX191" s="120"/>
      <c r="AY191" s="120"/>
      <c r="AZ191" s="121"/>
      <c r="BA191" s="121"/>
      <c r="BB191" s="121"/>
      <c r="BD191" s="121"/>
      <c r="BE191" s="121"/>
      <c r="BF191" s="124"/>
      <c r="BH191" s="121"/>
      <c r="BI191" s="121"/>
      <c r="BP191" s="121"/>
      <c r="BQ191" s="149"/>
    </row>
    <row r="192" spans="1:69" s="122" customFormat="1" ht="16.5">
      <c r="A192" s="118"/>
      <c r="B192" s="141" t="s">
        <v>1507</v>
      </c>
      <c r="C192" s="120"/>
      <c r="D192" s="120"/>
      <c r="E192" s="119"/>
      <c r="F192" s="120"/>
      <c r="G192" s="120"/>
      <c r="H192" s="120"/>
      <c r="J192" s="120"/>
      <c r="K192" s="120"/>
      <c r="L192" s="120"/>
      <c r="M192" s="120"/>
      <c r="N192" s="121"/>
      <c r="O192" s="120"/>
      <c r="P192" s="118"/>
      <c r="R192" s="123"/>
      <c r="T192" s="123"/>
      <c r="U192" s="123"/>
      <c r="V192" s="123"/>
      <c r="W192" s="123"/>
      <c r="X192" s="123"/>
      <c r="Y192" s="123"/>
      <c r="Z192" s="123"/>
      <c r="AA192" s="123"/>
      <c r="AB192" s="123"/>
      <c r="AC192" s="123"/>
      <c r="AD192" s="123">
        <v>1</v>
      </c>
      <c r="AE192" s="123"/>
      <c r="AF192" s="123"/>
      <c r="AG192" s="123"/>
      <c r="AH192" s="123"/>
      <c r="AI192" s="120"/>
      <c r="AJ192" s="120"/>
      <c r="AK192" s="120"/>
      <c r="AL192" s="120"/>
      <c r="AM192" s="120"/>
      <c r="AN192" s="120"/>
      <c r="AO192" s="120"/>
      <c r="AP192" s="120"/>
      <c r="AQ192" s="120"/>
      <c r="AR192" s="120"/>
      <c r="AS192" s="120"/>
      <c r="AT192" s="120"/>
      <c r="AU192" s="120"/>
      <c r="AV192" s="120"/>
      <c r="AW192" s="120"/>
      <c r="AX192" s="120"/>
      <c r="AY192" s="120"/>
      <c r="AZ192" s="121"/>
      <c r="BA192" s="121"/>
      <c r="BB192" s="121"/>
      <c r="BD192" s="121"/>
      <c r="BE192" s="121"/>
      <c r="BF192" s="124"/>
      <c r="BH192" s="121"/>
      <c r="BI192" s="121"/>
      <c r="BP192" s="121"/>
      <c r="BQ192" s="149"/>
    </row>
    <row r="193" spans="1:69" s="122" customFormat="1" ht="16.5">
      <c r="A193" s="118"/>
      <c r="B193" s="141" t="s">
        <v>1508</v>
      </c>
      <c r="C193" s="120"/>
      <c r="D193" s="120"/>
      <c r="E193" s="119"/>
      <c r="F193" s="120"/>
      <c r="G193" s="120"/>
      <c r="H193" s="120"/>
      <c r="J193" s="120"/>
      <c r="K193" s="120"/>
      <c r="L193" s="120"/>
      <c r="M193" s="120"/>
      <c r="N193" s="121"/>
      <c r="O193" s="120"/>
      <c r="P193" s="118"/>
      <c r="R193" s="123"/>
      <c r="T193" s="123"/>
      <c r="U193" s="123"/>
      <c r="V193" s="123"/>
      <c r="W193" s="123"/>
      <c r="X193" s="123"/>
      <c r="Y193" s="123"/>
      <c r="Z193" s="123"/>
      <c r="AA193" s="123"/>
      <c r="AB193" s="123"/>
      <c r="AC193" s="123"/>
      <c r="AD193" s="123">
        <v>1</v>
      </c>
      <c r="AE193" s="123"/>
      <c r="AF193" s="123"/>
      <c r="AG193" s="123"/>
      <c r="AH193" s="123"/>
      <c r="AI193" s="120"/>
      <c r="AJ193" s="120"/>
      <c r="AK193" s="120"/>
      <c r="AL193" s="120"/>
      <c r="AM193" s="120"/>
      <c r="AN193" s="120"/>
      <c r="AO193" s="120"/>
      <c r="AP193" s="120"/>
      <c r="AQ193" s="120"/>
      <c r="AR193" s="120"/>
      <c r="AS193" s="120"/>
      <c r="AT193" s="120"/>
      <c r="AU193" s="120"/>
      <c r="AV193" s="120"/>
      <c r="AW193" s="120"/>
      <c r="AX193" s="120"/>
      <c r="AY193" s="120"/>
      <c r="AZ193" s="121"/>
      <c r="BA193" s="121"/>
      <c r="BB193" s="121"/>
      <c r="BD193" s="121"/>
      <c r="BE193" s="121"/>
      <c r="BF193" s="124"/>
      <c r="BH193" s="121"/>
      <c r="BI193" s="121"/>
      <c r="BP193" s="121"/>
      <c r="BQ193" s="149"/>
    </row>
    <row r="194" spans="1:69" s="122" customFormat="1" ht="16.5">
      <c r="A194" s="118"/>
      <c r="B194" s="141" t="s">
        <v>1509</v>
      </c>
      <c r="C194" s="120"/>
      <c r="D194" s="120"/>
      <c r="E194" s="119"/>
      <c r="F194" s="120"/>
      <c r="G194" s="120"/>
      <c r="H194" s="120"/>
      <c r="J194" s="120"/>
      <c r="K194" s="120"/>
      <c r="L194" s="120"/>
      <c r="M194" s="120"/>
      <c r="N194" s="121"/>
      <c r="O194" s="120"/>
      <c r="P194" s="118"/>
      <c r="R194" s="123"/>
      <c r="T194" s="123"/>
      <c r="U194" s="123"/>
      <c r="V194" s="123"/>
      <c r="W194" s="123"/>
      <c r="X194" s="123"/>
      <c r="Y194" s="123"/>
      <c r="Z194" s="123"/>
      <c r="AA194" s="123"/>
      <c r="AB194" s="123"/>
      <c r="AC194" s="123"/>
      <c r="AD194" s="123">
        <v>1</v>
      </c>
      <c r="AE194" s="123"/>
      <c r="AF194" s="123"/>
      <c r="AG194" s="123"/>
      <c r="AH194" s="123"/>
      <c r="AI194" s="120"/>
      <c r="AJ194" s="120"/>
      <c r="AK194" s="120"/>
      <c r="AL194" s="120"/>
      <c r="AM194" s="120"/>
      <c r="AN194" s="120"/>
      <c r="AO194" s="120"/>
      <c r="AP194" s="120"/>
      <c r="AQ194" s="120"/>
      <c r="AR194" s="120"/>
      <c r="AS194" s="120"/>
      <c r="AT194" s="120"/>
      <c r="AU194" s="120"/>
      <c r="AV194" s="120"/>
      <c r="AW194" s="120"/>
      <c r="AX194" s="120"/>
      <c r="AY194" s="120"/>
      <c r="AZ194" s="121"/>
      <c r="BA194" s="121"/>
      <c r="BB194" s="121"/>
      <c r="BD194" s="121"/>
      <c r="BE194" s="121"/>
      <c r="BF194" s="124"/>
      <c r="BH194" s="121"/>
      <c r="BI194" s="121"/>
      <c r="BP194" s="121"/>
      <c r="BQ194" s="149"/>
    </row>
    <row r="195" spans="1:69" s="122" customFormat="1" ht="16.5">
      <c r="A195" s="118"/>
      <c r="B195" s="141" t="s">
        <v>1510</v>
      </c>
      <c r="C195" s="120"/>
      <c r="D195" s="120"/>
      <c r="E195" s="119"/>
      <c r="F195" s="120"/>
      <c r="G195" s="120"/>
      <c r="H195" s="120"/>
      <c r="J195" s="120"/>
      <c r="K195" s="120"/>
      <c r="L195" s="120"/>
      <c r="M195" s="120"/>
      <c r="N195" s="121"/>
      <c r="O195" s="120"/>
      <c r="P195" s="118"/>
      <c r="R195" s="123"/>
      <c r="T195" s="123"/>
      <c r="U195" s="123"/>
      <c r="V195" s="123"/>
      <c r="W195" s="123"/>
      <c r="X195" s="123"/>
      <c r="Y195" s="123"/>
      <c r="Z195" s="123"/>
      <c r="AA195" s="123"/>
      <c r="AB195" s="123"/>
      <c r="AC195" s="123"/>
      <c r="AD195" s="123">
        <v>1</v>
      </c>
      <c r="AE195" s="123"/>
      <c r="AF195" s="123"/>
      <c r="AG195" s="123"/>
      <c r="AH195" s="123"/>
      <c r="AI195" s="120"/>
      <c r="AJ195" s="120"/>
      <c r="AK195" s="120"/>
      <c r="AL195" s="120"/>
      <c r="AM195" s="120"/>
      <c r="AN195" s="120"/>
      <c r="AO195" s="120"/>
      <c r="AP195" s="120"/>
      <c r="AQ195" s="120"/>
      <c r="AR195" s="120"/>
      <c r="AS195" s="120"/>
      <c r="AT195" s="120"/>
      <c r="AU195" s="120"/>
      <c r="AV195" s="120"/>
      <c r="AW195" s="120"/>
      <c r="AX195" s="120"/>
      <c r="AY195" s="120"/>
      <c r="AZ195" s="121"/>
      <c r="BA195" s="121"/>
      <c r="BB195" s="121"/>
      <c r="BD195" s="121"/>
      <c r="BE195" s="121"/>
      <c r="BF195" s="124"/>
      <c r="BH195" s="121"/>
      <c r="BI195" s="121"/>
      <c r="BP195" s="121"/>
      <c r="BQ195" s="149"/>
    </row>
    <row r="196" spans="1:69" s="122" customFormat="1" ht="16.5">
      <c r="A196" s="118"/>
      <c r="B196" s="141" t="s">
        <v>1511</v>
      </c>
      <c r="C196" s="120"/>
      <c r="D196" s="120"/>
      <c r="E196" s="119"/>
      <c r="F196" s="120"/>
      <c r="G196" s="120"/>
      <c r="H196" s="120"/>
      <c r="J196" s="120"/>
      <c r="K196" s="120"/>
      <c r="L196" s="120"/>
      <c r="M196" s="120"/>
      <c r="N196" s="121"/>
      <c r="O196" s="120"/>
      <c r="P196" s="118"/>
      <c r="R196" s="123"/>
      <c r="T196" s="123"/>
      <c r="U196" s="123"/>
      <c r="V196" s="123"/>
      <c r="W196" s="123"/>
      <c r="X196" s="123"/>
      <c r="Y196" s="123"/>
      <c r="Z196" s="123"/>
      <c r="AA196" s="123"/>
      <c r="AB196" s="123"/>
      <c r="AC196" s="123"/>
      <c r="AD196" s="123">
        <v>1</v>
      </c>
      <c r="AE196" s="123"/>
      <c r="AF196" s="123"/>
      <c r="AG196" s="123"/>
      <c r="AH196" s="123"/>
      <c r="AI196" s="120"/>
      <c r="AJ196" s="120"/>
      <c r="AK196" s="120"/>
      <c r="AL196" s="120"/>
      <c r="AM196" s="120"/>
      <c r="AN196" s="120"/>
      <c r="AO196" s="120"/>
      <c r="AP196" s="120"/>
      <c r="AQ196" s="120"/>
      <c r="AR196" s="120"/>
      <c r="AS196" s="120"/>
      <c r="AT196" s="120"/>
      <c r="AU196" s="120"/>
      <c r="AV196" s="120"/>
      <c r="AW196" s="120"/>
      <c r="AX196" s="120"/>
      <c r="AY196" s="120"/>
      <c r="AZ196" s="121"/>
      <c r="BA196" s="121"/>
      <c r="BB196" s="121"/>
      <c r="BD196" s="121"/>
      <c r="BE196" s="121"/>
      <c r="BF196" s="124"/>
      <c r="BH196" s="121"/>
      <c r="BI196" s="121"/>
      <c r="BP196" s="121"/>
      <c r="BQ196" s="149"/>
    </row>
    <row r="197" spans="1:69" s="122" customFormat="1" ht="16.5">
      <c r="A197" s="118"/>
      <c r="B197" s="141" t="s">
        <v>1512</v>
      </c>
      <c r="C197" s="120"/>
      <c r="D197" s="120"/>
      <c r="E197" s="119"/>
      <c r="F197" s="120"/>
      <c r="G197" s="120"/>
      <c r="H197" s="120"/>
      <c r="J197" s="120"/>
      <c r="K197" s="120"/>
      <c r="L197" s="120"/>
      <c r="M197" s="120"/>
      <c r="N197" s="121"/>
      <c r="O197" s="120"/>
      <c r="P197" s="118"/>
      <c r="R197" s="123"/>
      <c r="T197" s="123"/>
      <c r="U197" s="123"/>
      <c r="V197" s="123"/>
      <c r="W197" s="123"/>
      <c r="X197" s="123"/>
      <c r="Y197" s="123"/>
      <c r="Z197" s="123"/>
      <c r="AA197" s="123"/>
      <c r="AB197" s="123"/>
      <c r="AC197" s="123"/>
      <c r="AD197" s="123">
        <v>1</v>
      </c>
      <c r="AE197" s="123"/>
      <c r="AF197" s="123"/>
      <c r="AG197" s="123"/>
      <c r="AH197" s="123"/>
      <c r="AI197" s="120"/>
      <c r="AJ197" s="120"/>
      <c r="AK197" s="120"/>
      <c r="AL197" s="120"/>
      <c r="AM197" s="120"/>
      <c r="AN197" s="120"/>
      <c r="AO197" s="120"/>
      <c r="AP197" s="120"/>
      <c r="AQ197" s="120"/>
      <c r="AR197" s="120"/>
      <c r="AS197" s="120"/>
      <c r="AT197" s="120"/>
      <c r="AU197" s="120"/>
      <c r="AV197" s="120"/>
      <c r="AW197" s="120"/>
      <c r="AX197" s="120"/>
      <c r="AY197" s="120"/>
      <c r="AZ197" s="121"/>
      <c r="BA197" s="121"/>
      <c r="BB197" s="121"/>
      <c r="BD197" s="121"/>
      <c r="BE197" s="121"/>
      <c r="BF197" s="124"/>
      <c r="BH197" s="121"/>
      <c r="BI197" s="121"/>
      <c r="BP197" s="121"/>
      <c r="BQ197" s="149"/>
    </row>
    <row r="198" spans="1:69" s="122" customFormat="1" ht="16.5">
      <c r="A198" s="118"/>
      <c r="B198" s="141" t="s">
        <v>1513</v>
      </c>
      <c r="C198" s="120"/>
      <c r="D198" s="120"/>
      <c r="E198" s="119"/>
      <c r="F198" s="120"/>
      <c r="G198" s="120"/>
      <c r="H198" s="120"/>
      <c r="J198" s="120"/>
      <c r="K198" s="120"/>
      <c r="L198" s="120"/>
      <c r="M198" s="120"/>
      <c r="N198" s="121"/>
      <c r="O198" s="120"/>
      <c r="P198" s="118"/>
      <c r="R198" s="123"/>
      <c r="T198" s="123"/>
      <c r="U198" s="123"/>
      <c r="V198" s="123"/>
      <c r="W198" s="123"/>
      <c r="X198" s="123"/>
      <c r="Y198" s="123"/>
      <c r="Z198" s="123"/>
      <c r="AA198" s="123"/>
      <c r="AB198" s="123"/>
      <c r="AC198" s="123"/>
      <c r="AD198" s="123">
        <v>1</v>
      </c>
      <c r="AE198" s="123"/>
      <c r="AF198" s="123"/>
      <c r="AG198" s="123"/>
      <c r="AH198" s="123"/>
      <c r="AI198" s="120"/>
      <c r="AJ198" s="120"/>
      <c r="AK198" s="120"/>
      <c r="AL198" s="120"/>
      <c r="AM198" s="120"/>
      <c r="AN198" s="120"/>
      <c r="AO198" s="120"/>
      <c r="AP198" s="120"/>
      <c r="AQ198" s="120"/>
      <c r="AR198" s="120"/>
      <c r="AS198" s="120"/>
      <c r="AT198" s="120"/>
      <c r="AU198" s="120"/>
      <c r="AV198" s="120"/>
      <c r="AW198" s="120"/>
      <c r="AX198" s="120"/>
      <c r="AY198" s="120"/>
      <c r="AZ198" s="121"/>
      <c r="BA198" s="121"/>
      <c r="BB198" s="121"/>
      <c r="BD198" s="121"/>
      <c r="BE198" s="121"/>
      <c r="BF198" s="124"/>
      <c r="BH198" s="121"/>
      <c r="BI198" s="121"/>
      <c r="BP198" s="121"/>
      <c r="BQ198" s="149"/>
    </row>
    <row r="199" spans="1:69" s="122" customFormat="1" ht="16.5">
      <c r="A199" s="118"/>
      <c r="B199" s="141" t="s">
        <v>1514</v>
      </c>
      <c r="C199" s="120"/>
      <c r="D199" s="120"/>
      <c r="E199" s="119"/>
      <c r="F199" s="120"/>
      <c r="G199" s="120"/>
      <c r="H199" s="120"/>
      <c r="J199" s="120"/>
      <c r="K199" s="120"/>
      <c r="L199" s="120"/>
      <c r="M199" s="120"/>
      <c r="N199" s="121"/>
      <c r="O199" s="120"/>
      <c r="P199" s="118"/>
      <c r="R199" s="123"/>
      <c r="T199" s="123"/>
      <c r="U199" s="123"/>
      <c r="V199" s="123"/>
      <c r="W199" s="123"/>
      <c r="X199" s="123"/>
      <c r="Y199" s="123"/>
      <c r="Z199" s="123"/>
      <c r="AA199" s="123"/>
      <c r="AB199" s="123"/>
      <c r="AC199" s="123"/>
      <c r="AD199" s="123">
        <v>1</v>
      </c>
      <c r="AE199" s="123"/>
      <c r="AF199" s="123"/>
      <c r="AG199" s="123"/>
      <c r="AH199" s="123"/>
      <c r="AI199" s="120"/>
      <c r="AJ199" s="120"/>
      <c r="AK199" s="120"/>
      <c r="AL199" s="120"/>
      <c r="AM199" s="120"/>
      <c r="AN199" s="120"/>
      <c r="AO199" s="120"/>
      <c r="AP199" s="120"/>
      <c r="AQ199" s="120"/>
      <c r="AR199" s="120"/>
      <c r="AS199" s="120"/>
      <c r="AT199" s="120"/>
      <c r="AU199" s="120"/>
      <c r="AV199" s="120"/>
      <c r="AW199" s="120"/>
      <c r="AX199" s="120"/>
      <c r="AY199" s="120"/>
      <c r="AZ199" s="121"/>
      <c r="BA199" s="121"/>
      <c r="BB199" s="121"/>
      <c r="BD199" s="121"/>
      <c r="BE199" s="121"/>
      <c r="BF199" s="124"/>
      <c r="BH199" s="121"/>
      <c r="BI199" s="121"/>
      <c r="BP199" s="121"/>
      <c r="BQ199" s="149"/>
    </row>
    <row r="200" spans="1:69" s="122" customFormat="1" ht="16.5">
      <c r="A200" s="118"/>
      <c r="B200" s="141" t="s">
        <v>1435</v>
      </c>
      <c r="C200" s="120"/>
      <c r="D200" s="120"/>
      <c r="E200" s="119"/>
      <c r="F200" s="120"/>
      <c r="G200" s="120"/>
      <c r="H200" s="120"/>
      <c r="J200" s="120"/>
      <c r="K200" s="120"/>
      <c r="L200" s="120"/>
      <c r="M200" s="120"/>
      <c r="N200" s="121"/>
      <c r="O200" s="120"/>
      <c r="P200" s="118"/>
      <c r="R200" s="123"/>
      <c r="T200" s="123"/>
      <c r="U200" s="123"/>
      <c r="V200" s="123"/>
      <c r="W200" s="123"/>
      <c r="X200" s="123"/>
      <c r="Y200" s="123"/>
      <c r="Z200" s="123"/>
      <c r="AA200" s="123"/>
      <c r="AB200" s="123"/>
      <c r="AC200" s="123"/>
      <c r="AD200" s="123">
        <v>1</v>
      </c>
      <c r="AE200" s="123"/>
      <c r="AF200" s="123"/>
      <c r="AG200" s="123"/>
      <c r="AH200" s="123"/>
      <c r="AI200" s="120"/>
      <c r="AJ200" s="120"/>
      <c r="AK200" s="120"/>
      <c r="AL200" s="120"/>
      <c r="AM200" s="120"/>
      <c r="AN200" s="120"/>
      <c r="AO200" s="120"/>
      <c r="AP200" s="120"/>
      <c r="AQ200" s="120"/>
      <c r="AR200" s="120"/>
      <c r="AS200" s="120"/>
      <c r="AT200" s="120"/>
      <c r="AU200" s="120"/>
      <c r="AV200" s="120"/>
      <c r="AW200" s="120"/>
      <c r="AX200" s="120"/>
      <c r="AY200" s="120"/>
      <c r="AZ200" s="121"/>
      <c r="BA200" s="121"/>
      <c r="BB200" s="121"/>
      <c r="BD200" s="121"/>
      <c r="BE200" s="121"/>
      <c r="BF200" s="124"/>
      <c r="BH200" s="121"/>
      <c r="BI200" s="121"/>
      <c r="BP200" s="121"/>
      <c r="BQ200" s="149"/>
    </row>
    <row r="201" spans="1:69" s="122" customFormat="1" ht="16.5">
      <c r="A201" s="118"/>
      <c r="B201" s="141" t="s">
        <v>1515</v>
      </c>
      <c r="C201" s="120"/>
      <c r="D201" s="120"/>
      <c r="E201" s="119"/>
      <c r="F201" s="120"/>
      <c r="G201" s="120"/>
      <c r="H201" s="120"/>
      <c r="J201" s="120"/>
      <c r="K201" s="120"/>
      <c r="L201" s="120"/>
      <c r="M201" s="120"/>
      <c r="N201" s="121"/>
      <c r="O201" s="120"/>
      <c r="P201" s="118"/>
      <c r="R201" s="123"/>
      <c r="T201" s="123"/>
      <c r="U201" s="123"/>
      <c r="V201" s="123"/>
      <c r="W201" s="123"/>
      <c r="X201" s="123"/>
      <c r="Y201" s="123"/>
      <c r="Z201" s="123"/>
      <c r="AA201" s="123"/>
      <c r="AB201" s="123"/>
      <c r="AC201" s="123"/>
      <c r="AD201" s="123">
        <v>1</v>
      </c>
      <c r="AE201" s="123"/>
      <c r="AF201" s="123"/>
      <c r="AG201" s="123"/>
      <c r="AH201" s="123"/>
      <c r="AI201" s="120"/>
      <c r="AJ201" s="134">
        <v>0</v>
      </c>
      <c r="AK201" s="120"/>
      <c r="AL201" s="120"/>
      <c r="AM201" s="120"/>
      <c r="AN201" s="120"/>
      <c r="AO201" s="120"/>
      <c r="AP201" s="120"/>
      <c r="AQ201" s="120"/>
      <c r="AR201" s="120"/>
      <c r="AS201" s="120"/>
      <c r="AT201" s="120"/>
      <c r="AU201" s="120"/>
      <c r="AV201" s="120"/>
      <c r="AW201" s="120"/>
      <c r="AX201" s="120"/>
      <c r="AY201" s="120"/>
      <c r="AZ201" s="121"/>
      <c r="BA201" s="121"/>
      <c r="BB201" s="121"/>
      <c r="BD201" s="121"/>
      <c r="BE201" s="121"/>
      <c r="BF201" s="124"/>
      <c r="BH201" s="121"/>
      <c r="BI201" s="121"/>
      <c r="BP201" s="121"/>
      <c r="BQ201" s="150">
        <v>44596.665185185186</v>
      </c>
    </row>
    <row r="202" spans="1:69" s="122" customFormat="1" ht="16.5">
      <c r="A202" s="118"/>
      <c r="B202" s="141" t="s">
        <v>1516</v>
      </c>
      <c r="C202" s="120"/>
      <c r="D202" s="120"/>
      <c r="E202" s="119"/>
      <c r="F202" s="120"/>
      <c r="G202" s="120"/>
      <c r="H202" s="120"/>
      <c r="J202" s="120"/>
      <c r="K202" s="120"/>
      <c r="L202" s="120"/>
      <c r="M202" s="120"/>
      <c r="N202" s="121"/>
      <c r="O202" s="120"/>
      <c r="P202" s="118"/>
      <c r="R202" s="123"/>
      <c r="T202" s="123"/>
      <c r="U202" s="123"/>
      <c r="V202" s="123"/>
      <c r="W202" s="123"/>
      <c r="X202" s="123"/>
      <c r="Y202" s="123"/>
      <c r="Z202" s="123"/>
      <c r="AA202" s="123"/>
      <c r="AB202" s="123"/>
      <c r="AC202" s="123"/>
      <c r="AD202" s="123">
        <v>1</v>
      </c>
      <c r="AE202" s="123"/>
      <c r="AF202" s="123"/>
      <c r="AG202" s="123"/>
      <c r="AH202" s="123"/>
      <c r="AI202" s="120"/>
      <c r="AJ202" s="120"/>
      <c r="AK202" s="120"/>
      <c r="AL202" s="120"/>
      <c r="AM202" s="120"/>
      <c r="AN202" s="120"/>
      <c r="AO202" s="120"/>
      <c r="AP202" s="120"/>
      <c r="AQ202" s="120"/>
      <c r="AR202" s="120"/>
      <c r="AS202" s="120"/>
      <c r="AT202" s="120"/>
      <c r="AU202" s="120"/>
      <c r="AV202" s="120"/>
      <c r="AW202" s="120"/>
      <c r="AX202" s="120"/>
      <c r="AY202" s="120"/>
      <c r="AZ202" s="121"/>
      <c r="BA202" s="121"/>
      <c r="BB202" s="121"/>
      <c r="BD202" s="121"/>
      <c r="BE202" s="121"/>
      <c r="BF202" s="124"/>
      <c r="BH202" s="121"/>
      <c r="BI202" s="121"/>
      <c r="BP202" s="121"/>
      <c r="BQ202" s="149"/>
    </row>
    <row r="203" spans="1:69" s="13" customFormat="1" ht="26.25" customHeight="1">
      <c r="B203" s="141" t="s">
        <v>1814</v>
      </c>
      <c r="C203" s="120">
        <v>4</v>
      </c>
      <c r="D203" s="46"/>
      <c r="F203" s="15"/>
      <c r="G203" s="17"/>
      <c r="H203" s="16"/>
      <c r="AD203" s="123">
        <v>1</v>
      </c>
      <c r="AG203" s="134">
        <v>0</v>
      </c>
      <c r="AH203" s="134">
        <v>0</v>
      </c>
      <c r="AI203" s="127" t="s">
        <v>1355</v>
      </c>
      <c r="AJ203" s="134">
        <v>0</v>
      </c>
      <c r="AK203" s="134">
        <v>0</v>
      </c>
      <c r="BQ203" s="151">
        <v>44596.626192129632</v>
      </c>
    </row>
    <row r="204" spans="1:69" s="122" customFormat="1" ht="16.5">
      <c r="A204" s="118"/>
      <c r="B204" s="141" t="s">
        <v>1517</v>
      </c>
      <c r="C204" s="120"/>
      <c r="D204" s="120"/>
      <c r="E204" s="119"/>
      <c r="F204" s="120"/>
      <c r="G204" s="120"/>
      <c r="H204" s="120"/>
      <c r="J204" s="120"/>
      <c r="K204" s="120"/>
      <c r="L204" s="120"/>
      <c r="M204" s="120"/>
      <c r="N204" s="121"/>
      <c r="O204" s="120"/>
      <c r="P204" s="118"/>
      <c r="R204" s="123"/>
      <c r="T204" s="123"/>
      <c r="U204" s="123"/>
      <c r="V204" s="123"/>
      <c r="W204" s="123"/>
      <c r="X204" s="123"/>
      <c r="Y204" s="123"/>
      <c r="Z204" s="123"/>
      <c r="AA204" s="123"/>
      <c r="AB204" s="123"/>
      <c r="AC204" s="123"/>
      <c r="AD204" s="123">
        <v>1</v>
      </c>
      <c r="AE204" s="123"/>
      <c r="AF204" s="123"/>
      <c r="AG204" s="123"/>
      <c r="AH204" s="123"/>
      <c r="AI204" s="120"/>
      <c r="AJ204" s="120"/>
      <c r="AK204" s="120"/>
      <c r="AL204" s="120"/>
      <c r="AM204" s="120"/>
      <c r="AN204" s="120"/>
      <c r="AO204" s="120"/>
      <c r="AP204" s="120"/>
      <c r="AQ204" s="120"/>
      <c r="AR204" s="120"/>
      <c r="AS204" s="120"/>
      <c r="AT204" s="120"/>
      <c r="AU204" s="120"/>
      <c r="AV204" s="120"/>
      <c r="AW204" s="120"/>
      <c r="AX204" s="120"/>
      <c r="AY204" s="120"/>
      <c r="AZ204" s="121"/>
      <c r="BA204" s="121"/>
      <c r="BB204" s="121"/>
      <c r="BD204" s="121"/>
      <c r="BE204" s="121"/>
      <c r="BF204" s="124"/>
      <c r="BH204" s="121"/>
      <c r="BI204" s="121"/>
      <c r="BP204" s="121"/>
      <c r="BQ204" s="149"/>
    </row>
    <row r="205" spans="1:69" s="122" customFormat="1" ht="16.5">
      <c r="A205" s="118"/>
      <c r="B205" s="141" t="s">
        <v>1518</v>
      </c>
      <c r="C205" s="120"/>
      <c r="D205" s="120"/>
      <c r="E205" s="119"/>
      <c r="F205" s="120"/>
      <c r="G205" s="120"/>
      <c r="H205" s="120"/>
      <c r="J205" s="120"/>
      <c r="K205" s="120"/>
      <c r="L205" s="120"/>
      <c r="M205" s="120"/>
      <c r="N205" s="121"/>
      <c r="O205" s="120"/>
      <c r="P205" s="118"/>
      <c r="R205" s="123"/>
      <c r="T205" s="123"/>
      <c r="U205" s="123"/>
      <c r="V205" s="123"/>
      <c r="W205" s="123"/>
      <c r="X205" s="123"/>
      <c r="Y205" s="123"/>
      <c r="Z205" s="123"/>
      <c r="AA205" s="123"/>
      <c r="AB205" s="123"/>
      <c r="AC205" s="123"/>
      <c r="AD205" s="123">
        <v>1</v>
      </c>
      <c r="AE205" s="123"/>
      <c r="AF205" s="123"/>
      <c r="AG205" s="123"/>
      <c r="AH205" s="123"/>
      <c r="AI205" s="120"/>
      <c r="AJ205" s="120"/>
      <c r="AK205" s="120"/>
      <c r="AL205" s="120"/>
      <c r="AM205" s="120"/>
      <c r="AN205" s="120"/>
      <c r="AO205" s="120"/>
      <c r="AP205" s="120"/>
      <c r="AQ205" s="120"/>
      <c r="AR205" s="120"/>
      <c r="AS205" s="120"/>
      <c r="AT205" s="120"/>
      <c r="AU205" s="120"/>
      <c r="AV205" s="120"/>
      <c r="AW205" s="120"/>
      <c r="AX205" s="120"/>
      <c r="AY205" s="120"/>
      <c r="AZ205" s="121"/>
      <c r="BA205" s="121"/>
      <c r="BB205" s="121"/>
      <c r="BD205" s="121"/>
      <c r="BE205" s="121"/>
      <c r="BF205" s="124"/>
      <c r="BH205" s="121"/>
      <c r="BI205" s="121"/>
      <c r="BP205" s="121"/>
      <c r="BQ205" s="149"/>
    </row>
    <row r="206" spans="1:69" s="122" customFormat="1" ht="16.5">
      <c r="A206" s="118"/>
      <c r="B206" s="141" t="s">
        <v>1519</v>
      </c>
      <c r="C206" s="120"/>
      <c r="D206" s="120"/>
      <c r="E206" s="119"/>
      <c r="F206" s="120"/>
      <c r="G206" s="120"/>
      <c r="H206" s="120"/>
      <c r="J206" s="120"/>
      <c r="K206" s="120"/>
      <c r="L206" s="120"/>
      <c r="M206" s="120"/>
      <c r="N206" s="121"/>
      <c r="O206" s="120"/>
      <c r="P206" s="118"/>
      <c r="R206" s="123"/>
      <c r="T206" s="123"/>
      <c r="U206" s="123"/>
      <c r="V206" s="123"/>
      <c r="W206" s="123"/>
      <c r="X206" s="123"/>
      <c r="Y206" s="123"/>
      <c r="Z206" s="123"/>
      <c r="AA206" s="123"/>
      <c r="AB206" s="123"/>
      <c r="AC206" s="123"/>
      <c r="AD206" s="123">
        <v>1</v>
      </c>
      <c r="AE206" s="123"/>
      <c r="AF206" s="123"/>
      <c r="AG206" s="123"/>
      <c r="AH206" s="123"/>
      <c r="AI206" s="120"/>
      <c r="AJ206" s="120"/>
      <c r="AK206" s="120"/>
      <c r="AL206" s="120"/>
      <c r="AM206" s="120"/>
      <c r="AN206" s="120"/>
      <c r="AO206" s="120"/>
      <c r="AP206" s="120"/>
      <c r="AQ206" s="120"/>
      <c r="AR206" s="120"/>
      <c r="AS206" s="120"/>
      <c r="AT206" s="120"/>
      <c r="AU206" s="120"/>
      <c r="AV206" s="120"/>
      <c r="AW206" s="120"/>
      <c r="AX206" s="120"/>
      <c r="AY206" s="120"/>
      <c r="AZ206" s="121"/>
      <c r="BA206" s="121"/>
      <c r="BB206" s="121"/>
      <c r="BD206" s="121"/>
      <c r="BE206" s="121"/>
      <c r="BF206" s="124"/>
      <c r="BH206" s="121"/>
      <c r="BI206" s="121"/>
      <c r="BP206" s="121"/>
      <c r="BQ206" s="149"/>
    </row>
    <row r="207" spans="1:69" s="122" customFormat="1" ht="16.5">
      <c r="A207" s="118"/>
      <c r="B207" s="141" t="s">
        <v>1520</v>
      </c>
      <c r="C207" s="120"/>
      <c r="D207" s="120"/>
      <c r="E207" s="119"/>
      <c r="F207" s="120"/>
      <c r="G207" s="120"/>
      <c r="H207" s="120"/>
      <c r="J207" s="120"/>
      <c r="K207" s="120"/>
      <c r="L207" s="120"/>
      <c r="M207" s="120"/>
      <c r="N207" s="121"/>
      <c r="O207" s="120"/>
      <c r="P207" s="118"/>
      <c r="R207" s="123"/>
      <c r="T207" s="123"/>
      <c r="U207" s="123"/>
      <c r="V207" s="123"/>
      <c r="W207" s="123"/>
      <c r="X207" s="123"/>
      <c r="Y207" s="123"/>
      <c r="Z207" s="123"/>
      <c r="AA207" s="123"/>
      <c r="AB207" s="123"/>
      <c r="AC207" s="123"/>
      <c r="AD207" s="123">
        <v>1</v>
      </c>
      <c r="AE207" s="123"/>
      <c r="AF207" s="123"/>
      <c r="AG207" s="123"/>
      <c r="AH207" s="123"/>
      <c r="AI207" s="120"/>
      <c r="AJ207" s="120"/>
      <c r="AK207" s="120"/>
      <c r="AL207" s="120"/>
      <c r="AM207" s="120"/>
      <c r="AN207" s="120"/>
      <c r="AO207" s="120"/>
      <c r="AP207" s="120"/>
      <c r="AQ207" s="120"/>
      <c r="AR207" s="120"/>
      <c r="AS207" s="120"/>
      <c r="AT207" s="120"/>
      <c r="AU207" s="120"/>
      <c r="AV207" s="120"/>
      <c r="AW207" s="120"/>
      <c r="AX207" s="120"/>
      <c r="AY207" s="120"/>
      <c r="AZ207" s="121"/>
      <c r="BA207" s="121"/>
      <c r="BB207" s="121"/>
      <c r="BD207" s="121"/>
      <c r="BE207" s="121"/>
      <c r="BF207" s="124"/>
      <c r="BH207" s="121"/>
      <c r="BI207" s="121"/>
      <c r="BP207" s="121"/>
      <c r="BQ207" s="149"/>
    </row>
    <row r="208" spans="1:69" s="122" customFormat="1" ht="16.5">
      <c r="A208" s="118"/>
      <c r="B208" s="141" t="s">
        <v>1521</v>
      </c>
      <c r="C208" s="120"/>
      <c r="D208" s="120"/>
      <c r="E208" s="119"/>
      <c r="F208" s="120"/>
      <c r="G208" s="120"/>
      <c r="H208" s="120"/>
      <c r="J208" s="120"/>
      <c r="K208" s="120"/>
      <c r="L208" s="120"/>
      <c r="M208" s="120"/>
      <c r="N208" s="121"/>
      <c r="O208" s="120"/>
      <c r="P208" s="118"/>
      <c r="R208" s="123"/>
      <c r="T208" s="123"/>
      <c r="U208" s="123"/>
      <c r="V208" s="123"/>
      <c r="W208" s="123"/>
      <c r="X208" s="123"/>
      <c r="Y208" s="123"/>
      <c r="Z208" s="123"/>
      <c r="AA208" s="123"/>
      <c r="AB208" s="123"/>
      <c r="AC208" s="123"/>
      <c r="AD208" s="123">
        <v>1</v>
      </c>
      <c r="AE208" s="123"/>
      <c r="AF208" s="123"/>
      <c r="AG208" s="123"/>
      <c r="AH208" s="123"/>
      <c r="AI208" s="120"/>
      <c r="AJ208" s="120"/>
      <c r="AK208" s="120"/>
      <c r="AL208" s="120"/>
      <c r="AM208" s="120"/>
      <c r="AN208" s="120"/>
      <c r="AO208" s="120"/>
      <c r="AP208" s="120"/>
      <c r="AQ208" s="120"/>
      <c r="AR208" s="120"/>
      <c r="AS208" s="120"/>
      <c r="AT208" s="120"/>
      <c r="AU208" s="120"/>
      <c r="AV208" s="120"/>
      <c r="AW208" s="120"/>
      <c r="AX208" s="120"/>
      <c r="AY208" s="120"/>
      <c r="AZ208" s="121"/>
      <c r="BA208" s="121"/>
      <c r="BB208" s="121"/>
      <c r="BD208" s="121"/>
      <c r="BE208" s="121"/>
      <c r="BF208" s="124"/>
      <c r="BH208" s="121"/>
      <c r="BI208" s="121"/>
      <c r="BP208" s="121"/>
      <c r="BQ208" s="149"/>
    </row>
    <row r="209" spans="1:69" s="122" customFormat="1" ht="16.5">
      <c r="A209" s="118"/>
      <c r="B209" s="141" t="s">
        <v>1522</v>
      </c>
      <c r="C209" s="120"/>
      <c r="D209" s="120"/>
      <c r="E209" s="119"/>
      <c r="F209" s="120"/>
      <c r="G209" s="120"/>
      <c r="H209" s="120"/>
      <c r="J209" s="120"/>
      <c r="K209" s="120"/>
      <c r="L209" s="120"/>
      <c r="M209" s="120"/>
      <c r="N209" s="121"/>
      <c r="O209" s="120"/>
      <c r="P209" s="118"/>
      <c r="R209" s="123"/>
      <c r="T209" s="123"/>
      <c r="U209" s="123"/>
      <c r="V209" s="123"/>
      <c r="W209" s="123"/>
      <c r="X209" s="123"/>
      <c r="Y209" s="123"/>
      <c r="Z209" s="123"/>
      <c r="AA209" s="123"/>
      <c r="AB209" s="123"/>
      <c r="AC209" s="123"/>
      <c r="AD209" s="123">
        <v>1</v>
      </c>
      <c r="AE209" s="123"/>
      <c r="AF209" s="123"/>
      <c r="AG209" s="123"/>
      <c r="AH209" s="123"/>
      <c r="AI209" s="120"/>
      <c r="AJ209" s="120"/>
      <c r="AK209" s="120"/>
      <c r="AL209" s="120"/>
      <c r="AM209" s="120"/>
      <c r="AN209" s="120"/>
      <c r="AO209" s="120"/>
      <c r="AP209" s="120"/>
      <c r="AQ209" s="120"/>
      <c r="AR209" s="120"/>
      <c r="AS209" s="120"/>
      <c r="AT209" s="120"/>
      <c r="AU209" s="120"/>
      <c r="AV209" s="120"/>
      <c r="AW209" s="120"/>
      <c r="AX209" s="120"/>
      <c r="AY209" s="120"/>
      <c r="AZ209" s="121"/>
      <c r="BA209" s="121"/>
      <c r="BB209" s="121"/>
      <c r="BD209" s="121"/>
      <c r="BE209" s="121"/>
      <c r="BF209" s="124"/>
      <c r="BH209" s="121"/>
      <c r="BI209" s="121"/>
      <c r="BP209" s="121"/>
      <c r="BQ209" s="149"/>
    </row>
    <row r="210" spans="1:69" s="122" customFormat="1" ht="16.5">
      <c r="A210" s="118"/>
      <c r="B210" s="141" t="s">
        <v>1523</v>
      </c>
      <c r="C210" s="120"/>
      <c r="D210" s="120"/>
      <c r="E210" s="119"/>
      <c r="F210" s="120"/>
      <c r="G210" s="120"/>
      <c r="H210" s="120"/>
      <c r="J210" s="120"/>
      <c r="K210" s="120"/>
      <c r="L210" s="120"/>
      <c r="M210" s="120"/>
      <c r="N210" s="121"/>
      <c r="O210" s="120"/>
      <c r="P210" s="118"/>
      <c r="R210" s="123"/>
      <c r="T210" s="123"/>
      <c r="U210" s="123"/>
      <c r="V210" s="123"/>
      <c r="W210" s="123"/>
      <c r="X210" s="123"/>
      <c r="Y210" s="123"/>
      <c r="Z210" s="123"/>
      <c r="AA210" s="123"/>
      <c r="AB210" s="123"/>
      <c r="AC210" s="123"/>
      <c r="AD210" s="123">
        <v>1</v>
      </c>
      <c r="AE210" s="123"/>
      <c r="AF210" s="123"/>
      <c r="AG210" s="123"/>
      <c r="AH210" s="123"/>
      <c r="AI210" s="120"/>
      <c r="AJ210" s="120"/>
      <c r="AK210" s="120"/>
      <c r="AL210" s="120"/>
      <c r="AM210" s="120"/>
      <c r="AN210" s="120"/>
      <c r="AO210" s="120"/>
      <c r="AP210" s="120"/>
      <c r="AQ210" s="120"/>
      <c r="AR210" s="120"/>
      <c r="AS210" s="120"/>
      <c r="AT210" s="120"/>
      <c r="AU210" s="120"/>
      <c r="AV210" s="120"/>
      <c r="AW210" s="120"/>
      <c r="AX210" s="120"/>
      <c r="AY210" s="120"/>
      <c r="AZ210" s="121"/>
      <c r="BA210" s="121"/>
      <c r="BB210" s="121"/>
      <c r="BD210" s="121"/>
      <c r="BE210" s="121"/>
      <c r="BF210" s="124"/>
      <c r="BH210" s="121"/>
      <c r="BI210" s="121"/>
      <c r="BP210" s="121"/>
      <c r="BQ210" s="149"/>
    </row>
    <row r="211" spans="1:69" s="122" customFormat="1" ht="16.5">
      <c r="A211" s="118"/>
      <c r="B211" s="141" t="s">
        <v>1524</v>
      </c>
      <c r="C211" s="120"/>
      <c r="D211" s="120"/>
      <c r="E211" s="119"/>
      <c r="F211" s="120"/>
      <c r="G211" s="120"/>
      <c r="H211" s="120"/>
      <c r="J211" s="120"/>
      <c r="K211" s="120"/>
      <c r="L211" s="120"/>
      <c r="M211" s="120"/>
      <c r="N211" s="121"/>
      <c r="O211" s="120"/>
      <c r="P211" s="118"/>
      <c r="R211" s="123"/>
      <c r="T211" s="123"/>
      <c r="U211" s="123"/>
      <c r="V211" s="123"/>
      <c r="W211" s="123"/>
      <c r="X211" s="123"/>
      <c r="Y211" s="123"/>
      <c r="Z211" s="123"/>
      <c r="AA211" s="123"/>
      <c r="AB211" s="123"/>
      <c r="AC211" s="123"/>
      <c r="AD211" s="123">
        <v>1</v>
      </c>
      <c r="AE211" s="123"/>
      <c r="AF211" s="123"/>
      <c r="AG211" s="123"/>
      <c r="AH211" s="123"/>
      <c r="AI211" s="120"/>
      <c r="AJ211" s="120"/>
      <c r="AK211" s="120"/>
      <c r="AL211" s="120"/>
      <c r="AM211" s="120"/>
      <c r="AN211" s="120"/>
      <c r="AO211" s="120"/>
      <c r="AP211" s="120"/>
      <c r="AQ211" s="120"/>
      <c r="AR211" s="120"/>
      <c r="AS211" s="120"/>
      <c r="AT211" s="120"/>
      <c r="AU211" s="120"/>
      <c r="AV211" s="120"/>
      <c r="AW211" s="120"/>
      <c r="AX211" s="120"/>
      <c r="AY211" s="120"/>
      <c r="AZ211" s="121"/>
      <c r="BA211" s="121"/>
      <c r="BB211" s="121"/>
      <c r="BD211" s="121"/>
      <c r="BE211" s="121"/>
      <c r="BF211" s="124"/>
      <c r="BH211" s="121"/>
      <c r="BI211" s="121"/>
      <c r="BP211" s="121"/>
      <c r="BQ211" s="149"/>
    </row>
    <row r="212" spans="1:69" s="122" customFormat="1" ht="16.5">
      <c r="A212" s="118"/>
      <c r="B212" s="141" t="s">
        <v>1525</v>
      </c>
      <c r="C212" s="120"/>
      <c r="D212" s="120"/>
      <c r="E212" s="119"/>
      <c r="F212" s="120"/>
      <c r="G212" s="120"/>
      <c r="H212" s="120"/>
      <c r="J212" s="120"/>
      <c r="K212" s="120"/>
      <c r="L212" s="120"/>
      <c r="M212" s="120"/>
      <c r="N212" s="121"/>
      <c r="O212" s="120"/>
      <c r="P212" s="118"/>
      <c r="R212" s="123"/>
      <c r="T212" s="123"/>
      <c r="U212" s="123"/>
      <c r="V212" s="123"/>
      <c r="W212" s="123"/>
      <c r="X212" s="123"/>
      <c r="Y212" s="123"/>
      <c r="Z212" s="123"/>
      <c r="AA212" s="123"/>
      <c r="AB212" s="123"/>
      <c r="AC212" s="123"/>
      <c r="AD212" s="123">
        <v>1</v>
      </c>
      <c r="AE212" s="123"/>
      <c r="AF212" s="123"/>
      <c r="AG212" s="123"/>
      <c r="AH212" s="123"/>
      <c r="AI212" s="120"/>
      <c r="AJ212" s="120"/>
      <c r="AK212" s="120"/>
      <c r="AL212" s="120"/>
      <c r="AM212" s="120"/>
      <c r="AN212" s="120"/>
      <c r="AO212" s="120"/>
      <c r="AP212" s="120"/>
      <c r="AQ212" s="120"/>
      <c r="AR212" s="120"/>
      <c r="AS212" s="120"/>
      <c r="AT212" s="120"/>
      <c r="AU212" s="120"/>
      <c r="AV212" s="120"/>
      <c r="AW212" s="120"/>
      <c r="AX212" s="120"/>
      <c r="AY212" s="120"/>
      <c r="AZ212" s="121"/>
      <c r="BA212" s="121"/>
      <c r="BB212" s="121"/>
      <c r="BD212" s="121"/>
      <c r="BE212" s="121"/>
      <c r="BF212" s="124"/>
      <c r="BH212" s="121"/>
      <c r="BI212" s="121"/>
      <c r="BP212" s="121"/>
      <c r="BQ212" s="149"/>
    </row>
    <row r="213" spans="1:69" s="122" customFormat="1" ht="16.5">
      <c r="A213" s="118"/>
      <c r="B213" s="141" t="s">
        <v>1526</v>
      </c>
      <c r="C213" s="120"/>
      <c r="D213" s="120"/>
      <c r="E213" s="119"/>
      <c r="F213" s="120"/>
      <c r="G213" s="120"/>
      <c r="H213" s="120"/>
      <c r="J213" s="120"/>
      <c r="K213" s="120"/>
      <c r="L213" s="120"/>
      <c r="M213" s="120"/>
      <c r="N213" s="121"/>
      <c r="O213" s="120"/>
      <c r="P213" s="118"/>
      <c r="R213" s="123"/>
      <c r="T213" s="123"/>
      <c r="U213" s="123"/>
      <c r="V213" s="123"/>
      <c r="W213" s="123"/>
      <c r="X213" s="123"/>
      <c r="Y213" s="123"/>
      <c r="Z213" s="123"/>
      <c r="AA213" s="123"/>
      <c r="AB213" s="123"/>
      <c r="AC213" s="123"/>
      <c r="AD213" s="123">
        <v>1</v>
      </c>
      <c r="AE213" s="123"/>
      <c r="AF213" s="123"/>
      <c r="AG213" s="123"/>
      <c r="AH213" s="123"/>
      <c r="AI213" s="120"/>
      <c r="AJ213" s="120"/>
      <c r="AK213" s="120"/>
      <c r="AL213" s="120"/>
      <c r="AM213" s="120"/>
      <c r="AN213" s="120"/>
      <c r="AO213" s="120"/>
      <c r="AP213" s="120"/>
      <c r="AQ213" s="120"/>
      <c r="AR213" s="120"/>
      <c r="AS213" s="120"/>
      <c r="AT213" s="120"/>
      <c r="AU213" s="120"/>
      <c r="AV213" s="120"/>
      <c r="AW213" s="120"/>
      <c r="AX213" s="120"/>
      <c r="AY213" s="120"/>
      <c r="AZ213" s="121"/>
      <c r="BA213" s="121"/>
      <c r="BB213" s="121"/>
      <c r="BD213" s="121"/>
      <c r="BE213" s="121"/>
      <c r="BF213" s="124"/>
      <c r="BH213" s="121"/>
      <c r="BI213" s="121"/>
      <c r="BP213" s="121"/>
      <c r="BQ213" s="149"/>
    </row>
    <row r="214" spans="1:69" s="122" customFormat="1" ht="16.5">
      <c r="A214" s="118"/>
      <c r="B214" s="141"/>
      <c r="C214" s="120"/>
      <c r="D214" s="120"/>
      <c r="E214" s="119"/>
      <c r="F214" s="120"/>
      <c r="G214" s="120"/>
      <c r="H214" s="120"/>
      <c r="J214" s="120"/>
      <c r="K214" s="120"/>
      <c r="L214" s="120"/>
      <c r="M214" s="120"/>
      <c r="N214" s="121"/>
      <c r="O214" s="120"/>
      <c r="P214" s="118"/>
      <c r="R214" s="123"/>
      <c r="T214" s="123"/>
      <c r="U214" s="123"/>
      <c r="V214" s="123"/>
      <c r="W214" s="123"/>
      <c r="X214" s="123"/>
      <c r="Y214" s="123"/>
      <c r="Z214" s="123"/>
      <c r="AA214" s="123"/>
      <c r="AB214" s="123"/>
      <c r="AC214" s="123"/>
      <c r="AD214" s="123"/>
      <c r="AE214" s="123"/>
      <c r="AF214" s="123"/>
      <c r="AG214" s="123"/>
      <c r="AH214" s="123"/>
      <c r="AI214" s="120"/>
      <c r="AJ214" s="120"/>
      <c r="AK214" s="120"/>
      <c r="AL214" s="120"/>
      <c r="AM214" s="120"/>
      <c r="AN214" s="120"/>
      <c r="AO214" s="120"/>
      <c r="AP214" s="120"/>
      <c r="AQ214" s="120"/>
      <c r="AR214" s="120"/>
      <c r="AS214" s="120"/>
      <c r="AT214" s="120"/>
      <c r="AU214" s="120"/>
      <c r="AV214" s="120"/>
      <c r="AW214" s="120"/>
      <c r="AX214" s="120"/>
      <c r="AY214" s="120"/>
      <c r="AZ214" s="121"/>
      <c r="BA214" s="121"/>
      <c r="BB214" s="121"/>
      <c r="BD214" s="121"/>
      <c r="BE214" s="121"/>
      <c r="BF214" s="124"/>
      <c r="BH214" s="121"/>
      <c r="BI214" s="121"/>
      <c r="BP214" s="121"/>
      <c r="BQ214" s="149"/>
    </row>
    <row r="215" spans="1:69" s="122" customFormat="1" ht="16.5">
      <c r="A215" s="118"/>
      <c r="B215" s="141"/>
      <c r="C215" s="120"/>
      <c r="D215" s="120"/>
      <c r="E215" s="119"/>
      <c r="F215" s="120"/>
      <c r="G215" s="120"/>
      <c r="H215" s="120"/>
      <c r="J215" s="120"/>
      <c r="K215" s="120"/>
      <c r="L215" s="120"/>
      <c r="M215" s="120"/>
      <c r="N215" s="121"/>
      <c r="O215" s="120"/>
      <c r="P215" s="118"/>
      <c r="R215" s="123"/>
      <c r="T215" s="123"/>
      <c r="U215" s="123"/>
      <c r="V215" s="123"/>
      <c r="W215" s="123"/>
      <c r="X215" s="123"/>
      <c r="Y215" s="123"/>
      <c r="Z215" s="123"/>
      <c r="AA215" s="123"/>
      <c r="AB215" s="123"/>
      <c r="AC215" s="123"/>
      <c r="AD215" s="123"/>
      <c r="AE215" s="123"/>
      <c r="AF215" s="123"/>
      <c r="AG215" s="123"/>
      <c r="AH215" s="123"/>
      <c r="AI215" s="120"/>
      <c r="AJ215" s="120"/>
      <c r="AK215" s="120"/>
      <c r="AL215" s="120"/>
      <c r="AM215" s="120"/>
      <c r="AN215" s="120"/>
      <c r="AO215" s="120"/>
      <c r="AP215" s="120"/>
      <c r="AQ215" s="120"/>
      <c r="AR215" s="120"/>
      <c r="AS215" s="120"/>
      <c r="AT215" s="120"/>
      <c r="AU215" s="120"/>
      <c r="AV215" s="120"/>
      <c r="AW215" s="120"/>
      <c r="AX215" s="120"/>
      <c r="AY215" s="120"/>
      <c r="AZ215" s="121"/>
      <c r="BA215" s="121"/>
      <c r="BB215" s="121"/>
      <c r="BD215" s="121"/>
      <c r="BE215" s="121"/>
      <c r="BF215" s="124"/>
      <c r="BH215" s="121"/>
      <c r="BI215" s="121"/>
      <c r="BP215" s="121"/>
      <c r="BQ215" s="149"/>
    </row>
    <row r="216" spans="1:69" s="122" customFormat="1" ht="16.5">
      <c r="A216" s="118"/>
      <c r="B216" s="141"/>
      <c r="C216" s="120"/>
      <c r="D216" s="120"/>
      <c r="E216" s="119"/>
      <c r="F216" s="120"/>
      <c r="G216" s="120"/>
      <c r="H216" s="120"/>
      <c r="J216" s="120"/>
      <c r="K216" s="120"/>
      <c r="L216" s="120"/>
      <c r="M216" s="120"/>
      <c r="N216" s="121"/>
      <c r="O216" s="120"/>
      <c r="P216" s="118"/>
      <c r="R216" s="123"/>
      <c r="T216" s="123"/>
      <c r="U216" s="123"/>
      <c r="V216" s="123"/>
      <c r="W216" s="123"/>
      <c r="X216" s="123"/>
      <c r="Y216" s="123"/>
      <c r="Z216" s="123"/>
      <c r="AA216" s="123"/>
      <c r="AB216" s="123"/>
      <c r="AC216" s="123"/>
      <c r="AD216" s="123"/>
      <c r="AE216" s="123"/>
      <c r="AF216" s="123"/>
      <c r="AG216" s="123"/>
      <c r="AH216" s="123"/>
      <c r="AI216" s="120"/>
      <c r="AJ216" s="120"/>
      <c r="AK216" s="120"/>
      <c r="AL216" s="120"/>
      <c r="AM216" s="120"/>
      <c r="AN216" s="120"/>
      <c r="AO216" s="120"/>
      <c r="AP216" s="120"/>
      <c r="AQ216" s="120"/>
      <c r="AR216" s="120"/>
      <c r="AS216" s="120"/>
      <c r="AT216" s="120"/>
      <c r="AU216" s="120"/>
      <c r="AV216" s="120"/>
      <c r="AW216" s="120"/>
      <c r="AX216" s="120"/>
      <c r="AY216" s="120"/>
      <c r="AZ216" s="121"/>
      <c r="BA216" s="121"/>
      <c r="BB216" s="121"/>
      <c r="BD216" s="121"/>
      <c r="BE216" s="121"/>
      <c r="BF216" s="124"/>
      <c r="BH216" s="121"/>
      <c r="BI216" s="121"/>
      <c r="BP216" s="121"/>
      <c r="BQ216" s="149"/>
    </row>
    <row r="217" spans="1:69" s="122" customFormat="1" ht="16.5">
      <c r="A217" s="118"/>
      <c r="B217" s="141"/>
      <c r="C217" s="120"/>
      <c r="D217" s="120"/>
      <c r="E217" s="119"/>
      <c r="F217" s="120"/>
      <c r="G217" s="120"/>
      <c r="H217" s="120"/>
      <c r="J217" s="120"/>
      <c r="K217" s="120"/>
      <c r="L217" s="120"/>
      <c r="M217" s="120"/>
      <c r="N217" s="121"/>
      <c r="O217" s="120"/>
      <c r="P217" s="118"/>
      <c r="R217" s="123"/>
      <c r="T217" s="123"/>
      <c r="U217" s="123"/>
      <c r="V217" s="123"/>
      <c r="W217" s="123"/>
      <c r="X217" s="123"/>
      <c r="Y217" s="123"/>
      <c r="Z217" s="123"/>
      <c r="AA217" s="123"/>
      <c r="AB217" s="123"/>
      <c r="AC217" s="123"/>
      <c r="AD217" s="123"/>
      <c r="AE217" s="123"/>
      <c r="AF217" s="123"/>
      <c r="AG217" s="123"/>
      <c r="AH217" s="123"/>
      <c r="AI217" s="120"/>
      <c r="AJ217" s="120"/>
      <c r="AK217" s="120"/>
      <c r="AL217" s="120"/>
      <c r="AM217" s="120"/>
      <c r="AN217" s="120"/>
      <c r="AO217" s="120"/>
      <c r="AP217" s="120"/>
      <c r="AQ217" s="120"/>
      <c r="AR217" s="120"/>
      <c r="AS217" s="120"/>
      <c r="AT217" s="120"/>
      <c r="AU217" s="120"/>
      <c r="AV217" s="120"/>
      <c r="AW217" s="120"/>
      <c r="AX217" s="120"/>
      <c r="AY217" s="120"/>
      <c r="AZ217" s="121"/>
      <c r="BA217" s="121"/>
      <c r="BB217" s="121"/>
      <c r="BD217" s="121"/>
      <c r="BE217" s="121"/>
      <c r="BF217" s="124"/>
      <c r="BH217" s="121"/>
      <c r="BI217" s="121"/>
      <c r="BP217" s="121"/>
      <c r="BQ217" s="149"/>
    </row>
    <row r="218" spans="1:69" s="122" customFormat="1" ht="16.5">
      <c r="A218" s="118"/>
      <c r="B218" s="141"/>
      <c r="C218" s="120"/>
      <c r="D218" s="120"/>
      <c r="E218" s="119"/>
      <c r="F218" s="120"/>
      <c r="G218" s="120"/>
      <c r="H218" s="120"/>
      <c r="J218" s="120"/>
      <c r="K218" s="120"/>
      <c r="L218" s="120"/>
      <c r="M218" s="120"/>
      <c r="N218" s="121"/>
      <c r="O218" s="120"/>
      <c r="P218" s="118"/>
      <c r="R218" s="123"/>
      <c r="T218" s="123"/>
      <c r="U218" s="123"/>
      <c r="V218" s="123"/>
      <c r="W218" s="123"/>
      <c r="X218" s="123"/>
      <c r="Y218" s="123"/>
      <c r="Z218" s="123"/>
      <c r="AA218" s="123"/>
      <c r="AB218" s="123"/>
      <c r="AC218" s="123"/>
      <c r="AD218" s="123"/>
      <c r="AE218" s="123"/>
      <c r="AF218" s="123"/>
      <c r="AG218" s="123"/>
      <c r="AH218" s="123"/>
      <c r="AI218" s="120"/>
      <c r="AJ218" s="120"/>
      <c r="AK218" s="120"/>
      <c r="AL218" s="120"/>
      <c r="AM218" s="120"/>
      <c r="AN218" s="120"/>
      <c r="AO218" s="120"/>
      <c r="AP218" s="120"/>
      <c r="AQ218" s="120"/>
      <c r="AR218" s="120"/>
      <c r="AS218" s="120"/>
      <c r="AT218" s="120"/>
      <c r="AU218" s="120"/>
      <c r="AV218" s="120"/>
      <c r="AW218" s="120"/>
      <c r="AX218" s="120"/>
      <c r="AY218" s="120"/>
      <c r="AZ218" s="121"/>
      <c r="BA218" s="121"/>
      <c r="BB218" s="121"/>
      <c r="BD218" s="121"/>
      <c r="BE218" s="121"/>
      <c r="BF218" s="124"/>
      <c r="BH218" s="121"/>
      <c r="BI218" s="121"/>
      <c r="BP218" s="121"/>
      <c r="BQ218" s="149"/>
    </row>
    <row r="219" spans="1:69" s="122" customFormat="1" ht="16.5">
      <c r="A219" s="118"/>
      <c r="B219" s="141"/>
      <c r="C219" s="120"/>
      <c r="D219" s="120"/>
      <c r="E219" s="119"/>
      <c r="F219" s="120"/>
      <c r="G219" s="120"/>
      <c r="H219" s="120"/>
      <c r="J219" s="120"/>
      <c r="K219" s="120"/>
      <c r="L219" s="120"/>
      <c r="M219" s="120"/>
      <c r="N219" s="121"/>
      <c r="O219" s="120"/>
      <c r="P219" s="118"/>
      <c r="R219" s="123"/>
      <c r="T219" s="123"/>
      <c r="U219" s="123"/>
      <c r="V219" s="123"/>
      <c r="W219" s="123"/>
      <c r="X219" s="123"/>
      <c r="Y219" s="123"/>
      <c r="Z219" s="123"/>
      <c r="AA219" s="123"/>
      <c r="AB219" s="123"/>
      <c r="AC219" s="123"/>
      <c r="AD219" s="123"/>
      <c r="AE219" s="123"/>
      <c r="AF219" s="123"/>
      <c r="AG219" s="123"/>
      <c r="AH219" s="123"/>
      <c r="AI219" s="120"/>
      <c r="AJ219" s="120"/>
      <c r="AK219" s="120"/>
      <c r="AL219" s="120"/>
      <c r="AM219" s="120"/>
      <c r="AN219" s="120"/>
      <c r="AO219" s="120"/>
      <c r="AP219" s="120"/>
      <c r="AQ219" s="120"/>
      <c r="AR219" s="120"/>
      <c r="AS219" s="120"/>
      <c r="AT219" s="120"/>
      <c r="AU219" s="120"/>
      <c r="AV219" s="120"/>
      <c r="AW219" s="120"/>
      <c r="AX219" s="120"/>
      <c r="AY219" s="120"/>
      <c r="AZ219" s="121"/>
      <c r="BA219" s="121"/>
      <c r="BB219" s="121"/>
      <c r="BD219" s="121"/>
      <c r="BE219" s="121"/>
      <c r="BF219" s="124"/>
      <c r="BH219" s="121"/>
      <c r="BI219" s="121"/>
      <c r="BP219" s="121"/>
      <c r="BQ219" s="149"/>
    </row>
    <row r="220" spans="1:69" s="122" customFormat="1" ht="16.5">
      <c r="A220" s="118"/>
      <c r="B220" s="141"/>
      <c r="C220" s="120"/>
      <c r="D220" s="120"/>
      <c r="E220" s="119"/>
      <c r="F220" s="120"/>
      <c r="G220" s="120"/>
      <c r="H220" s="120"/>
      <c r="J220" s="120"/>
      <c r="K220" s="120"/>
      <c r="L220" s="120"/>
      <c r="M220" s="120"/>
      <c r="N220" s="121"/>
      <c r="O220" s="120"/>
      <c r="P220" s="118"/>
      <c r="R220" s="123"/>
      <c r="T220" s="123"/>
      <c r="U220" s="123"/>
      <c r="V220" s="123"/>
      <c r="W220" s="123"/>
      <c r="X220" s="123"/>
      <c r="Y220" s="123"/>
      <c r="Z220" s="123"/>
      <c r="AA220" s="123"/>
      <c r="AB220" s="123"/>
      <c r="AC220" s="123"/>
      <c r="AD220" s="123"/>
      <c r="AE220" s="123"/>
      <c r="AF220" s="123"/>
      <c r="AG220" s="123"/>
      <c r="AH220" s="123"/>
      <c r="AI220" s="120"/>
      <c r="AJ220" s="120"/>
      <c r="AK220" s="120"/>
      <c r="AL220" s="120"/>
      <c r="AM220" s="120"/>
      <c r="AN220" s="120"/>
      <c r="AO220" s="120"/>
      <c r="AP220" s="120"/>
      <c r="AQ220" s="120"/>
      <c r="AR220" s="120"/>
      <c r="AS220" s="120"/>
      <c r="AT220" s="120"/>
      <c r="AU220" s="120"/>
      <c r="AV220" s="120"/>
      <c r="AW220" s="120"/>
      <c r="AX220" s="120"/>
      <c r="AY220" s="120"/>
      <c r="AZ220" s="121"/>
      <c r="BA220" s="121"/>
      <c r="BB220" s="121"/>
      <c r="BD220" s="121"/>
      <c r="BE220" s="121"/>
      <c r="BF220" s="124"/>
      <c r="BH220" s="121"/>
      <c r="BI220" s="121"/>
      <c r="BP220" s="121"/>
      <c r="BQ220" s="149"/>
    </row>
    <row r="221" spans="1:69" s="122" customFormat="1" ht="16.5">
      <c r="A221" s="118"/>
      <c r="B221" s="141"/>
      <c r="C221" s="120"/>
      <c r="D221" s="120"/>
      <c r="E221" s="119"/>
      <c r="F221" s="120"/>
      <c r="G221" s="120"/>
      <c r="H221" s="120"/>
      <c r="J221" s="120"/>
      <c r="K221" s="120"/>
      <c r="L221" s="120"/>
      <c r="M221" s="120"/>
      <c r="N221" s="121"/>
      <c r="O221" s="120"/>
      <c r="P221" s="118"/>
      <c r="R221" s="123"/>
      <c r="T221" s="123"/>
      <c r="U221" s="123"/>
      <c r="V221" s="123"/>
      <c r="W221" s="123"/>
      <c r="X221" s="123"/>
      <c r="Y221" s="123"/>
      <c r="Z221" s="123"/>
      <c r="AA221" s="123"/>
      <c r="AB221" s="123"/>
      <c r="AC221" s="123"/>
      <c r="AD221" s="123"/>
      <c r="AE221" s="123"/>
      <c r="AF221" s="123"/>
      <c r="AG221" s="123"/>
      <c r="AH221" s="123"/>
      <c r="AI221" s="120"/>
      <c r="AJ221" s="120"/>
      <c r="AK221" s="120"/>
      <c r="AL221" s="120"/>
      <c r="AM221" s="120"/>
      <c r="AN221" s="120"/>
      <c r="AO221" s="120"/>
      <c r="AP221" s="120"/>
      <c r="AQ221" s="120"/>
      <c r="AR221" s="120"/>
      <c r="AS221" s="120"/>
      <c r="AT221" s="120"/>
      <c r="AU221" s="120"/>
      <c r="AV221" s="120"/>
      <c r="AW221" s="120"/>
      <c r="AX221" s="120"/>
      <c r="AY221" s="120"/>
      <c r="AZ221" s="121"/>
      <c r="BA221" s="121"/>
      <c r="BB221" s="121"/>
      <c r="BD221" s="121"/>
      <c r="BE221" s="121"/>
      <c r="BF221" s="124"/>
      <c r="BH221" s="121"/>
      <c r="BI221" s="121"/>
      <c r="BP221" s="121"/>
      <c r="BQ221" s="149"/>
    </row>
    <row r="222" spans="1:69" s="122" customFormat="1" ht="16.5">
      <c r="A222" s="118"/>
      <c r="B222" s="141"/>
      <c r="C222" s="120"/>
      <c r="D222" s="120"/>
      <c r="E222" s="119"/>
      <c r="F222" s="120"/>
      <c r="G222" s="120"/>
      <c r="H222" s="120"/>
      <c r="J222" s="120"/>
      <c r="K222" s="120"/>
      <c r="L222" s="120"/>
      <c r="M222" s="120"/>
      <c r="N222" s="121"/>
      <c r="O222" s="120"/>
      <c r="P222" s="118"/>
      <c r="R222" s="123"/>
      <c r="T222" s="123"/>
      <c r="U222" s="123"/>
      <c r="V222" s="123"/>
      <c r="W222" s="123"/>
      <c r="X222" s="123"/>
      <c r="Y222" s="123"/>
      <c r="Z222" s="123"/>
      <c r="AA222" s="123"/>
      <c r="AB222" s="123"/>
      <c r="AC222" s="123"/>
      <c r="AD222" s="123"/>
      <c r="AE222" s="123"/>
      <c r="AF222" s="123"/>
      <c r="AG222" s="123"/>
      <c r="AH222" s="123"/>
      <c r="AI222" s="120"/>
      <c r="AJ222" s="120"/>
      <c r="AK222" s="120"/>
      <c r="AL222" s="120"/>
      <c r="AM222" s="120"/>
      <c r="AN222" s="120"/>
      <c r="AO222" s="120"/>
      <c r="AP222" s="120"/>
      <c r="AQ222" s="120"/>
      <c r="AR222" s="120"/>
      <c r="AS222" s="120"/>
      <c r="AT222" s="120"/>
      <c r="AU222" s="120"/>
      <c r="AV222" s="120"/>
      <c r="AW222" s="120"/>
      <c r="AX222" s="120"/>
      <c r="AY222" s="120"/>
      <c r="AZ222" s="121"/>
      <c r="BA222" s="121"/>
      <c r="BB222" s="121"/>
      <c r="BD222" s="121"/>
      <c r="BE222" s="121"/>
      <c r="BF222" s="124"/>
      <c r="BH222" s="121"/>
      <c r="BI222" s="121"/>
      <c r="BP222" s="121"/>
      <c r="BQ222" s="149"/>
    </row>
    <row r="223" spans="1:69" s="122" customFormat="1" ht="16.5">
      <c r="A223" s="118"/>
      <c r="B223" s="141"/>
      <c r="C223" s="120"/>
      <c r="D223" s="120"/>
      <c r="E223" s="119"/>
      <c r="F223" s="120"/>
      <c r="G223" s="120"/>
      <c r="H223" s="120"/>
      <c r="J223" s="120"/>
      <c r="K223" s="120"/>
      <c r="L223" s="120"/>
      <c r="M223" s="120"/>
      <c r="N223" s="121"/>
      <c r="O223" s="120"/>
      <c r="P223" s="118"/>
      <c r="R223" s="123"/>
      <c r="T223" s="123"/>
      <c r="U223" s="123"/>
      <c r="V223" s="123"/>
      <c r="W223" s="123"/>
      <c r="X223" s="123"/>
      <c r="Y223" s="123"/>
      <c r="Z223" s="123"/>
      <c r="AA223" s="123"/>
      <c r="AB223" s="123"/>
      <c r="AC223" s="123"/>
      <c r="AD223" s="123"/>
      <c r="AE223" s="123"/>
      <c r="AF223" s="123"/>
      <c r="AG223" s="123"/>
      <c r="AH223" s="123"/>
      <c r="AI223" s="120"/>
      <c r="AJ223" s="120"/>
      <c r="AK223" s="120"/>
      <c r="AL223" s="120"/>
      <c r="AM223" s="120"/>
      <c r="AN223" s="120"/>
      <c r="AO223" s="120"/>
      <c r="AP223" s="120"/>
      <c r="AQ223" s="120"/>
      <c r="AR223" s="120"/>
      <c r="AS223" s="120"/>
      <c r="AT223" s="120"/>
      <c r="AU223" s="120"/>
      <c r="AV223" s="120"/>
      <c r="AW223" s="120"/>
      <c r="AX223" s="120"/>
      <c r="AY223" s="120"/>
      <c r="AZ223" s="121"/>
      <c r="BA223" s="121"/>
      <c r="BB223" s="121"/>
      <c r="BD223" s="121"/>
      <c r="BE223" s="121"/>
      <c r="BF223" s="124"/>
      <c r="BH223" s="121"/>
      <c r="BI223" s="121"/>
      <c r="BP223" s="121"/>
      <c r="BQ223" s="149"/>
    </row>
    <row r="224" spans="1:69" s="122" customFormat="1" ht="16.5">
      <c r="A224" s="118"/>
      <c r="B224" s="141"/>
      <c r="C224" s="120"/>
      <c r="D224" s="120"/>
      <c r="E224" s="119"/>
      <c r="F224" s="120"/>
      <c r="G224" s="120"/>
      <c r="H224" s="120"/>
      <c r="J224" s="120"/>
      <c r="K224" s="120"/>
      <c r="L224" s="120"/>
      <c r="M224" s="120"/>
      <c r="N224" s="121"/>
      <c r="O224" s="120"/>
      <c r="P224" s="118"/>
      <c r="R224" s="123"/>
      <c r="T224" s="123"/>
      <c r="U224" s="123"/>
      <c r="V224" s="123"/>
      <c r="W224" s="123"/>
      <c r="X224" s="123"/>
      <c r="Y224" s="123"/>
      <c r="Z224" s="123"/>
      <c r="AA224" s="123"/>
      <c r="AB224" s="123"/>
      <c r="AC224" s="123"/>
      <c r="AD224" s="123"/>
      <c r="AE224" s="123"/>
      <c r="AF224" s="123"/>
      <c r="AG224" s="123"/>
      <c r="AH224" s="123"/>
      <c r="AI224" s="120"/>
      <c r="AJ224" s="120"/>
      <c r="AK224" s="120"/>
      <c r="AL224" s="120"/>
      <c r="AM224" s="120"/>
      <c r="AN224" s="120"/>
      <c r="AO224" s="120"/>
      <c r="AP224" s="120"/>
      <c r="AQ224" s="120"/>
      <c r="AR224" s="120"/>
      <c r="AS224" s="120"/>
      <c r="AT224" s="120"/>
      <c r="AU224" s="120"/>
      <c r="AV224" s="120"/>
      <c r="AW224" s="120"/>
      <c r="AX224" s="120"/>
      <c r="AY224" s="120"/>
      <c r="AZ224" s="121"/>
      <c r="BA224" s="121"/>
      <c r="BB224" s="121"/>
      <c r="BD224" s="121"/>
      <c r="BE224" s="121"/>
      <c r="BF224" s="124"/>
      <c r="BH224" s="121"/>
      <c r="BI224" s="121"/>
      <c r="BP224" s="121"/>
      <c r="BQ224" s="149"/>
    </row>
    <row r="225" spans="1:69" s="122" customFormat="1" ht="16.5">
      <c r="A225" s="118"/>
      <c r="B225" s="141"/>
      <c r="C225" s="120"/>
      <c r="D225" s="120"/>
      <c r="E225" s="119"/>
      <c r="F225" s="120"/>
      <c r="G225" s="120"/>
      <c r="H225" s="120"/>
      <c r="J225" s="120"/>
      <c r="K225" s="120"/>
      <c r="L225" s="120"/>
      <c r="M225" s="120"/>
      <c r="N225" s="121"/>
      <c r="O225" s="120"/>
      <c r="P225" s="118"/>
      <c r="R225" s="123"/>
      <c r="T225" s="123"/>
      <c r="U225" s="123"/>
      <c r="V225" s="123"/>
      <c r="W225" s="123"/>
      <c r="X225" s="123"/>
      <c r="Y225" s="123"/>
      <c r="Z225" s="123"/>
      <c r="AA225" s="123"/>
      <c r="AB225" s="123"/>
      <c r="AC225" s="123"/>
      <c r="AD225" s="123"/>
      <c r="AE225" s="123"/>
      <c r="AF225" s="123"/>
      <c r="AG225" s="123"/>
      <c r="AH225" s="123"/>
      <c r="AI225" s="120"/>
      <c r="AJ225" s="120"/>
      <c r="AK225" s="120"/>
      <c r="AL225" s="120"/>
      <c r="AM225" s="120"/>
      <c r="AN225" s="120"/>
      <c r="AO225" s="120"/>
      <c r="AP225" s="120"/>
      <c r="AQ225" s="120"/>
      <c r="AR225" s="120"/>
      <c r="AS225" s="120"/>
      <c r="AT225" s="120"/>
      <c r="AU225" s="120"/>
      <c r="AV225" s="120"/>
      <c r="AW225" s="120"/>
      <c r="AX225" s="120"/>
      <c r="AY225" s="120"/>
      <c r="AZ225" s="121"/>
      <c r="BA225" s="121"/>
      <c r="BB225" s="121"/>
      <c r="BD225" s="121"/>
      <c r="BE225" s="121"/>
      <c r="BF225" s="124"/>
      <c r="BH225" s="121"/>
      <c r="BI225" s="121"/>
      <c r="BP225" s="121"/>
      <c r="BQ225" s="149"/>
    </row>
    <row r="226" spans="1:69" s="122" customFormat="1" ht="16.5">
      <c r="A226" s="118"/>
      <c r="B226" s="141"/>
      <c r="C226" s="120"/>
      <c r="D226" s="120"/>
      <c r="E226" s="119"/>
      <c r="F226" s="120"/>
      <c r="G226" s="120"/>
      <c r="H226" s="120"/>
      <c r="J226" s="120"/>
      <c r="K226" s="120"/>
      <c r="L226" s="120"/>
      <c r="M226" s="120"/>
      <c r="N226" s="121"/>
      <c r="O226" s="120"/>
      <c r="P226" s="118"/>
      <c r="R226" s="123"/>
      <c r="T226" s="123"/>
      <c r="U226" s="123"/>
      <c r="V226" s="123"/>
      <c r="W226" s="123"/>
      <c r="X226" s="123"/>
      <c r="Y226" s="123"/>
      <c r="Z226" s="123"/>
      <c r="AA226" s="123"/>
      <c r="AB226" s="123"/>
      <c r="AC226" s="123"/>
      <c r="AD226" s="123"/>
      <c r="AE226" s="123"/>
      <c r="AF226" s="123"/>
      <c r="AG226" s="123"/>
      <c r="AH226" s="123"/>
      <c r="AI226" s="120"/>
      <c r="AJ226" s="120"/>
      <c r="AK226" s="120"/>
      <c r="AL226" s="120"/>
      <c r="AM226" s="120"/>
      <c r="AN226" s="120"/>
      <c r="AO226" s="120"/>
      <c r="AP226" s="120"/>
      <c r="AQ226" s="120"/>
      <c r="AR226" s="120"/>
      <c r="AS226" s="120"/>
      <c r="AT226" s="120"/>
      <c r="AU226" s="120"/>
      <c r="AV226" s="120"/>
      <c r="AW226" s="120"/>
      <c r="AX226" s="120"/>
      <c r="AY226" s="120"/>
      <c r="AZ226" s="121"/>
      <c r="BA226" s="121"/>
      <c r="BB226" s="121"/>
      <c r="BD226" s="121"/>
      <c r="BE226" s="121"/>
      <c r="BF226" s="124"/>
      <c r="BH226" s="121"/>
      <c r="BI226" s="121"/>
      <c r="BP226" s="121"/>
      <c r="BQ226" s="149"/>
    </row>
    <row r="227" spans="1:69" s="122" customFormat="1" ht="16.5">
      <c r="A227" s="118"/>
      <c r="B227" s="141"/>
      <c r="C227" s="120"/>
      <c r="D227" s="120"/>
      <c r="E227" s="119"/>
      <c r="F227" s="120"/>
      <c r="G227" s="120"/>
      <c r="H227" s="120"/>
      <c r="J227" s="120"/>
      <c r="K227" s="120"/>
      <c r="L227" s="120"/>
      <c r="M227" s="120"/>
      <c r="N227" s="121"/>
      <c r="O227" s="120"/>
      <c r="P227" s="118"/>
      <c r="R227" s="123"/>
      <c r="T227" s="123"/>
      <c r="U227" s="123"/>
      <c r="V227" s="123"/>
      <c r="W227" s="123"/>
      <c r="X227" s="123"/>
      <c r="Y227" s="123"/>
      <c r="Z227" s="123"/>
      <c r="AA227" s="123"/>
      <c r="AB227" s="123"/>
      <c r="AC227" s="123"/>
      <c r="AD227" s="123"/>
      <c r="AE227" s="123"/>
      <c r="AF227" s="123"/>
      <c r="AG227" s="123"/>
      <c r="AH227" s="123"/>
      <c r="AI227" s="120"/>
      <c r="AJ227" s="120"/>
      <c r="AK227" s="120"/>
      <c r="AL227" s="120"/>
      <c r="AM227" s="120"/>
      <c r="AN227" s="120"/>
      <c r="AO227" s="120"/>
      <c r="AP227" s="120"/>
      <c r="AQ227" s="120"/>
      <c r="AR227" s="120"/>
      <c r="AS227" s="120"/>
      <c r="AT227" s="120"/>
      <c r="AU227" s="120"/>
      <c r="AV227" s="120"/>
      <c r="AW227" s="120"/>
      <c r="AX227" s="120"/>
      <c r="AY227" s="120"/>
      <c r="AZ227" s="121"/>
      <c r="BA227" s="121"/>
      <c r="BB227" s="121"/>
      <c r="BD227" s="121"/>
      <c r="BE227" s="121"/>
      <c r="BF227" s="124"/>
      <c r="BH227" s="121"/>
      <c r="BI227" s="121"/>
      <c r="BP227" s="121"/>
      <c r="BQ227" s="149"/>
    </row>
    <row r="228" spans="1:69" s="122" customFormat="1" ht="16.5">
      <c r="A228" s="118"/>
      <c r="B228" s="141"/>
      <c r="C228" s="120"/>
      <c r="D228" s="120"/>
      <c r="E228" s="119"/>
      <c r="F228" s="120"/>
      <c r="G228" s="120"/>
      <c r="H228" s="120"/>
      <c r="J228" s="120"/>
      <c r="K228" s="120"/>
      <c r="L228" s="120"/>
      <c r="M228" s="120"/>
      <c r="N228" s="121"/>
      <c r="O228" s="120"/>
      <c r="P228" s="118"/>
      <c r="R228" s="123"/>
      <c r="T228" s="123"/>
      <c r="U228" s="123"/>
      <c r="V228" s="123"/>
      <c r="W228" s="123"/>
      <c r="X228" s="123"/>
      <c r="Y228" s="123"/>
      <c r="Z228" s="123"/>
      <c r="AA228" s="123"/>
      <c r="AB228" s="123"/>
      <c r="AC228" s="123"/>
      <c r="AD228" s="123"/>
      <c r="AE228" s="123"/>
      <c r="AF228" s="123"/>
      <c r="AG228" s="123"/>
      <c r="AH228" s="123"/>
      <c r="AI228" s="120"/>
      <c r="AJ228" s="120"/>
      <c r="AK228" s="120"/>
      <c r="AL228" s="120"/>
      <c r="AM228" s="120"/>
      <c r="AN228" s="120"/>
      <c r="AO228" s="120"/>
      <c r="AP228" s="120"/>
      <c r="AQ228" s="120"/>
      <c r="AR228" s="120"/>
      <c r="AS228" s="120"/>
      <c r="AT228" s="120"/>
      <c r="AU228" s="120"/>
      <c r="AV228" s="120"/>
      <c r="AW228" s="120"/>
      <c r="AX228" s="120"/>
      <c r="AY228" s="120"/>
      <c r="AZ228" s="121"/>
      <c r="BA228" s="121"/>
      <c r="BB228" s="121"/>
      <c r="BD228" s="121"/>
      <c r="BE228" s="121"/>
      <c r="BF228" s="124"/>
      <c r="BH228" s="121"/>
      <c r="BI228" s="121"/>
      <c r="BP228" s="121"/>
      <c r="BQ228" s="149"/>
    </row>
    <row r="229" spans="1:69" s="122" customFormat="1" ht="27">
      <c r="A229" s="118"/>
      <c r="B229" s="141" t="s">
        <v>1397</v>
      </c>
      <c r="C229" s="120"/>
      <c r="D229" s="120"/>
      <c r="E229" s="119"/>
      <c r="F229" s="120"/>
      <c r="G229" s="120"/>
      <c r="H229" s="120"/>
      <c r="J229" s="120"/>
      <c r="K229" s="120"/>
      <c r="L229" s="120"/>
      <c r="M229" s="120"/>
      <c r="N229" s="121"/>
      <c r="O229" s="120"/>
      <c r="P229" s="118"/>
      <c r="R229" s="123"/>
      <c r="T229" s="123"/>
      <c r="U229" s="123"/>
      <c r="V229" s="123"/>
      <c r="W229" s="123"/>
      <c r="X229" s="123"/>
      <c r="Y229" s="123"/>
      <c r="Z229" s="123"/>
      <c r="AA229" s="123"/>
      <c r="AB229" s="123"/>
      <c r="AC229" s="123"/>
      <c r="AD229" s="123"/>
      <c r="AE229" s="134">
        <v>0</v>
      </c>
      <c r="AF229" s="123"/>
      <c r="AG229" s="123"/>
      <c r="AH229" s="123"/>
      <c r="AI229" s="129" t="s">
        <v>1354</v>
      </c>
      <c r="AJ229" s="120"/>
      <c r="AK229" s="120"/>
      <c r="AL229" s="120"/>
      <c r="AM229" s="120"/>
      <c r="AN229" s="120"/>
      <c r="AO229" s="120"/>
      <c r="AP229" s="120"/>
      <c r="AQ229" s="120"/>
      <c r="AR229" s="120"/>
      <c r="AS229" s="120"/>
      <c r="AT229" s="120"/>
      <c r="AU229" s="120"/>
      <c r="AV229" s="120"/>
      <c r="AW229" s="120"/>
      <c r="AX229" s="120"/>
      <c r="AY229" s="120"/>
      <c r="AZ229" s="121"/>
      <c r="BA229" s="121"/>
      <c r="BB229" s="121"/>
      <c r="BD229" s="121"/>
      <c r="BE229" s="121"/>
      <c r="BF229" s="124"/>
      <c r="BH229" s="121"/>
      <c r="BI229" s="121"/>
      <c r="BP229" s="121"/>
      <c r="BQ229" s="149"/>
    </row>
    <row r="230" spans="1:69" s="122" customFormat="1" ht="16.5">
      <c r="A230" s="118"/>
      <c r="B230" s="141" t="s">
        <v>1399</v>
      </c>
      <c r="C230" s="120"/>
      <c r="D230" s="120"/>
      <c r="E230" s="119"/>
      <c r="F230" s="120"/>
      <c r="G230" s="120"/>
      <c r="H230" s="120"/>
      <c r="J230" s="120"/>
      <c r="K230" s="120"/>
      <c r="L230" s="120"/>
      <c r="M230" s="120"/>
      <c r="N230" s="121"/>
      <c r="O230" s="120"/>
      <c r="P230" s="118"/>
      <c r="R230" s="123"/>
      <c r="T230" s="123"/>
      <c r="U230" s="123"/>
      <c r="V230" s="123"/>
      <c r="W230" s="123"/>
      <c r="X230" s="123"/>
      <c r="Y230" s="123"/>
      <c r="Z230" s="123"/>
      <c r="AA230" s="123"/>
      <c r="AB230" s="123"/>
      <c r="AC230" s="123">
        <v>10</v>
      </c>
      <c r="AD230" s="123"/>
      <c r="AE230" s="134">
        <v>0</v>
      </c>
      <c r="AF230" s="123"/>
      <c r="AG230" s="123"/>
      <c r="AH230" s="123"/>
      <c r="AI230" s="120"/>
      <c r="AJ230" s="120"/>
      <c r="AK230" s="120"/>
      <c r="AL230" s="120"/>
      <c r="AM230" s="120"/>
      <c r="AN230" s="120"/>
      <c r="AO230" s="120"/>
      <c r="AP230" s="120"/>
      <c r="AQ230" s="120"/>
      <c r="AR230" s="120"/>
      <c r="AS230" s="120"/>
      <c r="AT230" s="120"/>
      <c r="AU230" s="120"/>
      <c r="AV230" s="120"/>
      <c r="AW230" s="120"/>
      <c r="AX230" s="120"/>
      <c r="AY230" s="120"/>
      <c r="AZ230" s="121"/>
      <c r="BA230" s="121"/>
      <c r="BB230" s="121"/>
      <c r="BD230" s="121"/>
      <c r="BE230" s="121"/>
      <c r="BF230" s="124"/>
      <c r="BH230" s="121"/>
      <c r="BI230" s="121"/>
      <c r="BP230" s="121"/>
      <c r="BQ230" s="149"/>
    </row>
    <row r="231" spans="1:69" s="122" customFormat="1" ht="27">
      <c r="A231" s="118"/>
      <c r="B231" s="141" t="s">
        <v>1400</v>
      </c>
      <c r="C231" s="120"/>
      <c r="D231" s="120"/>
      <c r="E231" s="119"/>
      <c r="F231" s="120"/>
      <c r="G231" s="120"/>
      <c r="H231" s="120"/>
      <c r="J231" s="120"/>
      <c r="K231" s="120"/>
      <c r="L231" s="120"/>
      <c r="M231" s="120"/>
      <c r="N231" s="121"/>
      <c r="O231" s="120"/>
      <c r="P231" s="118"/>
      <c r="R231" s="123"/>
      <c r="T231" s="123"/>
      <c r="U231" s="123"/>
      <c r="V231" s="123"/>
      <c r="W231" s="123"/>
      <c r="X231" s="123"/>
      <c r="Y231" s="123"/>
      <c r="Z231" s="123"/>
      <c r="AA231" s="123"/>
      <c r="AB231" s="123"/>
      <c r="AC231" s="123"/>
      <c r="AD231" s="123"/>
      <c r="AE231" s="134">
        <v>0</v>
      </c>
      <c r="AF231" s="123"/>
      <c r="AG231" s="123"/>
      <c r="AH231" s="123"/>
      <c r="AI231" s="120"/>
      <c r="AJ231" s="120"/>
      <c r="AK231" s="120"/>
      <c r="AL231" s="120"/>
      <c r="AM231" s="120"/>
      <c r="AN231" s="120"/>
      <c r="AO231" s="120"/>
      <c r="AP231" s="120"/>
      <c r="AQ231" s="120"/>
      <c r="AR231" s="120"/>
      <c r="AS231" s="120"/>
      <c r="AT231" s="120"/>
      <c r="AU231" s="120"/>
      <c r="AV231" s="120"/>
      <c r="AW231" s="120"/>
      <c r="AX231" s="120"/>
      <c r="AY231" s="120"/>
      <c r="AZ231" s="121"/>
      <c r="BA231" s="121"/>
      <c r="BB231" s="121"/>
      <c r="BD231" s="121"/>
      <c r="BE231" s="121"/>
      <c r="BF231" s="124"/>
      <c r="BH231" s="121"/>
      <c r="BI231" s="121"/>
      <c r="BP231" s="121"/>
      <c r="BQ231" s="149"/>
    </row>
    <row r="232" spans="1:69" s="122" customFormat="1" ht="16.5">
      <c r="A232" s="118"/>
      <c r="B232" s="141" t="s">
        <v>1402</v>
      </c>
      <c r="C232" s="120"/>
      <c r="D232" s="120"/>
      <c r="E232" s="119"/>
      <c r="F232" s="120"/>
      <c r="G232" s="120"/>
      <c r="H232" s="120"/>
      <c r="J232" s="120"/>
      <c r="K232" s="120"/>
      <c r="L232" s="120"/>
      <c r="M232" s="120"/>
      <c r="N232" s="121"/>
      <c r="O232" s="120"/>
      <c r="P232" s="118"/>
      <c r="R232" s="123"/>
      <c r="T232" s="123"/>
      <c r="U232" s="123"/>
      <c r="V232" s="123"/>
      <c r="W232" s="123"/>
      <c r="X232" s="123"/>
      <c r="Y232" s="123"/>
      <c r="Z232" s="123"/>
      <c r="AA232" s="123"/>
      <c r="AB232" s="123"/>
      <c r="AC232" s="123"/>
      <c r="AD232" s="123"/>
      <c r="AE232" s="134">
        <v>0</v>
      </c>
      <c r="AF232" s="123"/>
      <c r="AG232" s="123"/>
      <c r="AH232" s="123"/>
      <c r="AI232" s="120"/>
      <c r="AJ232" s="120"/>
      <c r="AK232" s="120"/>
      <c r="AL232" s="120"/>
      <c r="AM232" s="120"/>
      <c r="AN232" s="120"/>
      <c r="AO232" s="120"/>
      <c r="AP232" s="120"/>
      <c r="AQ232" s="120"/>
      <c r="AR232" s="120"/>
      <c r="AS232" s="120"/>
      <c r="AT232" s="120"/>
      <c r="AU232" s="120"/>
      <c r="AV232" s="120"/>
      <c r="AW232" s="120"/>
      <c r="AX232" s="120"/>
      <c r="AY232" s="120"/>
      <c r="AZ232" s="121"/>
      <c r="BA232" s="121"/>
      <c r="BB232" s="121"/>
      <c r="BD232" s="121"/>
      <c r="BE232" s="121"/>
      <c r="BF232" s="124"/>
      <c r="BH232" s="121"/>
      <c r="BI232" s="121"/>
      <c r="BP232" s="121"/>
      <c r="BQ232" s="149"/>
    </row>
    <row r="233" spans="1:69" s="122" customFormat="1" ht="16.5">
      <c r="A233" s="118"/>
      <c r="B233" s="141" t="s">
        <v>1403</v>
      </c>
      <c r="C233" s="120"/>
      <c r="D233" s="120"/>
      <c r="E233" s="119"/>
      <c r="F233" s="120"/>
      <c r="G233" s="120"/>
      <c r="H233" s="120"/>
      <c r="J233" s="120"/>
      <c r="K233" s="120"/>
      <c r="L233" s="120"/>
      <c r="M233" s="120"/>
      <c r="N233" s="121"/>
      <c r="O233" s="120"/>
      <c r="P233" s="118"/>
      <c r="R233" s="123"/>
      <c r="T233" s="123"/>
      <c r="U233" s="123"/>
      <c r="V233" s="123"/>
      <c r="W233" s="123"/>
      <c r="X233" s="123"/>
      <c r="Y233" s="123"/>
      <c r="Z233" s="123"/>
      <c r="AA233" s="123"/>
      <c r="AB233" s="123"/>
      <c r="AC233" s="123"/>
      <c r="AD233" s="123"/>
      <c r="AE233" s="134">
        <v>0</v>
      </c>
      <c r="AF233" s="123"/>
      <c r="AG233" s="123"/>
      <c r="AH233" s="123"/>
      <c r="AI233" s="120"/>
      <c r="AJ233" s="120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  <c r="AY233" s="120"/>
      <c r="AZ233" s="121"/>
      <c r="BA233" s="121"/>
      <c r="BB233" s="121"/>
      <c r="BD233" s="121"/>
      <c r="BE233" s="121"/>
      <c r="BF233" s="124"/>
      <c r="BH233" s="121"/>
      <c r="BI233" s="121"/>
      <c r="BP233" s="121"/>
      <c r="BQ233" s="149"/>
    </row>
    <row r="234" spans="1:69" s="122" customFormat="1" ht="16.5">
      <c r="A234" s="118"/>
      <c r="B234" s="141" t="s">
        <v>1404</v>
      </c>
      <c r="C234" s="120"/>
      <c r="D234" s="120"/>
      <c r="E234" s="119"/>
      <c r="F234" s="120"/>
      <c r="G234" s="120"/>
      <c r="H234" s="120"/>
      <c r="J234" s="120"/>
      <c r="K234" s="120"/>
      <c r="L234" s="120"/>
      <c r="M234" s="120"/>
      <c r="N234" s="121"/>
      <c r="O234" s="120"/>
      <c r="P234" s="118"/>
      <c r="R234" s="123"/>
      <c r="T234" s="123"/>
      <c r="U234" s="123"/>
      <c r="V234" s="123"/>
      <c r="W234" s="123"/>
      <c r="X234" s="123"/>
      <c r="Y234" s="123"/>
      <c r="Z234" s="123"/>
      <c r="AA234" s="123"/>
      <c r="AB234" s="123"/>
      <c r="AC234" s="123"/>
      <c r="AD234" s="123"/>
      <c r="AE234" s="120"/>
      <c r="AF234" s="123"/>
      <c r="AG234" s="123"/>
      <c r="AH234" s="123"/>
      <c r="AI234" s="120"/>
      <c r="AJ234" s="120"/>
      <c r="AK234" s="120"/>
      <c r="AL234" s="120"/>
      <c r="AM234" s="120"/>
      <c r="AN234" s="120"/>
      <c r="AO234" s="120"/>
      <c r="AP234" s="120"/>
      <c r="AQ234" s="120"/>
      <c r="AR234" s="120"/>
      <c r="AS234" s="120"/>
      <c r="AT234" s="120"/>
      <c r="AU234" s="120"/>
      <c r="AV234" s="120"/>
      <c r="AW234" s="120"/>
      <c r="AX234" s="120"/>
      <c r="AY234" s="120"/>
      <c r="AZ234" s="121"/>
      <c r="BA234" s="121"/>
      <c r="BB234" s="121"/>
      <c r="BD234" s="121"/>
      <c r="BE234" s="121"/>
      <c r="BF234" s="124"/>
      <c r="BH234" s="121"/>
      <c r="BI234" s="121"/>
      <c r="BP234" s="121"/>
      <c r="BQ234" s="149"/>
    </row>
    <row r="235" spans="1:69" s="122" customFormat="1" ht="16.5">
      <c r="A235" s="118"/>
      <c r="B235" s="141"/>
      <c r="C235" s="120"/>
      <c r="D235" s="120"/>
      <c r="E235" s="119"/>
      <c r="F235" s="120"/>
      <c r="G235" s="120"/>
      <c r="H235" s="120"/>
      <c r="J235" s="120"/>
      <c r="K235" s="120"/>
      <c r="L235" s="120"/>
      <c r="M235" s="120"/>
      <c r="N235" s="121"/>
      <c r="O235" s="120"/>
      <c r="P235" s="118"/>
      <c r="R235" s="123"/>
      <c r="T235" s="123"/>
      <c r="U235" s="123"/>
      <c r="V235" s="123"/>
      <c r="W235" s="123"/>
      <c r="X235" s="123"/>
      <c r="Y235" s="123"/>
      <c r="Z235" s="123"/>
      <c r="AA235" s="123"/>
      <c r="AB235" s="123"/>
      <c r="AC235" s="123"/>
      <c r="AD235" s="123"/>
      <c r="AE235" s="120"/>
      <c r="AF235" s="123"/>
      <c r="AG235" s="123"/>
      <c r="AH235" s="123"/>
      <c r="AI235" s="120"/>
      <c r="AJ235" s="120"/>
      <c r="AK235" s="120"/>
      <c r="AL235" s="120"/>
      <c r="AM235" s="120"/>
      <c r="AN235" s="120"/>
      <c r="AO235" s="120"/>
      <c r="AP235" s="120"/>
      <c r="AQ235" s="120"/>
      <c r="AR235" s="120"/>
      <c r="AS235" s="120"/>
      <c r="AT235" s="120"/>
      <c r="AU235" s="120"/>
      <c r="AV235" s="120"/>
      <c r="AW235" s="120"/>
      <c r="AX235" s="120"/>
      <c r="AY235" s="120"/>
      <c r="AZ235" s="121"/>
      <c r="BA235" s="121"/>
      <c r="BB235" s="121"/>
      <c r="BD235" s="121"/>
      <c r="BE235" s="121"/>
      <c r="BF235" s="124"/>
      <c r="BH235" s="121"/>
      <c r="BI235" s="121"/>
      <c r="BP235" s="121"/>
      <c r="BQ235" s="149"/>
    </row>
    <row r="236" spans="1:69" s="122" customFormat="1" ht="16.5">
      <c r="A236" s="118"/>
      <c r="B236" s="141" t="s">
        <v>1408</v>
      </c>
      <c r="C236" s="120"/>
      <c r="D236" s="120"/>
      <c r="E236" s="119"/>
      <c r="F236" s="120"/>
      <c r="G236" s="120"/>
      <c r="H236" s="120"/>
      <c r="J236" s="120"/>
      <c r="K236" s="120"/>
      <c r="L236" s="120"/>
      <c r="M236" s="120"/>
      <c r="N236" s="121"/>
      <c r="O236" s="120"/>
      <c r="P236" s="118"/>
      <c r="R236" s="123"/>
      <c r="T236" s="123"/>
      <c r="U236" s="123"/>
      <c r="V236" s="123"/>
      <c r="W236" s="123"/>
      <c r="X236" s="123"/>
      <c r="Y236" s="123"/>
      <c r="Z236" s="123"/>
      <c r="AA236" s="123"/>
      <c r="AB236" s="123"/>
      <c r="AC236" s="123"/>
      <c r="AD236" s="123"/>
      <c r="AE236" s="120"/>
      <c r="AF236" s="134">
        <v>0</v>
      </c>
      <c r="AG236" s="134">
        <v>0</v>
      </c>
      <c r="AH236" s="123"/>
      <c r="AI236" s="120"/>
      <c r="AJ236" s="120"/>
      <c r="AK236" s="120"/>
      <c r="AL236" s="120"/>
      <c r="AM236" s="120"/>
      <c r="AN236" s="120"/>
      <c r="AO236" s="120"/>
      <c r="AP236" s="120"/>
      <c r="AQ236" s="120"/>
      <c r="AR236" s="120"/>
      <c r="AS236" s="120"/>
      <c r="AT236" s="120"/>
      <c r="AU236" s="120"/>
      <c r="AV236" s="120"/>
      <c r="AW236" s="120"/>
      <c r="AX236" s="120"/>
      <c r="AY236" s="120"/>
      <c r="AZ236" s="121"/>
      <c r="BA236" s="121"/>
      <c r="BB236" s="121"/>
      <c r="BD236" s="121"/>
      <c r="BE236" s="121"/>
      <c r="BF236" s="124"/>
      <c r="BH236" s="121"/>
      <c r="BI236" s="121"/>
      <c r="BP236" s="121"/>
      <c r="BQ236" s="150">
        <v>44596.642962962964</v>
      </c>
    </row>
    <row r="237" spans="1:69" s="122" customFormat="1" ht="16.5">
      <c r="A237" s="118"/>
      <c r="B237" s="141" t="s">
        <v>1411</v>
      </c>
      <c r="C237" s="120"/>
      <c r="D237" s="120"/>
      <c r="E237" s="119"/>
      <c r="F237" s="120"/>
      <c r="G237" s="120"/>
      <c r="H237" s="120"/>
      <c r="J237" s="120"/>
      <c r="K237" s="120"/>
      <c r="L237" s="120"/>
      <c r="M237" s="120"/>
      <c r="N237" s="121"/>
      <c r="O237" s="120"/>
      <c r="P237" s="118"/>
      <c r="R237" s="123"/>
      <c r="T237" s="123"/>
      <c r="U237" s="123"/>
      <c r="V237" s="123"/>
      <c r="W237" s="123"/>
      <c r="X237" s="123"/>
      <c r="Y237" s="123"/>
      <c r="Z237" s="123"/>
      <c r="AA237" s="123"/>
      <c r="AB237" s="123"/>
      <c r="AC237" s="123"/>
      <c r="AD237" s="123"/>
      <c r="AE237" s="120"/>
      <c r="AF237" s="134">
        <v>0</v>
      </c>
      <c r="AG237" s="123"/>
      <c r="AH237" s="123"/>
      <c r="AI237" s="120"/>
      <c r="AJ237" s="120"/>
      <c r="AK237" s="120"/>
      <c r="AL237" s="120"/>
      <c r="AM237" s="120"/>
      <c r="AN237" s="120"/>
      <c r="AO237" s="120"/>
      <c r="AP237" s="120"/>
      <c r="AQ237" s="120"/>
      <c r="AR237" s="120"/>
      <c r="AS237" s="120"/>
      <c r="AT237" s="120"/>
      <c r="AU237" s="120"/>
      <c r="AV237" s="120"/>
      <c r="AW237" s="120"/>
      <c r="AX237" s="120"/>
      <c r="AY237" s="120"/>
      <c r="AZ237" s="121"/>
      <c r="BA237" s="121"/>
      <c r="BB237" s="121"/>
      <c r="BD237" s="121"/>
      <c r="BE237" s="121"/>
      <c r="BF237" s="124"/>
      <c r="BH237" s="121"/>
      <c r="BI237" s="121"/>
      <c r="BP237" s="121"/>
      <c r="BQ237" s="149"/>
    </row>
    <row r="238" spans="1:69" s="122" customFormat="1" ht="16.5">
      <c r="A238" s="118"/>
      <c r="B238" s="141" t="s">
        <v>1412</v>
      </c>
      <c r="C238" s="120"/>
      <c r="D238" s="120"/>
      <c r="E238" s="119"/>
      <c r="F238" s="120"/>
      <c r="G238" s="120"/>
      <c r="H238" s="120"/>
      <c r="J238" s="120"/>
      <c r="K238" s="120"/>
      <c r="L238" s="120"/>
      <c r="M238" s="120"/>
      <c r="N238" s="121"/>
      <c r="O238" s="120"/>
      <c r="P238" s="118"/>
      <c r="R238" s="123"/>
      <c r="T238" s="123"/>
      <c r="U238" s="123"/>
      <c r="V238" s="123"/>
      <c r="W238" s="123"/>
      <c r="X238" s="123"/>
      <c r="Y238" s="123"/>
      <c r="Z238" s="123"/>
      <c r="AA238" s="123"/>
      <c r="AB238" s="123"/>
      <c r="AC238" s="123"/>
      <c r="AD238" s="123"/>
      <c r="AE238" s="120"/>
      <c r="AF238" s="134">
        <v>0</v>
      </c>
      <c r="AG238" s="123"/>
      <c r="AH238" s="123"/>
      <c r="AI238" s="120"/>
      <c r="AJ238" s="120"/>
      <c r="AK238" s="120"/>
      <c r="AL238" s="120"/>
      <c r="AM238" s="120"/>
      <c r="AN238" s="120"/>
      <c r="AO238" s="120"/>
      <c r="AP238" s="120"/>
      <c r="AQ238" s="120"/>
      <c r="AR238" s="120"/>
      <c r="AS238" s="120"/>
      <c r="AT238" s="120"/>
      <c r="AU238" s="120"/>
      <c r="AV238" s="120"/>
      <c r="AW238" s="120"/>
      <c r="AX238" s="120"/>
      <c r="AY238" s="120"/>
      <c r="AZ238" s="121"/>
      <c r="BA238" s="121"/>
      <c r="BB238" s="121"/>
      <c r="BD238" s="121"/>
      <c r="BE238" s="121"/>
      <c r="BF238" s="124"/>
      <c r="BH238" s="121"/>
      <c r="BI238" s="121"/>
      <c r="BP238" s="121"/>
      <c r="BQ238" s="149"/>
    </row>
    <row r="239" spans="1:69" s="122" customFormat="1" ht="16.5">
      <c r="A239" s="118"/>
      <c r="B239" s="141" t="s">
        <v>1414</v>
      </c>
      <c r="C239" s="120"/>
      <c r="D239" s="120"/>
      <c r="E239" s="119"/>
      <c r="F239" s="120"/>
      <c r="G239" s="120"/>
      <c r="H239" s="120"/>
      <c r="J239" s="120"/>
      <c r="K239" s="120"/>
      <c r="L239" s="120"/>
      <c r="M239" s="120"/>
      <c r="N239" s="121"/>
      <c r="O239" s="120"/>
      <c r="P239" s="118"/>
      <c r="R239" s="123"/>
      <c r="T239" s="123"/>
      <c r="U239" s="123"/>
      <c r="V239" s="123"/>
      <c r="W239" s="123"/>
      <c r="X239" s="123"/>
      <c r="Y239" s="123"/>
      <c r="Z239" s="123"/>
      <c r="AA239" s="123"/>
      <c r="AB239" s="123"/>
      <c r="AC239" s="123"/>
      <c r="AD239" s="123"/>
      <c r="AE239" s="120"/>
      <c r="AF239" s="134">
        <v>0</v>
      </c>
      <c r="AG239" s="123"/>
      <c r="AH239" s="123"/>
      <c r="AI239" s="120"/>
      <c r="AJ239" s="120"/>
      <c r="AK239" s="120"/>
      <c r="AL239" s="120"/>
      <c r="AM239" s="120"/>
      <c r="AN239" s="120"/>
      <c r="AO239" s="120"/>
      <c r="AP239" s="120"/>
      <c r="AQ239" s="120"/>
      <c r="AR239" s="120"/>
      <c r="AS239" s="120"/>
      <c r="AT239" s="120"/>
      <c r="AU239" s="120"/>
      <c r="AV239" s="120"/>
      <c r="AW239" s="120"/>
      <c r="AX239" s="120"/>
      <c r="AY239" s="120"/>
      <c r="AZ239" s="121"/>
      <c r="BA239" s="121"/>
      <c r="BB239" s="121"/>
      <c r="BD239" s="121"/>
      <c r="BE239" s="121"/>
      <c r="BF239" s="124"/>
      <c r="BH239" s="121"/>
      <c r="BI239" s="121"/>
      <c r="BP239" s="121"/>
      <c r="BQ239" s="149"/>
    </row>
    <row r="240" spans="1:69" s="122" customFormat="1" ht="16.5">
      <c r="A240" s="118"/>
      <c r="B240" s="141" t="s">
        <v>1415</v>
      </c>
      <c r="C240" s="120"/>
      <c r="D240" s="120"/>
      <c r="E240" s="119"/>
      <c r="F240" s="120"/>
      <c r="G240" s="120"/>
      <c r="H240" s="120"/>
      <c r="J240" s="120"/>
      <c r="K240" s="120"/>
      <c r="L240" s="120"/>
      <c r="M240" s="120"/>
      <c r="N240" s="121"/>
      <c r="O240" s="120"/>
      <c r="P240" s="118"/>
      <c r="R240" s="123"/>
      <c r="T240" s="123"/>
      <c r="U240" s="123"/>
      <c r="V240" s="123"/>
      <c r="W240" s="123"/>
      <c r="X240" s="123"/>
      <c r="Y240" s="123"/>
      <c r="Z240" s="123"/>
      <c r="AA240" s="123">
        <v>10</v>
      </c>
      <c r="AB240" s="123"/>
      <c r="AC240" s="123"/>
      <c r="AD240" s="123"/>
      <c r="AE240" s="120"/>
      <c r="AF240" s="134">
        <v>0</v>
      </c>
      <c r="AG240" s="123"/>
      <c r="AH240" s="123"/>
      <c r="AI240" s="120"/>
      <c r="AJ240" s="120"/>
      <c r="AK240" s="120"/>
      <c r="AL240" s="120"/>
      <c r="AM240" s="120"/>
      <c r="AN240" s="120"/>
      <c r="AO240" s="120"/>
      <c r="AP240" s="120"/>
      <c r="AQ240" s="120"/>
      <c r="AR240" s="120"/>
      <c r="AS240" s="120"/>
      <c r="AT240" s="120"/>
      <c r="AU240" s="120"/>
      <c r="AV240" s="120"/>
      <c r="AW240" s="120"/>
      <c r="AX240" s="120"/>
      <c r="AY240" s="120"/>
      <c r="AZ240" s="121"/>
      <c r="BA240" s="121"/>
      <c r="BB240" s="121"/>
      <c r="BD240" s="121"/>
      <c r="BE240" s="121"/>
      <c r="BF240" s="124"/>
      <c r="BH240" s="121"/>
      <c r="BI240" s="121"/>
      <c r="BP240" s="121"/>
      <c r="BQ240" s="149"/>
    </row>
    <row r="241" spans="1:69" s="122" customFormat="1" ht="16.5">
      <c r="A241" s="118"/>
      <c r="B241" s="141"/>
      <c r="C241" s="120"/>
      <c r="D241" s="120"/>
      <c r="E241" s="119"/>
      <c r="F241" s="120"/>
      <c r="G241" s="120"/>
      <c r="H241" s="120"/>
      <c r="J241" s="120"/>
      <c r="K241" s="120"/>
      <c r="L241" s="120"/>
      <c r="M241" s="120"/>
      <c r="N241" s="121"/>
      <c r="O241" s="120"/>
      <c r="P241" s="118"/>
      <c r="R241" s="123"/>
      <c r="T241" s="123"/>
      <c r="U241" s="123"/>
      <c r="V241" s="123"/>
      <c r="W241" s="123"/>
      <c r="X241" s="123"/>
      <c r="Y241" s="123"/>
      <c r="Z241" s="123"/>
      <c r="AA241" s="123"/>
      <c r="AB241" s="123"/>
      <c r="AC241" s="123"/>
      <c r="AD241" s="123"/>
      <c r="AE241" s="120"/>
      <c r="AF241" s="123"/>
      <c r="AG241" s="123"/>
      <c r="AH241" s="123"/>
      <c r="AI241" s="120"/>
      <c r="AJ241" s="120"/>
      <c r="AK241" s="120"/>
      <c r="AL241" s="120"/>
      <c r="AM241" s="120"/>
      <c r="AN241" s="120"/>
      <c r="AO241" s="120"/>
      <c r="AP241" s="120"/>
      <c r="AQ241" s="120"/>
      <c r="AR241" s="120"/>
      <c r="AS241" s="120"/>
      <c r="AT241" s="120"/>
      <c r="AU241" s="120"/>
      <c r="AV241" s="120"/>
      <c r="AW241" s="120"/>
      <c r="AX241" s="120"/>
      <c r="AY241" s="120"/>
      <c r="AZ241" s="121"/>
      <c r="BA241" s="121"/>
      <c r="BB241" s="121"/>
      <c r="BD241" s="121"/>
      <c r="BE241" s="121"/>
      <c r="BF241" s="124"/>
      <c r="BH241" s="121"/>
      <c r="BI241" s="121"/>
      <c r="BP241" s="121"/>
      <c r="BQ241" s="149"/>
    </row>
    <row r="242" spans="1:69" s="122" customFormat="1" ht="27">
      <c r="A242" s="118"/>
      <c r="B242" s="141" t="s">
        <v>1420</v>
      </c>
      <c r="C242" s="120"/>
      <c r="D242" s="120"/>
      <c r="E242" s="119"/>
      <c r="F242" s="120"/>
      <c r="G242" s="120"/>
      <c r="H242" s="120"/>
      <c r="J242" s="120"/>
      <c r="K242" s="120"/>
      <c r="L242" s="120"/>
      <c r="M242" s="120"/>
      <c r="N242" s="121"/>
      <c r="O242" s="120"/>
      <c r="P242" s="118"/>
      <c r="R242" s="123"/>
      <c r="T242" s="123"/>
      <c r="U242" s="123"/>
      <c r="V242" s="123"/>
      <c r="W242" s="123"/>
      <c r="X242" s="123"/>
      <c r="Y242" s="123"/>
      <c r="Z242" s="123"/>
      <c r="AA242" s="123"/>
      <c r="AB242" s="123"/>
      <c r="AC242" s="123"/>
      <c r="AD242" s="123"/>
      <c r="AE242" s="120"/>
      <c r="AF242" s="123"/>
      <c r="AG242" s="134">
        <v>0</v>
      </c>
      <c r="AH242" s="123"/>
      <c r="AI242" s="120"/>
      <c r="AJ242" s="120"/>
      <c r="AK242" s="120"/>
      <c r="AL242" s="120"/>
      <c r="AM242" s="120"/>
      <c r="AN242" s="120"/>
      <c r="AO242" s="120"/>
      <c r="AP242" s="120"/>
      <c r="AQ242" s="120"/>
      <c r="AR242" s="120"/>
      <c r="AS242" s="120"/>
      <c r="AT242" s="120"/>
      <c r="AU242" s="120"/>
      <c r="AV242" s="120"/>
      <c r="AW242" s="120"/>
      <c r="AX242" s="120"/>
      <c r="AY242" s="120"/>
      <c r="AZ242" s="121"/>
      <c r="BA242" s="121"/>
      <c r="BB242" s="121"/>
      <c r="BD242" s="121"/>
      <c r="BE242" s="121"/>
      <c r="BF242" s="124"/>
      <c r="BH242" s="121"/>
      <c r="BI242" s="121"/>
      <c r="BP242" s="121"/>
      <c r="BQ242" s="149"/>
    </row>
    <row r="243" spans="1:69" s="122" customFormat="1" ht="16.5">
      <c r="A243" s="118"/>
      <c r="B243" s="141" t="s">
        <v>1421</v>
      </c>
      <c r="C243" s="120"/>
      <c r="D243" s="120"/>
      <c r="E243" s="119"/>
      <c r="F243" s="120"/>
      <c r="G243" s="120"/>
      <c r="H243" s="120"/>
      <c r="J243" s="120"/>
      <c r="K243" s="120"/>
      <c r="L243" s="120"/>
      <c r="M243" s="120"/>
      <c r="N243" s="121"/>
      <c r="O243" s="120"/>
      <c r="P243" s="118"/>
      <c r="R243" s="123"/>
      <c r="T243" s="123"/>
      <c r="U243" s="123"/>
      <c r="V243" s="123"/>
      <c r="W243" s="123"/>
      <c r="X243" s="123"/>
      <c r="Y243" s="123"/>
      <c r="Z243" s="123"/>
      <c r="AA243" s="123"/>
      <c r="AB243" s="123"/>
      <c r="AC243" s="123"/>
      <c r="AD243" s="123"/>
      <c r="AE243" s="120"/>
      <c r="AF243" s="123"/>
      <c r="AG243" s="134">
        <v>0</v>
      </c>
      <c r="AH243" s="123"/>
      <c r="AI243" s="120"/>
      <c r="AJ243" s="120"/>
      <c r="AK243" s="120"/>
      <c r="AL243" s="120"/>
      <c r="AM243" s="120"/>
      <c r="AN243" s="120"/>
      <c r="AO243" s="120"/>
      <c r="AP243" s="120"/>
      <c r="AQ243" s="120"/>
      <c r="AR243" s="120"/>
      <c r="AS243" s="120"/>
      <c r="AT243" s="120"/>
      <c r="AU243" s="120"/>
      <c r="AV243" s="120"/>
      <c r="AW243" s="120"/>
      <c r="AX243" s="120"/>
      <c r="AY243" s="120"/>
      <c r="AZ243" s="121"/>
      <c r="BA243" s="121"/>
      <c r="BB243" s="121"/>
      <c r="BD243" s="121"/>
      <c r="BE243" s="121"/>
      <c r="BF243" s="124"/>
      <c r="BH243" s="121"/>
      <c r="BI243" s="121"/>
      <c r="BP243" s="121"/>
      <c r="BQ243" s="149"/>
    </row>
    <row r="244" spans="1:69" s="122" customFormat="1" ht="16.5">
      <c r="A244" s="118"/>
      <c r="B244" s="141" t="s">
        <v>1422</v>
      </c>
      <c r="C244" s="120"/>
      <c r="D244" s="120"/>
      <c r="E244" s="119"/>
      <c r="F244" s="120"/>
      <c r="G244" s="120"/>
      <c r="H244" s="120"/>
      <c r="J244" s="120"/>
      <c r="K244" s="120"/>
      <c r="L244" s="120"/>
      <c r="M244" s="120"/>
      <c r="N244" s="121"/>
      <c r="O244" s="120"/>
      <c r="P244" s="118"/>
      <c r="R244" s="123"/>
      <c r="T244" s="123"/>
      <c r="U244" s="123"/>
      <c r="V244" s="123"/>
      <c r="W244" s="123"/>
      <c r="X244" s="123"/>
      <c r="Y244" s="123"/>
      <c r="Z244" s="123"/>
      <c r="AA244" s="123"/>
      <c r="AB244" s="123"/>
      <c r="AC244" s="123"/>
      <c r="AD244" s="123"/>
      <c r="AE244" s="120"/>
      <c r="AF244" s="123"/>
      <c r="AG244" s="134">
        <v>0</v>
      </c>
      <c r="AH244" s="123"/>
      <c r="AI244" s="120"/>
      <c r="AJ244" s="120"/>
      <c r="AK244" s="120"/>
      <c r="AL244" s="120"/>
      <c r="AM244" s="120"/>
      <c r="AN244" s="120"/>
      <c r="AO244" s="120"/>
      <c r="AP244" s="120"/>
      <c r="AQ244" s="120"/>
      <c r="AR244" s="120"/>
      <c r="AS244" s="120"/>
      <c r="AT244" s="120"/>
      <c r="AU244" s="120"/>
      <c r="AV244" s="120"/>
      <c r="AW244" s="120"/>
      <c r="AX244" s="120"/>
      <c r="AY244" s="120"/>
      <c r="AZ244" s="121"/>
      <c r="BA244" s="121"/>
      <c r="BB244" s="121"/>
      <c r="BD244" s="121"/>
      <c r="BE244" s="121"/>
      <c r="BF244" s="124"/>
      <c r="BH244" s="121"/>
      <c r="BI244" s="121"/>
      <c r="BP244" s="121"/>
      <c r="BQ244" s="149"/>
    </row>
    <row r="245" spans="1:69" s="122" customFormat="1" ht="16.5">
      <c r="A245" s="118"/>
      <c r="B245" s="141"/>
      <c r="C245" s="120"/>
      <c r="D245" s="120"/>
      <c r="E245" s="119"/>
      <c r="F245" s="120"/>
      <c r="G245" s="120"/>
      <c r="H245" s="120"/>
      <c r="J245" s="120"/>
      <c r="K245" s="120"/>
      <c r="L245" s="120"/>
      <c r="M245" s="120"/>
      <c r="N245" s="121"/>
      <c r="O245" s="120"/>
      <c r="P245" s="118"/>
      <c r="R245" s="123"/>
      <c r="T245" s="123"/>
      <c r="U245" s="123"/>
      <c r="V245" s="123"/>
      <c r="W245" s="123"/>
      <c r="X245" s="123"/>
      <c r="Y245" s="123"/>
      <c r="Z245" s="123"/>
      <c r="AA245" s="123"/>
      <c r="AB245" s="123"/>
      <c r="AC245" s="123"/>
      <c r="AD245" s="123"/>
      <c r="AE245" s="120"/>
      <c r="AF245" s="123"/>
      <c r="AG245" s="123"/>
      <c r="AH245" s="123"/>
      <c r="AI245" s="120"/>
      <c r="AJ245" s="120"/>
      <c r="AK245" s="120"/>
      <c r="AL245" s="120"/>
      <c r="AM245" s="120"/>
      <c r="AN245" s="120"/>
      <c r="AO245" s="120"/>
      <c r="AP245" s="120"/>
      <c r="AQ245" s="120"/>
      <c r="AR245" s="120"/>
      <c r="AS245" s="120"/>
      <c r="AT245" s="120"/>
      <c r="AU245" s="120"/>
      <c r="AV245" s="120"/>
      <c r="AW245" s="120"/>
      <c r="AX245" s="120"/>
      <c r="AY245" s="120"/>
      <c r="AZ245" s="121"/>
      <c r="BA245" s="121"/>
      <c r="BB245" s="121"/>
      <c r="BD245" s="121"/>
      <c r="BE245" s="121"/>
      <c r="BF245" s="124"/>
      <c r="BH245" s="121"/>
      <c r="BI245" s="121"/>
      <c r="BP245" s="121"/>
      <c r="BQ245" s="149"/>
    </row>
    <row r="246" spans="1:69" s="122" customFormat="1" ht="16.5">
      <c r="A246" s="118"/>
      <c r="B246" s="141"/>
      <c r="C246" s="120"/>
      <c r="D246" s="120"/>
      <c r="E246" s="119"/>
      <c r="F246" s="120"/>
      <c r="G246" s="120"/>
      <c r="H246" s="120"/>
      <c r="J246" s="120"/>
      <c r="K246" s="120"/>
      <c r="L246" s="120"/>
      <c r="M246" s="120"/>
      <c r="N246" s="121"/>
      <c r="O246" s="120"/>
      <c r="P246" s="118"/>
      <c r="R246" s="123"/>
      <c r="T246" s="123"/>
      <c r="U246" s="123"/>
      <c r="V246" s="123"/>
      <c r="W246" s="123"/>
      <c r="X246" s="123"/>
      <c r="Y246" s="123"/>
      <c r="Z246" s="123"/>
      <c r="AA246" s="123"/>
      <c r="AB246" s="123"/>
      <c r="AC246" s="123"/>
      <c r="AD246" s="123"/>
      <c r="AE246" s="120"/>
      <c r="AF246" s="123"/>
      <c r="AG246" s="123"/>
      <c r="AH246" s="123"/>
      <c r="AI246" s="120"/>
      <c r="AJ246" s="120"/>
      <c r="AK246" s="120"/>
      <c r="AL246" s="120"/>
      <c r="AM246" s="120"/>
      <c r="AN246" s="120"/>
      <c r="AO246" s="120"/>
      <c r="AP246" s="120"/>
      <c r="AQ246" s="120"/>
      <c r="AR246" s="120"/>
      <c r="AS246" s="120"/>
      <c r="AT246" s="120"/>
      <c r="AU246" s="120"/>
      <c r="AV246" s="120"/>
      <c r="AW246" s="120"/>
      <c r="AX246" s="120"/>
      <c r="AY246" s="120"/>
      <c r="AZ246" s="121"/>
      <c r="BA246" s="121"/>
      <c r="BB246" s="121"/>
      <c r="BD246" s="121"/>
      <c r="BE246" s="121"/>
      <c r="BF246" s="124"/>
      <c r="BH246" s="121"/>
      <c r="BI246" s="121"/>
      <c r="BP246" s="121"/>
      <c r="BQ246" s="149"/>
    </row>
    <row r="247" spans="1:69" s="122" customFormat="1" ht="16.5">
      <c r="A247" s="118"/>
      <c r="B247" s="141"/>
      <c r="C247" s="120"/>
      <c r="D247" s="120"/>
      <c r="E247" s="119"/>
      <c r="F247" s="120"/>
      <c r="G247" s="120"/>
      <c r="H247" s="120"/>
      <c r="J247" s="120"/>
      <c r="K247" s="120"/>
      <c r="L247" s="120"/>
      <c r="M247" s="120"/>
      <c r="N247" s="121"/>
      <c r="O247" s="120"/>
      <c r="P247" s="118"/>
      <c r="R247" s="123"/>
      <c r="T247" s="123"/>
      <c r="U247" s="123"/>
      <c r="V247" s="123"/>
      <c r="W247" s="123"/>
      <c r="X247" s="123"/>
      <c r="Y247" s="123"/>
      <c r="Z247" s="123"/>
      <c r="AA247" s="123"/>
      <c r="AB247" s="123"/>
      <c r="AC247" s="123"/>
      <c r="AD247" s="123"/>
      <c r="AE247" s="120"/>
      <c r="AF247" s="123"/>
      <c r="AG247" s="123"/>
      <c r="AH247" s="123"/>
      <c r="AI247" s="120"/>
      <c r="AJ247" s="120"/>
      <c r="AK247" s="120"/>
      <c r="AL247" s="120"/>
      <c r="AM247" s="120"/>
      <c r="AN247" s="120"/>
      <c r="AO247" s="120"/>
      <c r="AP247" s="120"/>
      <c r="AQ247" s="120"/>
      <c r="AR247" s="120"/>
      <c r="AS247" s="120"/>
      <c r="AT247" s="120"/>
      <c r="AU247" s="120"/>
      <c r="AV247" s="120"/>
      <c r="AW247" s="120"/>
      <c r="AX247" s="120"/>
      <c r="AY247" s="120"/>
      <c r="AZ247" s="121"/>
      <c r="BA247" s="121"/>
      <c r="BB247" s="121"/>
      <c r="BD247" s="121"/>
      <c r="BE247" s="121"/>
      <c r="BF247" s="124"/>
      <c r="BH247" s="121"/>
      <c r="BI247" s="121"/>
      <c r="BP247" s="121"/>
      <c r="BQ247" s="149"/>
    </row>
    <row r="248" spans="1:69" s="122" customFormat="1" ht="16.5">
      <c r="A248" s="118"/>
      <c r="B248" s="141"/>
      <c r="C248" s="120"/>
      <c r="D248" s="120"/>
      <c r="E248" s="119"/>
      <c r="F248" s="120"/>
      <c r="G248" s="120"/>
      <c r="H248" s="120"/>
      <c r="J248" s="120"/>
      <c r="K248" s="120"/>
      <c r="L248" s="120"/>
      <c r="M248" s="120"/>
      <c r="N248" s="121"/>
      <c r="O248" s="120"/>
      <c r="P248" s="118"/>
      <c r="R248" s="123"/>
      <c r="T248" s="123"/>
      <c r="U248" s="123"/>
      <c r="V248" s="123"/>
      <c r="W248" s="123"/>
      <c r="X248" s="123"/>
      <c r="Y248" s="123"/>
      <c r="Z248" s="123"/>
      <c r="AA248" s="123"/>
      <c r="AB248" s="123"/>
      <c r="AC248" s="123"/>
      <c r="AD248" s="123"/>
      <c r="AE248" s="120"/>
      <c r="AF248" s="123"/>
      <c r="AG248" s="123"/>
      <c r="AH248" s="123"/>
      <c r="AI248" s="120"/>
      <c r="AJ248" s="120"/>
      <c r="AK248" s="120"/>
      <c r="AL248" s="120"/>
      <c r="AM248" s="120"/>
      <c r="AN248" s="120"/>
      <c r="AO248" s="120"/>
      <c r="AP248" s="120"/>
      <c r="AQ248" s="120"/>
      <c r="AR248" s="120"/>
      <c r="AS248" s="120"/>
      <c r="AT248" s="120"/>
      <c r="AU248" s="120"/>
      <c r="AV248" s="120"/>
      <c r="AW248" s="120"/>
      <c r="AX248" s="120"/>
      <c r="AY248" s="120"/>
      <c r="AZ248" s="121"/>
      <c r="BA248" s="121"/>
      <c r="BB248" s="121"/>
      <c r="BD248" s="121"/>
      <c r="BE248" s="121"/>
      <c r="BF248" s="124"/>
      <c r="BH248" s="121"/>
      <c r="BI248" s="121"/>
      <c r="BP248" s="121"/>
      <c r="BQ248" s="149"/>
    </row>
    <row r="249" spans="1:69" s="122" customFormat="1" ht="16.5">
      <c r="A249" s="118"/>
      <c r="B249" s="141"/>
      <c r="C249" s="120"/>
      <c r="D249" s="120"/>
      <c r="E249" s="119"/>
      <c r="F249" s="120"/>
      <c r="G249" s="120"/>
      <c r="H249" s="120"/>
      <c r="J249" s="120"/>
      <c r="K249" s="120"/>
      <c r="L249" s="120"/>
      <c r="M249" s="120"/>
      <c r="N249" s="121"/>
      <c r="O249" s="120"/>
      <c r="P249" s="118"/>
      <c r="R249" s="123"/>
      <c r="T249" s="123"/>
      <c r="U249" s="123"/>
      <c r="V249" s="123"/>
      <c r="W249" s="123"/>
      <c r="X249" s="123"/>
      <c r="Y249" s="123"/>
      <c r="Z249" s="123"/>
      <c r="AA249" s="123"/>
      <c r="AB249" s="123"/>
      <c r="AC249" s="123"/>
      <c r="AD249" s="123"/>
      <c r="AE249" s="120"/>
      <c r="AF249" s="123"/>
      <c r="AG249" s="123"/>
      <c r="AH249" s="123"/>
      <c r="AI249" s="120"/>
      <c r="AJ249" s="120"/>
      <c r="AK249" s="120"/>
      <c r="AL249" s="120"/>
      <c r="AM249" s="120"/>
      <c r="AN249" s="120"/>
      <c r="AO249" s="120"/>
      <c r="AP249" s="120"/>
      <c r="AQ249" s="120"/>
      <c r="AR249" s="120"/>
      <c r="AS249" s="120"/>
      <c r="AT249" s="120"/>
      <c r="AU249" s="120"/>
      <c r="AV249" s="120"/>
      <c r="AW249" s="120"/>
      <c r="AX249" s="120"/>
      <c r="AY249" s="120"/>
      <c r="AZ249" s="121"/>
      <c r="BA249" s="121"/>
      <c r="BB249" s="121"/>
      <c r="BD249" s="121"/>
      <c r="BE249" s="121"/>
      <c r="BF249" s="124"/>
      <c r="BH249" s="121"/>
      <c r="BI249" s="121"/>
      <c r="BP249" s="121"/>
      <c r="BQ249" s="149"/>
    </row>
    <row r="250" spans="1:69" s="122" customFormat="1" ht="16.5">
      <c r="A250" s="118"/>
      <c r="B250" s="141"/>
      <c r="C250" s="120"/>
      <c r="D250" s="120"/>
      <c r="E250" s="119"/>
      <c r="F250" s="120"/>
      <c r="G250" s="120"/>
      <c r="H250" s="120"/>
      <c r="J250" s="120"/>
      <c r="K250" s="120"/>
      <c r="L250" s="120"/>
      <c r="M250" s="120"/>
      <c r="N250" s="121"/>
      <c r="O250" s="120"/>
      <c r="P250" s="118"/>
      <c r="R250" s="123"/>
      <c r="T250" s="123"/>
      <c r="U250" s="123"/>
      <c r="V250" s="123"/>
      <c r="W250" s="123"/>
      <c r="X250" s="123"/>
      <c r="Y250" s="123"/>
      <c r="Z250" s="123"/>
      <c r="AA250" s="123"/>
      <c r="AB250" s="123"/>
      <c r="AC250" s="123"/>
      <c r="AD250" s="123"/>
      <c r="AE250" s="120"/>
      <c r="AF250" s="123"/>
      <c r="AG250" s="123"/>
      <c r="AH250" s="123"/>
      <c r="AI250" s="120"/>
      <c r="AJ250" s="120"/>
      <c r="AK250" s="120"/>
      <c r="AL250" s="120"/>
      <c r="AM250" s="120"/>
      <c r="AN250" s="120"/>
      <c r="AO250" s="120"/>
      <c r="AP250" s="120"/>
      <c r="AQ250" s="120"/>
      <c r="AR250" s="120"/>
      <c r="AS250" s="120"/>
      <c r="AT250" s="120"/>
      <c r="AU250" s="120"/>
      <c r="AV250" s="120"/>
      <c r="AW250" s="120"/>
      <c r="AX250" s="120"/>
      <c r="AY250" s="120"/>
      <c r="AZ250" s="121"/>
      <c r="BA250" s="121"/>
      <c r="BB250" s="121"/>
      <c r="BD250" s="121"/>
      <c r="BE250" s="121"/>
      <c r="BF250" s="124"/>
      <c r="BH250" s="121"/>
      <c r="BI250" s="121"/>
      <c r="BP250" s="121"/>
      <c r="BQ250" s="149"/>
    </row>
    <row r="251" spans="1:69" s="122" customFormat="1" ht="16.5">
      <c r="A251" s="118"/>
      <c r="B251" s="141"/>
      <c r="C251" s="120"/>
      <c r="D251" s="120"/>
      <c r="E251" s="119"/>
      <c r="F251" s="120"/>
      <c r="G251" s="120"/>
      <c r="H251" s="120"/>
      <c r="J251" s="120"/>
      <c r="K251" s="120"/>
      <c r="L251" s="120"/>
      <c r="M251" s="120"/>
      <c r="N251" s="121"/>
      <c r="O251" s="120"/>
      <c r="P251" s="118"/>
      <c r="R251" s="123"/>
      <c r="T251" s="123"/>
      <c r="U251" s="123"/>
      <c r="V251" s="123"/>
      <c r="W251" s="123"/>
      <c r="X251" s="123"/>
      <c r="Y251" s="123"/>
      <c r="Z251" s="123"/>
      <c r="AA251" s="123"/>
      <c r="AB251" s="123"/>
      <c r="AC251" s="123"/>
      <c r="AD251" s="123"/>
      <c r="AE251" s="123"/>
      <c r="AF251" s="123"/>
      <c r="AG251" s="123"/>
      <c r="AH251" s="123"/>
      <c r="AI251" s="120"/>
      <c r="AJ251" s="120"/>
      <c r="AK251" s="120"/>
      <c r="AL251" s="120"/>
      <c r="AM251" s="120"/>
      <c r="AN251" s="120"/>
      <c r="AO251" s="120"/>
      <c r="AP251" s="120"/>
      <c r="AQ251" s="120"/>
      <c r="AR251" s="120"/>
      <c r="AS251" s="120"/>
      <c r="AT251" s="120"/>
      <c r="AU251" s="120"/>
      <c r="AV251" s="120"/>
      <c r="AW251" s="120"/>
      <c r="AX251" s="120"/>
      <c r="AY251" s="120"/>
      <c r="AZ251" s="121"/>
      <c r="BA251" s="121"/>
      <c r="BB251" s="121"/>
      <c r="BD251" s="121"/>
      <c r="BE251" s="121"/>
      <c r="BF251" s="124"/>
      <c r="BH251" s="121"/>
      <c r="BI251" s="121"/>
      <c r="BP251" s="121"/>
      <c r="BQ251" s="149"/>
    </row>
    <row r="252" spans="1:69" s="122" customFormat="1" ht="16.5">
      <c r="A252" s="118"/>
      <c r="B252" s="141" t="s">
        <v>1360</v>
      </c>
      <c r="C252" s="120"/>
      <c r="D252" s="120"/>
      <c r="E252" s="119"/>
      <c r="F252" s="120"/>
      <c r="G252" s="120"/>
      <c r="H252" s="120"/>
      <c r="J252" s="120"/>
      <c r="K252" s="120"/>
      <c r="L252" s="120"/>
      <c r="M252" s="120"/>
      <c r="N252" s="121"/>
      <c r="O252" s="120"/>
      <c r="P252" s="118"/>
      <c r="R252" s="123"/>
      <c r="T252" s="123"/>
      <c r="U252" s="123"/>
      <c r="V252" s="123"/>
      <c r="W252" s="123"/>
      <c r="X252" s="123"/>
      <c r="Y252" s="123"/>
      <c r="Z252" s="123"/>
      <c r="AA252" s="123"/>
      <c r="AB252" s="123"/>
      <c r="AC252" s="123"/>
      <c r="AD252" s="123"/>
      <c r="AE252" s="123"/>
      <c r="AF252" s="123"/>
      <c r="AG252" s="123"/>
      <c r="AH252" s="123"/>
      <c r="AI252" s="120"/>
      <c r="AJ252" s="134">
        <v>0</v>
      </c>
      <c r="AK252" s="134">
        <v>0</v>
      </c>
      <c r="AL252" s="120"/>
      <c r="AM252" s="120"/>
      <c r="AN252" s="120"/>
      <c r="AO252" s="120"/>
      <c r="AP252" s="120"/>
      <c r="AQ252" s="120"/>
      <c r="AR252" s="120"/>
      <c r="AS252" s="120"/>
      <c r="AT252" s="120"/>
      <c r="AU252" s="120"/>
      <c r="AV252" s="120"/>
      <c r="AW252" s="120"/>
      <c r="AX252" s="120"/>
      <c r="AY252" s="120"/>
      <c r="AZ252" s="121"/>
      <c r="BA252" s="121"/>
      <c r="BB252" s="121"/>
      <c r="BD252" s="121"/>
      <c r="BE252" s="121"/>
      <c r="BF252" s="124"/>
      <c r="BH252" s="121"/>
      <c r="BI252" s="121"/>
      <c r="BP252" s="121"/>
      <c r="BQ252" s="149"/>
    </row>
    <row r="253" spans="1:69" s="122" customFormat="1" ht="27">
      <c r="A253" s="118"/>
      <c r="B253" s="141" t="s">
        <v>1361</v>
      </c>
      <c r="C253" s="120"/>
      <c r="D253" s="120"/>
      <c r="E253" s="119"/>
      <c r="F253" s="120"/>
      <c r="G253" s="120"/>
      <c r="H253" s="120"/>
      <c r="J253" s="120"/>
      <c r="K253" s="120"/>
      <c r="L253" s="120"/>
      <c r="M253" s="120"/>
      <c r="N253" s="121"/>
      <c r="O253" s="120"/>
      <c r="P253" s="118"/>
      <c r="R253" s="123"/>
      <c r="T253" s="123"/>
      <c r="U253" s="123"/>
      <c r="V253" s="123"/>
      <c r="W253" s="123"/>
      <c r="X253" s="123"/>
      <c r="Y253" s="123"/>
      <c r="Z253" s="123"/>
      <c r="AA253" s="123"/>
      <c r="AB253" s="123"/>
      <c r="AC253" s="123"/>
      <c r="AD253" s="123"/>
      <c r="AE253" s="123"/>
      <c r="AF253" s="123"/>
      <c r="AG253" s="123"/>
      <c r="AH253" s="123"/>
      <c r="AI253" s="120"/>
      <c r="AJ253" s="134">
        <v>0</v>
      </c>
      <c r="AK253" s="120"/>
      <c r="AL253" s="120"/>
      <c r="AM253" s="120"/>
      <c r="AN253" s="120"/>
      <c r="AO253" s="120"/>
      <c r="AP253" s="120"/>
      <c r="AQ253" s="120"/>
      <c r="AR253" s="120"/>
      <c r="AS253" s="120"/>
      <c r="AT253" s="120"/>
      <c r="AU253" s="120"/>
      <c r="AV253" s="120"/>
      <c r="AW253" s="120"/>
      <c r="AX253" s="120"/>
      <c r="AY253" s="120"/>
      <c r="AZ253" s="121"/>
      <c r="BA253" s="121"/>
      <c r="BB253" s="121"/>
      <c r="BD253" s="121"/>
      <c r="BE253" s="121"/>
      <c r="BF253" s="124"/>
      <c r="BH253" s="121"/>
      <c r="BI253" s="121"/>
      <c r="BP253" s="121"/>
      <c r="BQ253" s="149"/>
    </row>
    <row r="254" spans="1:69" s="122" customFormat="1" ht="16.5">
      <c r="A254" s="118"/>
      <c r="B254" s="141" t="s">
        <v>1362</v>
      </c>
      <c r="C254" s="120"/>
      <c r="D254" s="120"/>
      <c r="E254" s="119"/>
      <c r="F254" s="120"/>
      <c r="G254" s="120"/>
      <c r="H254" s="120"/>
      <c r="J254" s="120"/>
      <c r="K254" s="120"/>
      <c r="L254" s="120"/>
      <c r="M254" s="120"/>
      <c r="N254" s="121"/>
      <c r="O254" s="120"/>
      <c r="P254" s="118"/>
      <c r="R254" s="123"/>
      <c r="T254" s="123"/>
      <c r="U254" s="123"/>
      <c r="V254" s="123"/>
      <c r="W254" s="123"/>
      <c r="X254" s="123"/>
      <c r="Y254" s="123"/>
      <c r="Z254" s="123"/>
      <c r="AA254" s="123"/>
      <c r="AB254" s="123"/>
      <c r="AC254" s="123"/>
      <c r="AD254" s="123"/>
      <c r="AE254" s="123"/>
      <c r="AF254" s="123"/>
      <c r="AG254" s="123"/>
      <c r="AH254" s="123"/>
      <c r="AI254" s="120"/>
      <c r="AJ254" s="134">
        <v>0</v>
      </c>
      <c r="AK254" s="120"/>
      <c r="AL254" s="120"/>
      <c r="AM254" s="120"/>
      <c r="AN254" s="120"/>
      <c r="AO254" s="120"/>
      <c r="AP254" s="120"/>
      <c r="AQ254" s="120"/>
      <c r="AR254" s="120"/>
      <c r="AS254" s="120"/>
      <c r="AT254" s="120"/>
      <c r="AU254" s="120"/>
      <c r="AV254" s="120"/>
      <c r="AW254" s="120"/>
      <c r="AX254" s="120"/>
      <c r="AY254" s="120"/>
      <c r="AZ254" s="121"/>
      <c r="BA254" s="121"/>
      <c r="BB254" s="121"/>
      <c r="BD254" s="121"/>
      <c r="BE254" s="121"/>
      <c r="BF254" s="124"/>
      <c r="BH254" s="121"/>
      <c r="BI254" s="121"/>
      <c r="BP254" s="121"/>
      <c r="BQ254" s="149"/>
    </row>
    <row r="255" spans="1:69" s="122" customFormat="1" ht="16.5">
      <c r="A255" s="118"/>
      <c r="B255" s="141" t="s">
        <v>1367</v>
      </c>
      <c r="C255" s="120"/>
      <c r="D255" s="120"/>
      <c r="E255" s="119"/>
      <c r="F255" s="120"/>
      <c r="G255" s="120"/>
      <c r="H255" s="120"/>
      <c r="J255" s="120"/>
      <c r="K255" s="120"/>
      <c r="L255" s="120"/>
      <c r="M255" s="120"/>
      <c r="N255" s="121"/>
      <c r="O255" s="120"/>
      <c r="P255" s="118"/>
      <c r="R255" s="123"/>
      <c r="T255" s="123"/>
      <c r="U255" s="123"/>
      <c r="V255" s="123"/>
      <c r="W255" s="123"/>
      <c r="X255" s="123"/>
      <c r="Y255" s="123"/>
      <c r="Z255" s="123"/>
      <c r="AA255" s="123"/>
      <c r="AB255" s="123"/>
      <c r="AC255" s="123"/>
      <c r="AD255" s="123"/>
      <c r="AE255" s="123"/>
      <c r="AF255" s="123"/>
      <c r="AG255" s="123"/>
      <c r="AH255" s="123"/>
      <c r="AI255" s="120"/>
      <c r="AJ255" s="134">
        <v>0</v>
      </c>
      <c r="AK255" s="120"/>
      <c r="AL255" s="120"/>
      <c r="AM255" s="120"/>
      <c r="AN255" s="120"/>
      <c r="AO255" s="120"/>
      <c r="AP255" s="120"/>
      <c r="AQ255" s="120"/>
      <c r="AR255" s="120"/>
      <c r="AS255" s="120"/>
      <c r="AT255" s="120"/>
      <c r="AU255" s="120"/>
      <c r="AV255" s="120"/>
      <c r="AW255" s="120"/>
      <c r="AX255" s="120"/>
      <c r="AY255" s="120"/>
      <c r="AZ255" s="121"/>
      <c r="BA255" s="121"/>
      <c r="BB255" s="121"/>
      <c r="BD255" s="121"/>
      <c r="BE255" s="121"/>
      <c r="BF255" s="124"/>
      <c r="BH255" s="121"/>
      <c r="BI255" s="121"/>
      <c r="BP255" s="121"/>
      <c r="BQ255" s="149"/>
    </row>
    <row r="256" spans="1:69" s="122" customFormat="1" ht="16.5">
      <c r="A256" s="118"/>
      <c r="B256" s="141" t="s">
        <v>1369</v>
      </c>
      <c r="C256" s="120"/>
      <c r="D256" s="120"/>
      <c r="E256" s="119"/>
      <c r="F256" s="120"/>
      <c r="G256" s="120"/>
      <c r="H256" s="120"/>
      <c r="J256" s="120"/>
      <c r="K256" s="120"/>
      <c r="L256" s="120"/>
      <c r="M256" s="120"/>
      <c r="N256" s="121"/>
      <c r="O256" s="120"/>
      <c r="P256" s="118"/>
      <c r="R256" s="123"/>
      <c r="T256" s="123"/>
      <c r="U256" s="123"/>
      <c r="V256" s="123"/>
      <c r="W256" s="123"/>
      <c r="X256" s="123"/>
      <c r="Y256" s="123"/>
      <c r="Z256" s="123"/>
      <c r="AA256" s="123"/>
      <c r="AB256" s="123"/>
      <c r="AC256" s="123"/>
      <c r="AD256" s="123"/>
      <c r="AE256" s="123"/>
      <c r="AF256" s="123"/>
      <c r="AG256" s="123"/>
      <c r="AH256" s="123"/>
      <c r="AI256" s="120"/>
      <c r="AJ256" s="134">
        <v>0</v>
      </c>
      <c r="AK256" s="120"/>
      <c r="AL256" s="120"/>
      <c r="AM256" s="120"/>
      <c r="AN256" s="120"/>
      <c r="AO256" s="120"/>
      <c r="AP256" s="120"/>
      <c r="AQ256" s="120"/>
      <c r="AR256" s="120"/>
      <c r="AS256" s="120"/>
      <c r="AT256" s="120"/>
      <c r="AU256" s="120"/>
      <c r="AV256" s="120"/>
      <c r="AW256" s="120"/>
      <c r="AX256" s="120"/>
      <c r="AY256" s="120"/>
      <c r="AZ256" s="121"/>
      <c r="BA256" s="121"/>
      <c r="BB256" s="121"/>
      <c r="BD256" s="121"/>
      <c r="BE256" s="121"/>
      <c r="BF256" s="124"/>
      <c r="BH256" s="121"/>
      <c r="BI256" s="121"/>
      <c r="BP256" s="121"/>
      <c r="BQ256" s="149"/>
    </row>
    <row r="257" spans="1:69" s="122" customFormat="1" ht="16.5">
      <c r="A257" s="118"/>
      <c r="B257" s="141" t="s">
        <v>1370</v>
      </c>
      <c r="C257" s="120"/>
      <c r="D257" s="120"/>
      <c r="E257" s="119"/>
      <c r="F257" s="120"/>
      <c r="G257" s="120"/>
      <c r="H257" s="120"/>
      <c r="J257" s="120"/>
      <c r="K257" s="120"/>
      <c r="L257" s="120"/>
      <c r="M257" s="120"/>
      <c r="N257" s="121"/>
      <c r="O257" s="120"/>
      <c r="P257" s="118"/>
      <c r="R257" s="123"/>
      <c r="T257" s="123"/>
      <c r="U257" s="123"/>
      <c r="V257" s="123"/>
      <c r="W257" s="123"/>
      <c r="X257" s="123"/>
      <c r="Y257" s="123"/>
      <c r="Z257" s="123"/>
      <c r="AA257" s="123"/>
      <c r="AB257" s="123"/>
      <c r="AC257" s="123"/>
      <c r="AD257" s="123"/>
      <c r="AE257" s="123"/>
      <c r="AF257" s="123"/>
      <c r="AG257" s="123"/>
      <c r="AH257" s="123"/>
      <c r="AI257" s="120"/>
      <c r="AJ257" s="134">
        <v>0</v>
      </c>
      <c r="AK257" s="120"/>
      <c r="AL257" s="120"/>
      <c r="AM257" s="120"/>
      <c r="AN257" s="120"/>
      <c r="AO257" s="120"/>
      <c r="AP257" s="120"/>
      <c r="AQ257" s="120"/>
      <c r="AR257" s="120"/>
      <c r="AS257" s="120"/>
      <c r="AT257" s="120"/>
      <c r="AU257" s="120"/>
      <c r="AV257" s="120"/>
      <c r="AW257" s="120"/>
      <c r="AX257" s="120"/>
      <c r="AY257" s="120"/>
      <c r="AZ257" s="121"/>
      <c r="BA257" s="121"/>
      <c r="BB257" s="121"/>
      <c r="BD257" s="121"/>
      <c r="BE257" s="121"/>
      <c r="BF257" s="124"/>
      <c r="BH257" s="121"/>
      <c r="BI257" s="121"/>
      <c r="BP257" s="121"/>
      <c r="BQ257" s="149"/>
    </row>
    <row r="258" spans="1:69" s="122" customFormat="1" ht="16.5">
      <c r="A258" s="118"/>
      <c r="B258" s="141" t="s">
        <v>1371</v>
      </c>
      <c r="C258" s="120"/>
      <c r="D258" s="120"/>
      <c r="E258" s="119"/>
      <c r="F258" s="120"/>
      <c r="G258" s="120"/>
      <c r="H258" s="120"/>
      <c r="J258" s="120"/>
      <c r="K258" s="120"/>
      <c r="L258" s="120"/>
      <c r="M258" s="120"/>
      <c r="N258" s="121"/>
      <c r="O258" s="120"/>
      <c r="P258" s="118"/>
      <c r="R258" s="123"/>
      <c r="T258" s="123"/>
      <c r="U258" s="123"/>
      <c r="V258" s="123"/>
      <c r="W258" s="123"/>
      <c r="X258" s="123"/>
      <c r="Y258" s="123"/>
      <c r="Z258" s="123"/>
      <c r="AA258" s="123"/>
      <c r="AB258" s="123"/>
      <c r="AC258" s="123"/>
      <c r="AD258" s="123"/>
      <c r="AE258" s="123"/>
      <c r="AF258" s="123"/>
      <c r="AG258" s="123"/>
      <c r="AH258" s="123"/>
      <c r="AI258" s="120"/>
      <c r="AJ258" s="134">
        <v>0</v>
      </c>
      <c r="AK258" s="120"/>
      <c r="AL258" s="120"/>
      <c r="AM258" s="120"/>
      <c r="AN258" s="120"/>
      <c r="AO258" s="120"/>
      <c r="AP258" s="120"/>
      <c r="AQ258" s="120"/>
      <c r="AR258" s="120"/>
      <c r="AS258" s="120"/>
      <c r="AT258" s="120"/>
      <c r="AU258" s="120"/>
      <c r="AV258" s="120"/>
      <c r="AW258" s="120"/>
      <c r="AX258" s="120"/>
      <c r="AY258" s="120"/>
      <c r="AZ258" s="121"/>
      <c r="BA258" s="121"/>
      <c r="BB258" s="121"/>
      <c r="BD258" s="121"/>
      <c r="BE258" s="121"/>
      <c r="BF258" s="124"/>
      <c r="BH258" s="121"/>
      <c r="BI258" s="121"/>
      <c r="BP258" s="121"/>
      <c r="BQ258" s="149"/>
    </row>
    <row r="259" spans="1:69" s="122" customFormat="1" ht="27">
      <c r="A259" s="118"/>
      <c r="B259" s="141" t="s">
        <v>1372</v>
      </c>
      <c r="C259" s="120"/>
      <c r="D259" s="120"/>
      <c r="E259" s="119"/>
      <c r="F259" s="120"/>
      <c r="G259" s="120"/>
      <c r="H259" s="120"/>
      <c r="J259" s="120"/>
      <c r="K259" s="120"/>
      <c r="L259" s="120"/>
      <c r="M259" s="120"/>
      <c r="N259" s="121"/>
      <c r="O259" s="120"/>
      <c r="P259" s="118"/>
      <c r="R259" s="123"/>
      <c r="T259" s="123"/>
      <c r="U259" s="123"/>
      <c r="V259" s="123"/>
      <c r="W259" s="123"/>
      <c r="X259" s="123"/>
      <c r="Y259" s="123"/>
      <c r="Z259" s="123"/>
      <c r="AA259" s="123"/>
      <c r="AB259" s="123"/>
      <c r="AC259" s="123"/>
      <c r="AD259" s="123"/>
      <c r="AE259" s="123"/>
      <c r="AF259" s="123"/>
      <c r="AG259" s="123"/>
      <c r="AH259" s="123"/>
      <c r="AI259" s="120"/>
      <c r="AJ259" s="134">
        <v>0</v>
      </c>
      <c r="AK259" s="120"/>
      <c r="AL259" s="120"/>
      <c r="AM259" s="120"/>
      <c r="AN259" s="120"/>
      <c r="AO259" s="120"/>
      <c r="AP259" s="120"/>
      <c r="AQ259" s="120"/>
      <c r="AR259" s="120"/>
      <c r="AS259" s="120"/>
      <c r="AT259" s="120"/>
      <c r="AU259" s="120"/>
      <c r="AV259" s="120"/>
      <c r="AW259" s="120"/>
      <c r="AX259" s="120"/>
      <c r="AY259" s="120"/>
      <c r="AZ259" s="121"/>
      <c r="BA259" s="121"/>
      <c r="BB259" s="121"/>
      <c r="BD259" s="121"/>
      <c r="BE259" s="121"/>
      <c r="BF259" s="124"/>
      <c r="BH259" s="121"/>
      <c r="BI259" s="121"/>
      <c r="BP259" s="121"/>
      <c r="BQ259" s="149"/>
    </row>
    <row r="260" spans="1:69" s="122" customFormat="1" ht="16.5">
      <c r="A260" s="118"/>
      <c r="B260" s="141" t="s">
        <v>1373</v>
      </c>
      <c r="C260" s="120"/>
      <c r="D260" s="120"/>
      <c r="E260" s="119"/>
      <c r="F260" s="120"/>
      <c r="G260" s="120"/>
      <c r="H260" s="120"/>
      <c r="J260" s="120"/>
      <c r="K260" s="120"/>
      <c r="L260" s="120"/>
      <c r="M260" s="120"/>
      <c r="N260" s="121"/>
      <c r="O260" s="120"/>
      <c r="P260" s="118"/>
      <c r="R260" s="123"/>
      <c r="T260" s="123"/>
      <c r="U260" s="123"/>
      <c r="V260" s="123"/>
      <c r="W260" s="123"/>
      <c r="X260" s="123"/>
      <c r="Y260" s="123"/>
      <c r="Z260" s="123"/>
      <c r="AA260" s="123"/>
      <c r="AB260" s="123"/>
      <c r="AC260" s="123"/>
      <c r="AD260" s="123"/>
      <c r="AE260" s="123"/>
      <c r="AF260" s="123"/>
      <c r="AG260" s="123"/>
      <c r="AH260" s="123"/>
      <c r="AI260" s="120"/>
      <c r="AJ260" s="134">
        <v>0</v>
      </c>
      <c r="AK260" s="120"/>
      <c r="AL260" s="120"/>
      <c r="AM260" s="120"/>
      <c r="AN260" s="120"/>
      <c r="AO260" s="120"/>
      <c r="AP260" s="120"/>
      <c r="AQ260" s="120"/>
      <c r="AR260" s="120"/>
      <c r="AS260" s="120"/>
      <c r="AT260" s="120"/>
      <c r="AU260" s="120"/>
      <c r="AV260" s="120"/>
      <c r="AW260" s="120"/>
      <c r="AX260" s="120"/>
      <c r="AY260" s="120"/>
      <c r="AZ260" s="121"/>
      <c r="BA260" s="121"/>
      <c r="BB260" s="121"/>
      <c r="BD260" s="121"/>
      <c r="BE260" s="121"/>
      <c r="BF260" s="124"/>
      <c r="BH260" s="121"/>
      <c r="BI260" s="121"/>
      <c r="BP260" s="121"/>
      <c r="BQ260" s="149"/>
    </row>
    <row r="261" spans="1:69" s="122" customFormat="1" ht="16.5">
      <c r="A261" s="118"/>
      <c r="B261" s="141" t="s">
        <v>1374</v>
      </c>
      <c r="C261" s="120"/>
      <c r="D261" s="120"/>
      <c r="E261" s="119"/>
      <c r="F261" s="120"/>
      <c r="G261" s="120"/>
      <c r="H261" s="120"/>
      <c r="J261" s="120"/>
      <c r="K261" s="120"/>
      <c r="L261" s="120"/>
      <c r="M261" s="120"/>
      <c r="N261" s="121"/>
      <c r="O261" s="120"/>
      <c r="P261" s="118"/>
      <c r="R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/>
      <c r="AG261" s="123"/>
      <c r="AH261" s="123"/>
      <c r="AI261" s="120"/>
      <c r="AJ261" s="134">
        <v>0</v>
      </c>
      <c r="AK261" s="120"/>
      <c r="AL261" s="120"/>
      <c r="AM261" s="120"/>
      <c r="AN261" s="120"/>
      <c r="AO261" s="120"/>
      <c r="AP261" s="120"/>
      <c r="AQ261" s="120"/>
      <c r="AR261" s="120"/>
      <c r="AS261" s="120"/>
      <c r="AT261" s="120"/>
      <c r="AU261" s="120"/>
      <c r="AV261" s="120"/>
      <c r="AW261" s="120"/>
      <c r="AX261" s="120"/>
      <c r="AY261" s="120"/>
      <c r="AZ261" s="121"/>
      <c r="BA261" s="121"/>
      <c r="BB261" s="121"/>
      <c r="BD261" s="121"/>
      <c r="BE261" s="121"/>
      <c r="BF261" s="124"/>
      <c r="BH261" s="121"/>
      <c r="BI261" s="121"/>
      <c r="BP261" s="121"/>
      <c r="BQ261" s="149"/>
    </row>
    <row r="262" spans="1:69" s="122" customFormat="1" ht="16.5">
      <c r="A262" s="118"/>
      <c r="B262" s="141" t="s">
        <v>1375</v>
      </c>
      <c r="C262" s="120"/>
      <c r="D262" s="120"/>
      <c r="E262" s="119"/>
      <c r="F262" s="120"/>
      <c r="G262" s="120"/>
      <c r="H262" s="120"/>
      <c r="J262" s="120"/>
      <c r="K262" s="120"/>
      <c r="L262" s="120"/>
      <c r="M262" s="120"/>
      <c r="N262" s="121"/>
      <c r="O262" s="120"/>
      <c r="P262" s="118"/>
      <c r="R262" s="123"/>
      <c r="T262" s="123"/>
      <c r="U262" s="123"/>
      <c r="V262" s="123"/>
      <c r="W262" s="123"/>
      <c r="X262" s="123"/>
      <c r="Y262" s="123"/>
      <c r="Z262" s="123"/>
      <c r="AA262" s="123"/>
      <c r="AB262" s="123"/>
      <c r="AC262" s="123"/>
      <c r="AD262" s="123"/>
      <c r="AE262" s="123"/>
      <c r="AF262" s="123"/>
      <c r="AG262" s="123"/>
      <c r="AH262" s="123"/>
      <c r="AI262" s="120"/>
      <c r="AJ262" s="134">
        <v>0</v>
      </c>
      <c r="AK262" s="120"/>
      <c r="AL262" s="120"/>
      <c r="AM262" s="120"/>
      <c r="AN262" s="120"/>
      <c r="AO262" s="120"/>
      <c r="AP262" s="120"/>
      <c r="AQ262" s="120"/>
      <c r="AR262" s="120"/>
      <c r="AS262" s="120"/>
      <c r="AT262" s="120"/>
      <c r="AU262" s="120"/>
      <c r="AV262" s="120"/>
      <c r="AW262" s="120"/>
      <c r="AX262" s="120"/>
      <c r="AY262" s="120"/>
      <c r="AZ262" s="121"/>
      <c r="BA262" s="121"/>
      <c r="BB262" s="121"/>
      <c r="BD262" s="121"/>
      <c r="BE262" s="121"/>
      <c r="BF262" s="124"/>
      <c r="BH262" s="121"/>
      <c r="BI262" s="121"/>
      <c r="BP262" s="121"/>
      <c r="BQ262" s="149"/>
    </row>
    <row r="263" spans="1:69" s="122" customFormat="1" ht="16.5">
      <c r="A263" s="118"/>
      <c r="B263" s="141" t="s">
        <v>1376</v>
      </c>
      <c r="C263" s="120"/>
      <c r="D263" s="120"/>
      <c r="E263" s="119"/>
      <c r="F263" s="120"/>
      <c r="G263" s="120"/>
      <c r="H263" s="120"/>
      <c r="J263" s="120"/>
      <c r="K263" s="120"/>
      <c r="L263" s="120"/>
      <c r="M263" s="120"/>
      <c r="N263" s="121"/>
      <c r="O263" s="120"/>
      <c r="P263" s="118"/>
      <c r="R263" s="123"/>
      <c r="T263" s="123"/>
      <c r="U263" s="123"/>
      <c r="V263" s="123"/>
      <c r="W263" s="123"/>
      <c r="X263" s="123"/>
      <c r="Y263" s="123"/>
      <c r="Z263" s="123"/>
      <c r="AA263" s="123"/>
      <c r="AB263" s="123"/>
      <c r="AC263" s="123"/>
      <c r="AD263" s="123"/>
      <c r="AE263" s="123"/>
      <c r="AF263" s="123"/>
      <c r="AG263" s="123"/>
      <c r="AH263" s="123"/>
      <c r="AI263" s="120"/>
      <c r="AJ263" s="134">
        <v>12.88</v>
      </c>
      <c r="AK263" s="120"/>
      <c r="AL263" s="120"/>
      <c r="AM263" s="120"/>
      <c r="AN263" s="120"/>
      <c r="AO263" s="120"/>
      <c r="AP263" s="120"/>
      <c r="AQ263" s="120"/>
      <c r="AR263" s="120"/>
      <c r="AS263" s="120"/>
      <c r="AT263" s="120"/>
      <c r="AU263" s="120"/>
      <c r="AV263" s="120"/>
      <c r="AW263" s="120"/>
      <c r="AX263" s="120"/>
      <c r="AY263" s="120"/>
      <c r="AZ263" s="121"/>
      <c r="BA263" s="121"/>
      <c r="BB263" s="121"/>
      <c r="BD263" s="121"/>
      <c r="BE263" s="121"/>
      <c r="BF263" s="124"/>
      <c r="BH263" s="121"/>
      <c r="BI263" s="121"/>
      <c r="BP263" s="121"/>
      <c r="BQ263" s="149"/>
    </row>
    <row r="264" spans="1:69" s="122" customFormat="1" ht="16.5">
      <c r="A264" s="118"/>
      <c r="B264" s="141" t="s">
        <v>1377</v>
      </c>
      <c r="C264" s="120"/>
      <c r="D264" s="120"/>
      <c r="E264" s="119"/>
      <c r="F264" s="120"/>
      <c r="G264" s="120"/>
      <c r="H264" s="120"/>
      <c r="J264" s="120"/>
      <c r="K264" s="120"/>
      <c r="L264" s="120"/>
      <c r="M264" s="120"/>
      <c r="N264" s="121"/>
      <c r="O264" s="120"/>
      <c r="P264" s="118"/>
      <c r="R264" s="123"/>
      <c r="T264" s="123"/>
      <c r="U264" s="123"/>
      <c r="V264" s="123"/>
      <c r="W264" s="123"/>
      <c r="X264" s="123"/>
      <c r="Y264" s="123"/>
      <c r="Z264" s="123"/>
      <c r="AA264" s="123"/>
      <c r="AB264" s="123"/>
      <c r="AC264" s="123"/>
      <c r="AD264" s="123"/>
      <c r="AE264" s="123"/>
      <c r="AF264" s="123"/>
      <c r="AG264" s="123"/>
      <c r="AH264" s="123"/>
      <c r="AI264" s="120"/>
      <c r="AJ264" s="134">
        <v>0</v>
      </c>
      <c r="AK264" s="120"/>
      <c r="AL264" s="120"/>
      <c r="AM264" s="120"/>
      <c r="AN264" s="120"/>
      <c r="AO264" s="120"/>
      <c r="AP264" s="120"/>
      <c r="AQ264" s="120"/>
      <c r="AR264" s="120"/>
      <c r="AS264" s="120"/>
      <c r="AT264" s="120"/>
      <c r="AU264" s="120"/>
      <c r="AV264" s="120"/>
      <c r="AW264" s="120"/>
      <c r="AX264" s="120"/>
      <c r="AY264" s="120"/>
      <c r="AZ264" s="121"/>
      <c r="BA264" s="121"/>
      <c r="BB264" s="121"/>
      <c r="BD264" s="121"/>
      <c r="BE264" s="121"/>
      <c r="BF264" s="124"/>
      <c r="BH264" s="121"/>
      <c r="BI264" s="121"/>
      <c r="BP264" s="121"/>
      <c r="BQ264" s="150">
        <v>44596.62605324074</v>
      </c>
    </row>
    <row r="265" spans="1:69" s="122" customFormat="1" ht="27">
      <c r="A265" s="118"/>
      <c r="B265" s="141" t="s">
        <v>1378</v>
      </c>
      <c r="C265" s="120"/>
      <c r="D265" s="120"/>
      <c r="E265" s="119"/>
      <c r="F265" s="120"/>
      <c r="G265" s="120"/>
      <c r="H265" s="120"/>
      <c r="J265" s="120"/>
      <c r="K265" s="120"/>
      <c r="L265" s="120"/>
      <c r="M265" s="120"/>
      <c r="N265" s="121"/>
      <c r="O265" s="120"/>
      <c r="P265" s="118"/>
      <c r="R265" s="123"/>
      <c r="T265" s="123"/>
      <c r="U265" s="123"/>
      <c r="V265" s="123"/>
      <c r="W265" s="123"/>
      <c r="X265" s="123"/>
      <c r="Y265" s="123"/>
      <c r="Z265" s="123"/>
      <c r="AA265" s="123">
        <v>8</v>
      </c>
      <c r="AB265" s="123"/>
      <c r="AC265" s="123"/>
      <c r="AD265" s="123"/>
      <c r="AE265" s="123"/>
      <c r="AF265" s="123"/>
      <c r="AG265" s="123"/>
      <c r="AH265" s="123"/>
      <c r="AI265" s="120"/>
      <c r="AJ265" s="134">
        <v>0</v>
      </c>
      <c r="AK265" s="120"/>
      <c r="AL265" s="120"/>
      <c r="AM265" s="120"/>
      <c r="AN265" s="120"/>
      <c r="AO265" s="120"/>
      <c r="AP265" s="120"/>
      <c r="AQ265" s="120"/>
      <c r="AR265" s="120"/>
      <c r="AS265" s="120"/>
      <c r="AT265" s="120"/>
      <c r="AU265" s="120"/>
      <c r="AV265" s="120"/>
      <c r="AW265" s="120"/>
      <c r="AX265" s="120"/>
      <c r="AY265" s="120"/>
      <c r="AZ265" s="121"/>
      <c r="BA265" s="121"/>
      <c r="BB265" s="121"/>
      <c r="BD265" s="121"/>
      <c r="BE265" s="121"/>
      <c r="BF265" s="124"/>
      <c r="BH265" s="121"/>
      <c r="BI265" s="121"/>
      <c r="BP265" s="121"/>
      <c r="BQ265" s="149"/>
    </row>
    <row r="266" spans="1:69" s="122" customFormat="1" ht="16.5">
      <c r="A266" s="118"/>
      <c r="B266" s="141"/>
      <c r="C266" s="120"/>
      <c r="D266" s="120"/>
      <c r="E266" s="119"/>
      <c r="F266" s="120"/>
      <c r="G266" s="120"/>
      <c r="H266" s="120"/>
      <c r="J266" s="120"/>
      <c r="K266" s="120"/>
      <c r="L266" s="120"/>
      <c r="M266" s="120"/>
      <c r="N266" s="121"/>
      <c r="O266" s="120"/>
      <c r="P266" s="118"/>
      <c r="R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0"/>
      <c r="AJ266" s="130"/>
      <c r="AK266" s="120"/>
      <c r="AL266" s="120"/>
      <c r="AM266" s="120"/>
      <c r="AN266" s="120"/>
      <c r="AO266" s="120"/>
      <c r="AP266" s="120"/>
      <c r="AQ266" s="120"/>
      <c r="AR266" s="120"/>
      <c r="AS266" s="120"/>
      <c r="AT266" s="120"/>
      <c r="AU266" s="120"/>
      <c r="AV266" s="120"/>
      <c r="AW266" s="120"/>
      <c r="AX266" s="120"/>
      <c r="AY266" s="120"/>
      <c r="AZ266" s="121"/>
      <c r="BA266" s="121"/>
      <c r="BB266" s="121"/>
      <c r="BD266" s="121"/>
      <c r="BE266" s="121"/>
      <c r="BF266" s="124"/>
      <c r="BH266" s="121"/>
      <c r="BI266" s="121"/>
      <c r="BP266" s="121"/>
      <c r="BQ266" s="149"/>
    </row>
    <row r="267" spans="1:69" s="122" customFormat="1" ht="16.5">
      <c r="A267" s="118"/>
      <c r="B267" s="141" t="s">
        <v>1382</v>
      </c>
      <c r="C267" s="120"/>
      <c r="D267" s="120"/>
      <c r="E267" s="119"/>
      <c r="F267" s="120"/>
      <c r="G267" s="120"/>
      <c r="H267" s="120"/>
      <c r="J267" s="120"/>
      <c r="K267" s="120"/>
      <c r="L267" s="120"/>
      <c r="M267" s="120"/>
      <c r="N267" s="121"/>
      <c r="O267" s="120"/>
      <c r="P267" s="118"/>
      <c r="R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0"/>
      <c r="AJ267" s="130"/>
      <c r="AK267" s="134">
        <v>0</v>
      </c>
      <c r="AL267" s="120"/>
      <c r="AM267" s="120"/>
      <c r="AN267" s="120"/>
      <c r="AO267" s="120"/>
      <c r="AP267" s="120"/>
      <c r="AQ267" s="120"/>
      <c r="AR267" s="120"/>
      <c r="AS267" s="120"/>
      <c r="AT267" s="120"/>
      <c r="AU267" s="120"/>
      <c r="AV267" s="120"/>
      <c r="AW267" s="120"/>
      <c r="AX267" s="120"/>
      <c r="AY267" s="120"/>
      <c r="AZ267" s="121"/>
      <c r="BA267" s="121"/>
      <c r="BB267" s="121"/>
      <c r="BD267" s="121"/>
      <c r="BE267" s="121"/>
      <c r="BF267" s="124"/>
      <c r="BH267" s="121"/>
      <c r="BI267" s="121"/>
      <c r="BP267" s="121"/>
      <c r="BQ267" s="149"/>
    </row>
    <row r="268" spans="1:69" s="122" customFormat="1" ht="16.5">
      <c r="A268" s="118"/>
      <c r="B268" s="141" t="s">
        <v>2876</v>
      </c>
      <c r="C268" s="120">
        <v>2</v>
      </c>
      <c r="D268" s="120"/>
      <c r="E268" s="119"/>
      <c r="F268" s="120"/>
      <c r="G268" s="120"/>
      <c r="H268" s="120"/>
      <c r="J268" s="120"/>
      <c r="K268" s="120"/>
      <c r="L268" s="120"/>
      <c r="M268" s="120"/>
      <c r="N268" s="121"/>
      <c r="O268" s="120"/>
      <c r="P268" s="118"/>
      <c r="R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0"/>
      <c r="AJ268" s="130"/>
      <c r="AK268" s="134">
        <v>15.92</v>
      </c>
      <c r="AL268" s="120"/>
      <c r="AM268" s="120"/>
      <c r="AN268" s="120"/>
      <c r="AO268" s="120"/>
      <c r="AP268" s="120"/>
      <c r="AQ268" s="120"/>
      <c r="AR268" s="120"/>
      <c r="AS268" s="120"/>
      <c r="AT268" s="120"/>
      <c r="AU268" s="120"/>
      <c r="AV268" s="120"/>
      <c r="AW268" s="120"/>
      <c r="AX268" s="120"/>
      <c r="AY268" s="120"/>
      <c r="AZ268" s="121"/>
      <c r="BA268" s="121"/>
      <c r="BB268" s="121"/>
      <c r="BD268" s="121"/>
      <c r="BE268" s="121"/>
      <c r="BF268" s="124"/>
      <c r="BH268" s="121"/>
      <c r="BI268" s="121"/>
      <c r="BP268" s="121"/>
      <c r="BQ268" s="150">
        <v>44596.684942129628</v>
      </c>
    </row>
    <row r="269" spans="1:69" s="122" customFormat="1" ht="16.5">
      <c r="A269" s="118"/>
      <c r="B269" s="141" t="s">
        <v>1385</v>
      </c>
      <c r="C269" s="120"/>
      <c r="D269" s="120"/>
      <c r="E269" s="119"/>
      <c r="F269" s="120"/>
      <c r="G269" s="120"/>
      <c r="H269" s="120"/>
      <c r="J269" s="120"/>
      <c r="K269" s="120"/>
      <c r="L269" s="120"/>
      <c r="M269" s="120"/>
      <c r="N269" s="121"/>
      <c r="O269" s="120"/>
      <c r="P269" s="118"/>
      <c r="R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123"/>
      <c r="AI269" s="120"/>
      <c r="AJ269" s="130"/>
      <c r="AK269" s="134">
        <v>0</v>
      </c>
      <c r="AL269" s="120"/>
      <c r="AM269" s="120"/>
      <c r="AN269" s="120"/>
      <c r="AO269" s="120"/>
      <c r="AP269" s="120"/>
      <c r="AQ269" s="120"/>
      <c r="AR269" s="120"/>
      <c r="AS269" s="120"/>
      <c r="AT269" s="120"/>
      <c r="AU269" s="120"/>
      <c r="AV269" s="120"/>
      <c r="AW269" s="120"/>
      <c r="AX269" s="120"/>
      <c r="AY269" s="120"/>
      <c r="AZ269" s="121"/>
      <c r="BA269" s="121"/>
      <c r="BB269" s="121"/>
      <c r="BD269" s="121"/>
      <c r="BE269" s="121"/>
      <c r="BF269" s="124"/>
      <c r="BH269" s="121"/>
      <c r="BI269" s="121"/>
      <c r="BP269" s="121"/>
      <c r="BQ269" s="150">
        <v>44596.68509259259</v>
      </c>
    </row>
    <row r="270" spans="1:69" s="122" customFormat="1" ht="16.5">
      <c r="A270" s="118"/>
      <c r="B270" s="141" t="s">
        <v>1388</v>
      </c>
      <c r="C270" s="120"/>
      <c r="D270" s="120"/>
      <c r="E270" s="119"/>
      <c r="F270" s="120"/>
      <c r="G270" s="120"/>
      <c r="H270" s="120"/>
      <c r="J270" s="120"/>
      <c r="K270" s="120"/>
      <c r="L270" s="120"/>
      <c r="M270" s="120"/>
      <c r="N270" s="121"/>
      <c r="O270" s="120"/>
      <c r="P270" s="118"/>
      <c r="R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123"/>
      <c r="AI270" s="120"/>
      <c r="AJ270" s="130"/>
      <c r="AK270" s="134">
        <v>0</v>
      </c>
      <c r="AL270" s="120"/>
      <c r="AM270" s="120"/>
      <c r="AN270" s="120"/>
      <c r="AO270" s="120"/>
      <c r="AP270" s="120"/>
      <c r="AQ270" s="120"/>
      <c r="AR270" s="120"/>
      <c r="AS270" s="120"/>
      <c r="AT270" s="120"/>
      <c r="AU270" s="120"/>
      <c r="AV270" s="120"/>
      <c r="AW270" s="120"/>
      <c r="AX270" s="120"/>
      <c r="AY270" s="120"/>
      <c r="AZ270" s="121"/>
      <c r="BA270" s="121"/>
      <c r="BB270" s="121"/>
      <c r="BD270" s="121"/>
      <c r="BE270" s="121"/>
      <c r="BF270" s="124"/>
      <c r="BH270" s="121"/>
      <c r="BI270" s="121"/>
      <c r="BP270" s="121"/>
      <c r="BQ270" s="149"/>
    </row>
    <row r="271" spans="1:69" s="122" customFormat="1" ht="16.5">
      <c r="A271" s="118"/>
      <c r="B271" s="141" t="s">
        <v>1391</v>
      </c>
      <c r="C271" s="120">
        <v>3</v>
      </c>
      <c r="D271" s="120"/>
      <c r="E271" s="119"/>
      <c r="F271" s="120"/>
      <c r="G271" s="120"/>
      <c r="H271" s="120"/>
      <c r="J271" s="120"/>
      <c r="K271" s="120"/>
      <c r="L271" s="120"/>
      <c r="M271" s="120"/>
      <c r="N271" s="121"/>
      <c r="O271" s="120"/>
      <c r="P271" s="118"/>
      <c r="R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123"/>
      <c r="AI271" s="120"/>
      <c r="AJ271" s="130"/>
      <c r="AK271" s="134"/>
      <c r="AL271" s="120"/>
      <c r="AM271" s="120"/>
      <c r="AN271" s="120"/>
      <c r="AO271" s="120"/>
      <c r="AP271" s="120"/>
      <c r="AQ271" s="120"/>
      <c r="AR271" s="120"/>
      <c r="AS271" s="120"/>
      <c r="AT271" s="120"/>
      <c r="AU271" s="120"/>
      <c r="AV271" s="120"/>
      <c r="AW271" s="120"/>
      <c r="AX271" s="120"/>
      <c r="AY271" s="120"/>
      <c r="AZ271" s="121"/>
      <c r="BA271" s="121"/>
      <c r="BB271" s="121"/>
      <c r="BD271" s="121"/>
      <c r="BE271" s="121"/>
      <c r="BF271" s="124"/>
      <c r="BH271" s="121"/>
      <c r="BI271" s="121"/>
      <c r="BP271" s="121"/>
      <c r="BQ271" s="150">
        <v>44596.685393518521</v>
      </c>
    </row>
    <row r="272" spans="1:69" s="122" customFormat="1" ht="16.5">
      <c r="A272" s="118"/>
      <c r="B272" s="141" t="s">
        <v>1392</v>
      </c>
      <c r="C272" s="120"/>
      <c r="D272" s="120"/>
      <c r="E272" s="119"/>
      <c r="F272" s="120"/>
      <c r="G272" s="120"/>
      <c r="H272" s="120"/>
      <c r="J272" s="120"/>
      <c r="K272" s="120"/>
      <c r="L272" s="120"/>
      <c r="M272" s="120"/>
      <c r="N272" s="121"/>
      <c r="O272" s="120"/>
      <c r="P272" s="118"/>
      <c r="R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0"/>
      <c r="AJ272" s="130"/>
      <c r="AK272" s="134">
        <v>0</v>
      </c>
      <c r="AL272" s="120"/>
      <c r="AM272" s="120"/>
      <c r="AN272" s="120"/>
      <c r="AO272" s="120"/>
      <c r="AP272" s="120"/>
      <c r="AQ272" s="120"/>
      <c r="AR272" s="120"/>
      <c r="AS272" s="120"/>
      <c r="AT272" s="120"/>
      <c r="AU272" s="120"/>
      <c r="AV272" s="120"/>
      <c r="AW272" s="120"/>
      <c r="AX272" s="120"/>
      <c r="AY272" s="120"/>
      <c r="AZ272" s="121"/>
      <c r="BA272" s="121"/>
      <c r="BB272" s="121"/>
      <c r="BD272" s="121"/>
      <c r="BE272" s="121"/>
      <c r="BF272" s="124"/>
      <c r="BH272" s="121"/>
      <c r="BI272" s="121"/>
      <c r="BP272" s="121"/>
      <c r="BQ272" s="149"/>
    </row>
    <row r="273" spans="1:69" s="122" customFormat="1" ht="16.5">
      <c r="A273" s="118"/>
      <c r="B273" s="141" t="s">
        <v>1393</v>
      </c>
      <c r="C273" s="120"/>
      <c r="D273" s="120"/>
      <c r="E273" s="119"/>
      <c r="F273" s="120"/>
      <c r="G273" s="120"/>
      <c r="H273" s="120"/>
      <c r="J273" s="120"/>
      <c r="K273" s="120"/>
      <c r="L273" s="120"/>
      <c r="M273" s="120"/>
      <c r="N273" s="121"/>
      <c r="O273" s="120"/>
      <c r="P273" s="118"/>
      <c r="R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123"/>
      <c r="AI273" s="120"/>
      <c r="AJ273" s="130"/>
      <c r="AK273" s="134">
        <v>0</v>
      </c>
      <c r="AL273" s="120"/>
      <c r="AM273" s="120"/>
      <c r="AN273" s="120"/>
      <c r="AO273" s="120"/>
      <c r="AP273" s="120"/>
      <c r="AQ273" s="120"/>
      <c r="AR273" s="120"/>
      <c r="AS273" s="120"/>
      <c r="AT273" s="120"/>
      <c r="AU273" s="120"/>
      <c r="AV273" s="120"/>
      <c r="AW273" s="120"/>
      <c r="AX273" s="120"/>
      <c r="AY273" s="120"/>
      <c r="AZ273" s="121"/>
      <c r="BA273" s="121"/>
      <c r="BB273" s="121"/>
      <c r="BD273" s="121"/>
      <c r="BE273" s="121"/>
      <c r="BF273" s="124"/>
      <c r="BH273" s="121"/>
      <c r="BI273" s="121"/>
      <c r="BP273" s="121"/>
      <c r="BQ273" s="149"/>
    </row>
    <row r="274" spans="1:69" s="122" customFormat="1" ht="16.5">
      <c r="A274" s="118"/>
      <c r="B274" s="141" t="s">
        <v>1394</v>
      </c>
      <c r="C274" s="120"/>
      <c r="D274" s="120"/>
      <c r="E274" s="119"/>
      <c r="F274" s="120"/>
      <c r="G274" s="120"/>
      <c r="H274" s="120"/>
      <c r="J274" s="120"/>
      <c r="K274" s="120"/>
      <c r="L274" s="120"/>
      <c r="M274" s="120"/>
      <c r="N274" s="121"/>
      <c r="O274" s="120"/>
      <c r="P274" s="118"/>
      <c r="R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123"/>
      <c r="AI274" s="120"/>
      <c r="AJ274" s="130"/>
      <c r="AK274" s="134">
        <v>0</v>
      </c>
      <c r="AL274" s="120"/>
      <c r="AM274" s="120"/>
      <c r="AN274" s="120"/>
      <c r="AO274" s="120"/>
      <c r="AP274" s="120"/>
      <c r="AQ274" s="120"/>
      <c r="AR274" s="120"/>
      <c r="AS274" s="120"/>
      <c r="AT274" s="120"/>
      <c r="AU274" s="120"/>
      <c r="AV274" s="120"/>
      <c r="AW274" s="120"/>
      <c r="AX274" s="120"/>
      <c r="AY274" s="120"/>
      <c r="AZ274" s="121"/>
      <c r="BA274" s="121"/>
      <c r="BB274" s="121"/>
      <c r="BD274" s="121"/>
      <c r="BE274" s="121"/>
      <c r="BF274" s="124"/>
      <c r="BH274" s="121"/>
      <c r="BI274" s="121"/>
      <c r="BP274" s="121"/>
      <c r="BQ274" s="149"/>
    </row>
    <row r="275" spans="1:69" s="122" customFormat="1" ht="16.5">
      <c r="A275" s="118"/>
      <c r="B275" s="141"/>
      <c r="C275" s="120"/>
      <c r="D275" s="120"/>
      <c r="E275" s="119"/>
      <c r="F275" s="120"/>
      <c r="G275" s="120"/>
      <c r="H275" s="120"/>
      <c r="J275" s="120"/>
      <c r="K275" s="120"/>
      <c r="L275" s="120"/>
      <c r="M275" s="120"/>
      <c r="N275" s="121"/>
      <c r="O275" s="120"/>
      <c r="P275" s="118"/>
      <c r="R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0"/>
      <c r="AJ275" s="130"/>
      <c r="AK275" s="130"/>
      <c r="AL275" s="120"/>
      <c r="AM275" s="120"/>
      <c r="AN275" s="120"/>
      <c r="AO275" s="120"/>
      <c r="AP275" s="120"/>
      <c r="AQ275" s="120"/>
      <c r="AR275" s="120"/>
      <c r="AS275" s="120"/>
      <c r="AT275" s="120"/>
      <c r="AU275" s="120"/>
      <c r="AV275" s="120"/>
      <c r="AW275" s="120"/>
      <c r="AX275" s="120"/>
      <c r="AY275" s="120"/>
      <c r="AZ275" s="121"/>
      <c r="BA275" s="121"/>
      <c r="BB275" s="121"/>
      <c r="BD275" s="121"/>
      <c r="BE275" s="121"/>
      <c r="BF275" s="124"/>
      <c r="BH275" s="121"/>
      <c r="BI275" s="121"/>
      <c r="BP275" s="121"/>
      <c r="BQ275" s="149"/>
    </row>
    <row r="276" spans="1:69" s="122" customFormat="1" ht="16.5">
      <c r="A276" s="118"/>
      <c r="B276" s="141" t="s">
        <v>1423</v>
      </c>
      <c r="C276" s="120"/>
      <c r="D276" s="120"/>
      <c r="E276" s="119"/>
      <c r="F276" s="120"/>
      <c r="G276" s="120"/>
      <c r="H276" s="120"/>
      <c r="J276" s="120"/>
      <c r="K276" s="120"/>
      <c r="L276" s="120"/>
      <c r="M276" s="120"/>
      <c r="N276" s="121"/>
      <c r="O276" s="120"/>
      <c r="P276" s="118"/>
      <c r="R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123"/>
      <c r="AI276" s="134">
        <v>0</v>
      </c>
      <c r="AJ276" s="130"/>
      <c r="AK276" s="130"/>
      <c r="AL276" s="120"/>
      <c r="AM276" s="120"/>
      <c r="AN276" s="120"/>
      <c r="AO276" s="120"/>
      <c r="AP276" s="120"/>
      <c r="AQ276" s="120"/>
      <c r="AR276" s="120"/>
      <c r="AS276" s="120"/>
      <c r="AT276" s="120"/>
      <c r="AU276" s="120"/>
      <c r="AV276" s="120"/>
      <c r="AW276" s="120"/>
      <c r="AX276" s="120"/>
      <c r="AY276" s="120"/>
      <c r="AZ276" s="121"/>
      <c r="BA276" s="121"/>
      <c r="BB276" s="121"/>
      <c r="BD276" s="121"/>
      <c r="BE276" s="121"/>
      <c r="BF276" s="124"/>
      <c r="BH276" s="121"/>
      <c r="BI276" s="121"/>
      <c r="BP276" s="121"/>
      <c r="BQ276" s="149"/>
    </row>
    <row r="277" spans="1:69" s="122" customFormat="1" ht="27">
      <c r="A277" s="118"/>
      <c r="B277" s="141" t="s">
        <v>1424</v>
      </c>
      <c r="C277" s="120"/>
      <c r="D277" s="120"/>
      <c r="E277" s="119"/>
      <c r="F277" s="120"/>
      <c r="G277" s="120"/>
      <c r="H277" s="120"/>
      <c r="J277" s="120"/>
      <c r="K277" s="120"/>
      <c r="L277" s="120"/>
      <c r="M277" s="120"/>
      <c r="N277" s="121"/>
      <c r="O277" s="120"/>
      <c r="P277" s="118"/>
      <c r="R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123"/>
      <c r="AI277" s="134">
        <v>0</v>
      </c>
      <c r="AJ277" s="130"/>
      <c r="AK277" s="130"/>
      <c r="AL277" s="120"/>
      <c r="AM277" s="120"/>
      <c r="AN277" s="120"/>
      <c r="AO277" s="120"/>
      <c r="AP277" s="120"/>
      <c r="AQ277" s="120"/>
      <c r="AR277" s="120"/>
      <c r="AS277" s="120"/>
      <c r="AT277" s="120"/>
      <c r="AU277" s="120"/>
      <c r="AV277" s="120"/>
      <c r="AW277" s="120"/>
      <c r="AX277" s="120"/>
      <c r="AY277" s="120"/>
      <c r="AZ277" s="121"/>
      <c r="BA277" s="121"/>
      <c r="BB277" s="121"/>
      <c r="BD277" s="121"/>
      <c r="BE277" s="121"/>
      <c r="BF277" s="124"/>
      <c r="BH277" s="121"/>
      <c r="BI277" s="121"/>
      <c r="BP277" s="121"/>
      <c r="BQ277" s="149"/>
    </row>
    <row r="278" spans="1:69" s="122" customFormat="1" ht="16.5">
      <c r="A278" s="118"/>
      <c r="B278" s="141" t="s">
        <v>1425</v>
      </c>
      <c r="C278" s="120"/>
      <c r="D278" s="120"/>
      <c r="E278" s="119"/>
      <c r="F278" s="120"/>
      <c r="G278" s="120"/>
      <c r="H278" s="120"/>
      <c r="J278" s="120"/>
      <c r="K278" s="120"/>
      <c r="L278" s="120"/>
      <c r="M278" s="120"/>
      <c r="N278" s="121"/>
      <c r="O278" s="120"/>
      <c r="P278" s="118"/>
      <c r="R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34">
        <v>0</v>
      </c>
      <c r="AH278" s="123"/>
      <c r="AI278" s="134">
        <v>0</v>
      </c>
      <c r="AJ278" s="130"/>
      <c r="AK278" s="130"/>
      <c r="AL278" s="120"/>
      <c r="AM278" s="120"/>
      <c r="AN278" s="120"/>
      <c r="AO278" s="120"/>
      <c r="AP278" s="120"/>
      <c r="AQ278" s="120"/>
      <c r="AR278" s="120"/>
      <c r="AS278" s="120"/>
      <c r="AT278" s="120"/>
      <c r="AU278" s="120"/>
      <c r="AV278" s="120"/>
      <c r="AW278" s="120"/>
      <c r="AX278" s="120"/>
      <c r="AY278" s="120"/>
      <c r="AZ278" s="121"/>
      <c r="BA278" s="121"/>
      <c r="BB278" s="121"/>
      <c r="BD278" s="121"/>
      <c r="BE278" s="121"/>
      <c r="BF278" s="124"/>
      <c r="BH278" s="121"/>
      <c r="BI278" s="121"/>
      <c r="BP278" s="121"/>
      <c r="BQ278" s="150">
        <v>44596.647696759261</v>
      </c>
    </row>
    <row r="279" spans="1:69" s="122" customFormat="1" ht="16.5">
      <c r="A279" s="118"/>
      <c r="B279" s="141" t="s">
        <v>1426</v>
      </c>
      <c r="C279" s="120"/>
      <c r="D279" s="120"/>
      <c r="E279" s="119"/>
      <c r="F279" s="120"/>
      <c r="G279" s="120"/>
      <c r="H279" s="120"/>
      <c r="J279" s="120"/>
      <c r="K279" s="120"/>
      <c r="L279" s="120"/>
      <c r="M279" s="120"/>
      <c r="N279" s="121"/>
      <c r="O279" s="120"/>
      <c r="P279" s="118"/>
      <c r="R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123"/>
      <c r="AI279" s="134">
        <v>0</v>
      </c>
      <c r="AJ279" s="130"/>
      <c r="AK279" s="130"/>
      <c r="AL279" s="120"/>
      <c r="AM279" s="120"/>
      <c r="AN279" s="120"/>
      <c r="AO279" s="120"/>
      <c r="AP279" s="120"/>
      <c r="AQ279" s="120"/>
      <c r="AR279" s="120"/>
      <c r="AS279" s="120"/>
      <c r="AT279" s="120"/>
      <c r="AU279" s="120"/>
      <c r="AV279" s="120"/>
      <c r="AW279" s="120"/>
      <c r="AX279" s="120"/>
      <c r="AY279" s="120"/>
      <c r="AZ279" s="121"/>
      <c r="BA279" s="121"/>
      <c r="BB279" s="121"/>
      <c r="BD279" s="121"/>
      <c r="BE279" s="121"/>
      <c r="BF279" s="124"/>
      <c r="BH279" s="121"/>
      <c r="BI279" s="121"/>
      <c r="BP279" s="121"/>
      <c r="BQ279" s="149"/>
    </row>
    <row r="280" spans="1:69" s="122" customFormat="1" ht="16.5">
      <c r="A280" s="118"/>
      <c r="B280" s="141" t="s">
        <v>1428</v>
      </c>
      <c r="C280" s="120">
        <v>2</v>
      </c>
      <c r="D280" s="120"/>
      <c r="E280" s="119"/>
      <c r="F280" s="120"/>
      <c r="G280" s="120"/>
      <c r="H280" s="120"/>
      <c r="J280" s="120"/>
      <c r="K280" s="120"/>
      <c r="L280" s="120"/>
      <c r="M280" s="120"/>
      <c r="N280" s="121"/>
      <c r="O280" s="120"/>
      <c r="P280" s="118"/>
      <c r="R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123"/>
      <c r="AI280" s="134">
        <v>0</v>
      </c>
      <c r="AJ280" s="130"/>
      <c r="AK280" s="130"/>
      <c r="AL280" s="120"/>
      <c r="AM280" s="120"/>
      <c r="AN280" s="120"/>
      <c r="AO280" s="120"/>
      <c r="AP280" s="120"/>
      <c r="AQ280" s="120"/>
      <c r="AR280" s="120"/>
      <c r="AS280" s="120"/>
      <c r="AT280" s="120"/>
      <c r="AU280" s="120"/>
      <c r="AV280" s="120"/>
      <c r="AW280" s="120"/>
      <c r="AX280" s="120"/>
      <c r="AY280" s="120"/>
      <c r="AZ280" s="121"/>
      <c r="BA280" s="121"/>
      <c r="BB280" s="121"/>
      <c r="BD280" s="121"/>
      <c r="BE280" s="121"/>
      <c r="BF280" s="124"/>
      <c r="BH280" s="121"/>
      <c r="BI280" s="121"/>
      <c r="BP280" s="121"/>
      <c r="BQ280" s="149"/>
    </row>
    <row r="281" spans="1:69" s="122" customFormat="1" ht="16.5">
      <c r="A281" s="118"/>
      <c r="B281" s="141" t="s">
        <v>1429</v>
      </c>
      <c r="C281" s="120"/>
      <c r="D281" s="120"/>
      <c r="E281" s="119"/>
      <c r="F281" s="120"/>
      <c r="G281" s="120"/>
      <c r="H281" s="120"/>
      <c r="J281" s="120"/>
      <c r="K281" s="120"/>
      <c r="L281" s="120"/>
      <c r="M281" s="120"/>
      <c r="N281" s="121"/>
      <c r="O281" s="120"/>
      <c r="P281" s="118"/>
      <c r="R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123"/>
      <c r="AI281" s="134">
        <v>0</v>
      </c>
      <c r="AJ281" s="130"/>
      <c r="AK281" s="130"/>
      <c r="AL281" s="120"/>
      <c r="AM281" s="120"/>
      <c r="AN281" s="120"/>
      <c r="AO281" s="120"/>
      <c r="AP281" s="120"/>
      <c r="AQ281" s="120"/>
      <c r="AR281" s="120"/>
      <c r="AS281" s="120"/>
      <c r="AT281" s="120"/>
      <c r="AU281" s="120"/>
      <c r="AV281" s="120"/>
      <c r="AW281" s="120"/>
      <c r="AX281" s="120"/>
      <c r="AY281" s="120"/>
      <c r="AZ281" s="121"/>
      <c r="BA281" s="121"/>
      <c r="BB281" s="121"/>
      <c r="BD281" s="121"/>
      <c r="BE281" s="121"/>
      <c r="BF281" s="124"/>
      <c r="BH281" s="121"/>
      <c r="BI281" s="121"/>
      <c r="BP281" s="121"/>
      <c r="BQ281" s="149"/>
    </row>
    <row r="282" spans="1:69" s="122" customFormat="1" ht="16.5">
      <c r="A282" s="118"/>
      <c r="B282" s="141" t="s">
        <v>1433</v>
      </c>
      <c r="C282" s="120"/>
      <c r="D282" s="120"/>
      <c r="E282" s="119"/>
      <c r="F282" s="120"/>
      <c r="G282" s="120"/>
      <c r="H282" s="120"/>
      <c r="J282" s="120"/>
      <c r="K282" s="120"/>
      <c r="L282" s="120"/>
      <c r="M282" s="120"/>
      <c r="N282" s="121"/>
      <c r="O282" s="120"/>
      <c r="P282" s="118"/>
      <c r="R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123"/>
      <c r="AI282" s="134">
        <v>0</v>
      </c>
      <c r="AJ282" s="130"/>
      <c r="AK282" s="130"/>
      <c r="AL282" s="120"/>
      <c r="AM282" s="120"/>
      <c r="AN282" s="120"/>
      <c r="AO282" s="120"/>
      <c r="AP282" s="120"/>
      <c r="AQ282" s="120"/>
      <c r="AR282" s="120"/>
      <c r="AS282" s="120"/>
      <c r="AT282" s="120"/>
      <c r="AU282" s="120"/>
      <c r="AV282" s="120"/>
      <c r="AW282" s="120"/>
      <c r="AX282" s="120"/>
      <c r="AY282" s="120"/>
      <c r="AZ282" s="121"/>
      <c r="BA282" s="121"/>
      <c r="BB282" s="121"/>
      <c r="BD282" s="121"/>
      <c r="BE282" s="121"/>
      <c r="BF282" s="124"/>
      <c r="BH282" s="121"/>
      <c r="BI282" s="121"/>
      <c r="BP282" s="121"/>
      <c r="BQ282" s="149"/>
    </row>
    <row r="283" spans="1:69" s="122" customFormat="1" ht="16.5">
      <c r="A283" s="118"/>
      <c r="B283" s="141" t="s">
        <v>1434</v>
      </c>
      <c r="C283" s="120"/>
      <c r="D283" s="120"/>
      <c r="E283" s="119"/>
      <c r="F283" s="120"/>
      <c r="G283" s="120"/>
      <c r="H283" s="120"/>
      <c r="J283" s="120"/>
      <c r="K283" s="120"/>
      <c r="L283" s="120"/>
      <c r="M283" s="120"/>
      <c r="N283" s="121"/>
      <c r="O283" s="120"/>
      <c r="P283" s="118"/>
      <c r="R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123"/>
      <c r="AI283" s="134">
        <v>0</v>
      </c>
      <c r="AJ283" s="130"/>
      <c r="AK283" s="130"/>
      <c r="AL283" s="120"/>
      <c r="AM283" s="120"/>
      <c r="AN283" s="120"/>
      <c r="AO283" s="120"/>
      <c r="AP283" s="120"/>
      <c r="AQ283" s="120"/>
      <c r="AR283" s="120"/>
      <c r="AS283" s="120"/>
      <c r="AT283" s="120"/>
      <c r="AU283" s="120"/>
      <c r="AV283" s="120"/>
      <c r="AW283" s="120"/>
      <c r="AX283" s="120"/>
      <c r="AY283" s="120"/>
      <c r="AZ283" s="121"/>
      <c r="BA283" s="121"/>
      <c r="BB283" s="121"/>
      <c r="BD283" s="121"/>
      <c r="BE283" s="121"/>
      <c r="BF283" s="124"/>
      <c r="BH283" s="121"/>
      <c r="BI283" s="121"/>
      <c r="BP283" s="121"/>
      <c r="BQ283" s="149"/>
    </row>
    <row r="284" spans="1:69" s="122" customFormat="1" ht="16.5">
      <c r="A284" s="118"/>
      <c r="B284" s="141" t="s">
        <v>1435</v>
      </c>
      <c r="C284" s="120"/>
      <c r="D284" s="120"/>
      <c r="E284" s="119"/>
      <c r="F284" s="120"/>
      <c r="G284" s="120"/>
      <c r="H284" s="120"/>
      <c r="J284" s="120"/>
      <c r="K284" s="120"/>
      <c r="L284" s="120"/>
      <c r="M284" s="120"/>
      <c r="N284" s="121"/>
      <c r="O284" s="120"/>
      <c r="P284" s="118"/>
      <c r="R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123"/>
      <c r="AI284" s="134">
        <v>0</v>
      </c>
      <c r="AJ284" s="130"/>
      <c r="AK284" s="130"/>
      <c r="AL284" s="120"/>
      <c r="AM284" s="120"/>
      <c r="AN284" s="120"/>
      <c r="AO284" s="120"/>
      <c r="AP284" s="120"/>
      <c r="AQ284" s="120"/>
      <c r="AR284" s="120"/>
      <c r="AS284" s="120"/>
      <c r="AT284" s="120"/>
      <c r="AU284" s="120"/>
      <c r="AV284" s="120"/>
      <c r="AW284" s="120"/>
      <c r="AX284" s="120"/>
      <c r="AY284" s="120"/>
      <c r="AZ284" s="121"/>
      <c r="BA284" s="121"/>
      <c r="BB284" s="121"/>
      <c r="BD284" s="121"/>
      <c r="BE284" s="121"/>
      <c r="BF284" s="124"/>
      <c r="BH284" s="121"/>
      <c r="BI284" s="121"/>
      <c r="BP284" s="121"/>
      <c r="BQ284" s="149"/>
    </row>
    <row r="285" spans="1:69" s="122" customFormat="1" ht="16.5">
      <c r="A285" s="118"/>
      <c r="B285" s="141" t="s">
        <v>1436</v>
      </c>
      <c r="C285" s="120"/>
      <c r="D285" s="120"/>
      <c r="E285" s="119"/>
      <c r="F285" s="120"/>
      <c r="G285" s="120"/>
      <c r="H285" s="120"/>
      <c r="J285" s="120"/>
      <c r="K285" s="120"/>
      <c r="L285" s="120"/>
      <c r="M285" s="120"/>
      <c r="N285" s="121"/>
      <c r="O285" s="120"/>
      <c r="P285" s="118"/>
      <c r="R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123"/>
      <c r="AI285" s="134">
        <v>0</v>
      </c>
      <c r="AJ285" s="130"/>
      <c r="AK285" s="130"/>
      <c r="AL285" s="120"/>
      <c r="AM285" s="120"/>
      <c r="AN285" s="120"/>
      <c r="AO285" s="120"/>
      <c r="AP285" s="120"/>
      <c r="AQ285" s="120"/>
      <c r="AR285" s="120"/>
      <c r="AS285" s="120"/>
      <c r="AT285" s="120"/>
      <c r="AU285" s="120"/>
      <c r="AV285" s="120"/>
      <c r="AW285" s="120"/>
      <c r="AX285" s="120"/>
      <c r="AY285" s="120"/>
      <c r="AZ285" s="121"/>
      <c r="BA285" s="121"/>
      <c r="BB285" s="121"/>
      <c r="BD285" s="121"/>
      <c r="BE285" s="121"/>
      <c r="BF285" s="124"/>
      <c r="BH285" s="121"/>
      <c r="BI285" s="121"/>
      <c r="BP285" s="121"/>
      <c r="BQ285" s="149"/>
    </row>
    <row r="286" spans="1:69" s="122" customFormat="1" ht="16.5">
      <c r="A286" s="118"/>
      <c r="B286" s="141" t="s">
        <v>1437</v>
      </c>
      <c r="C286" s="120">
        <v>10</v>
      </c>
      <c r="D286" s="120"/>
      <c r="E286" s="119"/>
      <c r="F286" s="120"/>
      <c r="G286" s="120"/>
      <c r="H286" s="120"/>
      <c r="J286" s="120"/>
      <c r="K286" s="120"/>
      <c r="L286" s="120"/>
      <c r="M286" s="120"/>
      <c r="N286" s="121"/>
      <c r="O286" s="120"/>
      <c r="P286" s="118"/>
      <c r="R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123"/>
      <c r="AI286" s="134">
        <v>0</v>
      </c>
      <c r="AJ286" s="130"/>
      <c r="AK286" s="130"/>
      <c r="AL286" s="120"/>
      <c r="AM286" s="120"/>
      <c r="AN286" s="120"/>
      <c r="AO286" s="120"/>
      <c r="AP286" s="120"/>
      <c r="AQ286" s="120"/>
      <c r="AR286" s="120"/>
      <c r="AS286" s="120"/>
      <c r="AT286" s="120"/>
      <c r="AU286" s="120"/>
      <c r="AV286" s="120"/>
      <c r="AW286" s="120"/>
      <c r="AX286" s="120"/>
      <c r="AY286" s="120"/>
      <c r="AZ286" s="121"/>
      <c r="BA286" s="121"/>
      <c r="BB286" s="121"/>
      <c r="BD286" s="121"/>
      <c r="BE286" s="121"/>
      <c r="BF286" s="124"/>
      <c r="BH286" s="121"/>
      <c r="BI286" s="121"/>
      <c r="BP286" s="121"/>
      <c r="BQ286" s="149"/>
    </row>
    <row r="287" spans="1:69" s="122" customFormat="1" ht="16.5">
      <c r="A287" s="118"/>
      <c r="B287" s="141"/>
      <c r="C287" s="120"/>
      <c r="D287" s="120"/>
      <c r="E287" s="119"/>
      <c r="F287" s="120"/>
      <c r="G287" s="120"/>
      <c r="H287" s="120"/>
      <c r="J287" s="120"/>
      <c r="K287" s="120"/>
      <c r="L287" s="120"/>
      <c r="M287" s="120"/>
      <c r="N287" s="121"/>
      <c r="O287" s="120"/>
      <c r="P287" s="118"/>
      <c r="R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123"/>
      <c r="AI287" s="130"/>
      <c r="AJ287" s="130"/>
      <c r="AK287" s="130"/>
      <c r="AL287" s="120"/>
      <c r="AM287" s="120"/>
      <c r="AN287" s="120"/>
      <c r="AO287" s="120"/>
      <c r="AP287" s="120"/>
      <c r="AQ287" s="120"/>
      <c r="AR287" s="120"/>
      <c r="AS287" s="120"/>
      <c r="AT287" s="120"/>
      <c r="AU287" s="120"/>
      <c r="AV287" s="120"/>
      <c r="AW287" s="120"/>
      <c r="AX287" s="120"/>
      <c r="AY287" s="120"/>
      <c r="AZ287" s="121"/>
      <c r="BA287" s="121"/>
      <c r="BB287" s="121"/>
      <c r="BD287" s="121"/>
      <c r="BE287" s="121"/>
      <c r="BF287" s="124"/>
      <c r="BH287" s="121"/>
      <c r="BI287" s="121"/>
      <c r="BP287" s="121"/>
      <c r="BQ287" s="149"/>
    </row>
    <row r="288" spans="1:69" s="122" customFormat="1" ht="27">
      <c r="A288" s="118"/>
      <c r="B288" s="141" t="s">
        <v>1442</v>
      </c>
      <c r="C288" s="120"/>
      <c r="D288" s="120"/>
      <c r="E288" s="119"/>
      <c r="F288" s="120"/>
      <c r="G288" s="120"/>
      <c r="H288" s="120"/>
      <c r="J288" s="120"/>
      <c r="K288" s="120"/>
      <c r="L288" s="120"/>
      <c r="M288" s="120"/>
      <c r="N288" s="121"/>
      <c r="O288" s="120"/>
      <c r="P288" s="118"/>
      <c r="R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123"/>
      <c r="AI288" s="130"/>
      <c r="AJ288" s="130"/>
      <c r="AK288" s="130"/>
      <c r="AL288" s="134">
        <v>0</v>
      </c>
      <c r="AM288" s="120"/>
      <c r="AN288" s="120"/>
      <c r="AO288" s="120"/>
      <c r="AP288" s="120"/>
      <c r="AQ288" s="120"/>
      <c r="AR288" s="120"/>
      <c r="AS288" s="120"/>
      <c r="AT288" s="120"/>
      <c r="AU288" s="120"/>
      <c r="AV288" s="120"/>
      <c r="AW288" s="120"/>
      <c r="AX288" s="120"/>
      <c r="AY288" s="120"/>
      <c r="AZ288" s="121"/>
      <c r="BA288" s="121"/>
      <c r="BB288" s="121"/>
      <c r="BD288" s="121"/>
      <c r="BE288" s="121"/>
      <c r="BF288" s="124"/>
      <c r="BH288" s="121"/>
      <c r="BI288" s="121"/>
      <c r="BP288" s="121"/>
      <c r="BQ288" s="149"/>
    </row>
    <row r="289" spans="1:69" s="122" customFormat="1" ht="16.5">
      <c r="A289" s="118"/>
      <c r="B289" s="141" t="s">
        <v>1382</v>
      </c>
      <c r="C289" s="120"/>
      <c r="D289" s="120"/>
      <c r="E289" s="119"/>
      <c r="F289" s="120"/>
      <c r="G289" s="120"/>
      <c r="H289" s="120"/>
      <c r="J289" s="120"/>
      <c r="K289" s="120"/>
      <c r="L289" s="120"/>
      <c r="M289" s="120"/>
      <c r="N289" s="121"/>
      <c r="O289" s="120"/>
      <c r="P289" s="118"/>
      <c r="R289" s="123"/>
      <c r="T289" s="123"/>
      <c r="U289" s="123"/>
      <c r="V289" s="123"/>
      <c r="W289" s="123"/>
      <c r="X289" s="123"/>
      <c r="Y289" s="123"/>
      <c r="Z289" s="123"/>
      <c r="AA289" s="123"/>
      <c r="AB289" s="123"/>
      <c r="AC289" s="123"/>
      <c r="AD289" s="123"/>
      <c r="AE289" s="123"/>
      <c r="AF289" s="123"/>
      <c r="AG289" s="123"/>
      <c r="AH289" s="123"/>
      <c r="AI289" s="130"/>
      <c r="AJ289" s="130"/>
      <c r="AK289" s="130"/>
      <c r="AL289" s="134">
        <v>0</v>
      </c>
      <c r="AM289" s="120"/>
      <c r="AN289" s="120"/>
      <c r="AO289" s="120"/>
      <c r="AP289" s="120"/>
      <c r="AQ289" s="120"/>
      <c r="AR289" s="120"/>
      <c r="AS289" s="120"/>
      <c r="AT289" s="120"/>
      <c r="AU289" s="120"/>
      <c r="AV289" s="120"/>
      <c r="AW289" s="120"/>
      <c r="AX289" s="120"/>
      <c r="AY289" s="120"/>
      <c r="AZ289" s="121"/>
      <c r="BA289" s="121"/>
      <c r="BB289" s="121"/>
      <c r="BD289" s="121"/>
      <c r="BE289" s="121"/>
      <c r="BF289" s="124"/>
      <c r="BH289" s="121"/>
      <c r="BI289" s="121"/>
      <c r="BP289" s="121"/>
      <c r="BQ289" s="149"/>
    </row>
    <row r="290" spans="1:69" s="122" customFormat="1" ht="16.5">
      <c r="A290" s="118"/>
      <c r="B290" s="141" t="s">
        <v>1444</v>
      </c>
      <c r="C290" s="120"/>
      <c r="D290" s="120"/>
      <c r="E290" s="119"/>
      <c r="F290" s="120"/>
      <c r="G290" s="120"/>
      <c r="H290" s="120"/>
      <c r="J290" s="120"/>
      <c r="K290" s="120"/>
      <c r="L290" s="120"/>
      <c r="M290" s="120"/>
      <c r="N290" s="121"/>
      <c r="O290" s="120"/>
      <c r="P290" s="118"/>
      <c r="R290" s="123"/>
      <c r="T290" s="123"/>
      <c r="U290" s="123"/>
      <c r="V290" s="123"/>
      <c r="W290" s="123"/>
      <c r="X290" s="123"/>
      <c r="Y290" s="123"/>
      <c r="Z290" s="123"/>
      <c r="AA290" s="123"/>
      <c r="AB290" s="123"/>
      <c r="AC290" s="123"/>
      <c r="AD290" s="123"/>
      <c r="AE290" s="123"/>
      <c r="AF290" s="123"/>
      <c r="AG290" s="123"/>
      <c r="AH290" s="123"/>
      <c r="AI290" s="130"/>
      <c r="AJ290" s="130"/>
      <c r="AK290" s="130"/>
      <c r="AL290" s="134">
        <v>0</v>
      </c>
      <c r="AM290" s="120"/>
      <c r="AN290" s="120"/>
      <c r="AO290" s="120"/>
      <c r="AP290" s="120"/>
      <c r="AQ290" s="120"/>
      <c r="AR290" s="120"/>
      <c r="AS290" s="120"/>
      <c r="AT290" s="120"/>
      <c r="AU290" s="120"/>
      <c r="AV290" s="120"/>
      <c r="AW290" s="120"/>
      <c r="AX290" s="120"/>
      <c r="AY290" s="120"/>
      <c r="AZ290" s="121"/>
      <c r="BA290" s="121"/>
      <c r="BB290" s="121"/>
      <c r="BD290" s="121"/>
      <c r="BE290" s="121"/>
      <c r="BF290" s="124"/>
      <c r="BH290" s="121"/>
      <c r="BI290" s="121"/>
      <c r="BP290" s="121"/>
      <c r="BQ290" s="149"/>
    </row>
    <row r="291" spans="1:69" s="122" customFormat="1" ht="16.5">
      <c r="A291" s="118"/>
      <c r="B291" s="141" t="s">
        <v>1445</v>
      </c>
      <c r="C291" s="120"/>
      <c r="D291" s="120"/>
      <c r="E291" s="119"/>
      <c r="F291" s="120"/>
      <c r="G291" s="120"/>
      <c r="H291" s="120"/>
      <c r="J291" s="120"/>
      <c r="K291" s="120"/>
      <c r="L291" s="120"/>
      <c r="M291" s="120"/>
      <c r="N291" s="121"/>
      <c r="O291" s="120"/>
      <c r="P291" s="118"/>
      <c r="R291" s="123"/>
      <c r="T291" s="123"/>
      <c r="U291" s="123"/>
      <c r="V291" s="123"/>
      <c r="W291" s="123"/>
      <c r="X291" s="123"/>
      <c r="Y291" s="123"/>
      <c r="Z291" s="123"/>
      <c r="AA291" s="123"/>
      <c r="AB291" s="123"/>
      <c r="AC291" s="123"/>
      <c r="AD291" s="123"/>
      <c r="AE291" s="123"/>
      <c r="AF291" s="123"/>
      <c r="AG291" s="123"/>
      <c r="AH291" s="123"/>
      <c r="AI291" s="130"/>
      <c r="AJ291" s="130"/>
      <c r="AK291" s="130"/>
      <c r="AL291" s="134">
        <v>0</v>
      </c>
      <c r="AM291" s="120"/>
      <c r="AN291" s="120"/>
      <c r="AO291" s="120"/>
      <c r="AP291" s="120"/>
      <c r="AQ291" s="120"/>
      <c r="AR291" s="120"/>
      <c r="AS291" s="120"/>
      <c r="AT291" s="120"/>
      <c r="AU291" s="120"/>
      <c r="AV291" s="120"/>
      <c r="AW291" s="120"/>
      <c r="AX291" s="120"/>
      <c r="AY291" s="120"/>
      <c r="AZ291" s="121"/>
      <c r="BA291" s="121"/>
      <c r="BB291" s="121"/>
      <c r="BD291" s="121"/>
      <c r="BE291" s="121"/>
      <c r="BF291" s="124"/>
      <c r="BH291" s="121"/>
      <c r="BI291" s="121"/>
      <c r="BP291" s="121"/>
      <c r="BQ291" s="149"/>
    </row>
    <row r="292" spans="1:69" s="122" customFormat="1" ht="16.5">
      <c r="A292" s="118"/>
      <c r="B292" s="141" t="s">
        <v>1446</v>
      </c>
      <c r="C292" s="120"/>
      <c r="D292" s="120"/>
      <c r="E292" s="119"/>
      <c r="F292" s="120"/>
      <c r="G292" s="120"/>
      <c r="H292" s="120"/>
      <c r="J292" s="120"/>
      <c r="K292" s="120"/>
      <c r="L292" s="120"/>
      <c r="M292" s="120"/>
      <c r="N292" s="121"/>
      <c r="O292" s="120"/>
      <c r="P292" s="118"/>
      <c r="R292" s="123"/>
      <c r="T292" s="123"/>
      <c r="U292" s="123"/>
      <c r="V292" s="123"/>
      <c r="W292" s="123"/>
      <c r="X292" s="123"/>
      <c r="Y292" s="123"/>
      <c r="Z292" s="123"/>
      <c r="AA292" s="123"/>
      <c r="AB292" s="123"/>
      <c r="AC292" s="123"/>
      <c r="AD292" s="123"/>
      <c r="AE292" s="123"/>
      <c r="AF292" s="123"/>
      <c r="AG292" s="123"/>
      <c r="AH292" s="123"/>
      <c r="AI292" s="130"/>
      <c r="AJ292" s="130"/>
      <c r="AK292" s="130"/>
      <c r="AL292" s="134">
        <v>0</v>
      </c>
      <c r="AM292" s="120"/>
      <c r="AN292" s="120"/>
      <c r="AO292" s="120"/>
      <c r="AP292" s="120"/>
      <c r="AQ292" s="120"/>
      <c r="AR292" s="120"/>
      <c r="AS292" s="120"/>
      <c r="AT292" s="120"/>
      <c r="AU292" s="120"/>
      <c r="AV292" s="120"/>
      <c r="AW292" s="120"/>
      <c r="AX292" s="120"/>
      <c r="AY292" s="120"/>
      <c r="AZ292" s="121"/>
      <c r="BA292" s="121"/>
      <c r="BB292" s="121"/>
      <c r="BD292" s="121"/>
      <c r="BE292" s="121"/>
      <c r="BF292" s="124"/>
      <c r="BH292" s="121"/>
      <c r="BI292" s="121"/>
      <c r="BP292" s="121"/>
      <c r="BQ292" s="149"/>
    </row>
    <row r="293" spans="1:69" s="122" customFormat="1" ht="16.5">
      <c r="A293" s="118"/>
      <c r="B293" s="141" t="s">
        <v>1447</v>
      </c>
      <c r="C293" s="120"/>
      <c r="D293" s="120" t="s">
        <v>1532</v>
      </c>
      <c r="E293" s="119"/>
      <c r="F293" s="120"/>
      <c r="G293" s="120"/>
      <c r="H293" s="120"/>
      <c r="J293" s="120"/>
      <c r="K293" s="120"/>
      <c r="L293" s="120"/>
      <c r="M293" s="120"/>
      <c r="N293" s="121"/>
      <c r="O293" s="120"/>
      <c r="P293" s="118"/>
      <c r="R293" s="123"/>
      <c r="T293" s="123"/>
      <c r="U293" s="123"/>
      <c r="V293" s="123"/>
      <c r="W293" s="123"/>
      <c r="X293" s="123"/>
      <c r="Y293" s="123"/>
      <c r="Z293" s="123"/>
      <c r="AA293" s="123"/>
      <c r="AB293" s="123"/>
      <c r="AC293" s="123"/>
      <c r="AD293" s="123"/>
      <c r="AE293" s="123"/>
      <c r="AF293" s="123"/>
      <c r="AG293" s="123"/>
      <c r="AH293" s="123"/>
      <c r="AI293" s="130"/>
      <c r="AJ293" s="130"/>
      <c r="AK293" s="130"/>
      <c r="AL293" s="134">
        <v>0</v>
      </c>
      <c r="AM293" s="120"/>
      <c r="AN293" s="120"/>
      <c r="AO293" s="120"/>
      <c r="AP293" s="120"/>
      <c r="AQ293" s="120"/>
      <c r="AR293" s="120"/>
      <c r="AS293" s="120"/>
      <c r="AT293" s="120"/>
      <c r="AU293" s="120"/>
      <c r="AV293" s="120"/>
      <c r="AW293" s="120"/>
      <c r="AX293" s="120"/>
      <c r="AY293" s="120"/>
      <c r="AZ293" s="121"/>
      <c r="BA293" s="121"/>
      <c r="BB293" s="121"/>
      <c r="BD293" s="121"/>
      <c r="BE293" s="121"/>
      <c r="BF293" s="124"/>
      <c r="BH293" s="121"/>
      <c r="BI293" s="121"/>
      <c r="BP293" s="121"/>
      <c r="BQ293" s="149"/>
    </row>
    <row r="294" spans="1:69" s="122" customFormat="1" ht="16.5">
      <c r="A294" s="118"/>
      <c r="B294" s="141" t="s">
        <v>1448</v>
      </c>
      <c r="C294" s="120"/>
      <c r="D294" s="120" t="s">
        <v>1532</v>
      </c>
      <c r="E294" s="119"/>
      <c r="F294" s="120"/>
      <c r="G294" s="120"/>
      <c r="H294" s="120"/>
      <c r="J294" s="120"/>
      <c r="K294" s="120"/>
      <c r="L294" s="120"/>
      <c r="M294" s="120"/>
      <c r="N294" s="121"/>
      <c r="O294" s="120"/>
      <c r="P294" s="118"/>
      <c r="R294" s="123"/>
      <c r="T294" s="123"/>
      <c r="U294" s="123"/>
      <c r="V294" s="123"/>
      <c r="W294" s="123"/>
      <c r="X294" s="123"/>
      <c r="Y294" s="123"/>
      <c r="Z294" s="123"/>
      <c r="AA294" s="123"/>
      <c r="AB294" s="123"/>
      <c r="AC294" s="123"/>
      <c r="AD294" s="123"/>
      <c r="AE294" s="123"/>
      <c r="AF294" s="123"/>
      <c r="AG294" s="123"/>
      <c r="AH294" s="123"/>
      <c r="AI294" s="130"/>
      <c r="AJ294" s="130"/>
      <c r="AK294" s="130"/>
      <c r="AL294" s="134">
        <v>0</v>
      </c>
      <c r="AM294" s="120"/>
      <c r="AN294" s="120"/>
      <c r="AO294" s="120"/>
      <c r="AP294" s="120"/>
      <c r="AQ294" s="120"/>
      <c r="AR294" s="120"/>
      <c r="AS294" s="120"/>
      <c r="AT294" s="120"/>
      <c r="AU294" s="120"/>
      <c r="AV294" s="120"/>
      <c r="AW294" s="120"/>
      <c r="AX294" s="120"/>
      <c r="AY294" s="120"/>
      <c r="AZ294" s="121"/>
      <c r="BA294" s="121"/>
      <c r="BB294" s="121"/>
      <c r="BD294" s="121"/>
      <c r="BE294" s="121"/>
      <c r="BF294" s="124"/>
      <c r="BH294" s="121"/>
      <c r="BI294" s="121"/>
      <c r="BP294" s="121"/>
      <c r="BQ294" s="149"/>
    </row>
    <row r="295" spans="1:69" s="122" customFormat="1" ht="27">
      <c r="A295" s="118"/>
      <c r="B295" s="141" t="s">
        <v>1449</v>
      </c>
      <c r="C295" s="120"/>
      <c r="D295" s="120"/>
      <c r="E295" s="119"/>
      <c r="F295" s="120"/>
      <c r="G295" s="120"/>
      <c r="H295" s="120"/>
      <c r="J295" s="120"/>
      <c r="K295" s="120"/>
      <c r="L295" s="120"/>
      <c r="M295" s="120"/>
      <c r="N295" s="121"/>
      <c r="O295" s="120"/>
      <c r="P295" s="118"/>
      <c r="R295" s="123"/>
      <c r="T295" s="123"/>
      <c r="U295" s="123"/>
      <c r="V295" s="123"/>
      <c r="W295" s="123"/>
      <c r="X295" s="123"/>
      <c r="Y295" s="123"/>
      <c r="Z295" s="123"/>
      <c r="AA295" s="123"/>
      <c r="AB295" s="123"/>
      <c r="AC295" s="123"/>
      <c r="AD295" s="123"/>
      <c r="AE295" s="123"/>
      <c r="AF295" s="123"/>
      <c r="AG295" s="123"/>
      <c r="AH295" s="123"/>
      <c r="AI295" s="130"/>
      <c r="AJ295" s="130"/>
      <c r="AK295" s="130"/>
      <c r="AL295" s="134">
        <v>0</v>
      </c>
      <c r="AM295" s="120"/>
      <c r="AN295" s="120"/>
      <c r="AO295" s="120"/>
      <c r="AP295" s="120"/>
      <c r="AQ295" s="120"/>
      <c r="AR295" s="120"/>
      <c r="AS295" s="120"/>
      <c r="AT295" s="120"/>
      <c r="AU295" s="120"/>
      <c r="AV295" s="120"/>
      <c r="AW295" s="120"/>
      <c r="AX295" s="120"/>
      <c r="AY295" s="120"/>
      <c r="AZ295" s="121"/>
      <c r="BA295" s="121"/>
      <c r="BB295" s="121"/>
      <c r="BD295" s="121"/>
      <c r="BE295" s="121"/>
      <c r="BF295" s="124"/>
      <c r="BH295" s="121"/>
      <c r="BI295" s="121"/>
      <c r="BP295" s="121"/>
      <c r="BQ295" s="149"/>
    </row>
    <row r="296" spans="1:69" s="122" customFormat="1" ht="16.5">
      <c r="A296" s="118"/>
      <c r="B296" s="141" t="s">
        <v>1450</v>
      </c>
      <c r="C296" s="120"/>
      <c r="D296" s="120"/>
      <c r="E296" s="119"/>
      <c r="F296" s="120"/>
      <c r="G296" s="120"/>
      <c r="H296" s="120"/>
      <c r="J296" s="120"/>
      <c r="K296" s="120"/>
      <c r="L296" s="120"/>
      <c r="M296" s="120"/>
      <c r="N296" s="121"/>
      <c r="O296" s="120"/>
      <c r="P296" s="118"/>
      <c r="R296" s="123"/>
      <c r="T296" s="123"/>
      <c r="U296" s="123"/>
      <c r="V296" s="123"/>
      <c r="W296" s="123"/>
      <c r="X296" s="123"/>
      <c r="Y296" s="123"/>
      <c r="Z296" s="123"/>
      <c r="AA296" s="123"/>
      <c r="AB296" s="123"/>
      <c r="AC296" s="123"/>
      <c r="AD296" s="123"/>
      <c r="AE296" s="123"/>
      <c r="AF296" s="123"/>
      <c r="AG296" s="123"/>
      <c r="AH296" s="123"/>
      <c r="AI296" s="130"/>
      <c r="AJ296" s="130"/>
      <c r="AK296" s="130"/>
      <c r="AL296" s="134">
        <v>0</v>
      </c>
      <c r="AM296" s="120"/>
      <c r="AN296" s="120"/>
      <c r="AO296" s="120"/>
      <c r="AP296" s="120"/>
      <c r="AQ296" s="120"/>
      <c r="AR296" s="120"/>
      <c r="AS296" s="120"/>
      <c r="AT296" s="120"/>
      <c r="AU296" s="120"/>
      <c r="AV296" s="120"/>
      <c r="AW296" s="120"/>
      <c r="AX296" s="120"/>
      <c r="AY296" s="120"/>
      <c r="AZ296" s="121"/>
      <c r="BA296" s="121"/>
      <c r="BB296" s="121"/>
      <c r="BD296" s="121"/>
      <c r="BE296" s="121"/>
      <c r="BF296" s="124"/>
      <c r="BH296" s="121"/>
      <c r="BI296" s="121"/>
      <c r="BP296" s="121"/>
      <c r="BQ296" s="149"/>
    </row>
    <row r="297" spans="1:69" s="122" customFormat="1" ht="16.5">
      <c r="A297" s="118"/>
      <c r="B297" s="141" t="s">
        <v>1451</v>
      </c>
      <c r="C297" s="120"/>
      <c r="D297" s="120"/>
      <c r="E297" s="119"/>
      <c r="F297" s="120"/>
      <c r="G297" s="120"/>
      <c r="H297" s="120"/>
      <c r="J297" s="120"/>
      <c r="K297" s="120"/>
      <c r="L297" s="120"/>
      <c r="M297" s="120"/>
      <c r="N297" s="121"/>
      <c r="O297" s="120"/>
      <c r="P297" s="118"/>
      <c r="R297" s="123"/>
      <c r="T297" s="123"/>
      <c r="U297" s="123"/>
      <c r="V297" s="123"/>
      <c r="W297" s="123"/>
      <c r="X297" s="123"/>
      <c r="Y297" s="123"/>
      <c r="Z297" s="123"/>
      <c r="AA297" s="123"/>
      <c r="AB297" s="123"/>
      <c r="AC297" s="123"/>
      <c r="AD297" s="123"/>
      <c r="AE297" s="123"/>
      <c r="AF297" s="123"/>
      <c r="AG297" s="123"/>
      <c r="AH297" s="123"/>
      <c r="AI297" s="130"/>
      <c r="AJ297" s="130"/>
      <c r="AK297" s="130"/>
      <c r="AL297" s="134">
        <v>0</v>
      </c>
      <c r="AM297" s="120"/>
      <c r="AN297" s="120"/>
      <c r="AO297" s="120"/>
      <c r="AP297" s="120"/>
      <c r="AQ297" s="120"/>
      <c r="AR297" s="120"/>
      <c r="AS297" s="120"/>
      <c r="AT297" s="120"/>
      <c r="AU297" s="120"/>
      <c r="AV297" s="120"/>
      <c r="AW297" s="120"/>
      <c r="AX297" s="120"/>
      <c r="AY297" s="120"/>
      <c r="AZ297" s="121"/>
      <c r="BA297" s="121"/>
      <c r="BB297" s="121"/>
      <c r="BD297" s="121"/>
      <c r="BE297" s="121"/>
      <c r="BF297" s="124"/>
      <c r="BH297" s="121"/>
      <c r="BI297" s="121"/>
      <c r="BP297" s="121"/>
      <c r="BQ297" s="149"/>
    </row>
    <row r="298" spans="1:69" s="122" customFormat="1" ht="16.5">
      <c r="A298" s="118"/>
      <c r="B298" s="141" t="s">
        <v>1452</v>
      </c>
      <c r="C298" s="120"/>
      <c r="D298" s="120"/>
      <c r="E298" s="119"/>
      <c r="F298" s="120"/>
      <c r="G298" s="120"/>
      <c r="H298" s="120"/>
      <c r="J298" s="120"/>
      <c r="K298" s="120"/>
      <c r="L298" s="120"/>
      <c r="M298" s="120"/>
      <c r="N298" s="121"/>
      <c r="O298" s="120"/>
      <c r="P298" s="118"/>
      <c r="R298" s="123"/>
      <c r="T298" s="123"/>
      <c r="U298" s="123"/>
      <c r="V298" s="123"/>
      <c r="W298" s="123"/>
      <c r="X298" s="123"/>
      <c r="Y298" s="123"/>
      <c r="Z298" s="123"/>
      <c r="AA298" s="123"/>
      <c r="AB298" s="123"/>
      <c r="AC298" s="123"/>
      <c r="AD298" s="123"/>
      <c r="AE298" s="123"/>
      <c r="AF298" s="123"/>
      <c r="AG298" s="123"/>
      <c r="AH298" s="123"/>
      <c r="AI298" s="130"/>
      <c r="AJ298" s="130"/>
      <c r="AK298" s="130"/>
      <c r="AL298" s="134">
        <v>0</v>
      </c>
      <c r="AM298" s="120"/>
      <c r="AN298" s="120"/>
      <c r="AO298" s="120"/>
      <c r="AP298" s="120"/>
      <c r="AQ298" s="120"/>
      <c r="AR298" s="120"/>
      <c r="AS298" s="120"/>
      <c r="AT298" s="120"/>
      <c r="AU298" s="120"/>
      <c r="AV298" s="120"/>
      <c r="AW298" s="120"/>
      <c r="AX298" s="120"/>
      <c r="AY298" s="120"/>
      <c r="AZ298" s="121"/>
      <c r="BA298" s="121"/>
      <c r="BB298" s="121"/>
      <c r="BD298" s="121"/>
      <c r="BE298" s="121"/>
      <c r="BF298" s="124"/>
      <c r="BH298" s="121"/>
      <c r="BI298" s="121"/>
      <c r="BP298" s="121"/>
      <c r="BQ298" s="149"/>
    </row>
    <row r="299" spans="1:69" s="122" customFormat="1" ht="16.5">
      <c r="A299" s="118"/>
      <c r="B299" s="141" t="s">
        <v>1453</v>
      </c>
      <c r="C299" s="120"/>
      <c r="D299" s="120"/>
      <c r="E299" s="119"/>
      <c r="F299" s="120"/>
      <c r="G299" s="120"/>
      <c r="H299" s="120"/>
      <c r="J299" s="120"/>
      <c r="K299" s="120"/>
      <c r="L299" s="120"/>
      <c r="M299" s="120"/>
      <c r="N299" s="121"/>
      <c r="O299" s="120"/>
      <c r="P299" s="118"/>
      <c r="R299" s="123"/>
      <c r="T299" s="123"/>
      <c r="U299" s="123"/>
      <c r="V299" s="123"/>
      <c r="W299" s="123"/>
      <c r="X299" s="123"/>
      <c r="Y299" s="123"/>
      <c r="Z299" s="123"/>
      <c r="AA299" s="123"/>
      <c r="AB299" s="123"/>
      <c r="AC299" s="123"/>
      <c r="AD299" s="123"/>
      <c r="AE299" s="123"/>
      <c r="AF299" s="123"/>
      <c r="AG299" s="123"/>
      <c r="AH299" s="123"/>
      <c r="AI299" s="130"/>
      <c r="AJ299" s="130"/>
      <c r="AK299" s="130"/>
      <c r="AL299" s="134">
        <v>0</v>
      </c>
      <c r="AM299" s="120"/>
      <c r="AN299" s="120"/>
      <c r="AO299" s="120"/>
      <c r="AP299" s="120"/>
      <c r="AQ299" s="120"/>
      <c r="AR299" s="120"/>
      <c r="AS299" s="120"/>
      <c r="AT299" s="120"/>
      <c r="AU299" s="120"/>
      <c r="AV299" s="120"/>
      <c r="AW299" s="120"/>
      <c r="AX299" s="120"/>
      <c r="AY299" s="120"/>
      <c r="AZ299" s="121"/>
      <c r="BA299" s="121"/>
      <c r="BB299" s="121"/>
      <c r="BD299" s="121"/>
      <c r="BE299" s="121"/>
      <c r="BF299" s="124"/>
      <c r="BH299" s="121"/>
      <c r="BI299" s="121"/>
      <c r="BP299" s="121"/>
      <c r="BQ299" s="149"/>
    </row>
    <row r="300" spans="1:69" s="122" customFormat="1" ht="16.5">
      <c r="A300" s="118"/>
      <c r="B300" s="141" t="s">
        <v>1454</v>
      </c>
      <c r="C300" s="120"/>
      <c r="D300" s="120"/>
      <c r="E300" s="119"/>
      <c r="F300" s="120"/>
      <c r="G300" s="120"/>
      <c r="H300" s="120"/>
      <c r="J300" s="120"/>
      <c r="K300" s="120"/>
      <c r="L300" s="120"/>
      <c r="M300" s="120"/>
      <c r="N300" s="121"/>
      <c r="O300" s="120"/>
      <c r="P300" s="118"/>
      <c r="R300" s="123"/>
      <c r="T300" s="123"/>
      <c r="U300" s="123"/>
      <c r="V300" s="123"/>
      <c r="W300" s="123"/>
      <c r="X300" s="123"/>
      <c r="Y300" s="123"/>
      <c r="Z300" s="123"/>
      <c r="AA300" s="123"/>
      <c r="AB300" s="123"/>
      <c r="AC300" s="123"/>
      <c r="AD300" s="123"/>
      <c r="AE300" s="123"/>
      <c r="AF300" s="123"/>
      <c r="AG300" s="123"/>
      <c r="AH300" s="123"/>
      <c r="AI300" s="130"/>
      <c r="AJ300" s="130"/>
      <c r="AK300" s="130"/>
      <c r="AL300" s="134">
        <v>0</v>
      </c>
      <c r="AM300" s="120"/>
      <c r="AN300" s="120"/>
      <c r="AO300" s="120"/>
      <c r="AP300" s="120"/>
      <c r="AQ300" s="120"/>
      <c r="AR300" s="120"/>
      <c r="AS300" s="120"/>
      <c r="AT300" s="120"/>
      <c r="AU300" s="120"/>
      <c r="AV300" s="120"/>
      <c r="AW300" s="120"/>
      <c r="AX300" s="120"/>
      <c r="AY300" s="120"/>
      <c r="AZ300" s="121"/>
      <c r="BA300" s="121"/>
      <c r="BB300" s="121"/>
      <c r="BD300" s="121"/>
      <c r="BE300" s="121"/>
      <c r="BF300" s="124"/>
      <c r="BH300" s="121"/>
      <c r="BI300" s="121"/>
      <c r="BP300" s="121"/>
      <c r="BQ300" s="149"/>
    </row>
    <row r="301" spans="1:69" s="122" customFormat="1" ht="16.5">
      <c r="A301" s="118"/>
      <c r="B301" s="141" t="s">
        <v>1455</v>
      </c>
      <c r="C301" s="120"/>
      <c r="D301" s="120"/>
      <c r="E301" s="119"/>
      <c r="F301" s="120"/>
      <c r="G301" s="120"/>
      <c r="H301" s="120"/>
      <c r="J301" s="120"/>
      <c r="K301" s="120"/>
      <c r="L301" s="120"/>
      <c r="M301" s="120"/>
      <c r="N301" s="121"/>
      <c r="O301" s="120"/>
      <c r="P301" s="118"/>
      <c r="R301" s="123"/>
      <c r="T301" s="123"/>
      <c r="U301" s="123"/>
      <c r="V301" s="123"/>
      <c r="W301" s="123"/>
      <c r="X301" s="123"/>
      <c r="Y301" s="123"/>
      <c r="Z301" s="123"/>
      <c r="AA301" s="123"/>
      <c r="AB301" s="123"/>
      <c r="AC301" s="123"/>
      <c r="AD301" s="123"/>
      <c r="AE301" s="123"/>
      <c r="AF301" s="123"/>
      <c r="AG301" s="123"/>
      <c r="AH301" s="123"/>
      <c r="AI301" s="130"/>
      <c r="AJ301" s="130"/>
      <c r="AK301" s="130"/>
      <c r="AL301" s="134">
        <v>0</v>
      </c>
      <c r="AM301" s="120"/>
      <c r="AN301" s="120"/>
      <c r="AO301" s="120"/>
      <c r="AP301" s="120"/>
      <c r="AQ301" s="120"/>
      <c r="AR301" s="120"/>
      <c r="AS301" s="120"/>
      <c r="AT301" s="120"/>
      <c r="AU301" s="120"/>
      <c r="AV301" s="120"/>
      <c r="AW301" s="120"/>
      <c r="AX301" s="120"/>
      <c r="AY301" s="120"/>
      <c r="AZ301" s="121"/>
      <c r="BA301" s="121"/>
      <c r="BB301" s="121"/>
      <c r="BD301" s="121"/>
      <c r="BE301" s="121"/>
      <c r="BF301" s="124"/>
      <c r="BH301" s="121"/>
      <c r="BI301" s="121"/>
      <c r="BP301" s="121"/>
      <c r="BQ301" s="149"/>
    </row>
    <row r="302" spans="1:69" s="122" customFormat="1" ht="16.5">
      <c r="A302" s="118"/>
      <c r="B302" s="141" t="s">
        <v>1456</v>
      </c>
      <c r="C302" s="120"/>
      <c r="D302" s="120"/>
      <c r="E302" s="119"/>
      <c r="F302" s="120"/>
      <c r="G302" s="120"/>
      <c r="H302" s="120"/>
      <c r="J302" s="120"/>
      <c r="K302" s="120"/>
      <c r="L302" s="120"/>
      <c r="M302" s="120"/>
      <c r="N302" s="121"/>
      <c r="O302" s="120"/>
      <c r="P302" s="118"/>
      <c r="R302" s="123"/>
      <c r="T302" s="123"/>
      <c r="U302" s="123"/>
      <c r="V302" s="123"/>
      <c r="W302" s="123"/>
      <c r="X302" s="123"/>
      <c r="Y302" s="123"/>
      <c r="Z302" s="123"/>
      <c r="AA302" s="123"/>
      <c r="AB302" s="123"/>
      <c r="AC302" s="123"/>
      <c r="AD302" s="123"/>
      <c r="AE302" s="123"/>
      <c r="AF302" s="123"/>
      <c r="AG302" s="123"/>
      <c r="AH302" s="123"/>
      <c r="AI302" s="130"/>
      <c r="AJ302" s="130"/>
      <c r="AK302" s="130"/>
      <c r="AL302" s="134">
        <v>0</v>
      </c>
      <c r="AM302" s="120"/>
      <c r="AN302" s="120"/>
      <c r="AO302" s="120"/>
      <c r="AP302" s="120"/>
      <c r="AQ302" s="120"/>
      <c r="AR302" s="120"/>
      <c r="AS302" s="120"/>
      <c r="AT302" s="120"/>
      <c r="AU302" s="120"/>
      <c r="AV302" s="120"/>
      <c r="AW302" s="120"/>
      <c r="AX302" s="120"/>
      <c r="AY302" s="120"/>
      <c r="AZ302" s="121"/>
      <c r="BA302" s="121"/>
      <c r="BB302" s="121"/>
      <c r="BD302" s="121"/>
      <c r="BE302" s="121"/>
      <c r="BF302" s="124"/>
      <c r="BH302" s="121"/>
      <c r="BI302" s="121"/>
      <c r="BP302" s="121"/>
      <c r="BQ302" s="149"/>
    </row>
    <row r="303" spans="1:69" s="122" customFormat="1" ht="16.5">
      <c r="A303" s="118"/>
      <c r="B303" s="141" t="s">
        <v>1457</v>
      </c>
      <c r="C303" s="120"/>
      <c r="D303" s="120"/>
      <c r="E303" s="119"/>
      <c r="F303" s="120"/>
      <c r="G303" s="120"/>
      <c r="H303" s="120"/>
      <c r="J303" s="120"/>
      <c r="K303" s="120"/>
      <c r="L303" s="120"/>
      <c r="M303" s="120"/>
      <c r="N303" s="121"/>
      <c r="O303" s="120"/>
      <c r="P303" s="118"/>
      <c r="R303" s="123"/>
      <c r="T303" s="123"/>
      <c r="U303" s="123"/>
      <c r="V303" s="123"/>
      <c r="W303" s="123"/>
      <c r="X303" s="123"/>
      <c r="Y303" s="123"/>
      <c r="Z303" s="123"/>
      <c r="AA303" s="123"/>
      <c r="AB303" s="123"/>
      <c r="AC303" s="123"/>
      <c r="AD303" s="123"/>
      <c r="AE303" s="123"/>
      <c r="AF303" s="123"/>
      <c r="AG303" s="123"/>
      <c r="AH303" s="123"/>
      <c r="AI303" s="130"/>
      <c r="AJ303" s="130"/>
      <c r="AK303" s="130"/>
      <c r="AL303" s="134">
        <v>0</v>
      </c>
      <c r="AM303" s="120"/>
      <c r="AN303" s="120"/>
      <c r="AO303" s="120"/>
      <c r="AP303" s="120"/>
      <c r="AQ303" s="120"/>
      <c r="AR303" s="120"/>
      <c r="AS303" s="120"/>
      <c r="AT303" s="120"/>
      <c r="AU303" s="120"/>
      <c r="AV303" s="120"/>
      <c r="AW303" s="120"/>
      <c r="AX303" s="120"/>
      <c r="AY303" s="120"/>
      <c r="AZ303" s="121"/>
      <c r="BA303" s="121"/>
      <c r="BB303" s="121"/>
      <c r="BD303" s="121"/>
      <c r="BE303" s="121"/>
      <c r="BF303" s="124"/>
      <c r="BH303" s="121"/>
      <c r="BI303" s="121"/>
      <c r="BP303" s="121"/>
      <c r="BQ303" s="149"/>
    </row>
    <row r="304" spans="1:69" s="122" customFormat="1" ht="27">
      <c r="A304" s="118"/>
      <c r="B304" s="141" t="s">
        <v>1458</v>
      </c>
      <c r="C304" s="120"/>
      <c r="D304" s="120"/>
      <c r="E304" s="119"/>
      <c r="F304" s="120"/>
      <c r="G304" s="120"/>
      <c r="H304" s="120"/>
      <c r="J304" s="120"/>
      <c r="K304" s="120"/>
      <c r="L304" s="120"/>
      <c r="M304" s="120"/>
      <c r="N304" s="121"/>
      <c r="O304" s="120"/>
      <c r="P304" s="118"/>
      <c r="R304" s="123"/>
      <c r="T304" s="123"/>
      <c r="U304" s="123"/>
      <c r="V304" s="123"/>
      <c r="W304" s="123"/>
      <c r="X304" s="123"/>
      <c r="Y304" s="123"/>
      <c r="Z304" s="123"/>
      <c r="AA304" s="123"/>
      <c r="AB304" s="123"/>
      <c r="AC304" s="123"/>
      <c r="AD304" s="123"/>
      <c r="AE304" s="123"/>
      <c r="AF304" s="123"/>
      <c r="AG304" s="123"/>
      <c r="AH304" s="123"/>
      <c r="AI304" s="130"/>
      <c r="AJ304" s="130"/>
      <c r="AK304" s="130"/>
      <c r="AL304" s="134">
        <v>0</v>
      </c>
      <c r="AM304" s="120"/>
      <c r="AN304" s="120"/>
      <c r="AO304" s="120"/>
      <c r="AP304" s="120"/>
      <c r="AQ304" s="120"/>
      <c r="AR304" s="120"/>
      <c r="AS304" s="120"/>
      <c r="AT304" s="120"/>
      <c r="AU304" s="120"/>
      <c r="AV304" s="120"/>
      <c r="AW304" s="120"/>
      <c r="AX304" s="120"/>
      <c r="AY304" s="120"/>
      <c r="AZ304" s="121"/>
      <c r="BA304" s="121"/>
      <c r="BB304" s="121"/>
      <c r="BD304" s="121"/>
      <c r="BE304" s="121"/>
      <c r="BF304" s="124"/>
      <c r="BH304" s="121"/>
      <c r="BI304" s="121"/>
      <c r="BP304" s="121"/>
      <c r="BQ304" s="149"/>
    </row>
    <row r="305" spans="1:69" s="122" customFormat="1" ht="16.5">
      <c r="A305" s="118"/>
      <c r="B305" s="141" t="s">
        <v>1459</v>
      </c>
      <c r="C305" s="120"/>
      <c r="D305" s="120"/>
      <c r="E305" s="119"/>
      <c r="F305" s="120"/>
      <c r="G305" s="120"/>
      <c r="H305" s="120"/>
      <c r="J305" s="120"/>
      <c r="K305" s="120"/>
      <c r="L305" s="120"/>
      <c r="M305" s="120"/>
      <c r="N305" s="121"/>
      <c r="O305" s="120"/>
      <c r="P305" s="118"/>
      <c r="R305" s="123"/>
      <c r="T305" s="123"/>
      <c r="U305" s="123"/>
      <c r="V305" s="123"/>
      <c r="W305" s="123"/>
      <c r="X305" s="123"/>
      <c r="Y305" s="123"/>
      <c r="Z305" s="123"/>
      <c r="AA305" s="123"/>
      <c r="AB305" s="123"/>
      <c r="AC305" s="123"/>
      <c r="AD305" s="123"/>
      <c r="AE305" s="123"/>
      <c r="AF305" s="123"/>
      <c r="AG305" s="123"/>
      <c r="AH305" s="123"/>
      <c r="AI305" s="130"/>
      <c r="AJ305" s="130"/>
      <c r="AK305" s="130"/>
      <c r="AL305" s="134">
        <v>0</v>
      </c>
      <c r="AM305" s="120"/>
      <c r="AN305" s="120"/>
      <c r="AO305" s="120"/>
      <c r="AP305" s="120"/>
      <c r="AQ305" s="120"/>
      <c r="AR305" s="120"/>
      <c r="AS305" s="120"/>
      <c r="AT305" s="120"/>
      <c r="AU305" s="120"/>
      <c r="AV305" s="120"/>
      <c r="AW305" s="120"/>
      <c r="AX305" s="120"/>
      <c r="AY305" s="120"/>
      <c r="AZ305" s="121"/>
      <c r="BA305" s="121"/>
      <c r="BB305" s="121"/>
      <c r="BD305" s="121"/>
      <c r="BE305" s="121"/>
      <c r="BF305" s="124"/>
      <c r="BH305" s="121"/>
      <c r="BI305" s="121"/>
      <c r="BP305" s="121"/>
      <c r="BQ305" s="149"/>
    </row>
    <row r="306" spans="1:69" s="122" customFormat="1" ht="16.5">
      <c r="A306" s="118"/>
      <c r="B306" s="141" t="s">
        <v>1460</v>
      </c>
      <c r="C306" s="120"/>
      <c r="D306" s="120"/>
      <c r="E306" s="119"/>
      <c r="F306" s="120"/>
      <c r="G306" s="120"/>
      <c r="H306" s="120"/>
      <c r="J306" s="120"/>
      <c r="K306" s="120"/>
      <c r="L306" s="120"/>
      <c r="M306" s="120"/>
      <c r="N306" s="121"/>
      <c r="O306" s="120"/>
      <c r="P306" s="118"/>
      <c r="R306" s="123"/>
      <c r="T306" s="123"/>
      <c r="U306" s="123"/>
      <c r="V306" s="123"/>
      <c r="W306" s="123"/>
      <c r="X306" s="123"/>
      <c r="Y306" s="123"/>
      <c r="Z306" s="123"/>
      <c r="AA306" s="123"/>
      <c r="AB306" s="123"/>
      <c r="AC306" s="123"/>
      <c r="AD306" s="123"/>
      <c r="AE306" s="123"/>
      <c r="AF306" s="123"/>
      <c r="AG306" s="123"/>
      <c r="AH306" s="123"/>
      <c r="AI306" s="130"/>
      <c r="AJ306" s="130"/>
      <c r="AK306" s="130"/>
      <c r="AL306" s="134">
        <v>0</v>
      </c>
      <c r="AM306" s="120"/>
      <c r="AN306" s="120"/>
      <c r="AO306" s="120"/>
      <c r="AP306" s="120"/>
      <c r="AQ306" s="120"/>
      <c r="AR306" s="120"/>
      <c r="AS306" s="120"/>
      <c r="AT306" s="120"/>
      <c r="AU306" s="120"/>
      <c r="AV306" s="120"/>
      <c r="AW306" s="120"/>
      <c r="AX306" s="120"/>
      <c r="AY306" s="120"/>
      <c r="AZ306" s="121"/>
      <c r="BA306" s="121"/>
      <c r="BB306" s="121"/>
      <c r="BD306" s="121"/>
      <c r="BE306" s="121"/>
      <c r="BF306" s="124"/>
      <c r="BH306" s="121"/>
      <c r="BI306" s="121"/>
      <c r="BP306" s="121"/>
      <c r="BQ306" s="149"/>
    </row>
    <row r="307" spans="1:69" s="122" customFormat="1" ht="16.5">
      <c r="A307" s="118"/>
      <c r="B307" s="141" t="s">
        <v>1461</v>
      </c>
      <c r="C307" s="120"/>
      <c r="D307" s="120"/>
      <c r="E307" s="119"/>
      <c r="F307" s="120"/>
      <c r="G307" s="120"/>
      <c r="H307" s="120"/>
      <c r="J307" s="120"/>
      <c r="K307" s="120"/>
      <c r="L307" s="120"/>
      <c r="M307" s="120"/>
      <c r="N307" s="121"/>
      <c r="O307" s="120"/>
      <c r="P307" s="118"/>
      <c r="R307" s="123"/>
      <c r="T307" s="123"/>
      <c r="U307" s="123"/>
      <c r="V307" s="123"/>
      <c r="W307" s="123"/>
      <c r="X307" s="123"/>
      <c r="Y307" s="123"/>
      <c r="Z307" s="123"/>
      <c r="AA307" s="123"/>
      <c r="AB307" s="123"/>
      <c r="AC307" s="123"/>
      <c r="AD307" s="123"/>
      <c r="AE307" s="123"/>
      <c r="AF307" s="123"/>
      <c r="AG307" s="123"/>
      <c r="AH307" s="123"/>
      <c r="AI307" s="130"/>
      <c r="AJ307" s="130"/>
      <c r="AK307" s="130"/>
      <c r="AL307" s="134">
        <v>0</v>
      </c>
      <c r="AM307" s="120"/>
      <c r="AN307" s="120"/>
      <c r="AO307" s="120"/>
      <c r="AP307" s="120"/>
      <c r="AQ307" s="120"/>
      <c r="AR307" s="120"/>
      <c r="AS307" s="120"/>
      <c r="AT307" s="120"/>
      <c r="AU307" s="120"/>
      <c r="AV307" s="120"/>
      <c r="AW307" s="120"/>
      <c r="AX307" s="120"/>
      <c r="AY307" s="120"/>
      <c r="AZ307" s="121"/>
      <c r="BA307" s="121"/>
      <c r="BB307" s="121"/>
      <c r="BD307" s="121"/>
      <c r="BE307" s="121"/>
      <c r="BF307" s="124"/>
      <c r="BH307" s="121"/>
      <c r="BI307" s="121"/>
      <c r="BP307" s="121"/>
      <c r="BQ307" s="149"/>
    </row>
    <row r="308" spans="1:69" s="122" customFormat="1" ht="16.5">
      <c r="A308" s="118"/>
      <c r="B308" s="141" t="s">
        <v>1462</v>
      </c>
      <c r="C308" s="120"/>
      <c r="D308" s="120"/>
      <c r="E308" s="119"/>
      <c r="F308" s="120"/>
      <c r="G308" s="120"/>
      <c r="H308" s="120"/>
      <c r="J308" s="120"/>
      <c r="K308" s="120"/>
      <c r="L308" s="120"/>
      <c r="M308" s="120"/>
      <c r="N308" s="121"/>
      <c r="O308" s="120"/>
      <c r="P308" s="118"/>
      <c r="R308" s="123"/>
      <c r="T308" s="123"/>
      <c r="U308" s="123"/>
      <c r="V308" s="123"/>
      <c r="W308" s="123"/>
      <c r="X308" s="123"/>
      <c r="Y308" s="123"/>
      <c r="Z308" s="123"/>
      <c r="AA308" s="123"/>
      <c r="AB308" s="123"/>
      <c r="AC308" s="123"/>
      <c r="AD308" s="123"/>
      <c r="AE308" s="123"/>
      <c r="AF308" s="123"/>
      <c r="AG308" s="123"/>
      <c r="AH308" s="123"/>
      <c r="AI308" s="130"/>
      <c r="AJ308" s="130"/>
      <c r="AK308" s="130"/>
      <c r="AL308" s="134">
        <v>0</v>
      </c>
      <c r="AM308" s="120"/>
      <c r="AN308" s="120"/>
      <c r="AO308" s="120"/>
      <c r="AP308" s="120"/>
      <c r="AQ308" s="120"/>
      <c r="AR308" s="120"/>
      <c r="AS308" s="120"/>
      <c r="AT308" s="120"/>
      <c r="AU308" s="120"/>
      <c r="AV308" s="120"/>
      <c r="AW308" s="120"/>
      <c r="AX308" s="120"/>
      <c r="AY308" s="120"/>
      <c r="AZ308" s="121"/>
      <c r="BA308" s="121"/>
      <c r="BB308" s="121"/>
      <c r="BD308" s="121"/>
      <c r="BE308" s="121"/>
      <c r="BF308" s="124"/>
      <c r="BH308" s="121"/>
      <c r="BI308" s="121"/>
      <c r="BP308" s="121"/>
      <c r="BQ308" s="149"/>
    </row>
    <row r="309" spans="1:69" s="122" customFormat="1" ht="16.5">
      <c r="A309" s="118"/>
      <c r="B309" s="141" t="s">
        <v>1463</v>
      </c>
      <c r="C309" s="120"/>
      <c r="D309" s="120" t="s">
        <v>1532</v>
      </c>
      <c r="E309" s="119"/>
      <c r="F309" s="120"/>
      <c r="G309" s="120"/>
      <c r="H309" s="120"/>
      <c r="J309" s="120"/>
      <c r="K309" s="120"/>
      <c r="L309" s="120"/>
      <c r="M309" s="120"/>
      <c r="N309" s="121"/>
      <c r="O309" s="120"/>
      <c r="P309" s="118"/>
      <c r="R309" s="123"/>
      <c r="T309" s="123"/>
      <c r="U309" s="123"/>
      <c r="V309" s="123"/>
      <c r="W309" s="123"/>
      <c r="X309" s="123"/>
      <c r="Y309" s="123"/>
      <c r="Z309" s="123"/>
      <c r="AA309" s="123"/>
      <c r="AB309" s="123"/>
      <c r="AC309" s="123"/>
      <c r="AD309" s="123"/>
      <c r="AE309" s="123"/>
      <c r="AF309" s="123"/>
      <c r="AG309" s="123"/>
      <c r="AH309" s="123"/>
      <c r="AI309" s="130"/>
      <c r="AJ309" s="130"/>
      <c r="AK309" s="130"/>
      <c r="AL309" s="134">
        <v>0</v>
      </c>
      <c r="AM309" s="120"/>
      <c r="AN309" s="120"/>
      <c r="AO309" s="120"/>
      <c r="AP309" s="120"/>
      <c r="AQ309" s="120"/>
      <c r="AR309" s="120"/>
      <c r="AS309" s="120"/>
      <c r="AT309" s="120"/>
      <c r="AU309" s="120"/>
      <c r="AV309" s="120"/>
      <c r="AW309" s="120"/>
      <c r="AX309" s="120"/>
      <c r="AY309" s="120"/>
      <c r="AZ309" s="121"/>
      <c r="BA309" s="121"/>
      <c r="BB309" s="121"/>
      <c r="BD309" s="121"/>
      <c r="BE309" s="121"/>
      <c r="BF309" s="124"/>
      <c r="BH309" s="121"/>
      <c r="BI309" s="121"/>
      <c r="BP309" s="121"/>
      <c r="BQ309" s="149"/>
    </row>
    <row r="310" spans="1:69" s="122" customFormat="1" ht="16.5">
      <c r="A310" s="118"/>
      <c r="B310" s="141" t="s">
        <v>1465</v>
      </c>
      <c r="C310" s="120"/>
      <c r="D310" s="120" t="s">
        <v>1532</v>
      </c>
      <c r="E310" s="119" t="s">
        <v>1464</v>
      </c>
      <c r="F310" s="120"/>
      <c r="G310" s="120"/>
      <c r="H310" s="120"/>
      <c r="J310" s="120"/>
      <c r="K310" s="120"/>
      <c r="L310" s="120"/>
      <c r="M310" s="120"/>
      <c r="N310" s="121"/>
      <c r="O310" s="120"/>
      <c r="P310" s="118"/>
      <c r="R310" s="123"/>
      <c r="T310" s="123"/>
      <c r="U310" s="123"/>
      <c r="V310" s="123"/>
      <c r="W310" s="123"/>
      <c r="X310" s="123"/>
      <c r="Y310" s="123"/>
      <c r="Z310" s="123"/>
      <c r="AA310" s="123"/>
      <c r="AB310" s="123"/>
      <c r="AC310" s="123"/>
      <c r="AD310" s="123"/>
      <c r="AE310" s="123"/>
      <c r="AF310" s="123"/>
      <c r="AG310" s="123"/>
      <c r="AH310" s="123"/>
      <c r="AI310" s="130"/>
      <c r="AJ310" s="130"/>
      <c r="AK310" s="130"/>
      <c r="AL310" s="134">
        <v>0</v>
      </c>
      <c r="AM310" s="120"/>
      <c r="AN310" s="120"/>
      <c r="AO310" s="120"/>
      <c r="AP310" s="120"/>
      <c r="AQ310" s="120"/>
      <c r="AR310" s="120"/>
      <c r="AS310" s="120"/>
      <c r="AT310" s="120"/>
      <c r="AU310" s="120"/>
      <c r="AV310" s="120"/>
      <c r="AW310" s="120"/>
      <c r="AX310" s="120"/>
      <c r="AY310" s="120"/>
      <c r="AZ310" s="121"/>
      <c r="BA310" s="121"/>
      <c r="BB310" s="121"/>
      <c r="BD310" s="121"/>
      <c r="BE310" s="121"/>
      <c r="BF310" s="124"/>
      <c r="BH310" s="121"/>
      <c r="BI310" s="121"/>
      <c r="BP310" s="121"/>
      <c r="BQ310" s="149"/>
    </row>
    <row r="311" spans="1:69" s="122" customFormat="1" ht="16.5">
      <c r="A311" s="118"/>
      <c r="B311" s="141" t="s">
        <v>1466</v>
      </c>
      <c r="C311" s="120"/>
      <c r="D311" s="120" t="s">
        <v>1532</v>
      </c>
      <c r="E311" s="119"/>
      <c r="F311" s="120"/>
      <c r="G311" s="120"/>
      <c r="H311" s="120"/>
      <c r="J311" s="120"/>
      <c r="K311" s="120"/>
      <c r="L311" s="120"/>
      <c r="M311" s="120"/>
      <c r="N311" s="121"/>
      <c r="O311" s="120"/>
      <c r="P311" s="118"/>
      <c r="R311" s="123"/>
      <c r="T311" s="123"/>
      <c r="U311" s="123"/>
      <c r="V311" s="123"/>
      <c r="W311" s="123"/>
      <c r="X311" s="123"/>
      <c r="Y311" s="123"/>
      <c r="Z311" s="123"/>
      <c r="AA311" s="123"/>
      <c r="AB311" s="123"/>
      <c r="AC311" s="123"/>
      <c r="AD311" s="123"/>
      <c r="AE311" s="123"/>
      <c r="AF311" s="123"/>
      <c r="AG311" s="123"/>
      <c r="AH311" s="123"/>
      <c r="AI311" s="130"/>
      <c r="AJ311" s="130"/>
      <c r="AK311" s="130"/>
      <c r="AL311" s="134">
        <v>0</v>
      </c>
      <c r="AM311" s="120"/>
      <c r="AN311" s="120"/>
      <c r="AO311" s="120"/>
      <c r="AP311" s="120"/>
      <c r="AQ311" s="120"/>
      <c r="AR311" s="120"/>
      <c r="AS311" s="120"/>
      <c r="AT311" s="120"/>
      <c r="AU311" s="120"/>
      <c r="AV311" s="120"/>
      <c r="AW311" s="120"/>
      <c r="AX311" s="120"/>
      <c r="AY311" s="120"/>
      <c r="AZ311" s="121"/>
      <c r="BA311" s="121"/>
      <c r="BB311" s="121"/>
      <c r="BD311" s="121"/>
      <c r="BE311" s="121"/>
      <c r="BF311" s="124"/>
      <c r="BH311" s="121"/>
      <c r="BI311" s="121"/>
      <c r="BP311" s="121"/>
      <c r="BQ311" s="149"/>
    </row>
    <row r="312" spans="1:69" s="122" customFormat="1" ht="16.5">
      <c r="A312" s="118"/>
      <c r="B312" s="141" t="s">
        <v>1467</v>
      </c>
      <c r="C312" s="120"/>
      <c r="D312" s="120"/>
      <c r="E312" s="119"/>
      <c r="F312" s="120"/>
      <c r="G312" s="120"/>
      <c r="H312" s="120"/>
      <c r="J312" s="120"/>
      <c r="K312" s="120"/>
      <c r="L312" s="120"/>
      <c r="M312" s="120"/>
      <c r="N312" s="121"/>
      <c r="O312" s="120"/>
      <c r="P312" s="118"/>
      <c r="R312" s="123"/>
      <c r="T312" s="123"/>
      <c r="U312" s="123"/>
      <c r="V312" s="123"/>
      <c r="W312" s="123"/>
      <c r="X312" s="123"/>
      <c r="Y312" s="123"/>
      <c r="Z312" s="123"/>
      <c r="AA312" s="123"/>
      <c r="AB312" s="123"/>
      <c r="AC312" s="123"/>
      <c r="AD312" s="123"/>
      <c r="AE312" s="123"/>
      <c r="AF312" s="123"/>
      <c r="AG312" s="123"/>
      <c r="AH312" s="123"/>
      <c r="AI312" s="130"/>
      <c r="AJ312" s="130"/>
      <c r="AK312" s="130"/>
      <c r="AL312" s="134">
        <v>0</v>
      </c>
      <c r="AM312" s="120"/>
      <c r="AN312" s="120"/>
      <c r="AO312" s="120"/>
      <c r="AP312" s="120"/>
      <c r="AQ312" s="120"/>
      <c r="AR312" s="120"/>
      <c r="AS312" s="120"/>
      <c r="AT312" s="120"/>
      <c r="AU312" s="120"/>
      <c r="AV312" s="120"/>
      <c r="AW312" s="120"/>
      <c r="AX312" s="120"/>
      <c r="AY312" s="120"/>
      <c r="AZ312" s="121"/>
      <c r="BA312" s="121"/>
      <c r="BB312" s="121"/>
      <c r="BD312" s="121"/>
      <c r="BE312" s="121"/>
      <c r="BF312" s="124"/>
      <c r="BH312" s="121"/>
      <c r="BI312" s="121"/>
      <c r="BP312" s="121"/>
      <c r="BQ312" s="149"/>
    </row>
    <row r="313" spans="1:69" s="122" customFormat="1" ht="16.5">
      <c r="A313" s="118"/>
      <c r="B313" s="141"/>
      <c r="C313" s="120"/>
      <c r="D313" s="120"/>
      <c r="E313" s="119"/>
      <c r="F313" s="120"/>
      <c r="G313" s="120"/>
      <c r="H313" s="120"/>
      <c r="J313" s="120"/>
      <c r="K313" s="120"/>
      <c r="L313" s="120"/>
      <c r="M313" s="120"/>
      <c r="N313" s="121"/>
      <c r="O313" s="120"/>
      <c r="P313" s="118"/>
      <c r="R313" s="123"/>
      <c r="T313" s="123"/>
      <c r="U313" s="123"/>
      <c r="V313" s="123"/>
      <c r="W313" s="123"/>
      <c r="X313" s="123"/>
      <c r="Y313" s="123"/>
      <c r="Z313" s="123"/>
      <c r="AA313" s="123"/>
      <c r="AB313" s="123"/>
      <c r="AC313" s="123"/>
      <c r="AD313" s="123"/>
      <c r="AE313" s="123"/>
      <c r="AF313" s="123"/>
      <c r="AG313" s="123"/>
      <c r="AH313" s="123"/>
      <c r="AI313" s="130"/>
      <c r="AJ313" s="130"/>
      <c r="AK313" s="130"/>
      <c r="AL313" s="120"/>
      <c r="AM313" s="120"/>
      <c r="AN313" s="120"/>
      <c r="AO313" s="120"/>
      <c r="AP313" s="120"/>
      <c r="AQ313" s="120"/>
      <c r="AR313" s="120"/>
      <c r="AS313" s="120"/>
      <c r="AT313" s="120"/>
      <c r="AU313" s="120"/>
      <c r="AV313" s="120"/>
      <c r="AW313" s="120"/>
      <c r="AX313" s="120"/>
      <c r="AY313" s="120"/>
      <c r="AZ313" s="121"/>
      <c r="BA313" s="121"/>
      <c r="BB313" s="121"/>
      <c r="BD313" s="121"/>
      <c r="BE313" s="121"/>
      <c r="BF313" s="124"/>
      <c r="BH313" s="121"/>
      <c r="BI313" s="121"/>
      <c r="BP313" s="121"/>
      <c r="BQ313" s="149"/>
    </row>
    <row r="314" spans="1:69" s="122" customFormat="1" ht="16.5">
      <c r="A314" s="118"/>
      <c r="B314" s="141" t="s">
        <v>1528</v>
      </c>
      <c r="C314" s="120"/>
      <c r="D314" s="120" t="s">
        <v>1357</v>
      </c>
      <c r="E314" s="119"/>
      <c r="F314" s="120" t="s">
        <v>1534</v>
      </c>
      <c r="G314" s="120"/>
      <c r="H314" s="120" t="s">
        <v>1535</v>
      </c>
      <c r="I314" s="135">
        <v>44013</v>
      </c>
      <c r="J314" s="120"/>
      <c r="K314" s="120"/>
      <c r="L314" s="120"/>
      <c r="M314" s="120"/>
      <c r="N314" s="121"/>
      <c r="O314" s="120"/>
      <c r="P314" s="118"/>
      <c r="R314" s="123"/>
      <c r="T314" s="123"/>
      <c r="U314" s="123"/>
      <c r="V314" s="123"/>
      <c r="W314" s="123"/>
      <c r="X314" s="123"/>
      <c r="Y314" s="123"/>
      <c r="Z314" s="123"/>
      <c r="AA314" s="123"/>
      <c r="AB314" s="123"/>
      <c r="AC314" s="123"/>
      <c r="AD314" s="123"/>
      <c r="AE314" s="123"/>
      <c r="AF314" s="123"/>
      <c r="AG314" s="123"/>
      <c r="AH314" s="123"/>
      <c r="AI314" s="130"/>
      <c r="AJ314" s="130"/>
      <c r="AK314" s="130"/>
      <c r="AL314" s="120"/>
      <c r="AM314" s="134">
        <v>0</v>
      </c>
      <c r="AN314" s="120"/>
      <c r="AO314" s="120"/>
      <c r="AP314" s="120"/>
      <c r="AQ314" s="120"/>
      <c r="AR314" s="120"/>
      <c r="AS314" s="120"/>
      <c r="AT314" s="120"/>
      <c r="AU314" s="120"/>
      <c r="AV314" s="120"/>
      <c r="AW314" s="120"/>
      <c r="AX314" s="120"/>
      <c r="AY314" s="120"/>
      <c r="AZ314" s="121"/>
      <c r="BA314" s="121"/>
      <c r="BB314" s="121"/>
      <c r="BD314" s="121"/>
      <c r="BE314" s="121"/>
      <c r="BF314" s="124"/>
      <c r="BH314" s="121"/>
      <c r="BI314" s="121"/>
      <c r="BP314" s="121"/>
      <c r="BQ314" s="149"/>
    </row>
    <row r="315" spans="1:69" s="122" customFormat="1" ht="27">
      <c r="A315" s="118"/>
      <c r="B315" s="141" t="s">
        <v>1530</v>
      </c>
      <c r="C315" s="120"/>
      <c r="D315" s="120"/>
      <c r="E315" s="119"/>
      <c r="F315" s="120"/>
      <c r="G315" s="120"/>
      <c r="H315" s="120"/>
      <c r="J315" s="120"/>
      <c r="K315" s="120"/>
      <c r="L315" s="120"/>
      <c r="M315" s="120"/>
      <c r="N315" s="121"/>
      <c r="O315" s="120"/>
      <c r="P315" s="118"/>
      <c r="R315" s="123"/>
      <c r="T315" s="123"/>
      <c r="U315" s="123"/>
      <c r="V315" s="123"/>
      <c r="W315" s="123"/>
      <c r="X315" s="123"/>
      <c r="Y315" s="123"/>
      <c r="Z315" s="123"/>
      <c r="AA315" s="123"/>
      <c r="AB315" s="123"/>
      <c r="AC315" s="123"/>
      <c r="AD315" s="123"/>
      <c r="AE315" s="123"/>
      <c r="AF315" s="123"/>
      <c r="AG315" s="123"/>
      <c r="AH315" s="123"/>
      <c r="AI315" s="130"/>
      <c r="AJ315" s="130"/>
      <c r="AK315" s="130"/>
      <c r="AL315" s="120"/>
      <c r="AM315" s="134">
        <v>0</v>
      </c>
      <c r="AN315" s="120"/>
      <c r="AO315" s="120"/>
      <c r="AP315" s="120"/>
      <c r="AQ315" s="120"/>
      <c r="AR315" s="120"/>
      <c r="AS315" s="120"/>
      <c r="AT315" s="120"/>
      <c r="AU315" s="120"/>
      <c r="AV315" s="120"/>
      <c r="AW315" s="120"/>
      <c r="AX315" s="120"/>
      <c r="AY315" s="120"/>
      <c r="AZ315" s="121"/>
      <c r="BA315" s="121"/>
      <c r="BB315" s="121"/>
      <c r="BD315" s="121"/>
      <c r="BE315" s="121"/>
      <c r="BF315" s="124"/>
      <c r="BH315" s="121"/>
      <c r="BI315" s="121"/>
      <c r="BP315" s="121"/>
      <c r="BQ315" s="149"/>
    </row>
    <row r="316" spans="1:69" s="122" customFormat="1" ht="16.5">
      <c r="A316" s="118"/>
      <c r="B316" s="141" t="s">
        <v>1469</v>
      </c>
      <c r="C316" s="120"/>
      <c r="D316" s="120"/>
      <c r="E316" s="119"/>
      <c r="F316" s="120"/>
      <c r="G316" s="120"/>
      <c r="H316" s="120"/>
      <c r="J316" s="120"/>
      <c r="K316" s="120"/>
      <c r="L316" s="120"/>
      <c r="M316" s="120"/>
      <c r="N316" s="121"/>
      <c r="O316" s="120"/>
      <c r="P316" s="118"/>
      <c r="R316" s="123"/>
      <c r="T316" s="123"/>
      <c r="U316" s="123"/>
      <c r="V316" s="123"/>
      <c r="W316" s="123"/>
      <c r="X316" s="123"/>
      <c r="Y316" s="123"/>
      <c r="Z316" s="123"/>
      <c r="AA316" s="123"/>
      <c r="AB316" s="123"/>
      <c r="AC316" s="123"/>
      <c r="AD316" s="123"/>
      <c r="AE316" s="123"/>
      <c r="AF316" s="123"/>
      <c r="AG316" s="123"/>
      <c r="AH316" s="123"/>
      <c r="AI316" s="130"/>
      <c r="AJ316" s="130"/>
      <c r="AK316" s="130"/>
      <c r="AL316" s="120"/>
      <c r="AM316" s="134">
        <v>0</v>
      </c>
      <c r="AN316" s="120"/>
      <c r="AO316" s="120"/>
      <c r="AP316" s="120"/>
      <c r="AQ316" s="120"/>
      <c r="AR316" s="120"/>
      <c r="AS316" s="120"/>
      <c r="AT316" s="120"/>
      <c r="AU316" s="120"/>
      <c r="AV316" s="120"/>
      <c r="AW316" s="120"/>
      <c r="AX316" s="120"/>
      <c r="AY316" s="120"/>
      <c r="AZ316" s="121"/>
      <c r="BA316" s="121"/>
      <c r="BB316" s="121"/>
      <c r="BD316" s="121"/>
      <c r="BE316" s="121"/>
      <c r="BF316" s="124"/>
      <c r="BH316" s="121"/>
      <c r="BI316" s="121"/>
      <c r="BP316" s="121"/>
      <c r="BQ316" s="149"/>
    </row>
    <row r="317" spans="1:69" s="122" customFormat="1" ht="16.5">
      <c r="A317" s="118"/>
      <c r="B317" s="141" t="s">
        <v>1470</v>
      </c>
      <c r="C317" s="120"/>
      <c r="D317" s="120"/>
      <c r="E317" s="119"/>
      <c r="F317" s="120"/>
      <c r="G317" s="120"/>
      <c r="H317" s="120"/>
      <c r="J317" s="120"/>
      <c r="K317" s="120"/>
      <c r="L317" s="120"/>
      <c r="M317" s="120"/>
      <c r="N317" s="121"/>
      <c r="O317" s="120"/>
      <c r="P317" s="118"/>
      <c r="R317" s="123"/>
      <c r="T317" s="123"/>
      <c r="U317" s="123"/>
      <c r="V317" s="123"/>
      <c r="W317" s="123"/>
      <c r="X317" s="123"/>
      <c r="Y317" s="123"/>
      <c r="Z317" s="123"/>
      <c r="AA317" s="123"/>
      <c r="AB317" s="123"/>
      <c r="AC317" s="123"/>
      <c r="AD317" s="123"/>
      <c r="AE317" s="123"/>
      <c r="AF317" s="123"/>
      <c r="AG317" s="123"/>
      <c r="AH317" s="123"/>
      <c r="AI317" s="130"/>
      <c r="AJ317" s="130"/>
      <c r="AK317" s="130"/>
      <c r="AL317" s="120"/>
      <c r="AM317" s="134">
        <v>0</v>
      </c>
      <c r="AN317" s="120"/>
      <c r="AO317" s="120"/>
      <c r="AP317" s="120"/>
      <c r="AQ317" s="120"/>
      <c r="AR317" s="120"/>
      <c r="AS317" s="120"/>
      <c r="AT317" s="120"/>
      <c r="AU317" s="120"/>
      <c r="AV317" s="120"/>
      <c r="AW317" s="120"/>
      <c r="AX317" s="120"/>
      <c r="AY317" s="120"/>
      <c r="AZ317" s="121"/>
      <c r="BA317" s="121"/>
      <c r="BB317" s="121"/>
      <c r="BD317" s="121"/>
      <c r="BE317" s="121"/>
      <c r="BF317" s="124"/>
      <c r="BH317" s="121"/>
      <c r="BI317" s="121"/>
      <c r="BP317" s="121"/>
      <c r="BQ317" s="149"/>
    </row>
    <row r="318" spans="1:69" s="122" customFormat="1" ht="16.5">
      <c r="A318" s="118"/>
      <c r="B318" s="141" t="s">
        <v>1472</v>
      </c>
      <c r="C318" s="120"/>
      <c r="D318" s="120"/>
      <c r="E318" s="119"/>
      <c r="F318" s="120"/>
      <c r="G318" s="120"/>
      <c r="H318" s="120"/>
      <c r="J318" s="120"/>
      <c r="K318" s="120"/>
      <c r="L318" s="120"/>
      <c r="M318" s="120"/>
      <c r="N318" s="121"/>
      <c r="O318" s="120"/>
      <c r="P318" s="118"/>
      <c r="R318" s="123"/>
      <c r="T318" s="123"/>
      <c r="U318" s="123"/>
      <c r="V318" s="123"/>
      <c r="W318" s="123"/>
      <c r="X318" s="123"/>
      <c r="Y318" s="123"/>
      <c r="Z318" s="123"/>
      <c r="AA318" s="123"/>
      <c r="AB318" s="123"/>
      <c r="AC318" s="123"/>
      <c r="AD318" s="123"/>
      <c r="AE318" s="123"/>
      <c r="AF318" s="123"/>
      <c r="AG318" s="123"/>
      <c r="AH318" s="123"/>
      <c r="AI318" s="130"/>
      <c r="AJ318" s="130"/>
      <c r="AK318" s="130"/>
      <c r="AL318" s="120"/>
      <c r="AM318" s="134">
        <v>0</v>
      </c>
      <c r="AN318" s="120"/>
      <c r="AO318" s="120"/>
      <c r="AP318" s="120"/>
      <c r="AQ318" s="120"/>
      <c r="AR318" s="120"/>
      <c r="AS318" s="120"/>
      <c r="AT318" s="120"/>
      <c r="AU318" s="120"/>
      <c r="AV318" s="120"/>
      <c r="AW318" s="120"/>
      <c r="AX318" s="120"/>
      <c r="AY318" s="120"/>
      <c r="AZ318" s="121"/>
      <c r="BA318" s="121"/>
      <c r="BB318" s="121"/>
      <c r="BD318" s="121"/>
      <c r="BE318" s="121"/>
      <c r="BF318" s="124"/>
      <c r="BH318" s="121"/>
      <c r="BI318" s="121"/>
      <c r="BP318" s="121"/>
      <c r="BQ318" s="149"/>
    </row>
    <row r="319" spans="1:69" s="122" customFormat="1" ht="16.5">
      <c r="A319" s="118"/>
      <c r="B319" s="141" t="s">
        <v>1473</v>
      </c>
      <c r="C319" s="120"/>
      <c r="D319" s="120"/>
      <c r="E319" s="119"/>
      <c r="F319" s="120"/>
      <c r="G319" s="120"/>
      <c r="H319" s="120"/>
      <c r="J319" s="120"/>
      <c r="K319" s="120"/>
      <c r="L319" s="120"/>
      <c r="M319" s="120"/>
      <c r="N319" s="121"/>
      <c r="O319" s="120"/>
      <c r="P319" s="118"/>
      <c r="R319" s="123"/>
      <c r="T319" s="123"/>
      <c r="U319" s="123"/>
      <c r="V319" s="123"/>
      <c r="W319" s="123"/>
      <c r="X319" s="123"/>
      <c r="Y319" s="123"/>
      <c r="Z319" s="123"/>
      <c r="AA319" s="123"/>
      <c r="AB319" s="123"/>
      <c r="AC319" s="123"/>
      <c r="AD319" s="123"/>
      <c r="AE319" s="123"/>
      <c r="AF319" s="123"/>
      <c r="AG319" s="123"/>
      <c r="AH319" s="123"/>
      <c r="AI319" s="130"/>
      <c r="AJ319" s="130"/>
      <c r="AK319" s="130"/>
      <c r="AL319" s="120"/>
      <c r="AM319" s="134">
        <v>0</v>
      </c>
      <c r="AN319" s="120"/>
      <c r="AO319" s="120"/>
      <c r="AP319" s="120"/>
      <c r="AQ319" s="120"/>
      <c r="AR319" s="120"/>
      <c r="AS319" s="120"/>
      <c r="AT319" s="120"/>
      <c r="AU319" s="120"/>
      <c r="AV319" s="120"/>
      <c r="AW319" s="120"/>
      <c r="AX319" s="120"/>
      <c r="AY319" s="120"/>
      <c r="AZ319" s="121"/>
      <c r="BA319" s="121"/>
      <c r="BB319" s="121"/>
      <c r="BD319" s="121"/>
      <c r="BE319" s="121"/>
      <c r="BF319" s="124"/>
      <c r="BH319" s="121"/>
      <c r="BI319" s="121"/>
      <c r="BP319" s="121"/>
      <c r="BQ319" s="149"/>
    </row>
    <row r="320" spans="1:69" s="122" customFormat="1" ht="16.5">
      <c r="A320" s="118"/>
      <c r="B320" s="141" t="s">
        <v>1474</v>
      </c>
      <c r="C320" s="120"/>
      <c r="D320" s="120"/>
      <c r="E320" s="119"/>
      <c r="F320" s="120"/>
      <c r="G320" s="120"/>
      <c r="H320" s="120"/>
      <c r="J320" s="120"/>
      <c r="K320" s="120"/>
      <c r="L320" s="120"/>
      <c r="M320" s="120"/>
      <c r="N320" s="121"/>
      <c r="O320" s="120"/>
      <c r="P320" s="118"/>
      <c r="R320" s="123"/>
      <c r="T320" s="123"/>
      <c r="U320" s="123"/>
      <c r="V320" s="123"/>
      <c r="W320" s="123"/>
      <c r="X320" s="123"/>
      <c r="Y320" s="123"/>
      <c r="Z320" s="123"/>
      <c r="AA320" s="123"/>
      <c r="AB320" s="123"/>
      <c r="AC320" s="123"/>
      <c r="AD320" s="123"/>
      <c r="AE320" s="123"/>
      <c r="AF320" s="123"/>
      <c r="AG320" s="123"/>
      <c r="AH320" s="123"/>
      <c r="AI320" s="130"/>
      <c r="AJ320" s="130"/>
      <c r="AK320" s="130"/>
      <c r="AL320" s="120"/>
      <c r="AM320" s="134">
        <v>0</v>
      </c>
      <c r="AN320" s="120"/>
      <c r="AO320" s="120"/>
      <c r="AP320" s="120"/>
      <c r="AQ320" s="120"/>
      <c r="AR320" s="120"/>
      <c r="AS320" s="120"/>
      <c r="AT320" s="120"/>
      <c r="AU320" s="120"/>
      <c r="AV320" s="120"/>
      <c r="AW320" s="120"/>
      <c r="AX320" s="120"/>
      <c r="AY320" s="120"/>
      <c r="AZ320" s="121"/>
      <c r="BA320" s="121"/>
      <c r="BB320" s="121"/>
      <c r="BD320" s="121"/>
      <c r="BE320" s="121"/>
      <c r="BF320" s="124"/>
      <c r="BH320" s="121"/>
      <c r="BI320" s="121"/>
      <c r="BP320" s="121"/>
      <c r="BQ320" s="149"/>
    </row>
    <row r="321" spans="1:69" s="122" customFormat="1" ht="16.5">
      <c r="A321" s="118"/>
      <c r="B321" s="141" t="s">
        <v>1475</v>
      </c>
      <c r="C321" s="120"/>
      <c r="D321" s="120"/>
      <c r="E321" s="119"/>
      <c r="F321" s="120"/>
      <c r="G321" s="120"/>
      <c r="H321" s="120"/>
      <c r="J321" s="120"/>
      <c r="K321" s="120"/>
      <c r="L321" s="120"/>
      <c r="M321" s="120"/>
      <c r="N321" s="121"/>
      <c r="O321" s="120"/>
      <c r="P321" s="118"/>
      <c r="R321" s="123"/>
      <c r="T321" s="123"/>
      <c r="U321" s="123"/>
      <c r="V321" s="123"/>
      <c r="W321" s="123"/>
      <c r="X321" s="123"/>
      <c r="Y321" s="123"/>
      <c r="Z321" s="123"/>
      <c r="AA321" s="123"/>
      <c r="AB321" s="123"/>
      <c r="AC321" s="123"/>
      <c r="AD321" s="123"/>
      <c r="AE321" s="123"/>
      <c r="AF321" s="123"/>
      <c r="AG321" s="123"/>
      <c r="AH321" s="123"/>
      <c r="AI321" s="130"/>
      <c r="AJ321" s="130"/>
      <c r="AK321" s="130"/>
      <c r="AL321" s="120"/>
      <c r="AM321" s="134">
        <v>0</v>
      </c>
      <c r="AN321" s="120"/>
      <c r="AO321" s="120"/>
      <c r="AP321" s="120"/>
      <c r="AQ321" s="120"/>
      <c r="AR321" s="120"/>
      <c r="AS321" s="120"/>
      <c r="AT321" s="120"/>
      <c r="AU321" s="120"/>
      <c r="AV321" s="120"/>
      <c r="AW321" s="120"/>
      <c r="AX321" s="120"/>
      <c r="AY321" s="120"/>
      <c r="AZ321" s="121"/>
      <c r="BA321" s="121"/>
      <c r="BB321" s="121"/>
      <c r="BD321" s="121"/>
      <c r="BE321" s="121"/>
      <c r="BF321" s="124"/>
      <c r="BH321" s="121"/>
      <c r="BI321" s="121"/>
      <c r="BP321" s="121"/>
      <c r="BQ321" s="149"/>
    </row>
    <row r="322" spans="1:69" s="122" customFormat="1" ht="16.5">
      <c r="A322" s="118"/>
      <c r="B322" s="141" t="s">
        <v>1477</v>
      </c>
      <c r="C322" s="120"/>
      <c r="D322" s="120"/>
      <c r="E322" s="119"/>
      <c r="F322" s="120"/>
      <c r="G322" s="120"/>
      <c r="H322" s="120"/>
      <c r="J322" s="120"/>
      <c r="K322" s="120"/>
      <c r="L322" s="120"/>
      <c r="M322" s="120"/>
      <c r="N322" s="121"/>
      <c r="O322" s="120"/>
      <c r="P322" s="118"/>
      <c r="R322" s="123"/>
      <c r="T322" s="123"/>
      <c r="U322" s="123"/>
      <c r="V322" s="123"/>
      <c r="W322" s="123"/>
      <c r="X322" s="123"/>
      <c r="Y322" s="123"/>
      <c r="Z322" s="123"/>
      <c r="AA322" s="123"/>
      <c r="AB322" s="123"/>
      <c r="AC322" s="123"/>
      <c r="AD322" s="123"/>
      <c r="AE322" s="123"/>
      <c r="AF322" s="123"/>
      <c r="AG322" s="123"/>
      <c r="AH322" s="123"/>
      <c r="AI322" s="130"/>
      <c r="AJ322" s="130"/>
      <c r="AK322" s="130"/>
      <c r="AL322" s="120"/>
      <c r="AM322" s="134">
        <v>0</v>
      </c>
      <c r="AN322" s="120"/>
      <c r="AO322" s="120"/>
      <c r="AP322" s="120"/>
      <c r="AQ322" s="120"/>
      <c r="AR322" s="120"/>
      <c r="AS322" s="120"/>
      <c r="AT322" s="120"/>
      <c r="AU322" s="120"/>
      <c r="AV322" s="120"/>
      <c r="AW322" s="120"/>
      <c r="AX322" s="120"/>
      <c r="AY322" s="120"/>
      <c r="AZ322" s="121"/>
      <c r="BA322" s="121"/>
      <c r="BB322" s="121"/>
      <c r="BD322" s="121"/>
      <c r="BE322" s="121"/>
      <c r="BF322" s="124"/>
      <c r="BH322" s="121"/>
      <c r="BI322" s="121"/>
      <c r="BP322" s="121"/>
      <c r="BQ322" s="149"/>
    </row>
    <row r="323" spans="1:69" s="122" customFormat="1" ht="16.5">
      <c r="A323" s="118"/>
      <c r="B323" s="141" t="s">
        <v>1478</v>
      </c>
      <c r="C323" s="120"/>
      <c r="D323" s="120"/>
      <c r="E323" s="119"/>
      <c r="F323" s="120"/>
      <c r="G323" s="120"/>
      <c r="H323" s="120"/>
      <c r="J323" s="120"/>
      <c r="K323" s="120"/>
      <c r="L323" s="120"/>
      <c r="M323" s="120"/>
      <c r="N323" s="121"/>
      <c r="O323" s="120"/>
      <c r="P323" s="118"/>
      <c r="R323" s="123"/>
      <c r="T323" s="123"/>
      <c r="U323" s="123"/>
      <c r="V323" s="123"/>
      <c r="W323" s="123"/>
      <c r="X323" s="123"/>
      <c r="Y323" s="123"/>
      <c r="Z323" s="123"/>
      <c r="AA323" s="123"/>
      <c r="AB323" s="123"/>
      <c r="AC323" s="123"/>
      <c r="AD323" s="123"/>
      <c r="AE323" s="123"/>
      <c r="AF323" s="123"/>
      <c r="AG323" s="123"/>
      <c r="AH323" s="123"/>
      <c r="AI323" s="130"/>
      <c r="AJ323" s="130"/>
      <c r="AK323" s="130"/>
      <c r="AL323" s="120"/>
      <c r="AM323" s="134">
        <v>0</v>
      </c>
      <c r="AN323" s="120"/>
      <c r="AO323" s="120"/>
      <c r="AP323" s="120"/>
      <c r="AQ323" s="120"/>
      <c r="AR323" s="120"/>
      <c r="AS323" s="120"/>
      <c r="AT323" s="120"/>
      <c r="AU323" s="120"/>
      <c r="AV323" s="120"/>
      <c r="AW323" s="120"/>
      <c r="AX323" s="120"/>
      <c r="AY323" s="120"/>
      <c r="AZ323" s="121"/>
      <c r="BA323" s="121"/>
      <c r="BB323" s="121"/>
      <c r="BD323" s="121"/>
      <c r="BE323" s="121"/>
      <c r="BF323" s="124"/>
      <c r="BH323" s="121"/>
      <c r="BI323" s="121"/>
      <c r="BP323" s="121"/>
      <c r="BQ323" s="149"/>
    </row>
    <row r="324" spans="1:69" s="122" customFormat="1" ht="27">
      <c r="A324" s="118"/>
      <c r="B324" s="141" t="s">
        <v>1479</v>
      </c>
      <c r="C324" s="120"/>
      <c r="D324" s="120"/>
      <c r="E324" s="119"/>
      <c r="F324" s="120"/>
      <c r="G324" s="120"/>
      <c r="H324" s="120"/>
      <c r="J324" s="120"/>
      <c r="K324" s="120"/>
      <c r="L324" s="120"/>
      <c r="M324" s="120"/>
      <c r="N324" s="121"/>
      <c r="O324" s="120"/>
      <c r="P324" s="118"/>
      <c r="R324" s="123"/>
      <c r="T324" s="123"/>
      <c r="U324" s="123"/>
      <c r="V324" s="123"/>
      <c r="W324" s="123"/>
      <c r="X324" s="123"/>
      <c r="Y324" s="123"/>
      <c r="Z324" s="123"/>
      <c r="AA324" s="123"/>
      <c r="AB324" s="123"/>
      <c r="AC324" s="123"/>
      <c r="AD324" s="123"/>
      <c r="AE324" s="123"/>
      <c r="AF324" s="123"/>
      <c r="AG324" s="123"/>
      <c r="AH324" s="123"/>
      <c r="AI324" s="130"/>
      <c r="AJ324" s="130"/>
      <c r="AK324" s="130"/>
      <c r="AL324" s="120"/>
      <c r="AM324" s="134">
        <v>0</v>
      </c>
      <c r="AN324" s="120"/>
      <c r="AO324" s="120"/>
      <c r="AP324" s="120"/>
      <c r="AQ324" s="120"/>
      <c r="AR324" s="120"/>
      <c r="AS324" s="120"/>
      <c r="AT324" s="120"/>
      <c r="AU324" s="120"/>
      <c r="AV324" s="120"/>
      <c r="AW324" s="120"/>
      <c r="AX324" s="120"/>
      <c r="AY324" s="120"/>
      <c r="AZ324" s="121"/>
      <c r="BA324" s="121"/>
      <c r="BB324" s="121"/>
      <c r="BD324" s="121"/>
      <c r="BE324" s="121"/>
      <c r="BF324" s="124"/>
      <c r="BH324" s="121"/>
      <c r="BI324" s="121"/>
      <c r="BP324" s="121"/>
      <c r="BQ324" s="149"/>
    </row>
    <row r="325" spans="1:69" s="122" customFormat="1" ht="27">
      <c r="A325" s="118"/>
      <c r="B325" s="141" t="s">
        <v>1480</v>
      </c>
      <c r="C325" s="120"/>
      <c r="D325" s="120"/>
      <c r="E325" s="119"/>
      <c r="F325" s="120"/>
      <c r="G325" s="120"/>
      <c r="H325" s="120"/>
      <c r="J325" s="120"/>
      <c r="K325" s="120"/>
      <c r="L325" s="120"/>
      <c r="M325" s="120"/>
      <c r="N325" s="121"/>
      <c r="O325" s="120"/>
      <c r="P325" s="118"/>
      <c r="R325" s="123"/>
      <c r="T325" s="123"/>
      <c r="U325" s="123"/>
      <c r="V325" s="123"/>
      <c r="W325" s="123"/>
      <c r="X325" s="123"/>
      <c r="Y325" s="123"/>
      <c r="Z325" s="123"/>
      <c r="AA325" s="123"/>
      <c r="AB325" s="123"/>
      <c r="AC325" s="123"/>
      <c r="AD325" s="123"/>
      <c r="AE325" s="123"/>
      <c r="AF325" s="123"/>
      <c r="AG325" s="123"/>
      <c r="AH325" s="123"/>
      <c r="AI325" s="130"/>
      <c r="AJ325" s="134">
        <v>0</v>
      </c>
      <c r="AK325" s="130"/>
      <c r="AL325" s="120"/>
      <c r="AM325" s="134">
        <v>0</v>
      </c>
      <c r="AN325" s="120"/>
      <c r="AO325" s="120"/>
      <c r="AP325" s="120"/>
      <c r="AQ325" s="120"/>
      <c r="AR325" s="120"/>
      <c r="AS325" s="120"/>
      <c r="AT325" s="120"/>
      <c r="AU325" s="120"/>
      <c r="AV325" s="120"/>
      <c r="AW325" s="120"/>
      <c r="AX325" s="120"/>
      <c r="AY325" s="120"/>
      <c r="AZ325" s="121"/>
      <c r="BA325" s="121"/>
      <c r="BB325" s="121"/>
      <c r="BD325" s="121"/>
      <c r="BE325" s="121"/>
      <c r="BF325" s="124"/>
      <c r="BH325" s="121"/>
      <c r="BI325" s="121"/>
      <c r="BP325" s="121"/>
      <c r="BQ325" s="150">
        <v>44596.665925925925</v>
      </c>
    </row>
    <row r="326" spans="1:69" s="122" customFormat="1" ht="16.5">
      <c r="A326" s="118"/>
      <c r="B326" s="141"/>
      <c r="C326" s="120"/>
      <c r="D326" s="120"/>
      <c r="E326" s="119"/>
      <c r="F326" s="120"/>
      <c r="G326" s="120"/>
      <c r="H326" s="120"/>
      <c r="J326" s="120"/>
      <c r="K326" s="120"/>
      <c r="L326" s="120"/>
      <c r="M326" s="120"/>
      <c r="N326" s="121"/>
      <c r="O326" s="120"/>
      <c r="P326" s="118"/>
      <c r="R326" s="123"/>
      <c r="T326" s="123"/>
      <c r="U326" s="123"/>
      <c r="V326" s="123"/>
      <c r="W326" s="123"/>
      <c r="X326" s="123"/>
      <c r="Y326" s="123"/>
      <c r="Z326" s="123"/>
      <c r="AA326" s="123"/>
      <c r="AB326" s="123"/>
      <c r="AC326" s="123"/>
      <c r="AD326" s="123"/>
      <c r="AE326" s="123"/>
      <c r="AF326" s="123"/>
      <c r="AG326" s="123"/>
      <c r="AH326" s="123"/>
      <c r="AI326" s="130"/>
      <c r="AJ326" s="130"/>
      <c r="AK326" s="130"/>
      <c r="AL326" s="120"/>
      <c r="AM326" s="120"/>
      <c r="AN326" s="120"/>
      <c r="AO326" s="120"/>
      <c r="AP326" s="120"/>
      <c r="AQ326" s="120"/>
      <c r="AR326" s="120"/>
      <c r="AS326" s="120"/>
      <c r="AT326" s="120"/>
      <c r="AU326" s="120"/>
      <c r="AV326" s="120"/>
      <c r="AW326" s="120"/>
      <c r="AX326" s="120"/>
      <c r="AY326" s="120"/>
      <c r="AZ326" s="121"/>
      <c r="BA326" s="121"/>
      <c r="BB326" s="121"/>
      <c r="BD326" s="121"/>
      <c r="BE326" s="121"/>
      <c r="BF326" s="124"/>
      <c r="BH326" s="121"/>
      <c r="BI326" s="121"/>
      <c r="BP326" s="121"/>
      <c r="BQ326" s="149"/>
    </row>
    <row r="327" spans="1:69" s="122" customFormat="1" ht="16.5">
      <c r="A327" s="118"/>
      <c r="B327" s="141"/>
      <c r="C327" s="120"/>
      <c r="D327" s="120"/>
      <c r="E327" s="119"/>
      <c r="F327" s="120"/>
      <c r="G327" s="120"/>
      <c r="H327" s="120"/>
      <c r="J327" s="120"/>
      <c r="K327" s="120"/>
      <c r="L327" s="120"/>
      <c r="M327" s="120"/>
      <c r="N327" s="121"/>
      <c r="O327" s="120"/>
      <c r="P327" s="118"/>
      <c r="R327" s="123"/>
      <c r="T327" s="123"/>
      <c r="U327" s="123"/>
      <c r="V327" s="123"/>
      <c r="W327" s="123"/>
      <c r="X327" s="123"/>
      <c r="Y327" s="123"/>
      <c r="Z327" s="123"/>
      <c r="AA327" s="123"/>
      <c r="AB327" s="123"/>
      <c r="AC327" s="123"/>
      <c r="AD327" s="123"/>
      <c r="AE327" s="123"/>
      <c r="AF327" s="123"/>
      <c r="AG327" s="123"/>
      <c r="AH327" s="123"/>
      <c r="AI327" s="130"/>
      <c r="AJ327" s="130"/>
      <c r="AK327" s="130"/>
      <c r="AL327" s="120"/>
      <c r="AM327" s="120"/>
      <c r="AN327" s="120"/>
      <c r="AO327" s="120"/>
      <c r="AP327" s="120"/>
      <c r="AQ327" s="120"/>
      <c r="AR327" s="120"/>
      <c r="AS327" s="120"/>
      <c r="AT327" s="120"/>
      <c r="AU327" s="120"/>
      <c r="AV327" s="120"/>
      <c r="AW327" s="120"/>
      <c r="AX327" s="120"/>
      <c r="AY327" s="120"/>
      <c r="AZ327" s="121"/>
      <c r="BA327" s="121"/>
      <c r="BB327" s="121"/>
      <c r="BD327" s="121"/>
      <c r="BE327" s="121"/>
      <c r="BF327" s="124"/>
      <c r="BH327" s="121"/>
      <c r="BI327" s="121"/>
      <c r="BP327" s="121"/>
      <c r="BQ327" s="149"/>
    </row>
    <row r="328" spans="1:69" s="122" customFormat="1" ht="16.5">
      <c r="A328" s="118"/>
      <c r="B328" s="141"/>
      <c r="C328" s="120"/>
      <c r="D328" s="120"/>
      <c r="E328" s="119"/>
      <c r="F328" s="120"/>
      <c r="G328" s="120"/>
      <c r="H328" s="120"/>
      <c r="J328" s="120"/>
      <c r="K328" s="120"/>
      <c r="L328" s="120"/>
      <c r="M328" s="120"/>
      <c r="N328" s="121"/>
      <c r="O328" s="120"/>
      <c r="P328" s="118"/>
      <c r="R328" s="123"/>
      <c r="T328" s="123"/>
      <c r="U328" s="123"/>
      <c r="V328" s="123"/>
      <c r="W328" s="123"/>
      <c r="X328" s="123"/>
      <c r="Y328" s="123"/>
      <c r="Z328" s="123"/>
      <c r="AA328" s="123"/>
      <c r="AB328" s="123"/>
      <c r="AC328" s="123"/>
      <c r="AD328" s="123"/>
      <c r="AE328" s="123"/>
      <c r="AF328" s="123"/>
      <c r="AG328" s="123"/>
      <c r="AH328" s="123"/>
      <c r="AI328" s="130"/>
      <c r="AJ328" s="130"/>
      <c r="AK328" s="130"/>
      <c r="AL328" s="120"/>
      <c r="AM328" s="120"/>
      <c r="AN328" s="120"/>
      <c r="AO328" s="120"/>
      <c r="AP328" s="120"/>
      <c r="AQ328" s="120"/>
      <c r="AR328" s="120"/>
      <c r="AS328" s="120"/>
      <c r="AT328" s="120"/>
      <c r="AU328" s="120"/>
      <c r="AV328" s="120"/>
      <c r="AW328" s="120"/>
      <c r="AX328" s="120"/>
      <c r="AY328" s="120"/>
      <c r="AZ328" s="121"/>
      <c r="BA328" s="121"/>
      <c r="BB328" s="121"/>
      <c r="BD328" s="121"/>
      <c r="BE328" s="121"/>
      <c r="BF328" s="124"/>
      <c r="BH328" s="121"/>
      <c r="BI328" s="121"/>
      <c r="BP328" s="121"/>
      <c r="BQ328" s="149"/>
    </row>
    <row r="329" spans="1:69" s="122" customFormat="1" ht="16.5">
      <c r="A329" s="118"/>
      <c r="B329" s="141"/>
      <c r="C329" s="120"/>
      <c r="D329" s="120"/>
      <c r="E329" s="119"/>
      <c r="F329" s="120"/>
      <c r="G329" s="120"/>
      <c r="H329" s="120"/>
      <c r="J329" s="120"/>
      <c r="K329" s="120"/>
      <c r="L329" s="120"/>
      <c r="M329" s="120"/>
      <c r="N329" s="121"/>
      <c r="O329" s="120"/>
      <c r="P329" s="118"/>
      <c r="R329" s="123"/>
      <c r="T329" s="123"/>
      <c r="U329" s="123"/>
      <c r="V329" s="123"/>
      <c r="W329" s="123"/>
      <c r="X329" s="123"/>
      <c r="Y329" s="123"/>
      <c r="Z329" s="123"/>
      <c r="AA329" s="123"/>
      <c r="AB329" s="123"/>
      <c r="AC329" s="123"/>
      <c r="AD329" s="123"/>
      <c r="AE329" s="123"/>
      <c r="AF329" s="123"/>
      <c r="AG329" s="123"/>
      <c r="AH329" s="123"/>
      <c r="AI329" s="130"/>
      <c r="AJ329" s="130"/>
      <c r="AK329" s="130"/>
      <c r="AL329" s="120"/>
      <c r="AM329" s="120"/>
      <c r="AN329" s="120"/>
      <c r="AO329" s="120"/>
      <c r="AP329" s="120"/>
      <c r="AQ329" s="120"/>
      <c r="AR329" s="120"/>
      <c r="AS329" s="120"/>
      <c r="AT329" s="120"/>
      <c r="AU329" s="120"/>
      <c r="AV329" s="120"/>
      <c r="AW329" s="120"/>
      <c r="AX329" s="120"/>
      <c r="AY329" s="120"/>
      <c r="AZ329" s="121"/>
      <c r="BA329" s="121"/>
      <c r="BB329" s="121"/>
      <c r="BD329" s="121"/>
      <c r="BE329" s="121"/>
      <c r="BF329" s="124"/>
      <c r="BH329" s="121"/>
      <c r="BI329" s="121"/>
      <c r="BP329" s="121"/>
      <c r="BQ329" s="149"/>
    </row>
    <row r="330" spans="1:69" s="122" customFormat="1" ht="16.5">
      <c r="A330" s="118"/>
      <c r="B330" s="141"/>
      <c r="C330" s="120"/>
      <c r="D330" s="120"/>
      <c r="E330" s="119"/>
      <c r="F330" s="120"/>
      <c r="G330" s="120"/>
      <c r="H330" s="120"/>
      <c r="J330" s="120"/>
      <c r="K330" s="120"/>
      <c r="L330" s="120"/>
      <c r="M330" s="120"/>
      <c r="N330" s="121"/>
      <c r="O330" s="120"/>
      <c r="P330" s="118"/>
      <c r="R330" s="123"/>
      <c r="T330" s="123"/>
      <c r="U330" s="123"/>
      <c r="V330" s="123"/>
      <c r="W330" s="123"/>
      <c r="X330" s="123"/>
      <c r="Y330" s="123"/>
      <c r="Z330" s="123"/>
      <c r="AA330" s="123"/>
      <c r="AB330" s="123"/>
      <c r="AC330" s="123"/>
      <c r="AD330" s="123"/>
      <c r="AE330" s="123"/>
      <c r="AF330" s="123"/>
      <c r="AG330" s="123"/>
      <c r="AH330" s="123"/>
      <c r="AI330" s="130"/>
      <c r="AJ330" s="130"/>
      <c r="AK330" s="130"/>
      <c r="AL330" s="120"/>
      <c r="AM330" s="120"/>
      <c r="AN330" s="120"/>
      <c r="AO330" s="120"/>
      <c r="AP330" s="120"/>
      <c r="AQ330" s="120"/>
      <c r="AR330" s="120"/>
      <c r="AS330" s="120"/>
      <c r="AT330" s="120"/>
      <c r="AU330" s="120"/>
      <c r="AV330" s="120"/>
      <c r="AW330" s="120"/>
      <c r="AX330" s="120"/>
      <c r="AY330" s="120"/>
      <c r="AZ330" s="121"/>
      <c r="BA330" s="121"/>
      <c r="BB330" s="121"/>
      <c r="BD330" s="121"/>
      <c r="BE330" s="121"/>
      <c r="BF330" s="124"/>
      <c r="BH330" s="121"/>
      <c r="BI330" s="121"/>
      <c r="BP330" s="121"/>
      <c r="BQ330" s="149"/>
    </row>
    <row r="331" spans="1:69" s="122" customFormat="1" ht="16.5">
      <c r="A331" s="118"/>
      <c r="B331" s="141"/>
      <c r="C331" s="120"/>
      <c r="D331" s="120"/>
      <c r="E331" s="119"/>
      <c r="F331" s="120"/>
      <c r="G331" s="120"/>
      <c r="H331" s="120"/>
      <c r="J331" s="120"/>
      <c r="K331" s="120"/>
      <c r="L331" s="120"/>
      <c r="M331" s="120"/>
      <c r="N331" s="121"/>
      <c r="O331" s="120"/>
      <c r="P331" s="118"/>
      <c r="R331" s="123"/>
      <c r="T331" s="123"/>
      <c r="U331" s="123"/>
      <c r="V331" s="123"/>
      <c r="W331" s="123"/>
      <c r="X331" s="123"/>
      <c r="Y331" s="123"/>
      <c r="Z331" s="123"/>
      <c r="AA331" s="123"/>
      <c r="AB331" s="123"/>
      <c r="AC331" s="123"/>
      <c r="AD331" s="123"/>
      <c r="AE331" s="123"/>
      <c r="AF331" s="123"/>
      <c r="AG331" s="123"/>
      <c r="AH331" s="123"/>
      <c r="AI331" s="130"/>
      <c r="AJ331" s="130"/>
      <c r="AK331" s="130"/>
      <c r="AL331" s="120"/>
      <c r="AM331" s="120"/>
      <c r="AN331" s="120"/>
      <c r="AO331" s="120"/>
      <c r="AP331" s="120"/>
      <c r="AQ331" s="120"/>
      <c r="AR331" s="120"/>
      <c r="AS331" s="120"/>
      <c r="AT331" s="120"/>
      <c r="AU331" s="120"/>
      <c r="AV331" s="120"/>
      <c r="AW331" s="120"/>
      <c r="AX331" s="120"/>
      <c r="AY331" s="120"/>
      <c r="AZ331" s="121"/>
      <c r="BA331" s="121"/>
      <c r="BB331" s="121"/>
      <c r="BD331" s="121"/>
      <c r="BE331" s="121"/>
      <c r="BF331" s="124"/>
      <c r="BH331" s="121"/>
      <c r="BI331" s="121"/>
      <c r="BP331" s="121"/>
      <c r="BQ331" s="149"/>
    </row>
    <row r="332" spans="1:69" s="122" customFormat="1" ht="16.5">
      <c r="A332" s="118"/>
      <c r="B332" s="141"/>
      <c r="C332" s="120"/>
      <c r="D332" s="120"/>
      <c r="E332" s="119"/>
      <c r="F332" s="120"/>
      <c r="G332" s="120"/>
      <c r="H332" s="120"/>
      <c r="J332" s="120"/>
      <c r="K332" s="120"/>
      <c r="L332" s="120"/>
      <c r="M332" s="120"/>
      <c r="N332" s="121"/>
      <c r="O332" s="120"/>
      <c r="P332" s="118"/>
      <c r="R332" s="123"/>
      <c r="T332" s="123"/>
      <c r="U332" s="123"/>
      <c r="V332" s="123"/>
      <c r="W332" s="123"/>
      <c r="X332" s="123"/>
      <c r="Y332" s="123"/>
      <c r="Z332" s="123"/>
      <c r="AA332" s="123"/>
      <c r="AB332" s="123"/>
      <c r="AC332" s="123"/>
      <c r="AD332" s="123"/>
      <c r="AE332" s="123"/>
      <c r="AF332" s="123"/>
      <c r="AG332" s="123"/>
      <c r="AH332" s="123"/>
      <c r="AI332" s="130"/>
      <c r="AJ332" s="130"/>
      <c r="AK332" s="130"/>
      <c r="AL332" s="120"/>
      <c r="AM332" s="120"/>
      <c r="AN332" s="120"/>
      <c r="AO332" s="120"/>
      <c r="AP332" s="120"/>
      <c r="AQ332" s="120"/>
      <c r="AR332" s="120"/>
      <c r="AS332" s="120"/>
      <c r="AT332" s="120"/>
      <c r="AU332" s="120"/>
      <c r="AV332" s="120"/>
      <c r="AW332" s="120"/>
      <c r="AX332" s="120"/>
      <c r="AY332" s="120"/>
      <c r="AZ332" s="121"/>
      <c r="BA332" s="121"/>
      <c r="BB332" s="121"/>
      <c r="BD332" s="121"/>
      <c r="BE332" s="121"/>
      <c r="BF332" s="124"/>
      <c r="BH332" s="121"/>
      <c r="BI332" s="121"/>
      <c r="BP332" s="121"/>
      <c r="BQ332" s="149"/>
    </row>
    <row r="333" spans="1:69" s="122" customFormat="1" ht="16.5">
      <c r="A333" s="118"/>
      <c r="B333" s="141"/>
      <c r="C333" s="120"/>
      <c r="D333" s="120"/>
      <c r="E333" s="119"/>
      <c r="F333" s="120"/>
      <c r="G333" s="120"/>
      <c r="H333" s="120"/>
      <c r="J333" s="120"/>
      <c r="K333" s="120"/>
      <c r="L333" s="120"/>
      <c r="M333" s="120"/>
      <c r="N333" s="121"/>
      <c r="O333" s="120"/>
      <c r="P333" s="118"/>
      <c r="R333" s="123"/>
      <c r="T333" s="123"/>
      <c r="U333" s="123"/>
      <c r="V333" s="123"/>
      <c r="W333" s="123"/>
      <c r="X333" s="123"/>
      <c r="Y333" s="123"/>
      <c r="Z333" s="123"/>
      <c r="AA333" s="123"/>
      <c r="AB333" s="123"/>
      <c r="AC333" s="123"/>
      <c r="AD333" s="123"/>
      <c r="AE333" s="123"/>
      <c r="AF333" s="123"/>
      <c r="AG333" s="123"/>
      <c r="AH333" s="123"/>
      <c r="AI333" s="130"/>
      <c r="AJ333" s="130"/>
      <c r="AK333" s="130"/>
      <c r="AL333" s="120"/>
      <c r="AM333" s="120"/>
      <c r="AN333" s="120"/>
      <c r="AO333" s="120"/>
      <c r="AP333" s="120"/>
      <c r="AQ333" s="120"/>
      <c r="AR333" s="120"/>
      <c r="AS333" s="120"/>
      <c r="AT333" s="120"/>
      <c r="AU333" s="120"/>
      <c r="AV333" s="120"/>
      <c r="AW333" s="120"/>
      <c r="AX333" s="120"/>
      <c r="AY333" s="120"/>
      <c r="AZ333" s="121"/>
      <c r="BA333" s="121"/>
      <c r="BB333" s="121"/>
      <c r="BD333" s="121"/>
      <c r="BE333" s="121"/>
      <c r="BF333" s="124"/>
      <c r="BH333" s="121"/>
      <c r="BI333" s="121"/>
      <c r="BP333" s="121"/>
      <c r="BQ333" s="149"/>
    </row>
    <row r="334" spans="1:69" s="122" customFormat="1" ht="16.5">
      <c r="A334" s="118"/>
      <c r="B334" s="141"/>
      <c r="C334" s="120"/>
      <c r="D334" s="120"/>
      <c r="E334" s="119"/>
      <c r="F334" s="120"/>
      <c r="G334" s="120"/>
      <c r="H334" s="120"/>
      <c r="J334" s="120"/>
      <c r="K334" s="120"/>
      <c r="L334" s="120"/>
      <c r="M334" s="120"/>
      <c r="N334" s="121"/>
      <c r="O334" s="120"/>
      <c r="P334" s="118"/>
      <c r="R334" s="123"/>
      <c r="T334" s="123"/>
      <c r="U334" s="123"/>
      <c r="V334" s="123"/>
      <c r="W334" s="123"/>
      <c r="X334" s="123"/>
      <c r="Y334" s="123"/>
      <c r="Z334" s="123"/>
      <c r="AA334" s="123"/>
      <c r="AB334" s="123"/>
      <c r="AC334" s="123"/>
      <c r="AD334" s="123"/>
      <c r="AE334" s="123"/>
      <c r="AF334" s="123"/>
      <c r="AG334" s="123"/>
      <c r="AH334" s="123"/>
      <c r="AI334" s="130"/>
      <c r="AJ334" s="130"/>
      <c r="AK334" s="130"/>
      <c r="AL334" s="120"/>
      <c r="AM334" s="120"/>
      <c r="AN334" s="120"/>
      <c r="AO334" s="120"/>
      <c r="AP334" s="120"/>
      <c r="AQ334" s="120"/>
      <c r="AR334" s="120"/>
      <c r="AS334" s="120"/>
      <c r="AT334" s="120"/>
      <c r="AU334" s="120"/>
      <c r="AV334" s="120"/>
      <c r="AW334" s="120"/>
      <c r="AX334" s="120"/>
      <c r="AY334" s="120"/>
      <c r="AZ334" s="121"/>
      <c r="BA334" s="121"/>
      <c r="BB334" s="121"/>
      <c r="BD334" s="121"/>
      <c r="BE334" s="121"/>
      <c r="BF334" s="124"/>
      <c r="BH334" s="121"/>
      <c r="BI334" s="121"/>
      <c r="BP334" s="121"/>
      <c r="BQ334" s="149"/>
    </row>
    <row r="335" spans="1:69" s="122" customFormat="1" ht="16.5">
      <c r="A335" s="118"/>
      <c r="B335" s="141"/>
      <c r="C335" s="120"/>
      <c r="D335" s="120"/>
      <c r="E335" s="119"/>
      <c r="F335" s="120"/>
      <c r="G335" s="120"/>
      <c r="H335" s="120"/>
      <c r="J335" s="120"/>
      <c r="K335" s="120"/>
      <c r="L335" s="120"/>
      <c r="M335" s="120"/>
      <c r="N335" s="121"/>
      <c r="O335" s="120"/>
      <c r="P335" s="118"/>
      <c r="R335" s="123"/>
      <c r="T335" s="123"/>
      <c r="U335" s="123"/>
      <c r="V335" s="123"/>
      <c r="W335" s="123"/>
      <c r="X335" s="123"/>
      <c r="Y335" s="123"/>
      <c r="Z335" s="123"/>
      <c r="AA335" s="123"/>
      <c r="AB335" s="123"/>
      <c r="AC335" s="123"/>
      <c r="AD335" s="123"/>
      <c r="AE335" s="123"/>
      <c r="AF335" s="123"/>
      <c r="AG335" s="123"/>
      <c r="AH335" s="123"/>
      <c r="AI335" s="130"/>
      <c r="AJ335" s="130"/>
      <c r="AK335" s="130"/>
      <c r="AL335" s="120"/>
      <c r="AM335" s="120"/>
      <c r="AN335" s="120"/>
      <c r="AO335" s="120"/>
      <c r="AP335" s="120"/>
      <c r="AQ335" s="120"/>
      <c r="AR335" s="120"/>
      <c r="AS335" s="120"/>
      <c r="AT335" s="120"/>
      <c r="AU335" s="120"/>
      <c r="AV335" s="120"/>
      <c r="AW335" s="120"/>
      <c r="AX335" s="120"/>
      <c r="AY335" s="120"/>
      <c r="AZ335" s="121"/>
      <c r="BA335" s="121"/>
      <c r="BB335" s="121"/>
      <c r="BD335" s="121"/>
      <c r="BE335" s="121"/>
      <c r="BF335" s="124"/>
      <c r="BH335" s="121"/>
      <c r="BI335" s="121"/>
      <c r="BP335" s="121"/>
      <c r="BQ335" s="149"/>
    </row>
    <row r="336" spans="1:69" s="122" customFormat="1" ht="16.5">
      <c r="A336" s="118"/>
      <c r="B336" s="141"/>
      <c r="C336" s="120"/>
      <c r="D336" s="120"/>
      <c r="E336" s="119"/>
      <c r="F336" s="120"/>
      <c r="G336" s="120"/>
      <c r="H336" s="120"/>
      <c r="J336" s="120"/>
      <c r="K336" s="120"/>
      <c r="L336" s="120"/>
      <c r="M336" s="120"/>
      <c r="N336" s="121"/>
      <c r="O336" s="120"/>
      <c r="P336" s="118"/>
      <c r="R336" s="123"/>
      <c r="T336" s="123"/>
      <c r="U336" s="123"/>
      <c r="V336" s="123"/>
      <c r="W336" s="123"/>
      <c r="X336" s="123"/>
      <c r="Y336" s="123"/>
      <c r="Z336" s="123"/>
      <c r="AA336" s="123"/>
      <c r="AB336" s="123"/>
      <c r="AC336" s="123"/>
      <c r="AD336" s="123"/>
      <c r="AE336" s="123"/>
      <c r="AF336" s="123"/>
      <c r="AG336" s="123"/>
      <c r="AH336" s="123"/>
      <c r="AI336" s="130"/>
      <c r="AJ336" s="130"/>
      <c r="AK336" s="130"/>
      <c r="AL336" s="120"/>
      <c r="AM336" s="120"/>
      <c r="AN336" s="120"/>
      <c r="AO336" s="120"/>
      <c r="AP336" s="120"/>
      <c r="AQ336" s="120"/>
      <c r="AR336" s="120"/>
      <c r="AS336" s="120"/>
      <c r="AT336" s="120"/>
      <c r="AU336" s="120"/>
      <c r="AV336" s="120"/>
      <c r="AW336" s="120"/>
      <c r="AX336" s="120"/>
      <c r="AY336" s="120"/>
      <c r="AZ336" s="121"/>
      <c r="BA336" s="121"/>
      <c r="BB336" s="121"/>
      <c r="BD336" s="121"/>
      <c r="BE336" s="121"/>
      <c r="BF336" s="124"/>
      <c r="BH336" s="121"/>
      <c r="BI336" s="121"/>
      <c r="BP336" s="121"/>
      <c r="BQ336" s="149"/>
    </row>
    <row r="337" spans="1:69" s="122" customFormat="1" ht="16.5">
      <c r="A337" s="118"/>
      <c r="B337" s="141"/>
      <c r="C337" s="120"/>
      <c r="D337" s="120"/>
      <c r="E337" s="119"/>
      <c r="F337" s="120"/>
      <c r="G337" s="120"/>
      <c r="H337" s="120"/>
      <c r="J337" s="120"/>
      <c r="K337" s="120"/>
      <c r="L337" s="120"/>
      <c r="M337" s="120"/>
      <c r="N337" s="121"/>
      <c r="O337" s="120"/>
      <c r="P337" s="118"/>
      <c r="R337" s="123"/>
      <c r="T337" s="123"/>
      <c r="U337" s="123"/>
      <c r="V337" s="123"/>
      <c r="W337" s="123"/>
      <c r="X337" s="123"/>
      <c r="Y337" s="123"/>
      <c r="Z337" s="123"/>
      <c r="AA337" s="123"/>
      <c r="AB337" s="123"/>
      <c r="AC337" s="123"/>
      <c r="AD337" s="123"/>
      <c r="AE337" s="123"/>
      <c r="AF337" s="123"/>
      <c r="AG337" s="123"/>
      <c r="AH337" s="123"/>
      <c r="AI337" s="130"/>
      <c r="AJ337" s="130"/>
      <c r="AK337" s="130"/>
      <c r="AL337" s="120"/>
      <c r="AM337" s="120"/>
      <c r="AN337" s="120"/>
      <c r="AO337" s="120"/>
      <c r="AP337" s="120"/>
      <c r="AQ337" s="120"/>
      <c r="AR337" s="120"/>
      <c r="AS337" s="120"/>
      <c r="AT337" s="120"/>
      <c r="AU337" s="120"/>
      <c r="AV337" s="120"/>
      <c r="AW337" s="120"/>
      <c r="AX337" s="120"/>
      <c r="AY337" s="120"/>
      <c r="AZ337" s="121"/>
      <c r="BA337" s="121"/>
      <c r="BB337" s="121"/>
      <c r="BD337" s="121"/>
      <c r="BE337" s="121"/>
      <c r="BF337" s="124"/>
      <c r="BH337" s="121"/>
      <c r="BI337" s="121"/>
      <c r="BP337" s="121"/>
      <c r="BQ337" s="149"/>
    </row>
    <row r="338" spans="1:69" s="122" customFormat="1" ht="16.5">
      <c r="A338" s="118"/>
      <c r="B338" s="141"/>
      <c r="C338" s="120"/>
      <c r="D338" s="120"/>
      <c r="E338" s="119"/>
      <c r="F338" s="120"/>
      <c r="G338" s="120"/>
      <c r="H338" s="120"/>
      <c r="J338" s="120"/>
      <c r="K338" s="120"/>
      <c r="L338" s="120"/>
      <c r="M338" s="120"/>
      <c r="N338" s="121"/>
      <c r="O338" s="120"/>
      <c r="P338" s="118"/>
      <c r="R338" s="123"/>
      <c r="T338" s="123"/>
      <c r="U338" s="123"/>
      <c r="V338" s="123"/>
      <c r="W338" s="123"/>
      <c r="X338" s="123"/>
      <c r="Y338" s="123"/>
      <c r="Z338" s="123"/>
      <c r="AA338" s="123"/>
      <c r="AB338" s="123"/>
      <c r="AC338" s="123"/>
      <c r="AD338" s="123"/>
      <c r="AE338" s="123"/>
      <c r="AF338" s="123"/>
      <c r="AG338" s="123"/>
      <c r="AH338" s="123"/>
      <c r="AI338" s="120"/>
      <c r="AJ338" s="120"/>
      <c r="AK338" s="120"/>
      <c r="AL338" s="120"/>
      <c r="AM338" s="120"/>
      <c r="AN338" s="120"/>
      <c r="AO338" s="120"/>
      <c r="AP338" s="120"/>
      <c r="AQ338" s="120"/>
      <c r="AR338" s="120"/>
      <c r="AS338" s="120"/>
      <c r="AT338" s="120"/>
      <c r="AU338" s="120"/>
      <c r="AV338" s="120"/>
      <c r="AW338" s="120"/>
      <c r="AX338" s="120"/>
      <c r="AY338" s="120"/>
      <c r="AZ338" s="121"/>
      <c r="BA338" s="121"/>
      <c r="BB338" s="121"/>
      <c r="BD338" s="121"/>
      <c r="BE338" s="121"/>
      <c r="BF338" s="124"/>
      <c r="BH338" s="121"/>
      <c r="BI338" s="121"/>
      <c r="BP338" s="121"/>
      <c r="BQ338" s="149"/>
    </row>
    <row r="339" spans="1:69" s="122" customFormat="1" ht="16.5">
      <c r="A339" s="118"/>
      <c r="B339" s="141" t="s">
        <v>1219</v>
      </c>
      <c r="C339" s="120"/>
      <c r="D339" s="120"/>
      <c r="E339" s="119"/>
      <c r="F339" s="120"/>
      <c r="G339" s="120"/>
      <c r="H339" s="120"/>
      <c r="J339" s="120"/>
      <c r="K339" s="120"/>
      <c r="L339" s="120"/>
      <c r="M339" s="120"/>
      <c r="N339" s="121"/>
      <c r="O339" s="120"/>
      <c r="P339" s="118"/>
      <c r="R339" s="123"/>
      <c r="T339" s="123"/>
      <c r="U339" s="123"/>
      <c r="V339" s="123"/>
      <c r="W339" s="123"/>
      <c r="X339" s="123"/>
      <c r="Y339" s="123"/>
      <c r="Z339" s="123"/>
      <c r="AA339" s="123"/>
      <c r="AB339" s="123"/>
      <c r="AC339" s="123"/>
      <c r="AD339" s="123"/>
      <c r="AE339" s="123"/>
      <c r="AF339" s="123"/>
      <c r="AG339" s="123"/>
      <c r="AH339" s="123"/>
      <c r="AI339" s="120" t="s">
        <v>1218</v>
      </c>
      <c r="AJ339" s="120"/>
      <c r="AK339" s="120"/>
      <c r="AL339" s="120"/>
      <c r="AM339" s="120"/>
      <c r="AN339" s="120"/>
      <c r="AO339" s="120"/>
      <c r="AP339" s="120"/>
      <c r="AQ339" s="120"/>
      <c r="AR339" s="120"/>
      <c r="AS339" s="120"/>
      <c r="AT339" s="120"/>
      <c r="AU339" s="120"/>
      <c r="AV339" s="120"/>
      <c r="AW339" s="120"/>
      <c r="AX339" s="120"/>
      <c r="AY339" s="120" t="str">
        <f>B339&amp;"(第"&amp;C105&amp;"版）"</f>
        <v>哈佛幸福课(第版）</v>
      </c>
      <c r="AZ339" s="121"/>
      <c r="BA339" s="121"/>
      <c r="BB339" s="121"/>
      <c r="BD339" s="121"/>
      <c r="BE339" s="121"/>
      <c r="BF339" s="124"/>
      <c r="BH339" s="121"/>
      <c r="BI339" s="121"/>
      <c r="BP339" s="121"/>
      <c r="BQ339" s="149"/>
    </row>
    <row r="340" spans="1:69" s="122" customFormat="1" ht="16.5">
      <c r="A340" s="118"/>
      <c r="B340" s="141" t="s">
        <v>1220</v>
      </c>
      <c r="C340" s="120"/>
      <c r="D340" s="120"/>
      <c r="E340" s="119"/>
      <c r="F340" s="120"/>
      <c r="G340" s="120"/>
      <c r="H340" s="120"/>
      <c r="J340" s="120"/>
      <c r="K340" s="120"/>
      <c r="L340" s="120"/>
      <c r="M340" s="120"/>
      <c r="N340" s="121"/>
      <c r="O340" s="120"/>
      <c r="P340" s="118"/>
      <c r="R340" s="123"/>
      <c r="T340" s="123"/>
      <c r="U340" s="123"/>
      <c r="V340" s="123"/>
      <c r="W340" s="123"/>
      <c r="X340" s="123"/>
      <c r="Y340" s="123"/>
      <c r="Z340" s="123"/>
      <c r="AA340" s="123"/>
      <c r="AB340" s="123"/>
      <c r="AC340" s="123"/>
      <c r="AD340" s="123"/>
      <c r="AE340" s="123"/>
      <c r="AF340" s="123"/>
      <c r="AG340" s="123"/>
      <c r="AH340" s="123"/>
      <c r="AI340" s="120" t="s">
        <v>1218</v>
      </c>
      <c r="AJ340" s="120"/>
      <c r="AK340" s="120"/>
      <c r="AL340" s="120"/>
      <c r="AM340" s="120"/>
      <c r="AN340" s="120"/>
      <c r="AO340" s="120"/>
      <c r="AP340" s="120"/>
      <c r="AQ340" s="120"/>
      <c r="AR340" s="120"/>
      <c r="AS340" s="120"/>
      <c r="AT340" s="120"/>
      <c r="AU340" s="120"/>
      <c r="AV340" s="120"/>
      <c r="AW340" s="120"/>
      <c r="AX340" s="120"/>
      <c r="AY340" s="120" t="str">
        <f t="shared" ref="AY340:AY371" si="0">B340&amp;"(第"&amp;C340&amp;"版）"</f>
        <v>打开积极心理学之门(第版）</v>
      </c>
      <c r="AZ340" s="121"/>
      <c r="BA340" s="121"/>
      <c r="BB340" s="121"/>
      <c r="BD340" s="121"/>
      <c r="BE340" s="121"/>
      <c r="BF340" s="124"/>
      <c r="BH340" s="121"/>
      <c r="BI340" s="121"/>
      <c r="BP340" s="121"/>
      <c r="BQ340" s="149"/>
    </row>
    <row r="341" spans="1:69" s="122" customFormat="1" ht="16.5">
      <c r="A341" s="118"/>
      <c r="B341" s="141" t="s">
        <v>1221</v>
      </c>
      <c r="C341" s="120"/>
      <c r="D341" s="120"/>
      <c r="E341" s="119"/>
      <c r="F341" s="120"/>
      <c r="G341" s="120"/>
      <c r="H341" s="120"/>
      <c r="J341" s="120"/>
      <c r="K341" s="120"/>
      <c r="L341" s="120"/>
      <c r="M341" s="120"/>
      <c r="N341" s="121"/>
      <c r="O341" s="120"/>
      <c r="P341" s="118"/>
      <c r="R341" s="123"/>
      <c r="T341" s="123"/>
      <c r="U341" s="123"/>
      <c r="V341" s="123"/>
      <c r="W341" s="123"/>
      <c r="X341" s="123"/>
      <c r="Y341" s="123"/>
      <c r="Z341" s="123"/>
      <c r="AA341" s="123"/>
      <c r="AB341" s="123"/>
      <c r="AC341" s="123"/>
      <c r="AD341" s="123"/>
      <c r="AE341" s="123"/>
      <c r="AF341" s="123"/>
      <c r="AG341" s="123"/>
      <c r="AH341" s="123"/>
      <c r="AI341" s="120" t="s">
        <v>1218</v>
      </c>
      <c r="AJ341" s="120"/>
      <c r="AK341" s="120"/>
      <c r="AL341" s="120"/>
      <c r="AM341" s="120"/>
      <c r="AN341" s="120"/>
      <c r="AO341" s="120"/>
      <c r="AP341" s="120"/>
      <c r="AQ341" s="120"/>
      <c r="AR341" s="120"/>
      <c r="AS341" s="120"/>
      <c r="AT341" s="120"/>
      <c r="AU341" s="120"/>
      <c r="AV341" s="120"/>
      <c r="AW341" s="120"/>
      <c r="AX341" s="120"/>
      <c r="AY341" s="120" t="str">
        <f t="shared" si="0"/>
        <v>管理：使命、责任、实务(第版）</v>
      </c>
      <c r="AZ341" s="121"/>
      <c r="BA341" s="121"/>
      <c r="BB341" s="121"/>
      <c r="BD341" s="121"/>
      <c r="BE341" s="121"/>
      <c r="BF341" s="124"/>
      <c r="BH341" s="121"/>
      <c r="BI341" s="121"/>
      <c r="BP341" s="121"/>
      <c r="BQ341" s="149"/>
    </row>
    <row r="342" spans="1:69" s="122" customFormat="1" ht="16.5">
      <c r="A342" s="118"/>
      <c r="B342" s="141" t="s">
        <v>1222</v>
      </c>
      <c r="C342" s="120"/>
      <c r="D342" s="120"/>
      <c r="E342" s="119"/>
      <c r="F342" s="120"/>
      <c r="G342" s="120"/>
      <c r="H342" s="120"/>
      <c r="J342" s="120"/>
      <c r="K342" s="120"/>
      <c r="L342" s="120"/>
      <c r="M342" s="120"/>
      <c r="N342" s="121"/>
      <c r="O342" s="120"/>
      <c r="P342" s="118"/>
      <c r="R342" s="123"/>
      <c r="T342" s="123"/>
      <c r="U342" s="123"/>
      <c r="V342" s="123"/>
      <c r="W342" s="123"/>
      <c r="X342" s="123"/>
      <c r="Y342" s="123"/>
      <c r="Z342" s="123"/>
      <c r="AA342" s="123"/>
      <c r="AB342" s="123"/>
      <c r="AC342" s="123"/>
      <c r="AD342" s="123"/>
      <c r="AE342" s="123"/>
      <c r="AF342" s="123"/>
      <c r="AG342" s="123"/>
      <c r="AH342" s="123"/>
      <c r="AI342" s="120" t="s">
        <v>1218</v>
      </c>
      <c r="AJ342" s="120"/>
      <c r="AK342" s="120"/>
      <c r="AL342" s="120"/>
      <c r="AM342" s="120"/>
      <c r="AN342" s="120"/>
      <c r="AO342" s="120"/>
      <c r="AP342" s="120"/>
      <c r="AQ342" s="120"/>
      <c r="AR342" s="120"/>
      <c r="AS342" s="120"/>
      <c r="AT342" s="120"/>
      <c r="AU342" s="120"/>
      <c r="AV342" s="120"/>
      <c r="AW342" s="120"/>
      <c r="AX342" s="120"/>
      <c r="AY342" s="120" t="str">
        <f t="shared" si="0"/>
        <v>已经发生的未来(第版）</v>
      </c>
      <c r="AZ342" s="121"/>
      <c r="BA342" s="121"/>
      <c r="BB342" s="121"/>
      <c r="BD342" s="121"/>
      <c r="BE342" s="121"/>
      <c r="BF342" s="124"/>
      <c r="BH342" s="121"/>
      <c r="BI342" s="121"/>
      <c r="BP342" s="121"/>
      <c r="BQ342" s="149"/>
    </row>
    <row r="343" spans="1:69" s="122" customFormat="1" ht="16.5">
      <c r="A343" s="118"/>
      <c r="B343" s="141" t="s">
        <v>1223</v>
      </c>
      <c r="C343" s="120"/>
      <c r="D343" s="120"/>
      <c r="E343" s="119"/>
      <c r="F343" s="120"/>
      <c r="G343" s="120"/>
      <c r="H343" s="120"/>
      <c r="J343" s="120"/>
      <c r="K343" s="120"/>
      <c r="L343" s="120"/>
      <c r="M343" s="120"/>
      <c r="N343" s="121"/>
      <c r="O343" s="120"/>
      <c r="P343" s="118"/>
      <c r="R343" s="123"/>
      <c r="T343" s="123"/>
      <c r="U343" s="123"/>
      <c r="V343" s="123"/>
      <c r="W343" s="123"/>
      <c r="X343" s="123"/>
      <c r="Y343" s="123"/>
      <c r="Z343" s="123"/>
      <c r="AA343" s="123"/>
      <c r="AB343" s="123"/>
      <c r="AC343" s="123"/>
      <c r="AD343" s="123"/>
      <c r="AE343" s="123"/>
      <c r="AF343" s="123"/>
      <c r="AG343" s="123"/>
      <c r="AH343" s="123"/>
      <c r="AI343" s="120" t="s">
        <v>1218</v>
      </c>
      <c r="AJ343" s="120"/>
      <c r="AK343" s="120"/>
      <c r="AL343" s="120"/>
      <c r="AM343" s="120"/>
      <c r="AN343" s="120"/>
      <c r="AO343" s="120"/>
      <c r="AP343" s="120"/>
      <c r="AQ343" s="120"/>
      <c r="AR343" s="120"/>
      <c r="AS343" s="120"/>
      <c r="AT343" s="120"/>
      <c r="AU343" s="120"/>
      <c r="AV343" s="120"/>
      <c r="AW343" s="120"/>
      <c r="AX343" s="120"/>
      <c r="AY343" s="120" t="str">
        <f t="shared" si="0"/>
        <v>麦肯锡方法(第版）</v>
      </c>
      <c r="AZ343" s="121"/>
      <c r="BA343" s="121"/>
      <c r="BB343" s="121"/>
      <c r="BD343" s="121"/>
      <c r="BE343" s="121"/>
      <c r="BF343" s="124"/>
      <c r="BH343" s="121"/>
      <c r="BI343" s="121"/>
      <c r="BP343" s="121"/>
      <c r="BQ343" s="149"/>
    </row>
    <row r="344" spans="1:69" s="122" customFormat="1" ht="33">
      <c r="A344" s="118"/>
      <c r="B344" s="141" t="s">
        <v>1224</v>
      </c>
      <c r="C344" s="120"/>
      <c r="D344" s="120"/>
      <c r="E344" s="119"/>
      <c r="F344" s="120"/>
      <c r="G344" s="120"/>
      <c r="H344" s="120"/>
      <c r="J344" s="120"/>
      <c r="K344" s="120"/>
      <c r="L344" s="120"/>
      <c r="M344" s="120"/>
      <c r="N344" s="121"/>
      <c r="O344" s="120"/>
      <c r="P344" s="118"/>
      <c r="R344" s="123"/>
      <c r="T344" s="123"/>
      <c r="U344" s="123"/>
      <c r="V344" s="123"/>
      <c r="W344" s="123"/>
      <c r="X344" s="123"/>
      <c r="Y344" s="123"/>
      <c r="Z344" s="123"/>
      <c r="AA344" s="123"/>
      <c r="AB344" s="123"/>
      <c r="AC344" s="123"/>
      <c r="AD344" s="123"/>
      <c r="AE344" s="123"/>
      <c r="AF344" s="123"/>
      <c r="AG344" s="123"/>
      <c r="AH344" s="123"/>
      <c r="AI344" s="120" t="s">
        <v>1218</v>
      </c>
      <c r="AJ344" s="120"/>
      <c r="AK344" s="120"/>
      <c r="AL344" s="120"/>
      <c r="AM344" s="120"/>
      <c r="AN344" s="120"/>
      <c r="AO344" s="120"/>
      <c r="AP344" s="120"/>
      <c r="AQ344" s="120"/>
      <c r="AR344" s="120"/>
      <c r="AS344" s="120"/>
      <c r="AT344" s="120"/>
      <c r="AU344" s="120"/>
      <c r="AV344" s="120"/>
      <c r="AW344" s="120"/>
      <c r="AX344" s="120"/>
      <c r="AY344" s="120" t="str">
        <f t="shared" si="0"/>
        <v>吃掉那只青蛙：博恩崔西的高效时间管理法则(第版）</v>
      </c>
      <c r="AZ344" s="121"/>
      <c r="BA344" s="121"/>
      <c r="BB344" s="121"/>
      <c r="BD344" s="121"/>
      <c r="BE344" s="121"/>
      <c r="BF344" s="124"/>
      <c r="BH344" s="121"/>
      <c r="BI344" s="121"/>
      <c r="BP344" s="121"/>
      <c r="BQ344" s="149"/>
    </row>
    <row r="345" spans="1:69" s="122" customFormat="1" ht="16.5">
      <c r="A345" s="118"/>
      <c r="B345" s="141" t="s">
        <v>1225</v>
      </c>
      <c r="C345" s="120"/>
      <c r="D345" s="120"/>
      <c r="E345" s="119"/>
      <c r="F345" s="120"/>
      <c r="G345" s="120"/>
      <c r="H345" s="120"/>
      <c r="J345" s="120"/>
      <c r="K345" s="120"/>
      <c r="L345" s="120"/>
      <c r="M345" s="120"/>
      <c r="N345" s="121"/>
      <c r="O345" s="120"/>
      <c r="P345" s="118"/>
      <c r="R345" s="123"/>
      <c r="T345" s="123"/>
      <c r="U345" s="123"/>
      <c r="V345" s="123"/>
      <c r="W345" s="123"/>
      <c r="X345" s="123"/>
      <c r="Y345" s="123"/>
      <c r="Z345" s="123"/>
      <c r="AA345" s="123"/>
      <c r="AB345" s="123"/>
      <c r="AC345" s="123"/>
      <c r="AD345" s="123"/>
      <c r="AE345" s="123"/>
      <c r="AF345" s="123"/>
      <c r="AG345" s="123"/>
      <c r="AH345" s="123"/>
      <c r="AI345" s="120" t="s">
        <v>1218</v>
      </c>
      <c r="AJ345" s="120"/>
      <c r="AK345" s="120"/>
      <c r="AL345" s="120"/>
      <c r="AM345" s="120"/>
      <c r="AN345" s="120"/>
      <c r="AO345" s="120"/>
      <c r="AP345" s="120"/>
      <c r="AQ345" s="120"/>
      <c r="AR345" s="120"/>
      <c r="AS345" s="120"/>
      <c r="AT345" s="120"/>
      <c r="AU345" s="120"/>
      <c r="AV345" s="120"/>
      <c r="AW345" s="120"/>
      <c r="AX345" s="120"/>
      <c r="AY345" s="120" t="str">
        <f t="shared" si="0"/>
        <v>卓有成效的管理者(第版）</v>
      </c>
      <c r="AZ345" s="121"/>
      <c r="BA345" s="121"/>
      <c r="BB345" s="121"/>
      <c r="BD345" s="121"/>
      <c r="BE345" s="121"/>
      <c r="BF345" s="124"/>
      <c r="BH345" s="121"/>
      <c r="BI345" s="121"/>
      <c r="BP345" s="121"/>
      <c r="BQ345" s="149"/>
    </row>
    <row r="346" spans="1:69" s="122" customFormat="1" ht="33">
      <c r="A346" s="118"/>
      <c r="B346" s="141" t="s">
        <v>1226</v>
      </c>
      <c r="C346" s="120"/>
      <c r="D346" s="120"/>
      <c r="E346" s="119"/>
      <c r="F346" s="120"/>
      <c r="G346" s="120"/>
      <c r="H346" s="120"/>
      <c r="J346" s="120"/>
      <c r="K346" s="120"/>
      <c r="L346" s="120"/>
      <c r="M346" s="120"/>
      <c r="N346" s="121"/>
      <c r="O346" s="120"/>
      <c r="P346" s="118"/>
      <c r="R346" s="123"/>
      <c r="T346" s="123"/>
      <c r="U346" s="123"/>
      <c r="V346" s="123"/>
      <c r="W346" s="123"/>
      <c r="X346" s="123"/>
      <c r="Y346" s="123"/>
      <c r="Z346" s="123"/>
      <c r="AA346" s="123"/>
      <c r="AB346" s="123"/>
      <c r="AC346" s="123"/>
      <c r="AD346" s="123"/>
      <c r="AE346" s="123"/>
      <c r="AF346" s="123"/>
      <c r="AG346" s="123"/>
      <c r="AH346" s="123"/>
      <c r="AI346" s="120" t="s">
        <v>1218</v>
      </c>
      <c r="AJ346" s="120"/>
      <c r="AK346" s="120"/>
      <c r="AL346" s="120"/>
      <c r="AM346" s="120"/>
      <c r="AN346" s="120"/>
      <c r="AO346" s="120"/>
      <c r="AP346" s="120"/>
      <c r="AQ346" s="120"/>
      <c r="AR346" s="120"/>
      <c r="AS346" s="120"/>
      <c r="AT346" s="120"/>
      <c r="AU346" s="120"/>
      <c r="AV346" s="120"/>
      <c r="AW346" s="120"/>
      <c r="AX346" s="120"/>
      <c r="AY346" s="120" t="str">
        <f t="shared" si="0"/>
        <v>精益创业：如何建立一个精悍、可持续、可盈利的企业(第版）</v>
      </c>
      <c r="AZ346" s="121"/>
      <c r="BA346" s="121"/>
      <c r="BB346" s="121"/>
      <c r="BD346" s="121"/>
      <c r="BE346" s="121"/>
      <c r="BF346" s="124"/>
      <c r="BH346" s="121"/>
      <c r="BI346" s="121"/>
      <c r="BP346" s="121"/>
      <c r="BQ346" s="149"/>
    </row>
    <row r="347" spans="1:69" s="122" customFormat="1" ht="16.5">
      <c r="A347" s="118"/>
      <c r="B347" s="141"/>
      <c r="C347" s="120"/>
      <c r="D347" s="120"/>
      <c r="E347" s="119"/>
      <c r="F347" s="120"/>
      <c r="G347" s="120"/>
      <c r="H347" s="120"/>
      <c r="J347" s="120"/>
      <c r="K347" s="120"/>
      <c r="L347" s="120"/>
      <c r="M347" s="120"/>
      <c r="N347" s="121"/>
      <c r="O347" s="120"/>
      <c r="P347" s="118"/>
      <c r="R347" s="123"/>
      <c r="T347" s="123"/>
      <c r="U347" s="123"/>
      <c r="V347" s="123"/>
      <c r="W347" s="123"/>
      <c r="X347" s="123"/>
      <c r="Y347" s="123"/>
      <c r="Z347" s="123"/>
      <c r="AA347" s="123"/>
      <c r="AB347" s="123"/>
      <c r="AC347" s="123"/>
      <c r="AD347" s="123"/>
      <c r="AE347" s="123"/>
      <c r="AF347" s="123"/>
      <c r="AG347" s="123"/>
      <c r="AH347" s="123"/>
      <c r="AI347" s="120" t="s">
        <v>1218</v>
      </c>
      <c r="AJ347" s="120"/>
      <c r="AK347" s="120"/>
      <c r="AL347" s="120"/>
      <c r="AM347" s="120"/>
      <c r="AN347" s="120"/>
      <c r="AO347" s="120"/>
      <c r="AP347" s="120"/>
      <c r="AQ347" s="120"/>
      <c r="AR347" s="120"/>
      <c r="AS347" s="120"/>
      <c r="AT347" s="120"/>
      <c r="AU347" s="120"/>
      <c r="AV347" s="120"/>
      <c r="AW347" s="120"/>
      <c r="AX347" s="120"/>
      <c r="AY347" s="120" t="str">
        <f t="shared" si="0"/>
        <v>(第版）</v>
      </c>
      <c r="AZ347" s="121"/>
      <c r="BA347" s="121"/>
      <c r="BB347" s="121"/>
      <c r="BD347" s="121"/>
      <c r="BE347" s="121"/>
      <c r="BF347" s="124"/>
      <c r="BH347" s="121"/>
      <c r="BI347" s="121"/>
      <c r="BP347" s="121"/>
      <c r="BQ347" s="149"/>
    </row>
    <row r="348" spans="1:69" s="122" customFormat="1" ht="16.5">
      <c r="A348" s="118"/>
      <c r="B348" s="141" t="s">
        <v>1227</v>
      </c>
      <c r="C348" s="120"/>
      <c r="D348" s="120"/>
      <c r="E348" s="119"/>
      <c r="F348" s="120"/>
      <c r="G348" s="120"/>
      <c r="H348" s="120"/>
      <c r="J348" s="120"/>
      <c r="K348" s="120"/>
      <c r="L348" s="120"/>
      <c r="M348" s="120"/>
      <c r="N348" s="121"/>
      <c r="O348" s="120"/>
      <c r="P348" s="118"/>
      <c r="R348" s="123"/>
      <c r="T348" s="123"/>
      <c r="U348" s="123"/>
      <c r="V348" s="123"/>
      <c r="W348" s="123"/>
      <c r="X348" s="123"/>
      <c r="Y348" s="123"/>
      <c r="Z348" s="123"/>
      <c r="AA348" s="123"/>
      <c r="AB348" s="123"/>
      <c r="AC348" s="123"/>
      <c r="AD348" s="123"/>
      <c r="AE348" s="123"/>
      <c r="AF348" s="123"/>
      <c r="AG348" s="123"/>
      <c r="AH348" s="123"/>
      <c r="AI348" s="120" t="s">
        <v>1218</v>
      </c>
      <c r="AJ348" s="120"/>
      <c r="AK348" s="120"/>
      <c r="AL348" s="120"/>
      <c r="AM348" s="120"/>
      <c r="AN348" s="120"/>
      <c r="AO348" s="120"/>
      <c r="AP348" s="120"/>
      <c r="AQ348" s="120"/>
      <c r="AR348" s="120"/>
      <c r="AS348" s="120"/>
      <c r="AT348" s="120"/>
      <c r="AU348" s="120"/>
      <c r="AV348" s="120"/>
      <c r="AW348" s="120"/>
      <c r="AX348" s="120"/>
      <c r="AY348" s="120" t="str">
        <f t="shared" si="0"/>
        <v>领导力的精进(第版）</v>
      </c>
      <c r="AZ348" s="121"/>
      <c r="BA348" s="121"/>
      <c r="BB348" s="121"/>
      <c r="BD348" s="121"/>
      <c r="BE348" s="121"/>
      <c r="BF348" s="124"/>
      <c r="BH348" s="121"/>
      <c r="BI348" s="121"/>
      <c r="BP348" s="121"/>
      <c r="BQ348" s="149"/>
    </row>
    <row r="349" spans="1:69" s="122" customFormat="1" ht="16.5">
      <c r="A349" s="118"/>
      <c r="B349" s="141" t="s">
        <v>1228</v>
      </c>
      <c r="C349" s="120">
        <v>2</v>
      </c>
      <c r="D349" s="120"/>
      <c r="E349" s="119"/>
      <c r="F349" s="120"/>
      <c r="G349" s="120"/>
      <c r="H349" s="120"/>
      <c r="J349" s="120"/>
      <c r="K349" s="120"/>
      <c r="L349" s="120"/>
      <c r="M349" s="120"/>
      <c r="N349" s="121"/>
      <c r="O349" s="120"/>
      <c r="P349" s="118"/>
      <c r="R349" s="123"/>
      <c r="T349" s="123"/>
      <c r="U349" s="123"/>
      <c r="V349" s="123"/>
      <c r="W349" s="123"/>
      <c r="X349" s="123"/>
      <c r="Y349" s="123"/>
      <c r="Z349" s="123"/>
      <c r="AA349" s="123"/>
      <c r="AB349" s="123"/>
      <c r="AC349" s="123"/>
      <c r="AD349" s="123"/>
      <c r="AE349" s="123"/>
      <c r="AF349" s="123"/>
      <c r="AG349" s="123"/>
      <c r="AH349" s="123"/>
      <c r="AJ349" s="120" t="s">
        <v>1218</v>
      </c>
      <c r="AK349" s="120"/>
      <c r="AL349" s="120"/>
      <c r="AM349" s="120"/>
      <c r="AN349" s="120"/>
      <c r="AO349" s="120"/>
      <c r="AP349" s="120"/>
      <c r="AQ349" s="120"/>
      <c r="AR349" s="120"/>
      <c r="AS349" s="120"/>
      <c r="AT349" s="120"/>
      <c r="AU349" s="120"/>
      <c r="AV349" s="120"/>
      <c r="AW349" s="120"/>
      <c r="AX349" s="120"/>
      <c r="AY349" s="120" t="str">
        <f t="shared" si="0"/>
        <v>引爆社群：移动互联网时代的新4C法则(第2版）</v>
      </c>
      <c r="AZ349" s="121"/>
      <c r="BA349" s="121"/>
      <c r="BB349" s="121"/>
      <c r="BD349" s="121"/>
      <c r="BE349" s="121"/>
      <c r="BF349" s="124"/>
      <c r="BH349" s="121"/>
      <c r="BI349" s="121"/>
      <c r="BP349" s="121"/>
      <c r="BQ349" s="149"/>
    </row>
    <row r="350" spans="1:69" s="122" customFormat="1" ht="16.5">
      <c r="A350" s="118"/>
      <c r="B350" s="141" t="s">
        <v>1220</v>
      </c>
      <c r="C350" s="120"/>
      <c r="D350" s="120"/>
      <c r="E350" s="119"/>
      <c r="F350" s="120"/>
      <c r="G350" s="120"/>
      <c r="H350" s="120"/>
      <c r="J350" s="120"/>
      <c r="K350" s="120"/>
      <c r="L350" s="120"/>
      <c r="M350" s="120"/>
      <c r="N350" s="121"/>
      <c r="O350" s="120"/>
      <c r="P350" s="118"/>
      <c r="R350" s="123"/>
      <c r="T350" s="123"/>
      <c r="U350" s="123"/>
      <c r="V350" s="123"/>
      <c r="W350" s="123"/>
      <c r="X350" s="123"/>
      <c r="Y350" s="123"/>
      <c r="Z350" s="123"/>
      <c r="AA350" s="123"/>
      <c r="AB350" s="123"/>
      <c r="AC350" s="123"/>
      <c r="AD350" s="123"/>
      <c r="AE350" s="123"/>
      <c r="AF350" s="123"/>
      <c r="AG350" s="123"/>
      <c r="AH350" s="123"/>
      <c r="AI350" s="120" t="s">
        <v>1218</v>
      </c>
      <c r="AJ350" s="120"/>
      <c r="AK350" s="120"/>
      <c r="AL350" s="120"/>
      <c r="AM350" s="120"/>
      <c r="AN350" s="120"/>
      <c r="AO350" s="120"/>
      <c r="AP350" s="120"/>
      <c r="AQ350" s="120"/>
      <c r="AR350" s="120"/>
      <c r="AS350" s="120"/>
      <c r="AT350" s="120"/>
      <c r="AU350" s="120"/>
      <c r="AV350" s="120"/>
      <c r="AW350" s="120"/>
      <c r="AX350" s="120"/>
      <c r="AY350" s="120" t="str">
        <f t="shared" si="0"/>
        <v>打开积极心理学之门(第版）</v>
      </c>
      <c r="AZ350" s="121"/>
      <c r="BA350" s="121"/>
      <c r="BB350" s="121"/>
      <c r="BD350" s="121"/>
      <c r="BE350" s="121"/>
      <c r="BF350" s="124"/>
      <c r="BH350" s="121"/>
      <c r="BI350" s="121"/>
      <c r="BP350" s="121"/>
      <c r="BQ350" s="149"/>
    </row>
    <row r="351" spans="1:69" s="122" customFormat="1" ht="16.5">
      <c r="A351" s="118"/>
      <c r="B351" s="141" t="s">
        <v>1232</v>
      </c>
      <c r="C351" s="120"/>
      <c r="D351" s="120"/>
      <c r="E351" s="119"/>
      <c r="F351" s="120"/>
      <c r="G351" s="120"/>
      <c r="H351" s="120"/>
      <c r="J351" s="120"/>
      <c r="K351" s="120"/>
      <c r="L351" s="120"/>
      <c r="M351" s="120"/>
      <c r="N351" s="121"/>
      <c r="O351" s="120"/>
      <c r="P351" s="118"/>
      <c r="R351" s="123"/>
      <c r="T351" s="123"/>
      <c r="U351" s="123"/>
      <c r="V351" s="123"/>
      <c r="W351" s="123"/>
      <c r="X351" s="123"/>
      <c r="Y351" s="123"/>
      <c r="Z351" s="123"/>
      <c r="AA351" s="123"/>
      <c r="AB351" s="123"/>
      <c r="AC351" s="123"/>
      <c r="AD351" s="123"/>
      <c r="AE351" s="123"/>
      <c r="AF351" s="123"/>
      <c r="AG351" s="123"/>
      <c r="AH351" s="123"/>
      <c r="AI351" s="120" t="s">
        <v>1218</v>
      </c>
      <c r="AJ351" s="120"/>
      <c r="AK351" s="120"/>
      <c r="AL351" s="120"/>
      <c r="AM351" s="120"/>
      <c r="AN351" s="120"/>
      <c r="AO351" s="120"/>
      <c r="AP351" s="120"/>
      <c r="AQ351" s="120"/>
      <c r="AR351" s="120"/>
      <c r="AS351" s="120"/>
      <c r="AT351" s="120"/>
      <c r="AU351" s="120"/>
      <c r="AV351" s="120"/>
      <c r="AW351" s="120"/>
      <c r="AX351" s="120"/>
      <c r="AY351" s="120" t="str">
        <f t="shared" si="0"/>
        <v>浅薄(第版）</v>
      </c>
      <c r="AZ351" s="121"/>
      <c r="BA351" s="121"/>
      <c r="BB351" s="121"/>
      <c r="BD351" s="121"/>
      <c r="BE351" s="121"/>
      <c r="BF351" s="124"/>
      <c r="BH351" s="121"/>
      <c r="BI351" s="121"/>
      <c r="BP351" s="121"/>
      <c r="BQ351" s="149"/>
    </row>
    <row r="352" spans="1:69" s="122" customFormat="1" ht="16.5">
      <c r="A352" s="118"/>
      <c r="B352" s="141" t="s">
        <v>1233</v>
      </c>
      <c r="C352" s="120"/>
      <c r="D352" s="120"/>
      <c r="E352" s="119"/>
      <c r="F352" s="120"/>
      <c r="G352" s="120"/>
      <c r="H352" s="120"/>
      <c r="J352" s="120"/>
      <c r="K352" s="120"/>
      <c r="L352" s="120"/>
      <c r="M352" s="120"/>
      <c r="N352" s="121"/>
      <c r="O352" s="120"/>
      <c r="P352" s="118"/>
      <c r="R352" s="123"/>
      <c r="T352" s="123"/>
      <c r="U352" s="123"/>
      <c r="V352" s="123"/>
      <c r="W352" s="123"/>
      <c r="X352" s="123"/>
      <c r="Y352" s="123"/>
      <c r="Z352" s="123"/>
      <c r="AA352" s="123"/>
      <c r="AB352" s="123"/>
      <c r="AC352" s="123"/>
      <c r="AD352" s="123"/>
      <c r="AE352" s="123"/>
      <c r="AF352" s="123"/>
      <c r="AG352" s="123"/>
      <c r="AH352" s="123"/>
      <c r="AI352" s="120" t="s">
        <v>1234</v>
      </c>
      <c r="AJ352" s="120"/>
      <c r="AK352" s="120"/>
      <c r="AL352" s="120"/>
      <c r="AM352" s="120"/>
      <c r="AN352" s="120"/>
      <c r="AO352" s="120"/>
      <c r="AP352" s="120"/>
      <c r="AQ352" s="120"/>
      <c r="AR352" s="120"/>
      <c r="AS352" s="120"/>
      <c r="AT352" s="120"/>
      <c r="AU352" s="120"/>
      <c r="AV352" s="120"/>
      <c r="AW352" s="120"/>
      <c r="AX352" s="120"/>
      <c r="AY352" s="120" t="str">
        <f t="shared" si="0"/>
        <v>日本权力结构之谜(第版）</v>
      </c>
      <c r="AZ352" s="121"/>
      <c r="BA352" s="121"/>
      <c r="BB352" s="121"/>
      <c r="BD352" s="121"/>
      <c r="BE352" s="121"/>
      <c r="BF352" s="124"/>
      <c r="BH352" s="121"/>
      <c r="BI352" s="121"/>
      <c r="BP352" s="121"/>
      <c r="BQ352" s="149"/>
    </row>
    <row r="353" spans="1:69" s="122" customFormat="1" ht="16.5">
      <c r="A353" s="118"/>
      <c r="B353" s="141" t="s">
        <v>1235</v>
      </c>
      <c r="C353" s="120"/>
      <c r="D353" s="120"/>
      <c r="E353" s="119"/>
      <c r="F353" s="120"/>
      <c r="G353" s="120"/>
      <c r="H353" s="120"/>
      <c r="J353" s="120"/>
      <c r="K353" s="120"/>
      <c r="L353" s="120"/>
      <c r="M353" s="120"/>
      <c r="N353" s="121"/>
      <c r="O353" s="120"/>
      <c r="P353" s="118"/>
      <c r="R353" s="123"/>
      <c r="T353" s="123"/>
      <c r="U353" s="123"/>
      <c r="V353" s="123"/>
      <c r="W353" s="123"/>
      <c r="X353" s="123"/>
      <c r="Y353" s="123"/>
      <c r="Z353" s="123"/>
      <c r="AA353" s="123"/>
      <c r="AB353" s="123"/>
      <c r="AC353" s="123"/>
      <c r="AD353" s="123"/>
      <c r="AE353" s="123"/>
      <c r="AF353" s="123"/>
      <c r="AG353" s="123"/>
      <c r="AH353" s="123"/>
      <c r="AI353" s="120" t="s">
        <v>1234</v>
      </c>
      <c r="AJ353" s="120"/>
      <c r="AK353" s="120"/>
      <c r="AL353" s="120"/>
      <c r="AM353" s="120"/>
      <c r="AN353" s="120"/>
      <c r="AO353" s="120"/>
      <c r="AP353" s="120"/>
      <c r="AQ353" s="120"/>
      <c r="AR353" s="120"/>
      <c r="AS353" s="120"/>
      <c r="AT353" s="120"/>
      <c r="AU353" s="120"/>
      <c r="AV353" s="120"/>
      <c r="AW353" s="120"/>
      <c r="AX353" s="120"/>
      <c r="AY353" s="120" t="str">
        <f t="shared" si="0"/>
        <v>如何成为创意组织(第版）</v>
      </c>
      <c r="AZ353" s="121"/>
      <c r="BA353" s="121"/>
      <c r="BB353" s="121"/>
      <c r="BD353" s="121"/>
      <c r="BE353" s="121"/>
      <c r="BF353" s="124"/>
      <c r="BH353" s="121"/>
      <c r="BI353" s="121"/>
      <c r="BP353" s="121"/>
      <c r="BQ353" s="149"/>
    </row>
    <row r="354" spans="1:69" s="122" customFormat="1" ht="16.5">
      <c r="A354" s="118"/>
      <c r="B354" s="141" t="s">
        <v>1237</v>
      </c>
      <c r="C354" s="120"/>
      <c r="D354" s="120"/>
      <c r="E354" s="119"/>
      <c r="F354" s="120"/>
      <c r="G354" s="120"/>
      <c r="H354" s="120"/>
      <c r="J354" s="120"/>
      <c r="K354" s="120"/>
      <c r="L354" s="120"/>
      <c r="M354" s="120"/>
      <c r="N354" s="121"/>
      <c r="O354" s="120"/>
      <c r="P354" s="118"/>
      <c r="R354" s="123"/>
      <c r="T354" s="123"/>
      <c r="U354" s="123"/>
      <c r="V354" s="123"/>
      <c r="W354" s="123"/>
      <c r="X354" s="123"/>
      <c r="Y354" s="123"/>
      <c r="Z354" s="123"/>
      <c r="AA354" s="123"/>
      <c r="AB354" s="123"/>
      <c r="AC354" s="123"/>
      <c r="AD354" s="123"/>
      <c r="AE354" s="123"/>
      <c r="AF354" s="123"/>
      <c r="AG354" s="123"/>
      <c r="AH354" s="123"/>
      <c r="AI354" s="120" t="s">
        <v>1234</v>
      </c>
      <c r="AJ354" s="120"/>
      <c r="AK354" s="120"/>
      <c r="AL354" s="120"/>
      <c r="AM354" s="120"/>
      <c r="AN354" s="120"/>
      <c r="AO354" s="120"/>
      <c r="AP354" s="120"/>
      <c r="AQ354" s="120"/>
      <c r="AR354" s="120"/>
      <c r="AS354" s="120"/>
      <c r="AT354" s="120"/>
      <c r="AU354" s="120"/>
      <c r="AV354" s="120"/>
      <c r="AW354" s="120"/>
      <c r="AX354" s="120"/>
      <c r="AY354" s="120" t="str">
        <f t="shared" si="0"/>
        <v>聚会：如何打造高效社交网络(第版）</v>
      </c>
      <c r="AZ354" s="121"/>
      <c r="BA354" s="121"/>
      <c r="BB354" s="121"/>
      <c r="BD354" s="121"/>
      <c r="BE354" s="121"/>
      <c r="BF354" s="124"/>
      <c r="BH354" s="121"/>
      <c r="BI354" s="121"/>
      <c r="BP354" s="121"/>
      <c r="BQ354" s="149"/>
    </row>
    <row r="355" spans="1:69" s="122" customFormat="1" ht="16.5">
      <c r="A355" s="118"/>
      <c r="B355" s="141" t="s">
        <v>1239</v>
      </c>
      <c r="C355" s="120"/>
      <c r="D355" s="120"/>
      <c r="E355" s="119"/>
      <c r="F355" s="120"/>
      <c r="G355" s="120"/>
      <c r="H355" s="120"/>
      <c r="J355" s="120"/>
      <c r="K355" s="120"/>
      <c r="L355" s="120"/>
      <c r="M355" s="120"/>
      <c r="N355" s="121"/>
      <c r="O355" s="120"/>
      <c r="P355" s="118"/>
      <c r="R355" s="123"/>
      <c r="T355" s="123"/>
      <c r="U355" s="123"/>
      <c r="V355" s="123"/>
      <c r="W355" s="123"/>
      <c r="X355" s="123"/>
      <c r="Y355" s="123"/>
      <c r="Z355" s="123"/>
      <c r="AA355" s="123"/>
      <c r="AB355" s="123"/>
      <c r="AC355" s="123"/>
      <c r="AD355" s="123"/>
      <c r="AE355" s="123"/>
      <c r="AF355" s="123"/>
      <c r="AG355" s="123"/>
      <c r="AH355" s="123"/>
      <c r="AI355" s="120" t="s">
        <v>1234</v>
      </c>
      <c r="AJ355" s="120"/>
      <c r="AK355" s="120"/>
      <c r="AL355" s="120"/>
      <c r="AM355" s="120"/>
      <c r="AN355" s="120"/>
      <c r="AO355" s="120"/>
      <c r="AP355" s="120"/>
      <c r="AQ355" s="120"/>
      <c r="AR355" s="120"/>
      <c r="AS355" s="120"/>
      <c r="AT355" s="120"/>
      <c r="AU355" s="120"/>
      <c r="AV355" s="120"/>
      <c r="AW355" s="120"/>
      <c r="AX355" s="120"/>
      <c r="AY355" s="120" t="str">
        <f t="shared" si="0"/>
        <v>卓越工作：从优秀到卓越的高效工作法(第版）</v>
      </c>
      <c r="AZ355" s="121"/>
      <c r="BA355" s="121"/>
      <c r="BB355" s="121"/>
      <c r="BD355" s="121"/>
      <c r="BE355" s="121"/>
      <c r="BF355" s="124"/>
      <c r="BH355" s="121"/>
      <c r="BI355" s="121"/>
      <c r="BP355" s="121"/>
      <c r="BQ355" s="149"/>
    </row>
    <row r="356" spans="1:69" s="122" customFormat="1" ht="16.5">
      <c r="A356" s="118"/>
      <c r="B356" s="141" t="s">
        <v>1240</v>
      </c>
      <c r="C356" s="120"/>
      <c r="D356" s="120"/>
      <c r="E356" s="119"/>
      <c r="F356" s="120"/>
      <c r="G356" s="120"/>
      <c r="H356" s="120"/>
      <c r="J356" s="120"/>
      <c r="K356" s="120"/>
      <c r="L356" s="120"/>
      <c r="M356" s="120"/>
      <c r="N356" s="121"/>
      <c r="O356" s="120"/>
      <c r="P356" s="118"/>
      <c r="R356" s="123"/>
      <c r="T356" s="123"/>
      <c r="U356" s="123"/>
      <c r="V356" s="123"/>
      <c r="W356" s="123"/>
      <c r="X356" s="123"/>
      <c r="Y356" s="123"/>
      <c r="Z356" s="123"/>
      <c r="AA356" s="123"/>
      <c r="AB356" s="123"/>
      <c r="AC356" s="123"/>
      <c r="AD356" s="123"/>
      <c r="AE356" s="123"/>
      <c r="AF356" s="123"/>
      <c r="AG356" s="123"/>
      <c r="AH356" s="123"/>
      <c r="AI356" s="120" t="s">
        <v>1218</v>
      </c>
      <c r="AJ356" s="120"/>
      <c r="AK356" s="120"/>
      <c r="AL356" s="120"/>
      <c r="AM356" s="120"/>
      <c r="AN356" s="120"/>
      <c r="AO356" s="120"/>
      <c r="AP356" s="120"/>
      <c r="AQ356" s="120"/>
      <c r="AR356" s="120"/>
      <c r="AS356" s="120"/>
      <c r="AT356" s="120"/>
      <c r="AU356" s="120"/>
      <c r="AV356" s="120"/>
      <c r="AW356" s="120"/>
      <c r="AX356" s="120"/>
      <c r="AY356" s="120" t="str">
        <f t="shared" si="0"/>
        <v>未完成的进化(第版）</v>
      </c>
      <c r="AZ356" s="121"/>
      <c r="BA356" s="121"/>
      <c r="BB356" s="121"/>
      <c r="BD356" s="121"/>
      <c r="BE356" s="121"/>
      <c r="BF356" s="124"/>
      <c r="BH356" s="121"/>
      <c r="BI356" s="121"/>
      <c r="BP356" s="121"/>
      <c r="BQ356" s="149"/>
    </row>
    <row r="357" spans="1:69" s="122" customFormat="1" ht="16.5">
      <c r="A357" s="118"/>
      <c r="B357" s="141" t="s">
        <v>1241</v>
      </c>
      <c r="C357" s="120"/>
      <c r="D357" s="120"/>
      <c r="E357" s="119"/>
      <c r="F357" s="120"/>
      <c r="G357" s="120"/>
      <c r="H357" s="120"/>
      <c r="J357" s="120"/>
      <c r="K357" s="120"/>
      <c r="L357" s="120"/>
      <c r="M357" s="120"/>
      <c r="N357" s="121"/>
      <c r="O357" s="120"/>
      <c r="P357" s="118"/>
      <c r="R357" s="123"/>
      <c r="T357" s="123"/>
      <c r="U357" s="123"/>
      <c r="V357" s="123"/>
      <c r="W357" s="123"/>
      <c r="X357" s="123"/>
      <c r="Y357" s="123"/>
      <c r="Z357" s="123"/>
      <c r="AA357" s="123"/>
      <c r="AB357" s="123"/>
      <c r="AC357" s="123"/>
      <c r="AD357" s="123"/>
      <c r="AE357" s="123"/>
      <c r="AF357" s="123"/>
      <c r="AG357" s="123"/>
      <c r="AH357" s="123"/>
      <c r="AI357" s="120" t="s">
        <v>1218</v>
      </c>
      <c r="AJ357" s="120"/>
      <c r="AK357" s="120"/>
      <c r="AL357" s="120"/>
      <c r="AM357" s="120"/>
      <c r="AN357" s="120"/>
      <c r="AO357" s="120"/>
      <c r="AP357" s="120"/>
      <c r="AQ357" s="120"/>
      <c r="AR357" s="120"/>
      <c r="AS357" s="120"/>
      <c r="AT357" s="120"/>
      <c r="AU357" s="120"/>
      <c r="AV357" s="120"/>
      <c r="AW357" s="120"/>
      <c r="AX357" s="120"/>
      <c r="AY357" s="120" t="str">
        <f t="shared" si="0"/>
        <v>极简主义：风靡欧美的工作与生活理念(第版）</v>
      </c>
      <c r="AZ357" s="121"/>
      <c r="BA357" s="121"/>
      <c r="BB357" s="121"/>
      <c r="BD357" s="121"/>
      <c r="BE357" s="121"/>
      <c r="BF357" s="124"/>
      <c r="BH357" s="121"/>
      <c r="BI357" s="121"/>
      <c r="BP357" s="121"/>
      <c r="BQ357" s="149"/>
    </row>
    <row r="358" spans="1:69" s="122" customFormat="1" ht="16.5">
      <c r="A358" s="118"/>
      <c r="B358" s="141" t="s">
        <v>1242</v>
      </c>
      <c r="C358" s="120"/>
      <c r="D358" s="120"/>
      <c r="E358" s="119"/>
      <c r="F358" s="120"/>
      <c r="G358" s="120"/>
      <c r="H358" s="120"/>
      <c r="J358" s="120"/>
      <c r="K358" s="120"/>
      <c r="L358" s="120"/>
      <c r="M358" s="120"/>
      <c r="N358" s="121"/>
      <c r="O358" s="120"/>
      <c r="P358" s="118"/>
      <c r="R358" s="123"/>
      <c r="T358" s="123"/>
      <c r="U358" s="123"/>
      <c r="V358" s="123"/>
      <c r="W358" s="123"/>
      <c r="X358" s="123"/>
      <c r="Y358" s="123"/>
      <c r="Z358" s="123"/>
      <c r="AA358" s="123"/>
      <c r="AB358" s="123"/>
      <c r="AC358" s="123"/>
      <c r="AD358" s="123"/>
      <c r="AE358" s="123"/>
      <c r="AF358" s="123"/>
      <c r="AG358" s="123"/>
      <c r="AH358" s="123"/>
      <c r="AI358" s="120"/>
      <c r="AJ358" s="120"/>
      <c r="AK358" s="120" t="s">
        <v>1218</v>
      </c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 t="str">
        <f t="shared" si="0"/>
        <v>活好：我这样活到105岁(第版）</v>
      </c>
      <c r="AZ358" s="121"/>
      <c r="BA358" s="121"/>
      <c r="BB358" s="121"/>
      <c r="BD358" s="121"/>
      <c r="BE358" s="121"/>
      <c r="BF358" s="124"/>
      <c r="BH358" s="121"/>
      <c r="BI358" s="121"/>
      <c r="BP358" s="121"/>
      <c r="BQ358" s="149"/>
    </row>
    <row r="359" spans="1:69" s="122" customFormat="1" ht="33">
      <c r="A359" s="118"/>
      <c r="B359" s="141" t="s">
        <v>1244</v>
      </c>
      <c r="C359" s="120"/>
      <c r="D359" s="120"/>
      <c r="E359" s="119"/>
      <c r="F359" s="120"/>
      <c r="G359" s="120"/>
      <c r="H359" s="120"/>
      <c r="J359" s="120"/>
      <c r="K359" s="120"/>
      <c r="L359" s="120"/>
      <c r="M359" s="120"/>
      <c r="N359" s="121"/>
      <c r="O359" s="120"/>
      <c r="P359" s="118"/>
      <c r="R359" s="123"/>
      <c r="T359" s="123"/>
      <c r="U359" s="123"/>
      <c r="V359" s="123"/>
      <c r="W359" s="123"/>
      <c r="X359" s="123"/>
      <c r="Y359" s="123"/>
      <c r="Z359" s="123"/>
      <c r="AA359" s="123"/>
      <c r="AB359" s="123"/>
      <c r="AC359" s="123"/>
      <c r="AD359" s="123"/>
      <c r="AE359" s="123"/>
      <c r="AF359" s="123"/>
      <c r="AG359" s="123"/>
      <c r="AH359" s="123"/>
      <c r="AI359" s="120" t="s">
        <v>1218</v>
      </c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 t="str">
        <f t="shared" si="0"/>
        <v>我战胜了抑郁症：九个抑郁症患者真是感人的自愈故事(第版）</v>
      </c>
      <c r="AZ359" s="121"/>
      <c r="BA359" s="121"/>
      <c r="BB359" s="121"/>
      <c r="BD359" s="121"/>
      <c r="BE359" s="121"/>
      <c r="BF359" s="124"/>
      <c r="BH359" s="121"/>
      <c r="BI359" s="121"/>
      <c r="BP359" s="121"/>
      <c r="BQ359" s="149"/>
    </row>
    <row r="360" spans="1:69" s="122" customFormat="1" ht="16.5">
      <c r="A360" s="118"/>
      <c r="B360" s="141" t="s">
        <v>1245</v>
      </c>
      <c r="C360" s="120"/>
      <c r="D360" s="120"/>
      <c r="E360" s="119"/>
      <c r="F360" s="120"/>
      <c r="G360" s="120"/>
      <c r="H360" s="120"/>
      <c r="J360" s="120"/>
      <c r="K360" s="120"/>
      <c r="L360" s="120"/>
      <c r="M360" s="120"/>
      <c r="N360" s="121"/>
      <c r="O360" s="120"/>
      <c r="P360" s="118"/>
      <c r="R360" s="123"/>
      <c r="T360" s="123"/>
      <c r="U360" s="123"/>
      <c r="V360" s="123"/>
      <c r="W360" s="123"/>
      <c r="X360" s="123"/>
      <c r="Y360" s="123"/>
      <c r="Z360" s="123"/>
      <c r="AA360" s="123"/>
      <c r="AB360" s="123"/>
      <c r="AC360" s="123"/>
      <c r="AD360" s="123"/>
      <c r="AE360" s="123"/>
      <c r="AF360" s="123"/>
      <c r="AG360" s="123"/>
      <c r="AH360" s="123"/>
      <c r="AI360" s="120"/>
      <c r="AJ360" s="120"/>
      <c r="AK360" s="120" t="s">
        <v>1218</v>
      </c>
      <c r="AL360" s="120"/>
      <c r="AM360" s="120"/>
      <c r="AN360" s="120"/>
      <c r="AO360" s="120"/>
      <c r="AP360" s="120"/>
      <c r="AQ360" s="120"/>
      <c r="AR360" s="120"/>
      <c r="AS360" s="120"/>
      <c r="AT360" s="120"/>
      <c r="AU360" s="120"/>
      <c r="AV360" s="120"/>
      <c r="AW360" s="120"/>
      <c r="AX360" s="120"/>
      <c r="AY360" s="120" t="str">
        <f t="shared" si="0"/>
        <v>心：稻盛和夫的一生嘱托(第版）</v>
      </c>
      <c r="AZ360" s="121"/>
      <c r="BA360" s="121"/>
      <c r="BB360" s="121"/>
      <c r="BD360" s="121"/>
      <c r="BE360" s="121"/>
      <c r="BF360" s="124"/>
      <c r="BH360" s="121"/>
      <c r="BI360" s="121"/>
      <c r="BP360" s="121"/>
      <c r="BQ360" s="149"/>
    </row>
    <row r="361" spans="1:69" s="122" customFormat="1" ht="16.5">
      <c r="A361" s="118"/>
      <c r="B361" s="141" t="s">
        <v>1246</v>
      </c>
      <c r="C361" s="120"/>
      <c r="D361" s="120"/>
      <c r="E361" s="119"/>
      <c r="F361" s="120"/>
      <c r="G361" s="120"/>
      <c r="H361" s="120"/>
      <c r="J361" s="120"/>
      <c r="K361" s="120"/>
      <c r="L361" s="120"/>
      <c r="M361" s="120"/>
      <c r="N361" s="121"/>
      <c r="O361" s="120"/>
      <c r="P361" s="118"/>
      <c r="R361" s="123"/>
      <c r="T361" s="123"/>
      <c r="U361" s="123"/>
      <c r="V361" s="123"/>
      <c r="W361" s="123"/>
      <c r="X361" s="123"/>
      <c r="Y361" s="123"/>
      <c r="Z361" s="123"/>
      <c r="AA361" s="123"/>
      <c r="AB361" s="123"/>
      <c r="AC361" s="123"/>
      <c r="AD361" s="123"/>
      <c r="AE361" s="123"/>
      <c r="AF361" s="123"/>
      <c r="AG361" s="123"/>
      <c r="AH361" s="123"/>
      <c r="AJ361" s="120"/>
      <c r="AK361" s="120" t="s">
        <v>1218</v>
      </c>
      <c r="AL361" s="120"/>
      <c r="AM361" s="120"/>
      <c r="AN361" s="120"/>
      <c r="AO361" s="120"/>
      <c r="AP361" s="120"/>
      <c r="AQ361" s="120"/>
      <c r="AR361" s="120"/>
      <c r="AS361" s="120"/>
      <c r="AT361" s="120"/>
      <c r="AU361" s="120"/>
      <c r="AV361" s="120"/>
      <c r="AW361" s="120"/>
      <c r="AX361" s="120"/>
      <c r="AY361" s="120" t="str">
        <f t="shared" si="0"/>
        <v>如何培养不怯场的孩子(第版）</v>
      </c>
      <c r="AZ361" s="121"/>
      <c r="BA361" s="121"/>
      <c r="BB361" s="121"/>
      <c r="BD361" s="121"/>
      <c r="BE361" s="121"/>
      <c r="BF361" s="124"/>
      <c r="BH361" s="121"/>
      <c r="BI361" s="121"/>
      <c r="BP361" s="121"/>
      <c r="BQ361" s="149"/>
    </row>
    <row r="362" spans="1:69" s="122" customFormat="1" ht="16.5">
      <c r="A362" s="118"/>
      <c r="B362" s="141" t="s">
        <v>1247</v>
      </c>
      <c r="C362" s="120"/>
      <c r="D362" s="120"/>
      <c r="E362" s="119"/>
      <c r="F362" s="120"/>
      <c r="G362" s="120"/>
      <c r="H362" s="120"/>
      <c r="J362" s="120"/>
      <c r="K362" s="120"/>
      <c r="L362" s="120"/>
      <c r="M362" s="120"/>
      <c r="N362" s="121"/>
      <c r="O362" s="120"/>
      <c r="P362" s="118"/>
      <c r="R362" s="123"/>
      <c r="T362" s="123"/>
      <c r="U362" s="123"/>
      <c r="V362" s="123"/>
      <c r="W362" s="123"/>
      <c r="X362" s="123"/>
      <c r="Y362" s="123"/>
      <c r="Z362" s="123"/>
      <c r="AA362" s="123"/>
      <c r="AB362" s="123"/>
      <c r="AC362" s="123"/>
      <c r="AD362" s="123"/>
      <c r="AE362" s="123"/>
      <c r="AF362" s="123"/>
      <c r="AG362" s="123"/>
      <c r="AH362" s="123"/>
      <c r="AI362" s="120" t="s">
        <v>1218</v>
      </c>
      <c r="AJ362" s="120"/>
      <c r="AK362" s="120"/>
      <c r="AL362" s="120"/>
      <c r="AM362" s="120"/>
      <c r="AN362" s="120"/>
      <c r="AO362" s="120"/>
      <c r="AP362" s="120"/>
      <c r="AQ362" s="120"/>
      <c r="AR362" s="120"/>
      <c r="AS362" s="120"/>
      <c r="AT362" s="120"/>
      <c r="AU362" s="120"/>
      <c r="AV362" s="120"/>
      <c r="AW362" s="120"/>
      <c r="AX362" s="120"/>
      <c r="AY362" s="120" t="str">
        <f t="shared" si="0"/>
        <v>如何成为一个学习忍者(第版）</v>
      </c>
      <c r="AZ362" s="121"/>
      <c r="BA362" s="121"/>
      <c r="BB362" s="121"/>
      <c r="BD362" s="121"/>
      <c r="BE362" s="121"/>
      <c r="BF362" s="124"/>
      <c r="BH362" s="121"/>
      <c r="BI362" s="121"/>
      <c r="BP362" s="121"/>
      <c r="BQ362" s="149"/>
    </row>
    <row r="363" spans="1:69" s="122" customFormat="1" ht="16.5">
      <c r="A363" s="118"/>
      <c r="B363" s="141" t="s">
        <v>1248</v>
      </c>
      <c r="C363" s="120"/>
      <c r="D363" s="120"/>
      <c r="E363" s="119"/>
      <c r="F363" s="120"/>
      <c r="G363" s="120"/>
      <c r="H363" s="120"/>
      <c r="J363" s="120"/>
      <c r="K363" s="120"/>
      <c r="L363" s="120"/>
      <c r="M363" s="120"/>
      <c r="N363" s="121"/>
      <c r="O363" s="120"/>
      <c r="P363" s="118"/>
      <c r="R363" s="123"/>
      <c r="T363" s="123"/>
      <c r="U363" s="123"/>
      <c r="V363" s="123"/>
      <c r="W363" s="123"/>
      <c r="X363" s="123"/>
      <c r="Y363" s="123"/>
      <c r="Z363" s="123"/>
      <c r="AA363" s="123"/>
      <c r="AB363" s="123"/>
      <c r="AC363" s="123"/>
      <c r="AD363" s="123"/>
      <c r="AE363" s="123"/>
      <c r="AF363" s="123"/>
      <c r="AG363" s="123"/>
      <c r="AH363" s="123"/>
      <c r="AI363" s="120" t="s">
        <v>1218</v>
      </c>
      <c r="AJ363" s="120"/>
      <c r="AK363" s="120"/>
      <c r="AL363" s="120"/>
      <c r="AM363" s="120"/>
      <c r="AN363" s="120"/>
      <c r="AO363" s="120"/>
      <c r="AP363" s="120"/>
      <c r="AQ363" s="120"/>
      <c r="AR363" s="120"/>
      <c r="AS363" s="120"/>
      <c r="AT363" s="120"/>
      <c r="AU363" s="120"/>
      <c r="AV363" s="120"/>
      <c r="AW363" s="120"/>
      <c r="AX363" s="120"/>
      <c r="AY363" s="120" t="str">
        <f t="shared" si="0"/>
        <v>动态时代的管理(第版）</v>
      </c>
      <c r="AZ363" s="121"/>
      <c r="BA363" s="121"/>
      <c r="BB363" s="121"/>
      <c r="BD363" s="121"/>
      <c r="BE363" s="121"/>
      <c r="BF363" s="124"/>
      <c r="BH363" s="121"/>
      <c r="BI363" s="121"/>
      <c r="BP363" s="121"/>
      <c r="BQ363" s="149"/>
    </row>
    <row r="364" spans="1:69" s="122" customFormat="1" ht="16.5">
      <c r="A364" s="118"/>
      <c r="B364" s="141" t="s">
        <v>1249</v>
      </c>
      <c r="C364" s="120"/>
      <c r="D364" s="120"/>
      <c r="E364" s="119"/>
      <c r="F364" s="120"/>
      <c r="G364" s="120"/>
      <c r="H364" s="120"/>
      <c r="J364" s="120"/>
      <c r="K364" s="120"/>
      <c r="L364" s="120"/>
      <c r="M364" s="120"/>
      <c r="N364" s="121"/>
      <c r="O364" s="120"/>
      <c r="P364" s="118"/>
      <c r="R364" s="123"/>
      <c r="T364" s="123"/>
      <c r="U364" s="123"/>
      <c r="V364" s="123"/>
      <c r="W364" s="123"/>
      <c r="X364" s="123"/>
      <c r="Y364" s="123"/>
      <c r="Z364" s="123"/>
      <c r="AA364" s="123"/>
      <c r="AB364" s="123"/>
      <c r="AC364" s="123"/>
      <c r="AD364" s="123"/>
      <c r="AE364" s="123"/>
      <c r="AF364" s="123"/>
      <c r="AG364" s="123"/>
      <c r="AH364" s="123"/>
      <c r="AI364" s="120" t="s">
        <v>1218</v>
      </c>
      <c r="AJ364" s="120"/>
      <c r="AK364" s="120"/>
      <c r="AL364" s="120"/>
      <c r="AM364" s="120"/>
      <c r="AN364" s="120"/>
      <c r="AO364" s="120"/>
      <c r="AP364" s="120"/>
      <c r="AQ364" s="120"/>
      <c r="AR364" s="120"/>
      <c r="AS364" s="120"/>
      <c r="AT364" s="120"/>
      <c r="AU364" s="120"/>
      <c r="AV364" s="120"/>
      <c r="AW364" s="120"/>
      <c r="AX364" s="120"/>
      <c r="AY364" s="120" t="str">
        <f t="shared" si="0"/>
        <v>内向者的天赋(第版）</v>
      </c>
      <c r="AZ364" s="121"/>
      <c r="BA364" s="121"/>
      <c r="BB364" s="121"/>
      <c r="BD364" s="121"/>
      <c r="BE364" s="121"/>
      <c r="BF364" s="124"/>
      <c r="BH364" s="121"/>
      <c r="BI364" s="121"/>
      <c r="BP364" s="121"/>
      <c r="BQ364" s="149"/>
    </row>
    <row r="365" spans="1:69" s="122" customFormat="1" ht="16.5">
      <c r="A365" s="118"/>
      <c r="B365" s="141" t="s">
        <v>1250</v>
      </c>
      <c r="C365" s="120"/>
      <c r="D365" s="120"/>
      <c r="E365" s="119"/>
      <c r="F365" s="120"/>
      <c r="G365" s="120"/>
      <c r="H365" s="120"/>
      <c r="J365" s="120"/>
      <c r="K365" s="120"/>
      <c r="L365" s="120"/>
      <c r="M365" s="120"/>
      <c r="N365" s="121"/>
      <c r="O365" s="120"/>
      <c r="P365" s="118"/>
      <c r="R365" s="123"/>
      <c r="T365" s="123"/>
      <c r="U365" s="123"/>
      <c r="V365" s="123"/>
      <c r="W365" s="123"/>
      <c r="X365" s="123"/>
      <c r="Y365" s="123"/>
      <c r="Z365" s="123"/>
      <c r="AA365" s="123"/>
      <c r="AB365" s="123"/>
      <c r="AC365" s="123"/>
      <c r="AD365" s="123"/>
      <c r="AE365" s="123"/>
      <c r="AF365" s="123"/>
      <c r="AG365" s="123"/>
      <c r="AH365" s="123"/>
      <c r="AJ365" s="120"/>
      <c r="AK365" s="120" t="s">
        <v>1218</v>
      </c>
      <c r="AL365" s="120"/>
      <c r="AM365" s="120"/>
      <c r="AN365" s="120"/>
      <c r="AO365" s="120"/>
      <c r="AP365" s="120"/>
      <c r="AQ365" s="120"/>
      <c r="AR365" s="120"/>
      <c r="AS365" s="120"/>
      <c r="AT365" s="120"/>
      <c r="AU365" s="120"/>
      <c r="AV365" s="120"/>
      <c r="AW365" s="120"/>
      <c r="AX365" s="120"/>
      <c r="AY365" s="120" t="str">
        <f t="shared" si="0"/>
        <v>匠人匠心：愚直的坚持(第版）</v>
      </c>
      <c r="AZ365" s="121"/>
      <c r="BA365" s="121"/>
      <c r="BB365" s="121"/>
      <c r="BD365" s="121"/>
      <c r="BE365" s="121"/>
      <c r="BF365" s="124"/>
      <c r="BH365" s="121"/>
      <c r="BI365" s="121"/>
      <c r="BP365" s="121"/>
      <c r="BQ365" s="149"/>
    </row>
    <row r="366" spans="1:69" s="122" customFormat="1" ht="16.5">
      <c r="A366" s="118"/>
      <c r="B366" s="141" t="s">
        <v>1251</v>
      </c>
      <c r="C366" s="120"/>
      <c r="D366" s="120"/>
      <c r="E366" s="119"/>
      <c r="F366" s="120"/>
      <c r="G366" s="120"/>
      <c r="H366" s="120"/>
      <c r="J366" s="120"/>
      <c r="K366" s="120"/>
      <c r="L366" s="120"/>
      <c r="M366" s="120"/>
      <c r="N366" s="121"/>
      <c r="O366" s="120"/>
      <c r="P366" s="118"/>
      <c r="R366" s="123"/>
      <c r="T366" s="123"/>
      <c r="U366" s="123"/>
      <c r="V366" s="123"/>
      <c r="W366" s="123"/>
      <c r="X366" s="123"/>
      <c r="Y366" s="123"/>
      <c r="Z366" s="123"/>
      <c r="AA366" s="123"/>
      <c r="AB366" s="123"/>
      <c r="AC366" s="123"/>
      <c r="AD366" s="123"/>
      <c r="AE366" s="123"/>
      <c r="AF366" s="123"/>
      <c r="AG366" s="123"/>
      <c r="AH366" s="123"/>
      <c r="AI366" s="120" t="s">
        <v>1218</v>
      </c>
      <c r="AJ366" s="120"/>
      <c r="AK366" s="120"/>
      <c r="AL366" s="120"/>
      <c r="AM366" s="120"/>
      <c r="AN366" s="120"/>
      <c r="AO366" s="120"/>
      <c r="AP366" s="120"/>
      <c r="AQ366" s="120"/>
      <c r="AR366" s="120"/>
      <c r="AS366" s="120"/>
      <c r="AT366" s="120"/>
      <c r="AU366" s="120"/>
      <c r="AV366" s="120"/>
      <c r="AW366" s="120"/>
      <c r="AX366" s="120"/>
      <c r="AY366" s="120" t="str">
        <f t="shared" si="0"/>
        <v>工业管理与一般管理(第版）</v>
      </c>
      <c r="AZ366" s="121"/>
      <c r="BA366" s="121"/>
      <c r="BB366" s="121"/>
      <c r="BD366" s="121"/>
      <c r="BE366" s="121"/>
      <c r="BF366" s="124"/>
      <c r="BH366" s="121"/>
      <c r="BI366" s="121"/>
      <c r="BP366" s="121"/>
      <c r="BQ366" s="149"/>
    </row>
    <row r="367" spans="1:69" s="122" customFormat="1" ht="16.5">
      <c r="A367" s="118"/>
      <c r="B367" s="141" t="s">
        <v>1252</v>
      </c>
      <c r="C367" s="120"/>
      <c r="D367" s="120"/>
      <c r="E367" s="119"/>
      <c r="F367" s="120"/>
      <c r="G367" s="120"/>
      <c r="H367" s="120"/>
      <c r="J367" s="120"/>
      <c r="K367" s="120"/>
      <c r="L367" s="120"/>
      <c r="M367" s="120"/>
      <c r="N367" s="121"/>
      <c r="O367" s="120"/>
      <c r="P367" s="118"/>
      <c r="R367" s="123"/>
      <c r="T367" s="123"/>
      <c r="U367" s="123"/>
      <c r="V367" s="123"/>
      <c r="W367" s="123"/>
      <c r="X367" s="123"/>
      <c r="Y367" s="123"/>
      <c r="Z367" s="123"/>
      <c r="AA367" s="123"/>
      <c r="AB367" s="123"/>
      <c r="AC367" s="123"/>
      <c r="AD367" s="123"/>
      <c r="AE367" s="123"/>
      <c r="AF367" s="123"/>
      <c r="AG367" s="123"/>
      <c r="AH367" s="123"/>
      <c r="AI367" s="120" t="s">
        <v>1218</v>
      </c>
      <c r="AJ367" s="120"/>
      <c r="AK367" s="120"/>
      <c r="AL367" s="120"/>
      <c r="AM367" s="120"/>
      <c r="AN367" s="120"/>
      <c r="AO367" s="120"/>
      <c r="AP367" s="120"/>
      <c r="AQ367" s="120"/>
      <c r="AR367" s="120"/>
      <c r="AS367" s="120"/>
      <c r="AT367" s="120"/>
      <c r="AU367" s="120"/>
      <c r="AV367" s="120"/>
      <c r="AW367" s="120"/>
      <c r="AX367" s="120"/>
      <c r="AY367" s="120" t="str">
        <f t="shared" si="0"/>
        <v>管理：使命、责任、实务（责任篇）(第版）</v>
      </c>
      <c r="AZ367" s="121"/>
      <c r="BA367" s="121"/>
      <c r="BB367" s="121"/>
      <c r="BD367" s="121"/>
      <c r="BE367" s="121"/>
      <c r="BF367" s="124"/>
      <c r="BH367" s="121"/>
      <c r="BI367" s="121"/>
      <c r="BP367" s="121"/>
      <c r="BQ367" s="149"/>
    </row>
    <row r="368" spans="1:69" s="122" customFormat="1" ht="16.5">
      <c r="A368" s="118"/>
      <c r="B368" s="141" t="s">
        <v>1253</v>
      </c>
      <c r="C368" s="120"/>
      <c r="D368" s="120"/>
      <c r="E368" s="119"/>
      <c r="F368" s="120"/>
      <c r="G368" s="120"/>
      <c r="H368" s="120"/>
      <c r="J368" s="120"/>
      <c r="K368" s="120"/>
      <c r="L368" s="120"/>
      <c r="M368" s="120"/>
      <c r="N368" s="121"/>
      <c r="O368" s="120"/>
      <c r="P368" s="118"/>
      <c r="R368" s="123"/>
      <c r="T368" s="123"/>
      <c r="U368" s="123"/>
      <c r="V368" s="123"/>
      <c r="W368" s="123"/>
      <c r="X368" s="123"/>
      <c r="Y368" s="123"/>
      <c r="Z368" s="123"/>
      <c r="AA368" s="123"/>
      <c r="AB368" s="123"/>
      <c r="AC368" s="123"/>
      <c r="AD368" s="123"/>
      <c r="AE368" s="123"/>
      <c r="AF368" s="123"/>
      <c r="AG368" s="123"/>
      <c r="AH368" s="123"/>
      <c r="AI368" s="120" t="s">
        <v>1218</v>
      </c>
      <c r="AJ368" s="120"/>
      <c r="AK368" s="120"/>
      <c r="AL368" s="120"/>
      <c r="AM368" s="120"/>
      <c r="AN368" s="120"/>
      <c r="AO368" s="120"/>
      <c r="AP368" s="120"/>
      <c r="AQ368" s="120"/>
      <c r="AR368" s="120"/>
      <c r="AS368" s="120"/>
      <c r="AT368" s="120"/>
      <c r="AU368" s="120"/>
      <c r="AV368" s="120"/>
      <c r="AW368" s="120"/>
      <c r="AX368" s="120"/>
      <c r="AY368" s="120" t="str">
        <f t="shared" si="0"/>
        <v>麦肯锡意识(第版）</v>
      </c>
      <c r="AZ368" s="121"/>
      <c r="BA368" s="121"/>
      <c r="BB368" s="121"/>
      <c r="BD368" s="121"/>
      <c r="BE368" s="121"/>
      <c r="BF368" s="124"/>
      <c r="BH368" s="121"/>
      <c r="BI368" s="121"/>
      <c r="BP368" s="121"/>
      <c r="BQ368" s="149"/>
    </row>
    <row r="369" spans="1:69" s="122" customFormat="1" ht="16.5">
      <c r="A369" s="118"/>
      <c r="B369" s="141" t="s">
        <v>1254</v>
      </c>
      <c r="C369" s="120"/>
      <c r="D369" s="120"/>
      <c r="E369" s="119"/>
      <c r="F369" s="120"/>
      <c r="G369" s="120"/>
      <c r="H369" s="120"/>
      <c r="J369" s="120"/>
      <c r="K369" s="120"/>
      <c r="L369" s="120"/>
      <c r="M369" s="120"/>
      <c r="N369" s="121"/>
      <c r="O369" s="120"/>
      <c r="P369" s="118"/>
      <c r="R369" s="123"/>
      <c r="T369" s="123"/>
      <c r="U369" s="123"/>
      <c r="V369" s="123"/>
      <c r="W369" s="123"/>
      <c r="X369" s="123"/>
      <c r="Y369" s="123"/>
      <c r="Z369" s="123"/>
      <c r="AA369" s="123"/>
      <c r="AB369" s="123"/>
      <c r="AC369" s="123"/>
      <c r="AD369" s="123"/>
      <c r="AE369" s="123"/>
      <c r="AF369" s="123"/>
      <c r="AG369" s="123"/>
      <c r="AH369" s="123"/>
      <c r="AI369" s="120" t="s">
        <v>1218</v>
      </c>
      <c r="AJ369" s="120"/>
      <c r="AK369" s="120"/>
      <c r="AL369" s="120"/>
      <c r="AM369" s="120"/>
      <c r="AN369" s="120"/>
      <c r="AO369" s="120"/>
      <c r="AP369" s="120"/>
      <c r="AQ369" s="120"/>
      <c r="AR369" s="120"/>
      <c r="AS369" s="120"/>
      <c r="AT369" s="120"/>
      <c r="AU369" s="120"/>
      <c r="AV369" s="120"/>
      <c r="AW369" s="120"/>
      <c r="AX369" s="120"/>
      <c r="AY369" s="120" t="str">
        <f t="shared" si="0"/>
        <v>管理：使命、责任、实务（使命篇）(第版）</v>
      </c>
      <c r="AZ369" s="121"/>
      <c r="BA369" s="121"/>
      <c r="BB369" s="121"/>
      <c r="BD369" s="121"/>
      <c r="BE369" s="121"/>
      <c r="BF369" s="124"/>
      <c r="BH369" s="121"/>
      <c r="BI369" s="121"/>
      <c r="BP369" s="121"/>
      <c r="BQ369" s="149"/>
    </row>
    <row r="370" spans="1:69" s="122" customFormat="1" ht="16.5">
      <c r="A370" s="118"/>
      <c r="B370" s="141" t="s">
        <v>1255</v>
      </c>
      <c r="C370" s="120"/>
      <c r="D370" s="120"/>
      <c r="E370" s="119"/>
      <c r="F370" s="120"/>
      <c r="G370" s="120"/>
      <c r="H370" s="120"/>
      <c r="J370" s="120"/>
      <c r="K370" s="120"/>
      <c r="L370" s="120"/>
      <c r="M370" s="120"/>
      <c r="N370" s="121"/>
      <c r="O370" s="120"/>
      <c r="P370" s="118"/>
      <c r="R370" s="123"/>
      <c r="T370" s="123"/>
      <c r="U370" s="123"/>
      <c r="V370" s="123"/>
      <c r="W370" s="123"/>
      <c r="X370" s="123"/>
      <c r="Y370" s="123"/>
      <c r="Z370" s="123"/>
      <c r="AA370" s="123"/>
      <c r="AB370" s="123"/>
      <c r="AC370" s="123"/>
      <c r="AD370" s="123"/>
      <c r="AE370" s="123"/>
      <c r="AF370" s="123"/>
      <c r="AG370" s="123"/>
      <c r="AH370" s="123"/>
      <c r="AI370" s="120" t="s">
        <v>1218</v>
      </c>
      <c r="AJ370" s="120"/>
      <c r="AK370" s="120"/>
      <c r="AL370" s="120"/>
      <c r="AM370" s="120"/>
      <c r="AN370" s="120"/>
      <c r="AO370" s="120"/>
      <c r="AP370" s="120"/>
      <c r="AQ370" s="120"/>
      <c r="AR370" s="120"/>
      <c r="AS370" s="120"/>
      <c r="AT370" s="120"/>
      <c r="AU370" s="120"/>
      <c r="AV370" s="120"/>
      <c r="AW370" s="120"/>
      <c r="AX370" s="120"/>
      <c r="AY370" s="120" t="str">
        <f t="shared" si="0"/>
        <v>21世纪的管理挑战(第版）</v>
      </c>
      <c r="AZ370" s="121"/>
      <c r="BA370" s="121"/>
      <c r="BB370" s="121"/>
      <c r="BD370" s="121"/>
      <c r="BE370" s="121"/>
      <c r="BF370" s="124"/>
      <c r="BH370" s="121"/>
      <c r="BI370" s="121"/>
      <c r="BP370" s="121"/>
      <c r="BQ370" s="149"/>
    </row>
    <row r="371" spans="1:69" s="122" customFormat="1" ht="33">
      <c r="A371" s="118"/>
      <c r="B371" s="141" t="s">
        <v>1256</v>
      </c>
      <c r="C371" s="120"/>
      <c r="D371" s="120"/>
      <c r="E371" s="119"/>
      <c r="F371" s="120"/>
      <c r="G371" s="120"/>
      <c r="H371" s="120"/>
      <c r="J371" s="120"/>
      <c r="K371" s="120"/>
      <c r="L371" s="120"/>
      <c r="M371" s="120"/>
      <c r="N371" s="121"/>
      <c r="O371" s="120"/>
      <c r="P371" s="118"/>
      <c r="R371" s="123"/>
      <c r="T371" s="123"/>
      <c r="U371" s="123"/>
      <c r="V371" s="123"/>
      <c r="W371" s="123"/>
      <c r="X371" s="123"/>
      <c r="Y371" s="123"/>
      <c r="Z371" s="123"/>
      <c r="AA371" s="123"/>
      <c r="AB371" s="123"/>
      <c r="AC371" s="123"/>
      <c r="AD371" s="123"/>
      <c r="AE371" s="123"/>
      <c r="AF371" s="123"/>
      <c r="AG371" s="123"/>
      <c r="AH371" s="123"/>
      <c r="AI371" s="120" t="s">
        <v>1218</v>
      </c>
      <c r="AJ371" s="120"/>
      <c r="AK371" s="120"/>
      <c r="AL371" s="120"/>
      <c r="AM371" s="120"/>
      <c r="AN371" s="120"/>
      <c r="AO371" s="120"/>
      <c r="AP371" s="120"/>
      <c r="AQ371" s="120"/>
      <c r="AR371" s="120"/>
      <c r="AS371" s="120"/>
      <c r="AT371" s="120"/>
      <c r="AU371" s="120"/>
      <c r="AV371" s="120"/>
      <c r="AW371" s="120"/>
      <c r="AX371" s="120"/>
      <c r="AY371" s="120" t="str">
        <f t="shared" si="0"/>
        <v>重塑大脑回路：如何借助神经科学走出抑郁症(第版）</v>
      </c>
      <c r="AZ371" s="121"/>
      <c r="BA371" s="121"/>
      <c r="BB371" s="121"/>
      <c r="BD371" s="121"/>
      <c r="BE371" s="121"/>
      <c r="BF371" s="124"/>
      <c r="BH371" s="121"/>
      <c r="BI371" s="121"/>
      <c r="BP371" s="121"/>
      <c r="BQ371" s="149"/>
    </row>
    <row r="372" spans="1:69" s="122" customFormat="1" ht="16.5">
      <c r="A372" s="118"/>
      <c r="B372" s="141" t="s">
        <v>1257</v>
      </c>
      <c r="C372" s="120"/>
      <c r="D372" s="120"/>
      <c r="E372" s="119"/>
      <c r="F372" s="120"/>
      <c r="G372" s="120"/>
      <c r="H372" s="120"/>
      <c r="J372" s="120"/>
      <c r="K372" s="120"/>
      <c r="L372" s="120"/>
      <c r="M372" s="120"/>
      <c r="N372" s="121"/>
      <c r="O372" s="120"/>
      <c r="P372" s="118"/>
      <c r="R372" s="123"/>
      <c r="T372" s="123"/>
      <c r="U372" s="123"/>
      <c r="V372" s="123"/>
      <c r="W372" s="123"/>
      <c r="X372" s="123"/>
      <c r="Y372" s="123"/>
      <c r="Z372" s="123"/>
      <c r="AA372" s="123"/>
      <c r="AB372" s="123"/>
      <c r="AC372" s="123"/>
      <c r="AD372" s="123"/>
      <c r="AE372" s="123"/>
      <c r="AF372" s="123"/>
      <c r="AG372" s="123"/>
      <c r="AH372" s="123"/>
      <c r="AI372" s="120" t="s">
        <v>1218</v>
      </c>
      <c r="AJ372" s="120"/>
      <c r="AK372" s="120"/>
      <c r="AL372" s="120"/>
      <c r="AM372" s="120"/>
      <c r="AN372" s="120"/>
      <c r="AO372" s="120"/>
      <c r="AP372" s="120"/>
      <c r="AQ372" s="120"/>
      <c r="AR372" s="120"/>
      <c r="AS372" s="120"/>
      <c r="AT372" s="120"/>
      <c r="AU372" s="120"/>
      <c r="AV372" s="120"/>
      <c r="AW372" s="120"/>
      <c r="AX372" s="120"/>
      <c r="AY372" s="120" t="str">
        <f t="shared" ref="AY372:AY402" si="1">B372&amp;"(第"&amp;C372&amp;"版）"</f>
        <v>拆除你的情绪地雷(第版）</v>
      </c>
      <c r="AZ372" s="121"/>
      <c r="BA372" s="121"/>
      <c r="BB372" s="121"/>
      <c r="BD372" s="121"/>
      <c r="BE372" s="121"/>
      <c r="BF372" s="124"/>
      <c r="BH372" s="121"/>
      <c r="BI372" s="121"/>
      <c r="BP372" s="121"/>
      <c r="BQ372" s="149"/>
    </row>
    <row r="373" spans="1:69" s="122" customFormat="1" ht="16.5">
      <c r="A373" s="118"/>
      <c r="B373" s="141" t="s">
        <v>1258</v>
      </c>
      <c r="C373" s="120"/>
      <c r="D373" s="120"/>
      <c r="E373" s="119"/>
      <c r="F373" s="120"/>
      <c r="G373" s="120"/>
      <c r="H373" s="120"/>
      <c r="J373" s="120"/>
      <c r="K373" s="120"/>
      <c r="L373" s="120"/>
      <c r="M373" s="120"/>
      <c r="N373" s="121"/>
      <c r="O373" s="120"/>
      <c r="P373" s="118"/>
      <c r="R373" s="123"/>
      <c r="T373" s="123"/>
      <c r="U373" s="123"/>
      <c r="V373" s="123"/>
      <c r="W373" s="123"/>
      <c r="X373" s="123"/>
      <c r="Y373" s="123"/>
      <c r="Z373" s="123"/>
      <c r="AA373" s="123"/>
      <c r="AB373" s="123"/>
      <c r="AC373" s="123"/>
      <c r="AD373" s="123"/>
      <c r="AE373" s="123"/>
      <c r="AF373" s="123"/>
      <c r="AG373" s="123"/>
      <c r="AH373" s="123"/>
      <c r="AI373" s="120" t="s">
        <v>1218</v>
      </c>
      <c r="AJ373" s="120"/>
      <c r="AK373" s="120"/>
      <c r="AL373" s="120"/>
      <c r="AM373" s="120"/>
      <c r="AN373" s="120"/>
      <c r="AO373" s="120"/>
      <c r="AP373" s="120"/>
      <c r="AQ373" s="120"/>
      <c r="AR373" s="120"/>
      <c r="AS373" s="120"/>
      <c r="AT373" s="120"/>
      <c r="AU373" s="120"/>
      <c r="AV373" s="120"/>
      <c r="AW373" s="120"/>
      <c r="AX373" s="120"/>
      <c r="AY373" s="120" t="str">
        <f t="shared" si="1"/>
        <v>穿越抑郁的正念之道(第版）</v>
      </c>
      <c r="AZ373" s="121"/>
      <c r="BA373" s="121"/>
      <c r="BB373" s="121"/>
      <c r="BD373" s="121"/>
      <c r="BE373" s="121"/>
      <c r="BF373" s="124"/>
      <c r="BH373" s="121"/>
      <c r="BI373" s="121"/>
      <c r="BP373" s="121"/>
      <c r="BQ373" s="149"/>
    </row>
    <row r="374" spans="1:69" s="122" customFormat="1" ht="16.5">
      <c r="A374" s="118"/>
      <c r="B374" s="141" t="s">
        <v>1259</v>
      </c>
      <c r="C374" s="120"/>
      <c r="D374" s="120"/>
      <c r="E374" s="119"/>
      <c r="F374" s="120"/>
      <c r="G374" s="120"/>
      <c r="H374" s="120"/>
      <c r="J374" s="120"/>
      <c r="K374" s="120"/>
      <c r="L374" s="120"/>
      <c r="M374" s="120"/>
      <c r="N374" s="121"/>
      <c r="O374" s="120"/>
      <c r="P374" s="118"/>
      <c r="R374" s="123"/>
      <c r="T374" s="123"/>
      <c r="U374" s="123"/>
      <c r="V374" s="123"/>
      <c r="W374" s="123"/>
      <c r="X374" s="123"/>
      <c r="Y374" s="123"/>
      <c r="Z374" s="123"/>
      <c r="AA374" s="123"/>
      <c r="AB374" s="123"/>
      <c r="AC374" s="123"/>
      <c r="AD374" s="123"/>
      <c r="AE374" s="123"/>
      <c r="AF374" s="123"/>
      <c r="AG374" s="123"/>
      <c r="AH374" s="123"/>
      <c r="AJ374" s="120"/>
      <c r="AK374" s="120" t="s">
        <v>1218</v>
      </c>
      <c r="AL374" s="120"/>
      <c r="AM374" s="120"/>
      <c r="AN374" s="120"/>
      <c r="AO374" s="120"/>
      <c r="AP374" s="120"/>
      <c r="AQ374" s="120"/>
      <c r="AR374" s="120"/>
      <c r="AS374" s="120"/>
      <c r="AT374" s="120"/>
      <c r="AU374" s="120"/>
      <c r="AV374" s="120"/>
      <c r="AW374" s="120"/>
      <c r="AX374" s="120"/>
      <c r="AY374" s="120" t="str">
        <f t="shared" si="1"/>
        <v>敬天爱人：从零开始的挑战(第版）</v>
      </c>
      <c r="AZ374" s="121"/>
      <c r="BA374" s="121"/>
      <c r="BB374" s="121"/>
      <c r="BD374" s="121"/>
      <c r="BE374" s="121"/>
      <c r="BF374" s="124"/>
      <c r="BH374" s="121"/>
      <c r="BI374" s="121"/>
      <c r="BP374" s="121"/>
      <c r="BQ374" s="149"/>
    </row>
    <row r="375" spans="1:69" s="122" customFormat="1" ht="16.5">
      <c r="A375" s="118"/>
      <c r="B375" s="141" t="s">
        <v>1260</v>
      </c>
      <c r="C375" s="120"/>
      <c r="D375" s="120"/>
      <c r="E375" s="119"/>
      <c r="F375" s="120"/>
      <c r="G375" s="120"/>
      <c r="H375" s="120"/>
      <c r="J375" s="120"/>
      <c r="K375" s="120"/>
      <c r="L375" s="120"/>
      <c r="M375" s="120"/>
      <c r="N375" s="121"/>
      <c r="O375" s="120"/>
      <c r="P375" s="118"/>
      <c r="R375" s="123"/>
      <c r="T375" s="123"/>
      <c r="U375" s="123"/>
      <c r="V375" s="123"/>
      <c r="W375" s="123"/>
      <c r="X375" s="123"/>
      <c r="Y375" s="123"/>
      <c r="Z375" s="123"/>
      <c r="AA375" s="123"/>
      <c r="AB375" s="123"/>
      <c r="AC375" s="123"/>
      <c r="AD375" s="123"/>
      <c r="AE375" s="123"/>
      <c r="AF375" s="123"/>
      <c r="AG375" s="123"/>
      <c r="AH375" s="123"/>
      <c r="AI375" s="120" t="s">
        <v>1218</v>
      </c>
      <c r="AJ375" s="120"/>
      <c r="AK375" s="120"/>
      <c r="AL375" s="120"/>
      <c r="AM375" s="120"/>
      <c r="AN375" s="120"/>
      <c r="AO375" s="120"/>
      <c r="AP375" s="120"/>
      <c r="AQ375" s="120"/>
      <c r="AR375" s="120"/>
      <c r="AS375" s="120"/>
      <c r="AT375" s="120"/>
      <c r="AU375" s="120"/>
      <c r="AV375" s="120"/>
      <c r="AW375" s="120"/>
      <c r="AX375" s="120"/>
      <c r="AY375" s="120" t="str">
        <f t="shared" si="1"/>
        <v>已经发生的未来（2019年新版）(第版）</v>
      </c>
      <c r="AZ375" s="121"/>
      <c r="BA375" s="121"/>
      <c r="BB375" s="121"/>
      <c r="BD375" s="121"/>
      <c r="BE375" s="121"/>
      <c r="BF375" s="124"/>
      <c r="BH375" s="121"/>
      <c r="BI375" s="121"/>
      <c r="BP375" s="121"/>
      <c r="BQ375" s="149"/>
    </row>
    <row r="376" spans="1:69" s="122" customFormat="1" ht="16.5">
      <c r="A376" s="118"/>
      <c r="B376" s="141" t="s">
        <v>1261</v>
      </c>
      <c r="C376" s="120"/>
      <c r="D376" s="120"/>
      <c r="E376" s="119"/>
      <c r="F376" s="120"/>
      <c r="G376" s="120"/>
      <c r="H376" s="120"/>
      <c r="J376" s="120"/>
      <c r="K376" s="120"/>
      <c r="L376" s="120"/>
      <c r="M376" s="120"/>
      <c r="N376" s="121"/>
      <c r="O376" s="120"/>
      <c r="P376" s="118"/>
      <c r="R376" s="123"/>
      <c r="T376" s="123"/>
      <c r="U376" s="123"/>
      <c r="V376" s="123"/>
      <c r="W376" s="123"/>
      <c r="X376" s="123"/>
      <c r="Y376" s="123"/>
      <c r="Z376" s="123"/>
      <c r="AA376" s="123"/>
      <c r="AB376" s="123"/>
      <c r="AC376" s="123"/>
      <c r="AD376" s="123"/>
      <c r="AE376" s="123"/>
      <c r="AF376" s="123"/>
      <c r="AG376" s="123"/>
      <c r="AH376" s="123"/>
      <c r="AI376" s="120" t="s">
        <v>1218</v>
      </c>
      <c r="AJ376" s="120"/>
      <c r="AK376" s="120"/>
      <c r="AL376" s="120"/>
      <c r="AM376" s="120"/>
      <c r="AN376" s="120"/>
      <c r="AO376" s="120"/>
      <c r="AP376" s="120"/>
      <c r="AQ376" s="120"/>
      <c r="AR376" s="120"/>
      <c r="AS376" s="120"/>
      <c r="AT376" s="120"/>
      <c r="AU376" s="120"/>
      <c r="AV376" s="120"/>
      <c r="AW376" s="120"/>
      <c r="AX376" s="120"/>
      <c r="AY376" s="120" t="str">
        <f t="shared" si="1"/>
        <v>简化你的时间(第版）</v>
      </c>
      <c r="AZ376" s="121"/>
      <c r="BA376" s="121"/>
      <c r="BB376" s="121"/>
      <c r="BD376" s="121"/>
      <c r="BE376" s="121"/>
      <c r="BF376" s="124"/>
      <c r="BH376" s="121"/>
      <c r="BI376" s="121"/>
      <c r="BP376" s="121"/>
      <c r="BQ376" s="149"/>
    </row>
    <row r="377" spans="1:69" s="122" customFormat="1" ht="33">
      <c r="A377" s="118"/>
      <c r="B377" s="141" t="s">
        <v>1262</v>
      </c>
      <c r="C377" s="120"/>
      <c r="D377" s="120"/>
      <c r="E377" s="119"/>
      <c r="F377" s="120"/>
      <c r="G377" s="120"/>
      <c r="H377" s="120"/>
      <c r="J377" s="120"/>
      <c r="K377" s="120"/>
      <c r="L377" s="120"/>
      <c r="M377" s="120"/>
      <c r="N377" s="121"/>
      <c r="O377" s="120"/>
      <c r="P377" s="118"/>
      <c r="R377" s="123"/>
      <c r="T377" s="123"/>
      <c r="U377" s="123"/>
      <c r="V377" s="123"/>
      <c r="W377" s="123"/>
      <c r="X377" s="123"/>
      <c r="Y377" s="123"/>
      <c r="Z377" s="123"/>
      <c r="AA377" s="123"/>
      <c r="AB377" s="123"/>
      <c r="AC377" s="123"/>
      <c r="AD377" s="123"/>
      <c r="AE377" s="123"/>
      <c r="AF377" s="123"/>
      <c r="AG377" s="123"/>
      <c r="AH377" s="123"/>
      <c r="AI377" s="120" t="s">
        <v>1218</v>
      </c>
      <c r="AJ377" s="120"/>
      <c r="AK377" s="120"/>
      <c r="AL377" s="120"/>
      <c r="AM377" s="120"/>
      <c r="AN377" s="120"/>
      <c r="AO377" s="120"/>
      <c r="AP377" s="120"/>
      <c r="AQ377" s="120"/>
      <c r="AR377" s="120"/>
      <c r="AS377" s="120"/>
      <c r="AT377" s="120"/>
      <c r="AU377" s="120"/>
      <c r="AV377" s="120"/>
      <c r="AW377" s="120"/>
      <c r="AX377" s="120"/>
      <c r="AY377" s="120" t="str">
        <f t="shared" si="1"/>
        <v>跨越式成长：思维转换重塑你的工作和生活(第版）</v>
      </c>
      <c r="AZ377" s="121"/>
      <c r="BA377" s="121"/>
      <c r="BB377" s="121"/>
      <c r="BD377" s="121"/>
      <c r="BE377" s="121"/>
      <c r="BF377" s="124"/>
      <c r="BH377" s="121"/>
      <c r="BI377" s="121"/>
      <c r="BP377" s="121"/>
      <c r="BQ377" s="149"/>
    </row>
    <row r="378" spans="1:69" s="122" customFormat="1" ht="16.5">
      <c r="A378" s="118"/>
      <c r="B378" s="141" t="s">
        <v>1263</v>
      </c>
      <c r="C378" s="120">
        <v>2</v>
      </c>
      <c r="D378" s="120"/>
      <c r="E378" s="119"/>
      <c r="F378" s="120"/>
      <c r="G378" s="120"/>
      <c r="H378" s="120"/>
      <c r="J378" s="120"/>
      <c r="K378" s="120"/>
      <c r="L378" s="120"/>
      <c r="M378" s="120"/>
      <c r="N378" s="121"/>
      <c r="O378" s="120"/>
      <c r="P378" s="118"/>
      <c r="R378" s="123"/>
      <c r="T378" s="123"/>
      <c r="U378" s="123"/>
      <c r="V378" s="123"/>
      <c r="W378" s="123"/>
      <c r="X378" s="123"/>
      <c r="Y378" s="123"/>
      <c r="Z378" s="123"/>
      <c r="AA378" s="123"/>
      <c r="AB378" s="123"/>
      <c r="AC378" s="123"/>
      <c r="AD378" s="123"/>
      <c r="AE378" s="123"/>
      <c r="AF378" s="123"/>
      <c r="AG378" s="123"/>
      <c r="AH378" s="123"/>
      <c r="AI378" s="120" t="s">
        <v>1218</v>
      </c>
      <c r="AJ378" s="120"/>
      <c r="AK378" s="120"/>
      <c r="AL378" s="120"/>
      <c r="AM378" s="120"/>
      <c r="AN378" s="120"/>
      <c r="AO378" s="120"/>
      <c r="AP378" s="120"/>
      <c r="AQ378" s="120"/>
      <c r="AR378" s="120"/>
      <c r="AS378" s="120"/>
      <c r="AT378" s="120"/>
      <c r="AU378" s="120"/>
      <c r="AV378" s="120"/>
      <c r="AW378" s="120"/>
      <c r="AX378" s="120"/>
      <c r="AY378" s="120" t="str">
        <f t="shared" si="1"/>
        <v>查理芒格的智慧：投资的隔栅理论(第2版）</v>
      </c>
      <c r="AZ378" s="121"/>
      <c r="BA378" s="121"/>
      <c r="BB378" s="121"/>
      <c r="BD378" s="121"/>
      <c r="BE378" s="121"/>
      <c r="BF378" s="124"/>
      <c r="BH378" s="121"/>
      <c r="BI378" s="121"/>
      <c r="BP378" s="121"/>
      <c r="BQ378" s="149"/>
    </row>
    <row r="379" spans="1:69" s="122" customFormat="1" ht="16.5">
      <c r="A379" s="118"/>
      <c r="B379" s="141" t="s">
        <v>1264</v>
      </c>
      <c r="C379" s="120"/>
      <c r="D379" s="120"/>
      <c r="E379" s="119"/>
      <c r="F379" s="120"/>
      <c r="G379" s="120"/>
      <c r="H379" s="120"/>
      <c r="J379" s="120"/>
      <c r="K379" s="120"/>
      <c r="L379" s="120"/>
      <c r="M379" s="120"/>
      <c r="N379" s="121"/>
      <c r="O379" s="120"/>
      <c r="P379" s="118"/>
      <c r="R379" s="123"/>
      <c r="T379" s="123"/>
      <c r="U379" s="123"/>
      <c r="V379" s="123"/>
      <c r="W379" s="123"/>
      <c r="X379" s="123"/>
      <c r="Y379" s="123"/>
      <c r="Z379" s="123"/>
      <c r="AA379" s="123"/>
      <c r="AB379" s="123"/>
      <c r="AC379" s="123"/>
      <c r="AD379" s="123"/>
      <c r="AE379" s="123"/>
      <c r="AF379" s="123"/>
      <c r="AG379" s="123"/>
      <c r="AH379" s="123"/>
      <c r="AJ379" s="120"/>
      <c r="AK379" s="120" t="s">
        <v>1218</v>
      </c>
      <c r="AL379" s="120"/>
      <c r="AM379" s="120"/>
      <c r="AN379" s="120"/>
      <c r="AO379" s="120"/>
      <c r="AP379" s="120"/>
      <c r="AQ379" s="120"/>
      <c r="AR379" s="120"/>
      <c r="AS379" s="120"/>
      <c r="AT379" s="120"/>
      <c r="AU379" s="120"/>
      <c r="AV379" s="120"/>
      <c r="AW379" s="120"/>
      <c r="AX379" s="120"/>
      <c r="AY379" s="120" t="str">
        <f t="shared" si="1"/>
        <v>干法(第版）</v>
      </c>
      <c r="AZ379" s="121"/>
      <c r="BA379" s="121"/>
      <c r="BB379" s="121"/>
      <c r="BD379" s="121"/>
      <c r="BE379" s="121"/>
      <c r="BF379" s="124"/>
      <c r="BH379" s="121"/>
      <c r="BI379" s="121"/>
      <c r="BP379" s="121"/>
      <c r="BQ379" s="149"/>
    </row>
    <row r="380" spans="1:69" s="122" customFormat="1" ht="16.5">
      <c r="A380" s="118"/>
      <c r="B380" s="141" t="s">
        <v>1265</v>
      </c>
      <c r="C380" s="120"/>
      <c r="D380" s="120"/>
      <c r="E380" s="119"/>
      <c r="F380" s="120"/>
      <c r="G380" s="120"/>
      <c r="H380" s="120"/>
      <c r="J380" s="120"/>
      <c r="K380" s="120"/>
      <c r="L380" s="120"/>
      <c r="M380" s="120"/>
      <c r="N380" s="121"/>
      <c r="O380" s="120"/>
      <c r="P380" s="118"/>
      <c r="R380" s="123"/>
      <c r="T380" s="123"/>
      <c r="U380" s="123"/>
      <c r="V380" s="123"/>
      <c r="W380" s="123"/>
      <c r="X380" s="123"/>
      <c r="Y380" s="123"/>
      <c r="Z380" s="123"/>
      <c r="AA380" s="123"/>
      <c r="AB380" s="123"/>
      <c r="AC380" s="123"/>
      <c r="AD380" s="123"/>
      <c r="AE380" s="123"/>
      <c r="AF380" s="123"/>
      <c r="AG380" s="123"/>
      <c r="AH380" s="123"/>
      <c r="AI380" s="120" t="s">
        <v>1218</v>
      </c>
      <c r="AJ380" s="120"/>
      <c r="AK380" s="120"/>
      <c r="AL380" s="120"/>
      <c r="AM380" s="120"/>
      <c r="AN380" s="120"/>
      <c r="AO380" s="120"/>
      <c r="AP380" s="120"/>
      <c r="AQ380" s="120"/>
      <c r="AR380" s="120"/>
      <c r="AS380" s="120"/>
      <c r="AT380" s="120"/>
      <c r="AU380" s="120"/>
      <c r="AV380" s="120"/>
      <c r="AW380" s="120"/>
      <c r="AX380" s="120"/>
      <c r="AY380" s="120" t="str">
        <f t="shared" si="1"/>
        <v>魏斯曼演讲圣经2(第版）</v>
      </c>
      <c r="AZ380" s="121"/>
      <c r="BA380" s="121"/>
      <c r="BB380" s="121"/>
      <c r="BD380" s="121"/>
      <c r="BE380" s="121"/>
      <c r="BF380" s="124"/>
      <c r="BH380" s="121"/>
      <c r="BI380" s="121"/>
      <c r="BP380" s="121"/>
      <c r="BQ380" s="149"/>
    </row>
    <row r="381" spans="1:69" s="122" customFormat="1" ht="16.5">
      <c r="A381" s="118"/>
      <c r="B381" s="141" t="s">
        <v>1266</v>
      </c>
      <c r="C381" s="120"/>
      <c r="D381" s="120"/>
      <c r="E381" s="119"/>
      <c r="F381" s="120"/>
      <c r="G381" s="120"/>
      <c r="H381" s="120"/>
      <c r="J381" s="120"/>
      <c r="K381" s="120"/>
      <c r="L381" s="120"/>
      <c r="M381" s="120"/>
      <c r="N381" s="121"/>
      <c r="O381" s="120"/>
      <c r="P381" s="118"/>
      <c r="R381" s="123"/>
      <c r="T381" s="123"/>
      <c r="U381" s="123"/>
      <c r="V381" s="123"/>
      <c r="W381" s="123"/>
      <c r="X381" s="123"/>
      <c r="Y381" s="123"/>
      <c r="Z381" s="123"/>
      <c r="AA381" s="123"/>
      <c r="AB381" s="123"/>
      <c r="AC381" s="123"/>
      <c r="AD381" s="123"/>
      <c r="AE381" s="123"/>
      <c r="AF381" s="123"/>
      <c r="AG381" s="123"/>
      <c r="AH381" s="123"/>
      <c r="AI381" s="120" t="s">
        <v>1218</v>
      </c>
      <c r="AJ381" s="120"/>
      <c r="AK381" s="120"/>
      <c r="AL381" s="120"/>
      <c r="AM381" s="120"/>
      <c r="AN381" s="120"/>
      <c r="AO381" s="120"/>
      <c r="AP381" s="120"/>
      <c r="AQ381" s="120"/>
      <c r="AR381" s="120"/>
      <c r="AS381" s="120"/>
      <c r="AT381" s="120"/>
      <c r="AU381" s="120"/>
      <c r="AV381" s="120"/>
      <c r="AW381" s="120"/>
      <c r="AX381" s="120"/>
      <c r="AY381" s="120" t="str">
        <f t="shared" si="1"/>
        <v>大而不倒(第版）</v>
      </c>
      <c r="AZ381" s="121"/>
      <c r="BA381" s="121"/>
      <c r="BB381" s="121"/>
      <c r="BD381" s="121"/>
      <c r="BE381" s="121"/>
      <c r="BF381" s="124"/>
      <c r="BH381" s="121"/>
      <c r="BI381" s="121"/>
      <c r="BP381" s="121"/>
      <c r="BQ381" s="149"/>
    </row>
    <row r="382" spans="1:69" s="122" customFormat="1" ht="16.5">
      <c r="A382" s="118"/>
      <c r="B382" s="141" t="s">
        <v>1268</v>
      </c>
      <c r="C382" s="120"/>
      <c r="D382" s="120"/>
      <c r="E382" s="119"/>
      <c r="F382" s="120"/>
      <c r="G382" s="120"/>
      <c r="H382" s="120"/>
      <c r="J382" s="120"/>
      <c r="K382" s="120"/>
      <c r="L382" s="120"/>
      <c r="M382" s="120"/>
      <c r="N382" s="121"/>
      <c r="O382" s="120"/>
      <c r="P382" s="118"/>
      <c r="R382" s="123"/>
      <c r="T382" s="123"/>
      <c r="U382" s="123"/>
      <c r="V382" s="123"/>
      <c r="W382" s="123"/>
      <c r="X382" s="123"/>
      <c r="Y382" s="123"/>
      <c r="Z382" s="123"/>
      <c r="AA382" s="123"/>
      <c r="AB382" s="123"/>
      <c r="AC382" s="123"/>
      <c r="AD382" s="123"/>
      <c r="AE382" s="123"/>
      <c r="AF382" s="123"/>
      <c r="AG382" s="123"/>
      <c r="AH382" s="123"/>
      <c r="AI382" s="120" t="s">
        <v>1218</v>
      </c>
      <c r="AJ382" s="120"/>
      <c r="AK382" s="120"/>
      <c r="AL382" s="120"/>
      <c r="AM382" s="120"/>
      <c r="AN382" s="120"/>
      <c r="AO382" s="120"/>
      <c r="AP382" s="120"/>
      <c r="AQ382" s="120"/>
      <c r="AR382" s="120"/>
      <c r="AS382" s="120"/>
      <c r="AT382" s="120"/>
      <c r="AU382" s="120"/>
      <c r="AV382" s="120"/>
      <c r="AW382" s="120"/>
      <c r="AX382" s="120"/>
      <c r="AY382" s="120" t="str">
        <f t="shared" si="1"/>
        <v>管理：技艺之精髓(第版）</v>
      </c>
      <c r="AZ382" s="121"/>
      <c r="BA382" s="121"/>
      <c r="BB382" s="121"/>
      <c r="BD382" s="121"/>
      <c r="BE382" s="121"/>
      <c r="BF382" s="124"/>
      <c r="BH382" s="121"/>
      <c r="BI382" s="121"/>
      <c r="BP382" s="121"/>
      <c r="BQ382" s="149"/>
    </row>
    <row r="383" spans="1:69" s="122" customFormat="1" ht="16.5">
      <c r="A383" s="118"/>
      <c r="B383" s="141" t="s">
        <v>1269</v>
      </c>
      <c r="C383" s="120"/>
      <c r="D383" s="120"/>
      <c r="E383" s="119"/>
      <c r="F383" s="120"/>
      <c r="G383" s="120"/>
      <c r="H383" s="120"/>
      <c r="J383" s="120"/>
      <c r="K383" s="120"/>
      <c r="L383" s="120"/>
      <c r="M383" s="120"/>
      <c r="N383" s="121"/>
      <c r="O383" s="120"/>
      <c r="P383" s="118"/>
      <c r="R383" s="123"/>
      <c r="T383" s="123"/>
      <c r="U383" s="123"/>
      <c r="V383" s="123"/>
      <c r="W383" s="123"/>
      <c r="X383" s="123"/>
      <c r="Y383" s="123"/>
      <c r="Z383" s="123"/>
      <c r="AA383" s="123"/>
      <c r="AB383" s="123"/>
      <c r="AC383" s="123"/>
      <c r="AD383" s="123"/>
      <c r="AE383" s="123"/>
      <c r="AF383" s="123"/>
      <c r="AG383" s="123"/>
      <c r="AH383" s="123"/>
      <c r="AI383" s="120" t="s">
        <v>1218</v>
      </c>
      <c r="AJ383" s="120"/>
      <c r="AK383" s="120"/>
      <c r="AL383" s="120"/>
      <c r="AM383" s="120"/>
      <c r="AN383" s="120"/>
      <c r="AO383" s="120"/>
      <c r="AP383" s="120"/>
      <c r="AQ383" s="120"/>
      <c r="AR383" s="120"/>
      <c r="AS383" s="120"/>
      <c r="AT383" s="120"/>
      <c r="AU383" s="120"/>
      <c r="AV383" s="120"/>
      <c r="AW383" s="120"/>
      <c r="AX383" s="120"/>
      <c r="AY383" s="120" t="str">
        <f t="shared" si="1"/>
        <v>管理新现实（2019）(第版）</v>
      </c>
      <c r="AZ383" s="121"/>
      <c r="BA383" s="121"/>
      <c r="BB383" s="121"/>
      <c r="BD383" s="121"/>
      <c r="BE383" s="121"/>
      <c r="BF383" s="124"/>
      <c r="BH383" s="121"/>
      <c r="BI383" s="121"/>
      <c r="BP383" s="121"/>
      <c r="BQ383" s="149"/>
    </row>
    <row r="384" spans="1:69" s="122" customFormat="1" ht="16.5">
      <c r="A384" s="118"/>
      <c r="B384" s="141" t="s">
        <v>1270</v>
      </c>
      <c r="C384" s="120"/>
      <c r="D384" s="120"/>
      <c r="E384" s="119"/>
      <c r="F384" s="120"/>
      <c r="G384" s="120"/>
      <c r="H384" s="120"/>
      <c r="J384" s="120"/>
      <c r="K384" s="120"/>
      <c r="L384" s="120"/>
      <c r="M384" s="120"/>
      <c r="N384" s="121"/>
      <c r="O384" s="120"/>
      <c r="P384" s="118"/>
      <c r="R384" s="123"/>
      <c r="T384" s="123"/>
      <c r="U384" s="123"/>
      <c r="V384" s="123"/>
      <c r="W384" s="123"/>
      <c r="X384" s="123"/>
      <c r="Y384" s="123"/>
      <c r="Z384" s="123"/>
      <c r="AA384" s="123"/>
      <c r="AB384" s="123"/>
      <c r="AC384" s="123"/>
      <c r="AD384" s="123"/>
      <c r="AE384" s="123"/>
      <c r="AF384" s="123"/>
      <c r="AG384" s="123"/>
      <c r="AH384" s="123"/>
      <c r="AI384" s="120" t="s">
        <v>1218</v>
      </c>
      <c r="AJ384" s="120"/>
      <c r="AK384" s="120"/>
      <c r="AL384" s="120"/>
      <c r="AM384" s="120"/>
      <c r="AN384" s="120"/>
      <c r="AO384" s="120"/>
      <c r="AP384" s="120"/>
      <c r="AQ384" s="120"/>
      <c r="AR384" s="120"/>
      <c r="AS384" s="120"/>
      <c r="AT384" s="120"/>
      <c r="AU384" s="120"/>
      <c r="AV384" s="120"/>
      <c r="AW384" s="120"/>
      <c r="AX384" s="120"/>
      <c r="AY384" s="120" t="str">
        <f t="shared" si="1"/>
        <v>深度学习(第版）</v>
      </c>
      <c r="AZ384" s="121"/>
      <c r="BA384" s="121"/>
      <c r="BB384" s="121"/>
      <c r="BD384" s="121"/>
      <c r="BE384" s="121"/>
      <c r="BF384" s="124"/>
      <c r="BH384" s="121"/>
      <c r="BI384" s="121"/>
      <c r="BP384" s="121"/>
      <c r="BQ384" s="149"/>
    </row>
    <row r="385" spans="1:69" s="122" customFormat="1" ht="16.5">
      <c r="A385" s="118"/>
      <c r="B385" s="141" t="s">
        <v>1271</v>
      </c>
      <c r="C385" s="120"/>
      <c r="D385" s="120"/>
      <c r="E385" s="119"/>
      <c r="F385" s="120"/>
      <c r="G385" s="120"/>
      <c r="H385" s="120"/>
      <c r="J385" s="120"/>
      <c r="K385" s="120"/>
      <c r="L385" s="120"/>
      <c r="M385" s="120"/>
      <c r="N385" s="121"/>
      <c r="O385" s="120"/>
      <c r="P385" s="118"/>
      <c r="R385" s="123"/>
      <c r="T385" s="123"/>
      <c r="U385" s="123"/>
      <c r="V385" s="123"/>
      <c r="W385" s="123"/>
      <c r="X385" s="123"/>
      <c r="Y385" s="123"/>
      <c r="Z385" s="123"/>
      <c r="AA385" s="123"/>
      <c r="AB385" s="123"/>
      <c r="AC385" s="123"/>
      <c r="AD385" s="123"/>
      <c r="AE385" s="123"/>
      <c r="AF385" s="123"/>
      <c r="AG385" s="123"/>
      <c r="AH385" s="123"/>
      <c r="AI385" s="120" t="s">
        <v>1218</v>
      </c>
      <c r="AJ385" s="120"/>
      <c r="AK385" s="120"/>
      <c r="AL385" s="120"/>
      <c r="AM385" s="120"/>
      <c r="AN385" s="120"/>
      <c r="AO385" s="120"/>
      <c r="AP385" s="120"/>
      <c r="AQ385" s="120"/>
      <c r="AR385" s="120"/>
      <c r="AS385" s="120"/>
      <c r="AT385" s="120"/>
      <c r="AU385" s="120"/>
      <c r="AV385" s="120"/>
      <c r="AW385" s="120"/>
      <c r="AX385" s="120"/>
      <c r="AY385" s="120" t="str">
        <f t="shared" si="1"/>
        <v>德鲁克的最后忠告(第版）</v>
      </c>
      <c r="AZ385" s="121"/>
      <c r="BA385" s="121"/>
      <c r="BB385" s="121"/>
      <c r="BD385" s="121"/>
      <c r="BE385" s="121"/>
      <c r="BF385" s="124"/>
      <c r="BH385" s="121"/>
      <c r="BI385" s="121"/>
      <c r="BP385" s="121"/>
      <c r="BQ385" s="149"/>
    </row>
    <row r="386" spans="1:69" s="122" customFormat="1" ht="16.5">
      <c r="A386" s="118"/>
      <c r="B386" s="141" t="s">
        <v>1558</v>
      </c>
      <c r="C386" s="120"/>
      <c r="D386" s="120"/>
      <c r="E386" s="119"/>
      <c r="F386" s="120"/>
      <c r="G386" s="120"/>
      <c r="H386" s="120"/>
      <c r="J386" s="120"/>
      <c r="K386" s="120"/>
      <c r="L386" s="120"/>
      <c r="M386" s="120"/>
      <c r="N386" s="121"/>
      <c r="O386" s="120"/>
      <c r="P386" s="118"/>
      <c r="R386" s="123"/>
      <c r="T386" s="123"/>
      <c r="U386" s="123"/>
      <c r="V386" s="123"/>
      <c r="W386" s="123"/>
      <c r="X386" s="123"/>
      <c r="Y386" s="123"/>
      <c r="Z386" s="123"/>
      <c r="AA386" s="123"/>
      <c r="AB386" s="123"/>
      <c r="AC386" s="123"/>
      <c r="AD386" s="123"/>
      <c r="AE386" s="123"/>
      <c r="AF386" s="123"/>
      <c r="AG386" s="123"/>
      <c r="AH386" s="123"/>
      <c r="AI386" s="120" t="s">
        <v>1234</v>
      </c>
      <c r="AJ386" s="120"/>
      <c r="AK386" s="120"/>
      <c r="AL386" s="120"/>
      <c r="AM386" s="120"/>
      <c r="AN386" s="120"/>
      <c r="AO386" s="120"/>
      <c r="AP386" s="120"/>
      <c r="AQ386" s="120"/>
      <c r="AR386" s="120"/>
      <c r="AS386" s="120"/>
      <c r="AT386" s="120"/>
      <c r="AU386" s="120"/>
      <c r="AV386" s="120"/>
      <c r="AW386" s="120"/>
      <c r="AX386" s="120"/>
      <c r="AY386" s="120" t="str">
        <f t="shared" si="1"/>
        <v>游戏化思维：改变未来商业的新力量(第版）</v>
      </c>
      <c r="AZ386" s="121"/>
      <c r="BA386" s="121"/>
      <c r="BB386" s="121"/>
      <c r="BD386" s="121"/>
      <c r="BE386" s="121"/>
      <c r="BF386" s="124"/>
      <c r="BH386" s="121"/>
      <c r="BI386" s="121"/>
      <c r="BP386" s="121"/>
      <c r="BQ386" s="149"/>
    </row>
    <row r="387" spans="1:69" s="122" customFormat="1" ht="16.5">
      <c r="A387" s="118"/>
      <c r="B387" s="141" t="s">
        <v>1272</v>
      </c>
      <c r="C387" s="120"/>
      <c r="D387" s="120"/>
      <c r="E387" s="119"/>
      <c r="F387" s="120"/>
      <c r="G387" s="120"/>
      <c r="H387" s="120"/>
      <c r="J387" s="120"/>
      <c r="K387" s="120"/>
      <c r="L387" s="120"/>
      <c r="M387" s="120"/>
      <c r="N387" s="121"/>
      <c r="O387" s="120"/>
      <c r="P387" s="118"/>
      <c r="R387" s="123"/>
      <c r="T387" s="123"/>
      <c r="U387" s="123"/>
      <c r="V387" s="123"/>
      <c r="W387" s="123"/>
      <c r="X387" s="123"/>
      <c r="Y387" s="123"/>
      <c r="Z387" s="123"/>
      <c r="AA387" s="123"/>
      <c r="AB387" s="123"/>
      <c r="AC387" s="123"/>
      <c r="AD387" s="123"/>
      <c r="AE387" s="123"/>
      <c r="AF387" s="123"/>
      <c r="AG387" s="123"/>
      <c r="AH387" s="123"/>
      <c r="AI387" s="120" t="s">
        <v>1218</v>
      </c>
      <c r="AJ387" s="120"/>
      <c r="AK387" s="120"/>
      <c r="AL387" s="120"/>
      <c r="AM387" s="120"/>
      <c r="AN387" s="120"/>
      <c r="AO387" s="120"/>
      <c r="AP387" s="120"/>
      <c r="AQ387" s="120"/>
      <c r="AR387" s="120"/>
      <c r="AS387" s="120"/>
      <c r="AT387" s="120"/>
      <c r="AU387" s="120"/>
      <c r="AV387" s="120"/>
      <c r="AW387" s="120"/>
      <c r="AX387" s="120"/>
      <c r="AY387" s="120" t="str">
        <f t="shared" si="1"/>
        <v>门口的野蛮人：史上最强悍的资本收购(第版）</v>
      </c>
      <c r="AZ387" s="121"/>
      <c r="BA387" s="121"/>
      <c r="BB387" s="121"/>
      <c r="BD387" s="121"/>
      <c r="BE387" s="121"/>
      <c r="BF387" s="124"/>
      <c r="BH387" s="121"/>
      <c r="BI387" s="121"/>
      <c r="BP387" s="121"/>
      <c r="BQ387" s="149"/>
    </row>
    <row r="388" spans="1:69" s="122" customFormat="1" ht="33">
      <c r="A388" s="118"/>
      <c r="B388" s="141" t="s">
        <v>1559</v>
      </c>
      <c r="C388" s="120"/>
      <c r="D388" s="120"/>
      <c r="E388" s="119"/>
      <c r="F388" s="120"/>
      <c r="G388" s="120"/>
      <c r="H388" s="120"/>
      <c r="J388" s="120"/>
      <c r="K388" s="120"/>
      <c r="L388" s="120"/>
      <c r="M388" s="120"/>
      <c r="N388" s="121"/>
      <c r="O388" s="120"/>
      <c r="P388" s="118"/>
      <c r="R388" s="123"/>
      <c r="T388" s="123"/>
      <c r="U388" s="123"/>
      <c r="V388" s="123"/>
      <c r="W388" s="123"/>
      <c r="X388" s="123"/>
      <c r="Y388" s="123"/>
      <c r="Z388" s="123"/>
      <c r="AA388" s="123"/>
      <c r="AB388" s="123"/>
      <c r="AC388" s="123"/>
      <c r="AD388" s="123"/>
      <c r="AE388" s="123"/>
      <c r="AF388" s="123"/>
      <c r="AG388" s="123"/>
      <c r="AH388" s="123"/>
      <c r="AI388" s="120" t="s">
        <v>1234</v>
      </c>
      <c r="AJ388" s="120"/>
      <c r="AK388" s="120"/>
      <c r="AL388" s="120"/>
      <c r="AM388" s="120"/>
      <c r="AN388" s="120"/>
      <c r="AO388" s="120"/>
      <c r="AP388" s="120"/>
      <c r="AQ388" s="120"/>
      <c r="AR388" s="120"/>
      <c r="AS388" s="120"/>
      <c r="AT388" s="120"/>
      <c r="AU388" s="120"/>
      <c r="AV388" s="120"/>
      <c r="AW388" s="120"/>
      <c r="AX388" s="120"/>
      <c r="AY388" s="120" t="str">
        <f t="shared" si="1"/>
        <v>正面领导：让员工跟定你的31个心理学小工具(第版）</v>
      </c>
      <c r="AZ388" s="121"/>
      <c r="BA388" s="121"/>
      <c r="BB388" s="121"/>
      <c r="BD388" s="121"/>
      <c r="BE388" s="121"/>
      <c r="BF388" s="124"/>
      <c r="BH388" s="121"/>
      <c r="BI388" s="121"/>
      <c r="BP388" s="121"/>
      <c r="BQ388" s="149"/>
    </row>
    <row r="389" spans="1:69" s="122" customFormat="1" ht="16.5">
      <c r="A389" s="118"/>
      <c r="B389" s="141" t="s">
        <v>1273</v>
      </c>
      <c r="C389" s="120"/>
      <c r="D389" s="120"/>
      <c r="E389" s="119"/>
      <c r="F389" s="120"/>
      <c r="G389" s="120"/>
      <c r="H389" s="120"/>
      <c r="J389" s="120"/>
      <c r="K389" s="120"/>
      <c r="L389" s="120"/>
      <c r="M389" s="120"/>
      <c r="N389" s="121"/>
      <c r="O389" s="120"/>
      <c r="P389" s="118"/>
      <c r="R389" s="123"/>
      <c r="T389" s="123"/>
      <c r="U389" s="123"/>
      <c r="V389" s="123"/>
      <c r="W389" s="123"/>
      <c r="X389" s="123"/>
      <c r="Y389" s="123"/>
      <c r="Z389" s="123"/>
      <c r="AA389" s="123"/>
      <c r="AB389" s="123"/>
      <c r="AC389" s="123"/>
      <c r="AD389" s="123"/>
      <c r="AE389" s="123"/>
      <c r="AF389" s="123"/>
      <c r="AG389" s="123"/>
      <c r="AH389" s="123"/>
      <c r="AI389" s="120" t="s">
        <v>1234</v>
      </c>
      <c r="AJ389" s="120"/>
      <c r="AK389" s="120"/>
      <c r="AL389" s="120"/>
      <c r="AM389" s="120"/>
      <c r="AN389" s="120"/>
      <c r="AO389" s="120"/>
      <c r="AP389" s="120"/>
      <c r="AQ389" s="120"/>
      <c r="AR389" s="120"/>
      <c r="AS389" s="120"/>
      <c r="AT389" s="120"/>
      <c r="AU389" s="120"/>
      <c r="AV389" s="120"/>
      <c r="AW389" s="120"/>
      <c r="AX389" s="120"/>
      <c r="AY389" s="120" t="str">
        <f t="shared" si="1"/>
        <v>高绩效的HR：未来的HR转型(第版）</v>
      </c>
      <c r="AZ389" s="121"/>
      <c r="BA389" s="121"/>
      <c r="BB389" s="121"/>
      <c r="BD389" s="121"/>
      <c r="BE389" s="121"/>
      <c r="BF389" s="124"/>
      <c r="BH389" s="121"/>
      <c r="BI389" s="121"/>
      <c r="BP389" s="121"/>
      <c r="BQ389" s="149"/>
    </row>
    <row r="390" spans="1:69" s="122" customFormat="1" ht="16.5">
      <c r="A390" s="118"/>
      <c r="B390" s="141" t="s">
        <v>1560</v>
      </c>
      <c r="C390" s="120">
        <v>2</v>
      </c>
      <c r="D390" s="120"/>
      <c r="E390" s="119"/>
      <c r="F390" s="120"/>
      <c r="G390" s="120"/>
      <c r="H390" s="120"/>
      <c r="J390" s="120"/>
      <c r="K390" s="120"/>
      <c r="L390" s="120"/>
      <c r="M390" s="120"/>
      <c r="N390" s="121"/>
      <c r="O390" s="120"/>
      <c r="P390" s="118"/>
      <c r="R390" s="123"/>
      <c r="T390" s="123"/>
      <c r="U390" s="123"/>
      <c r="V390" s="123"/>
      <c r="W390" s="123"/>
      <c r="X390" s="123"/>
      <c r="Y390" s="123"/>
      <c r="Z390" s="123"/>
      <c r="AA390" s="123"/>
      <c r="AB390" s="123"/>
      <c r="AC390" s="123"/>
      <c r="AD390" s="123"/>
      <c r="AE390" s="123"/>
      <c r="AF390" s="123"/>
      <c r="AG390" s="123"/>
      <c r="AH390" s="123"/>
      <c r="AI390" s="120" t="s">
        <v>1234</v>
      </c>
      <c r="AJ390" s="120"/>
      <c r="AK390" s="120"/>
      <c r="AL390" s="120"/>
      <c r="AM390" s="120"/>
      <c r="AN390" s="120"/>
      <c r="AO390" s="120"/>
      <c r="AP390" s="120"/>
      <c r="AQ390" s="120"/>
      <c r="AR390" s="120"/>
      <c r="AS390" s="120"/>
      <c r="AT390" s="120"/>
      <c r="AU390" s="120"/>
      <c r="AV390" s="120"/>
      <c r="AW390" s="120"/>
      <c r="AX390" s="120"/>
      <c r="AY390" s="120" t="str">
        <f t="shared" si="1"/>
        <v>影响力大师：如何调动团队力量(第2版）</v>
      </c>
      <c r="AZ390" s="121"/>
      <c r="BA390" s="121"/>
      <c r="BB390" s="121"/>
      <c r="BD390" s="121"/>
      <c r="BE390" s="121"/>
      <c r="BF390" s="124"/>
      <c r="BH390" s="121"/>
      <c r="BI390" s="121"/>
      <c r="BP390" s="121"/>
      <c r="BQ390" s="149"/>
    </row>
    <row r="391" spans="1:69" s="122" customFormat="1" ht="16.5">
      <c r="A391" s="118"/>
      <c r="B391" s="141" t="s">
        <v>1274</v>
      </c>
      <c r="C391" s="120"/>
      <c r="D391" s="120"/>
      <c r="E391" s="119"/>
      <c r="F391" s="120"/>
      <c r="G391" s="120"/>
      <c r="H391" s="120"/>
      <c r="J391" s="120"/>
      <c r="K391" s="120"/>
      <c r="L391" s="120"/>
      <c r="M391" s="120"/>
      <c r="N391" s="121"/>
      <c r="O391" s="120"/>
      <c r="P391" s="118"/>
      <c r="R391" s="123"/>
      <c r="T391" s="123"/>
      <c r="U391" s="123"/>
      <c r="V391" s="123"/>
      <c r="W391" s="123"/>
      <c r="X391" s="123"/>
      <c r="Y391" s="123"/>
      <c r="Z391" s="123"/>
      <c r="AA391" s="123"/>
      <c r="AB391" s="123"/>
      <c r="AC391" s="123"/>
      <c r="AD391" s="123"/>
      <c r="AE391" s="123"/>
      <c r="AF391" s="123"/>
      <c r="AG391" s="123"/>
      <c r="AH391" s="123"/>
      <c r="AI391" s="120" t="s">
        <v>1218</v>
      </c>
      <c r="AJ391" s="120"/>
      <c r="AK391" s="120"/>
      <c r="AL391" s="120"/>
      <c r="AM391" s="120"/>
      <c r="AN391" s="120"/>
      <c r="AO391" s="120"/>
      <c r="AP391" s="120"/>
      <c r="AQ391" s="120"/>
      <c r="AR391" s="120"/>
      <c r="AS391" s="120"/>
      <c r="AT391" s="120"/>
      <c r="AU391" s="120"/>
      <c r="AV391" s="120"/>
      <c r="AW391" s="120"/>
      <c r="AX391" s="120"/>
      <c r="AY391" s="120" t="str">
        <f t="shared" si="1"/>
        <v>管理百年(第版）</v>
      </c>
      <c r="AZ391" s="121"/>
      <c r="BA391" s="121"/>
      <c r="BB391" s="121"/>
      <c r="BD391" s="121"/>
      <c r="BE391" s="121"/>
      <c r="BF391" s="124"/>
      <c r="BH391" s="121"/>
      <c r="BI391" s="121"/>
      <c r="BP391" s="121"/>
      <c r="BQ391" s="149"/>
    </row>
    <row r="392" spans="1:69" s="122" customFormat="1" ht="16.5">
      <c r="A392" s="118"/>
      <c r="B392" s="141" t="s">
        <v>1275</v>
      </c>
      <c r="C392" s="120"/>
      <c r="D392" s="120"/>
      <c r="E392" s="119"/>
      <c r="F392" s="120"/>
      <c r="G392" s="120"/>
      <c r="H392" s="120"/>
      <c r="J392" s="120"/>
      <c r="K392" s="120"/>
      <c r="L392" s="120"/>
      <c r="M392" s="120"/>
      <c r="N392" s="121"/>
      <c r="O392" s="120"/>
      <c r="P392" s="118"/>
      <c r="R392" s="123"/>
      <c r="T392" s="123"/>
      <c r="U392" s="123"/>
      <c r="V392" s="123"/>
      <c r="W392" s="123"/>
      <c r="X392" s="123"/>
      <c r="Y392" s="123"/>
      <c r="Z392" s="123"/>
      <c r="AA392" s="123"/>
      <c r="AB392" s="123"/>
      <c r="AC392" s="123"/>
      <c r="AD392" s="123"/>
      <c r="AE392" s="123"/>
      <c r="AF392" s="123"/>
      <c r="AG392" s="123"/>
      <c r="AH392" s="123"/>
      <c r="AI392" s="120" t="s">
        <v>1218</v>
      </c>
      <c r="AJ392" s="120"/>
      <c r="AK392" s="120"/>
      <c r="AL392" s="120"/>
      <c r="AM392" s="120"/>
      <c r="AN392" s="120"/>
      <c r="AO392" s="120"/>
      <c r="AP392" s="120"/>
      <c r="AQ392" s="120"/>
      <c r="AR392" s="120"/>
      <c r="AS392" s="120"/>
      <c r="AT392" s="120"/>
      <c r="AU392" s="120"/>
      <c r="AV392" s="120"/>
      <c r="AW392" s="120"/>
      <c r="AX392" s="120"/>
      <c r="AY392" s="120" t="str">
        <f t="shared" si="1"/>
        <v>这是你的船(第版）</v>
      </c>
      <c r="AZ392" s="121"/>
      <c r="BA392" s="121"/>
      <c r="BB392" s="121"/>
      <c r="BD392" s="121"/>
      <c r="BE392" s="121"/>
      <c r="BF392" s="124"/>
      <c r="BH392" s="121"/>
      <c r="BI392" s="121"/>
      <c r="BP392" s="121"/>
      <c r="BQ392" s="149"/>
    </row>
    <row r="393" spans="1:69" s="122" customFormat="1" ht="16.5">
      <c r="A393" s="118"/>
      <c r="B393" s="141" t="s">
        <v>1276</v>
      </c>
      <c r="C393" s="120"/>
      <c r="D393" s="120"/>
      <c r="E393" s="119"/>
      <c r="F393" s="120"/>
      <c r="G393" s="120"/>
      <c r="H393" s="120"/>
      <c r="J393" s="120"/>
      <c r="K393" s="120"/>
      <c r="L393" s="120"/>
      <c r="M393" s="120"/>
      <c r="N393" s="121"/>
      <c r="O393" s="120"/>
      <c r="P393" s="118"/>
      <c r="R393" s="123"/>
      <c r="T393" s="123"/>
      <c r="U393" s="123"/>
      <c r="V393" s="123"/>
      <c r="W393" s="123"/>
      <c r="X393" s="123"/>
      <c r="Y393" s="123"/>
      <c r="Z393" s="123"/>
      <c r="AA393" s="123"/>
      <c r="AB393" s="123"/>
      <c r="AC393" s="123"/>
      <c r="AD393" s="123"/>
      <c r="AE393" s="123"/>
      <c r="AF393" s="123"/>
      <c r="AG393" s="123"/>
      <c r="AH393" s="123"/>
      <c r="AI393" s="120" t="s">
        <v>1218</v>
      </c>
      <c r="AJ393" s="120"/>
      <c r="AK393" s="120"/>
      <c r="AL393" s="120"/>
      <c r="AM393" s="120"/>
      <c r="AN393" s="120"/>
      <c r="AO393" s="120"/>
      <c r="AP393" s="120"/>
      <c r="AQ393" s="120"/>
      <c r="AR393" s="120"/>
      <c r="AS393" s="120"/>
      <c r="AT393" s="120"/>
      <c r="AU393" s="120"/>
      <c r="AV393" s="120"/>
      <c r="AW393" s="120"/>
      <c r="AX393" s="120"/>
      <c r="AY393" s="120" t="str">
        <f t="shared" si="1"/>
        <v>麦肯锡管理经典(第版）</v>
      </c>
      <c r="AZ393" s="121"/>
      <c r="BA393" s="121"/>
      <c r="BB393" s="121"/>
      <c r="BD393" s="121"/>
      <c r="BE393" s="121"/>
      <c r="BF393" s="124"/>
      <c r="BH393" s="121"/>
      <c r="BI393" s="121"/>
      <c r="BP393" s="121"/>
      <c r="BQ393" s="149"/>
    </row>
    <row r="394" spans="1:69" s="122" customFormat="1" ht="16.5">
      <c r="A394" s="118"/>
      <c r="B394" s="141" t="s">
        <v>1277</v>
      </c>
      <c r="C394" s="120"/>
      <c r="D394" s="120"/>
      <c r="E394" s="119"/>
      <c r="F394" s="120"/>
      <c r="G394" s="120"/>
      <c r="H394" s="120"/>
      <c r="J394" s="120"/>
      <c r="K394" s="120"/>
      <c r="L394" s="120"/>
      <c r="M394" s="120"/>
      <c r="N394" s="121"/>
      <c r="O394" s="120"/>
      <c r="P394" s="118"/>
      <c r="R394" s="123"/>
      <c r="T394" s="123"/>
      <c r="U394" s="123"/>
      <c r="V394" s="123"/>
      <c r="W394" s="123"/>
      <c r="X394" s="123"/>
      <c r="Y394" s="123"/>
      <c r="Z394" s="123"/>
      <c r="AA394" s="123"/>
      <c r="AB394" s="123"/>
      <c r="AC394" s="123"/>
      <c r="AD394" s="123"/>
      <c r="AE394" s="123"/>
      <c r="AF394" s="123"/>
      <c r="AG394" s="123"/>
      <c r="AH394" s="123"/>
      <c r="AI394" s="120" t="s">
        <v>1218</v>
      </c>
      <c r="AJ394" s="120"/>
      <c r="AK394" s="120"/>
      <c r="AL394" s="120"/>
      <c r="AM394" s="120"/>
      <c r="AN394" s="120"/>
      <c r="AO394" s="120"/>
      <c r="AP394" s="120"/>
      <c r="AQ394" s="120"/>
      <c r="AR394" s="120"/>
      <c r="AS394" s="120"/>
      <c r="AT394" s="120"/>
      <c r="AU394" s="120"/>
      <c r="AV394" s="120"/>
      <c r="AW394" s="120"/>
      <c r="AX394" s="120"/>
      <c r="AY394" s="120" t="str">
        <f t="shared" si="1"/>
        <v>软技能：代码之外的生存指南(第版）</v>
      </c>
      <c r="AZ394" s="121"/>
      <c r="BA394" s="121"/>
      <c r="BB394" s="121"/>
      <c r="BD394" s="121"/>
      <c r="BE394" s="121"/>
      <c r="BF394" s="124"/>
      <c r="BH394" s="121"/>
      <c r="BI394" s="121"/>
      <c r="BP394" s="121"/>
      <c r="BQ394" s="149"/>
    </row>
    <row r="395" spans="1:69" s="122" customFormat="1" ht="16.5">
      <c r="A395" s="118"/>
      <c r="B395" s="141" t="s">
        <v>1278</v>
      </c>
      <c r="C395" s="120"/>
      <c r="D395" s="120"/>
      <c r="E395" s="119"/>
      <c r="F395" s="120"/>
      <c r="G395" s="120"/>
      <c r="H395" s="120"/>
      <c r="J395" s="120"/>
      <c r="K395" s="120"/>
      <c r="L395" s="120"/>
      <c r="M395" s="120"/>
      <c r="N395" s="121"/>
      <c r="O395" s="120"/>
      <c r="P395" s="118"/>
      <c r="R395" s="123"/>
      <c r="T395" s="123"/>
      <c r="U395" s="123"/>
      <c r="V395" s="123"/>
      <c r="W395" s="123"/>
      <c r="X395" s="123"/>
      <c r="Y395" s="123"/>
      <c r="Z395" s="123"/>
      <c r="AA395" s="123"/>
      <c r="AB395" s="123"/>
      <c r="AC395" s="123"/>
      <c r="AD395" s="123"/>
      <c r="AE395" s="123"/>
      <c r="AF395" s="123"/>
      <c r="AG395" s="123"/>
      <c r="AH395" s="123"/>
      <c r="AI395" s="120" t="s">
        <v>1218</v>
      </c>
      <c r="AJ395" s="120"/>
      <c r="AK395" s="120"/>
      <c r="AL395" s="120"/>
      <c r="AM395" s="120"/>
      <c r="AN395" s="120"/>
      <c r="AO395" s="120"/>
      <c r="AP395" s="120"/>
      <c r="AQ395" s="120"/>
      <c r="AR395" s="120"/>
      <c r="AS395" s="120"/>
      <c r="AT395" s="120"/>
      <c r="AU395" s="120"/>
      <c r="AV395" s="120"/>
      <c r="AW395" s="120"/>
      <c r="AX395" s="120"/>
      <c r="AY395" s="120" t="str">
        <f t="shared" si="1"/>
        <v>科学管理原理(第版）</v>
      </c>
      <c r="AZ395" s="121"/>
      <c r="BA395" s="121"/>
      <c r="BB395" s="121"/>
      <c r="BD395" s="121"/>
      <c r="BE395" s="121"/>
      <c r="BF395" s="124"/>
      <c r="BH395" s="121"/>
      <c r="BI395" s="121"/>
      <c r="BP395" s="121"/>
      <c r="BQ395" s="149"/>
    </row>
    <row r="396" spans="1:69" s="122" customFormat="1" ht="16.5">
      <c r="A396" s="118"/>
      <c r="B396" s="141" t="s">
        <v>1279</v>
      </c>
      <c r="C396" s="120"/>
      <c r="D396" s="120"/>
      <c r="E396" s="119"/>
      <c r="F396" s="120"/>
      <c r="G396" s="120"/>
      <c r="H396" s="120"/>
      <c r="J396" s="120"/>
      <c r="K396" s="120"/>
      <c r="L396" s="120"/>
      <c r="M396" s="120"/>
      <c r="N396" s="121"/>
      <c r="O396" s="120"/>
      <c r="P396" s="118"/>
      <c r="R396" s="123"/>
      <c r="T396" s="123"/>
      <c r="U396" s="123"/>
      <c r="V396" s="123"/>
      <c r="W396" s="123"/>
      <c r="X396" s="123"/>
      <c r="Y396" s="123"/>
      <c r="Z396" s="123"/>
      <c r="AA396" s="123"/>
      <c r="AB396" s="123"/>
      <c r="AC396" s="123"/>
      <c r="AD396" s="123"/>
      <c r="AE396" s="123"/>
      <c r="AF396" s="123"/>
      <c r="AG396" s="123"/>
      <c r="AH396" s="123"/>
      <c r="AI396" s="120" t="s">
        <v>1218</v>
      </c>
      <c r="AJ396" s="120"/>
      <c r="AK396" s="120"/>
      <c r="AL396" s="120"/>
      <c r="AM396" s="120"/>
      <c r="AN396" s="120"/>
      <c r="AO396" s="120"/>
      <c r="AP396" s="120"/>
      <c r="AQ396" s="120"/>
      <c r="AR396" s="120"/>
      <c r="AS396" s="120"/>
      <c r="AT396" s="120"/>
      <c r="AU396" s="120"/>
      <c r="AV396" s="120"/>
      <c r="AW396" s="120"/>
      <c r="AX396" s="120"/>
      <c r="AY396" s="120" t="str">
        <f t="shared" si="1"/>
        <v>卓有成效管理者的实践(第版）</v>
      </c>
      <c r="AZ396" s="121"/>
      <c r="BA396" s="121"/>
      <c r="BB396" s="121"/>
      <c r="BD396" s="121"/>
      <c r="BE396" s="121"/>
      <c r="BF396" s="124"/>
      <c r="BH396" s="121"/>
      <c r="BI396" s="121"/>
      <c r="BP396" s="121"/>
      <c r="BQ396" s="149"/>
    </row>
    <row r="397" spans="1:69" s="122" customFormat="1" ht="16.5">
      <c r="A397" s="118"/>
      <c r="B397" s="141" t="s">
        <v>1280</v>
      </c>
      <c r="C397" s="120"/>
      <c r="D397" s="120"/>
      <c r="E397" s="119"/>
      <c r="F397" s="120"/>
      <c r="G397" s="120"/>
      <c r="H397" s="120"/>
      <c r="J397" s="120"/>
      <c r="K397" s="120"/>
      <c r="L397" s="120"/>
      <c r="M397" s="120"/>
      <c r="N397" s="121"/>
      <c r="O397" s="120"/>
      <c r="P397" s="118"/>
      <c r="R397" s="123"/>
      <c r="T397" s="123"/>
      <c r="U397" s="123"/>
      <c r="V397" s="123"/>
      <c r="W397" s="123"/>
      <c r="X397" s="123"/>
      <c r="Y397" s="123"/>
      <c r="Z397" s="123"/>
      <c r="AA397" s="123"/>
      <c r="AB397" s="123"/>
      <c r="AC397" s="123"/>
      <c r="AD397" s="123"/>
      <c r="AE397" s="123"/>
      <c r="AF397" s="123"/>
      <c r="AG397" s="123"/>
      <c r="AH397" s="123"/>
      <c r="AI397" s="120" t="s">
        <v>1218</v>
      </c>
      <c r="AJ397" s="120"/>
      <c r="AK397" s="120"/>
      <c r="AL397" s="120"/>
      <c r="AM397" s="120"/>
      <c r="AN397" s="120"/>
      <c r="AO397" s="120"/>
      <c r="AP397" s="120"/>
      <c r="AQ397" s="120"/>
      <c r="AR397" s="120"/>
      <c r="AS397" s="120"/>
      <c r="AT397" s="120"/>
      <c r="AU397" s="120"/>
      <c r="AV397" s="120"/>
      <c r="AW397" s="120"/>
      <c r="AX397" s="120"/>
      <c r="AY397" s="120" t="str">
        <f t="shared" si="1"/>
        <v>成果管理(第版）</v>
      </c>
      <c r="AZ397" s="121"/>
      <c r="BA397" s="121"/>
      <c r="BB397" s="121"/>
      <c r="BD397" s="121"/>
      <c r="BE397" s="121"/>
      <c r="BF397" s="124"/>
      <c r="BH397" s="121"/>
      <c r="BI397" s="121"/>
      <c r="BP397" s="121"/>
      <c r="BQ397" s="149"/>
    </row>
    <row r="398" spans="1:69" s="122" customFormat="1" ht="16.5">
      <c r="A398" s="118"/>
      <c r="B398" s="141" t="s">
        <v>1281</v>
      </c>
      <c r="C398" s="120"/>
      <c r="D398" s="120"/>
      <c r="E398" s="119"/>
      <c r="F398" s="120"/>
      <c r="G398" s="120"/>
      <c r="H398" s="120"/>
      <c r="J398" s="120"/>
      <c r="K398" s="120"/>
      <c r="L398" s="120"/>
      <c r="M398" s="120"/>
      <c r="N398" s="121"/>
      <c r="O398" s="120"/>
      <c r="P398" s="118"/>
      <c r="R398" s="123"/>
      <c r="T398" s="123"/>
      <c r="U398" s="123"/>
      <c r="V398" s="123"/>
      <c r="W398" s="123"/>
      <c r="X398" s="123"/>
      <c r="Y398" s="123"/>
      <c r="Z398" s="123"/>
      <c r="AA398" s="123"/>
      <c r="AB398" s="123"/>
      <c r="AC398" s="123"/>
      <c r="AD398" s="123"/>
      <c r="AE398" s="123"/>
      <c r="AF398" s="123"/>
      <c r="AG398" s="123"/>
      <c r="AH398" s="123"/>
      <c r="AI398" s="120" t="s">
        <v>1218</v>
      </c>
      <c r="AJ398" s="120"/>
      <c r="AK398" s="120"/>
      <c r="AL398" s="120"/>
      <c r="AM398" s="120"/>
      <c r="AN398" s="120"/>
      <c r="AO398" s="120"/>
      <c r="AP398" s="120"/>
      <c r="AQ398" s="120"/>
      <c r="AR398" s="120"/>
      <c r="AS398" s="120"/>
      <c r="AT398" s="120"/>
      <c r="AU398" s="120"/>
      <c r="AV398" s="120"/>
      <c r="AW398" s="120"/>
      <c r="AX398" s="120"/>
      <c r="AY398" s="120" t="str">
        <f t="shared" si="1"/>
        <v>创新与企业家精神(第版）</v>
      </c>
      <c r="AZ398" s="121"/>
      <c r="BA398" s="121"/>
      <c r="BB398" s="121"/>
      <c r="BD398" s="121"/>
      <c r="BE398" s="121"/>
      <c r="BF398" s="124"/>
      <c r="BH398" s="121"/>
      <c r="BI398" s="121"/>
      <c r="BP398" s="121"/>
      <c r="BQ398" s="149"/>
    </row>
    <row r="399" spans="1:69" s="122" customFormat="1" ht="16.5">
      <c r="A399" s="118"/>
      <c r="B399" s="141" t="s">
        <v>1282</v>
      </c>
      <c r="C399" s="120"/>
      <c r="D399" s="120"/>
      <c r="E399" s="119"/>
      <c r="F399" s="120"/>
      <c r="G399" s="120"/>
      <c r="H399" s="120"/>
      <c r="J399" s="120"/>
      <c r="K399" s="120"/>
      <c r="L399" s="120"/>
      <c r="M399" s="120"/>
      <c r="N399" s="121"/>
      <c r="O399" s="120"/>
      <c r="P399" s="118"/>
      <c r="R399" s="123"/>
      <c r="T399" s="123"/>
      <c r="U399" s="123"/>
      <c r="V399" s="123"/>
      <c r="W399" s="123"/>
      <c r="X399" s="123"/>
      <c r="Y399" s="123"/>
      <c r="Z399" s="123"/>
      <c r="AA399" s="123"/>
      <c r="AB399" s="123"/>
      <c r="AC399" s="123"/>
      <c r="AD399" s="123"/>
      <c r="AE399" s="123"/>
      <c r="AF399" s="123"/>
      <c r="AG399" s="123"/>
      <c r="AH399" s="123"/>
      <c r="AI399" s="120" t="s">
        <v>1218</v>
      </c>
      <c r="AJ399" s="120"/>
      <c r="AK399" s="120"/>
      <c r="AL399" s="120"/>
      <c r="AM399" s="120"/>
      <c r="AN399" s="120"/>
      <c r="AO399" s="120"/>
      <c r="AP399" s="120"/>
      <c r="AQ399" s="120"/>
      <c r="AR399" s="120"/>
      <c r="AS399" s="120"/>
      <c r="AT399" s="120"/>
      <c r="AU399" s="120"/>
      <c r="AV399" s="120"/>
      <c r="AW399" s="120"/>
      <c r="AX399" s="120"/>
      <c r="AY399" s="120" t="str">
        <f t="shared" si="1"/>
        <v>旁观者：管理大师德鲁克回忆录(第版）</v>
      </c>
      <c r="AZ399" s="121"/>
      <c r="BA399" s="121"/>
      <c r="BB399" s="121"/>
      <c r="BD399" s="121"/>
      <c r="BE399" s="121"/>
      <c r="BF399" s="124"/>
      <c r="BH399" s="121"/>
      <c r="BI399" s="121"/>
      <c r="BP399" s="121"/>
      <c r="BQ399" s="149"/>
    </row>
    <row r="400" spans="1:69" s="122" customFormat="1" ht="16.5">
      <c r="A400" s="118"/>
      <c r="B400" s="141" t="s">
        <v>1283</v>
      </c>
      <c r="C400" s="120"/>
      <c r="D400" s="120"/>
      <c r="E400" s="119"/>
      <c r="F400" s="120"/>
      <c r="G400" s="120"/>
      <c r="H400" s="120"/>
      <c r="J400" s="120"/>
      <c r="K400" s="120"/>
      <c r="L400" s="120"/>
      <c r="M400" s="120"/>
      <c r="N400" s="121"/>
      <c r="O400" s="120"/>
      <c r="P400" s="118"/>
      <c r="R400" s="123"/>
      <c r="T400" s="123"/>
      <c r="U400" s="123"/>
      <c r="V400" s="123"/>
      <c r="W400" s="123"/>
      <c r="X400" s="123"/>
      <c r="Y400" s="123"/>
      <c r="Z400" s="123"/>
      <c r="AA400" s="123"/>
      <c r="AB400" s="123"/>
      <c r="AC400" s="123"/>
      <c r="AD400" s="123"/>
      <c r="AE400" s="123"/>
      <c r="AF400" s="123"/>
      <c r="AG400" s="123"/>
      <c r="AH400" s="123"/>
      <c r="AI400" s="120" t="s">
        <v>1218</v>
      </c>
      <c r="AJ400" s="120"/>
      <c r="AK400" s="120"/>
      <c r="AL400" s="120"/>
      <c r="AM400" s="120"/>
      <c r="AN400" s="120"/>
      <c r="AO400" s="120"/>
      <c r="AP400" s="120"/>
      <c r="AQ400" s="120"/>
      <c r="AR400" s="120"/>
      <c r="AS400" s="120"/>
      <c r="AT400" s="120"/>
      <c r="AU400" s="120"/>
      <c r="AV400" s="120"/>
      <c r="AW400" s="120"/>
      <c r="AX400" s="120"/>
      <c r="AY400" s="120" t="str">
        <f t="shared" si="1"/>
        <v>管理工作的本质(第版）</v>
      </c>
      <c r="AZ400" s="121"/>
      <c r="BA400" s="121"/>
      <c r="BB400" s="121"/>
      <c r="BD400" s="121"/>
      <c r="BE400" s="121"/>
      <c r="BF400" s="124"/>
      <c r="BH400" s="121"/>
      <c r="BI400" s="121"/>
      <c r="BP400" s="121"/>
      <c r="BQ400" s="149"/>
    </row>
    <row r="401" spans="1:69" s="122" customFormat="1" ht="16.5">
      <c r="A401" s="118"/>
      <c r="B401" s="141" t="s">
        <v>1284</v>
      </c>
      <c r="C401" s="120"/>
      <c r="D401" s="120"/>
      <c r="E401" s="119"/>
      <c r="F401" s="120"/>
      <c r="G401" s="120"/>
      <c r="H401" s="120"/>
      <c r="J401" s="120"/>
      <c r="K401" s="120"/>
      <c r="L401" s="120"/>
      <c r="M401" s="120"/>
      <c r="N401" s="121"/>
      <c r="O401" s="120"/>
      <c r="P401" s="118"/>
      <c r="R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123"/>
      <c r="AI401" s="120" t="s">
        <v>1218</v>
      </c>
      <c r="AJ401" s="120"/>
      <c r="AK401" s="120"/>
      <c r="AL401" s="120"/>
      <c r="AM401" s="120"/>
      <c r="AN401" s="120"/>
      <c r="AO401" s="120"/>
      <c r="AP401" s="120"/>
      <c r="AQ401" s="120"/>
      <c r="AR401" s="120"/>
      <c r="AS401" s="120"/>
      <c r="AT401" s="120"/>
      <c r="AU401" s="120"/>
      <c r="AV401" s="120"/>
      <c r="AW401" s="120"/>
      <c r="AX401" s="120"/>
      <c r="AY401" s="120" t="str">
        <f t="shared" si="1"/>
        <v>罗斯柴尔德家族下(第版）</v>
      </c>
      <c r="AZ401" s="121"/>
      <c r="BA401" s="121"/>
      <c r="BB401" s="121"/>
      <c r="BD401" s="121"/>
      <c r="BE401" s="121"/>
      <c r="BF401" s="124"/>
      <c r="BH401" s="121"/>
      <c r="BI401" s="121"/>
      <c r="BP401" s="121"/>
      <c r="BQ401" s="149"/>
    </row>
    <row r="402" spans="1:69" s="122" customFormat="1" ht="16.5">
      <c r="A402" s="118"/>
      <c r="B402" s="141" t="s">
        <v>1285</v>
      </c>
      <c r="C402" s="120"/>
      <c r="D402" s="120"/>
      <c r="E402" s="119"/>
      <c r="F402" s="120"/>
      <c r="G402" s="120"/>
      <c r="H402" s="120"/>
      <c r="J402" s="120"/>
      <c r="K402" s="120"/>
      <c r="L402" s="120"/>
      <c r="M402" s="120"/>
      <c r="N402" s="121"/>
      <c r="O402" s="120"/>
      <c r="P402" s="118"/>
      <c r="R402" s="123"/>
      <c r="T402" s="123"/>
      <c r="U402" s="123"/>
      <c r="V402" s="123"/>
      <c r="W402" s="123"/>
      <c r="X402" s="123"/>
      <c r="Y402" s="123"/>
      <c r="Z402" s="123"/>
      <c r="AA402" s="123"/>
      <c r="AB402" s="123"/>
      <c r="AC402" s="123"/>
      <c r="AD402" s="123"/>
      <c r="AE402" s="123"/>
      <c r="AF402" s="123"/>
      <c r="AG402" s="123"/>
      <c r="AH402" s="123"/>
      <c r="AI402" s="120" t="s">
        <v>1218</v>
      </c>
      <c r="AJ402" s="120"/>
      <c r="AK402" s="120"/>
      <c r="AL402" s="120"/>
      <c r="AM402" s="120"/>
      <c r="AN402" s="120"/>
      <c r="AO402" s="120"/>
      <c r="AP402" s="120"/>
      <c r="AQ402" s="120"/>
      <c r="AR402" s="120"/>
      <c r="AS402" s="120"/>
      <c r="AT402" s="120"/>
      <c r="AU402" s="120"/>
      <c r="AV402" s="120"/>
      <c r="AW402" s="120"/>
      <c r="AX402" s="120"/>
      <c r="AY402" s="120" t="str">
        <f t="shared" si="1"/>
        <v>罗斯柴尔德家族中(第版）</v>
      </c>
      <c r="AZ402" s="121"/>
      <c r="BA402" s="121"/>
      <c r="BB402" s="121"/>
      <c r="BD402" s="121"/>
      <c r="BE402" s="121"/>
      <c r="BF402" s="124"/>
      <c r="BH402" s="121"/>
      <c r="BI402" s="121"/>
      <c r="BP402" s="121"/>
      <c r="BQ402" s="149"/>
    </row>
    <row r="403" spans="1:69" s="122" customFormat="1" ht="16.5">
      <c r="A403" s="118"/>
      <c r="B403" s="141" t="s">
        <v>1286</v>
      </c>
      <c r="C403" s="120"/>
      <c r="D403" s="120"/>
      <c r="E403" s="119"/>
      <c r="F403" s="120"/>
      <c r="G403" s="120"/>
      <c r="H403" s="120"/>
      <c r="J403" s="120"/>
      <c r="K403" s="120"/>
      <c r="L403" s="120"/>
      <c r="M403" s="120"/>
      <c r="N403" s="121"/>
      <c r="O403" s="120"/>
      <c r="P403" s="118"/>
      <c r="R403" s="123"/>
      <c r="T403" s="123"/>
      <c r="U403" s="123"/>
      <c r="V403" s="123"/>
      <c r="W403" s="123"/>
      <c r="X403" s="123"/>
      <c r="Y403" s="123"/>
      <c r="Z403" s="123"/>
      <c r="AA403" s="123"/>
      <c r="AB403" s="123"/>
      <c r="AC403" s="123"/>
      <c r="AD403" s="123"/>
      <c r="AE403" s="123"/>
      <c r="AF403" s="123"/>
      <c r="AG403" s="123"/>
      <c r="AH403" s="123"/>
      <c r="AI403" s="120" t="s">
        <v>1218</v>
      </c>
      <c r="AJ403" s="120"/>
      <c r="AK403" s="120"/>
      <c r="AL403" s="120"/>
      <c r="AM403" s="120"/>
      <c r="AN403" s="120"/>
      <c r="AO403" s="120"/>
      <c r="AP403" s="120"/>
      <c r="AQ403" s="120"/>
      <c r="AR403" s="120"/>
      <c r="AS403" s="120"/>
      <c r="AT403" s="120"/>
      <c r="AU403" s="120"/>
      <c r="AV403" s="120"/>
      <c r="AW403" s="120"/>
      <c r="AX403" s="120"/>
      <c r="AY403" s="120" t="str">
        <f t="shared" ref="AY403:AY423" si="2">B403&amp;"(第"&amp;C403&amp;"版）"</f>
        <v>罗斯柴尔德家族上(第版）</v>
      </c>
      <c r="AZ403" s="121"/>
      <c r="BA403" s="121"/>
      <c r="BB403" s="121"/>
      <c r="BD403" s="121"/>
      <c r="BE403" s="121"/>
      <c r="BF403" s="124"/>
      <c r="BH403" s="121"/>
      <c r="BI403" s="121"/>
      <c r="BP403" s="121"/>
      <c r="BQ403" s="149"/>
    </row>
    <row r="404" spans="1:69" s="122" customFormat="1" ht="16.5">
      <c r="A404" s="118"/>
      <c r="B404" s="141" t="s">
        <v>1287</v>
      </c>
      <c r="C404" s="120"/>
      <c r="D404" s="120"/>
      <c r="E404" s="119"/>
      <c r="F404" s="120"/>
      <c r="G404" s="120"/>
      <c r="H404" s="120"/>
      <c r="J404" s="120"/>
      <c r="K404" s="120"/>
      <c r="L404" s="120"/>
      <c r="M404" s="120"/>
      <c r="N404" s="121"/>
      <c r="O404" s="120"/>
      <c r="P404" s="118"/>
      <c r="R404" s="123"/>
      <c r="T404" s="123"/>
      <c r="U404" s="123"/>
      <c r="V404" s="123"/>
      <c r="W404" s="123"/>
      <c r="X404" s="123"/>
      <c r="Y404" s="123"/>
      <c r="Z404" s="123"/>
      <c r="AA404" s="123"/>
      <c r="AB404" s="123"/>
      <c r="AC404" s="123"/>
      <c r="AD404" s="123"/>
      <c r="AE404" s="123"/>
      <c r="AF404" s="123"/>
      <c r="AG404" s="123"/>
      <c r="AH404" s="123"/>
      <c r="AI404" s="120" t="s">
        <v>1218</v>
      </c>
      <c r="AJ404" s="120"/>
      <c r="AK404" s="120"/>
      <c r="AL404" s="120"/>
      <c r="AM404" s="120"/>
      <c r="AN404" s="120"/>
      <c r="AO404" s="120"/>
      <c r="AP404" s="120"/>
      <c r="AQ404" s="120"/>
      <c r="AR404" s="120"/>
      <c r="AS404" s="120"/>
      <c r="AT404" s="120"/>
      <c r="AU404" s="120"/>
      <c r="AV404" s="120"/>
      <c r="AW404" s="120"/>
      <c r="AX404" s="120"/>
      <c r="AY404" s="120" t="str">
        <f t="shared" si="2"/>
        <v>引领转型(第版）</v>
      </c>
      <c r="AZ404" s="121"/>
      <c r="BA404" s="121"/>
      <c r="BB404" s="121"/>
      <c r="BD404" s="121"/>
      <c r="BE404" s="121"/>
      <c r="BF404" s="124"/>
      <c r="BH404" s="121"/>
      <c r="BI404" s="121"/>
      <c r="BP404" s="121"/>
      <c r="BQ404" s="149"/>
    </row>
    <row r="405" spans="1:69" s="122" customFormat="1" ht="33">
      <c r="A405" s="118"/>
      <c r="B405" s="141" t="s">
        <v>1288</v>
      </c>
      <c r="C405" s="120"/>
      <c r="D405" s="120"/>
      <c r="E405" s="119"/>
      <c r="F405" s="120"/>
      <c r="G405" s="120"/>
      <c r="H405" s="120"/>
      <c r="J405" s="120"/>
      <c r="K405" s="120"/>
      <c r="L405" s="120"/>
      <c r="M405" s="120"/>
      <c r="N405" s="121"/>
      <c r="O405" s="120"/>
      <c r="P405" s="118"/>
      <c r="R405" s="123"/>
      <c r="T405" s="123"/>
      <c r="U405" s="123"/>
      <c r="V405" s="123"/>
      <c r="W405" s="123"/>
      <c r="X405" s="123"/>
      <c r="Y405" s="123"/>
      <c r="Z405" s="123"/>
      <c r="AA405" s="123"/>
      <c r="AB405" s="123"/>
      <c r="AC405" s="123"/>
      <c r="AD405" s="123"/>
      <c r="AE405" s="123"/>
      <c r="AF405" s="123"/>
      <c r="AG405" s="123"/>
      <c r="AH405" s="123"/>
      <c r="AI405" s="120" t="s">
        <v>1218</v>
      </c>
      <c r="AJ405" s="120"/>
      <c r="AK405" s="120"/>
      <c r="AL405" s="120"/>
      <c r="AM405" s="120"/>
      <c r="AN405" s="120"/>
      <c r="AO405" s="120"/>
      <c r="AP405" s="120"/>
      <c r="AQ405" s="120"/>
      <c r="AR405" s="120"/>
      <c r="AS405" s="120"/>
      <c r="AT405" s="120"/>
      <c r="AU405" s="120"/>
      <c r="AV405" s="120"/>
      <c r="AW405" s="120"/>
      <c r="AX405" s="120"/>
      <c r="AY405" s="120" t="str">
        <f t="shared" si="2"/>
        <v>卓有成效的领导者：8项核心技能帮你从优秀到卓越(第版）</v>
      </c>
      <c r="AZ405" s="121"/>
      <c r="BA405" s="121"/>
      <c r="BB405" s="121"/>
      <c r="BD405" s="121"/>
      <c r="BE405" s="121"/>
      <c r="BF405" s="124"/>
      <c r="BH405" s="121"/>
      <c r="BI405" s="121"/>
      <c r="BP405" s="121"/>
      <c r="BQ405" s="149"/>
    </row>
    <row r="406" spans="1:69" s="122" customFormat="1" ht="16.5">
      <c r="A406" s="118"/>
      <c r="B406" s="141" t="s">
        <v>1289</v>
      </c>
      <c r="C406" s="120"/>
      <c r="D406" s="120"/>
      <c r="E406" s="119"/>
      <c r="F406" s="120"/>
      <c r="G406" s="120"/>
      <c r="H406" s="120"/>
      <c r="J406" s="120"/>
      <c r="K406" s="120"/>
      <c r="L406" s="120"/>
      <c r="M406" s="120"/>
      <c r="N406" s="121"/>
      <c r="O406" s="120"/>
      <c r="P406" s="118"/>
      <c r="R406" s="123"/>
      <c r="T406" s="123"/>
      <c r="U406" s="123"/>
      <c r="V406" s="123"/>
      <c r="W406" s="123"/>
      <c r="X406" s="123"/>
      <c r="Y406" s="123"/>
      <c r="Z406" s="123"/>
      <c r="AA406" s="123"/>
      <c r="AB406" s="123"/>
      <c r="AC406" s="123"/>
      <c r="AD406" s="123"/>
      <c r="AE406" s="123"/>
      <c r="AF406" s="123"/>
      <c r="AG406" s="123"/>
      <c r="AH406" s="123"/>
      <c r="AI406" s="120" t="s">
        <v>1218</v>
      </c>
      <c r="AJ406" s="120"/>
      <c r="AK406" s="120"/>
      <c r="AL406" s="120"/>
      <c r="AM406" s="120"/>
      <c r="AN406" s="120"/>
      <c r="AO406" s="120"/>
      <c r="AP406" s="120"/>
      <c r="AQ406" s="120"/>
      <c r="AR406" s="120"/>
      <c r="AS406" s="120"/>
      <c r="AT406" s="120"/>
      <c r="AU406" s="120"/>
      <c r="AV406" s="120"/>
      <c r="AW406" s="120"/>
      <c r="AX406" s="120"/>
      <c r="AY406" s="120" t="str">
        <f t="shared" si="2"/>
        <v>情商（实践版）(第版）</v>
      </c>
      <c r="AZ406" s="121"/>
      <c r="BA406" s="121"/>
      <c r="BB406" s="121"/>
      <c r="BD406" s="121"/>
      <c r="BE406" s="121"/>
      <c r="BF406" s="124"/>
      <c r="BH406" s="121"/>
      <c r="BI406" s="121"/>
      <c r="BP406" s="121"/>
      <c r="BQ406" s="149"/>
    </row>
    <row r="407" spans="1:69" s="122" customFormat="1" ht="33">
      <c r="A407" s="118"/>
      <c r="B407" s="141" t="s">
        <v>1290</v>
      </c>
      <c r="C407" s="120"/>
      <c r="D407" s="120"/>
      <c r="E407" s="119"/>
      <c r="F407" s="120"/>
      <c r="G407" s="120"/>
      <c r="H407" s="120"/>
      <c r="J407" s="120"/>
      <c r="K407" s="120"/>
      <c r="L407" s="120"/>
      <c r="M407" s="120"/>
      <c r="N407" s="121"/>
      <c r="O407" s="120"/>
      <c r="P407" s="118"/>
      <c r="R407" s="123"/>
      <c r="T407" s="123"/>
      <c r="U407" s="123"/>
      <c r="V407" s="123"/>
      <c r="W407" s="123"/>
      <c r="X407" s="123"/>
      <c r="Y407" s="123"/>
      <c r="Z407" s="123"/>
      <c r="AA407" s="123"/>
      <c r="AB407" s="123"/>
      <c r="AC407" s="123"/>
      <c r="AD407" s="123"/>
      <c r="AE407" s="123"/>
      <c r="AF407" s="123"/>
      <c r="AG407" s="123"/>
      <c r="AH407" s="123"/>
      <c r="AI407" s="120" t="s">
        <v>1218</v>
      </c>
      <c r="AJ407" s="120"/>
      <c r="AK407" s="120"/>
      <c r="AL407" s="120"/>
      <c r="AM407" s="120"/>
      <c r="AN407" s="120"/>
      <c r="AO407" s="120"/>
      <c r="AP407" s="120"/>
      <c r="AQ407" s="120"/>
      <c r="AR407" s="120"/>
      <c r="AS407" s="120"/>
      <c r="AT407" s="120"/>
      <c r="AU407" s="120"/>
      <c r="AV407" s="120"/>
      <c r="AW407" s="120"/>
      <c r="AX407" s="120"/>
      <c r="AY407" s="120" t="str">
        <f t="shared" si="2"/>
        <v>多维度思考：拥有正确判断和科学决策的100条极简法则(第版）</v>
      </c>
      <c r="AZ407" s="121"/>
      <c r="BA407" s="121"/>
      <c r="BB407" s="121"/>
      <c r="BD407" s="121"/>
      <c r="BE407" s="121"/>
      <c r="BF407" s="124"/>
      <c r="BH407" s="121"/>
      <c r="BI407" s="121"/>
      <c r="BP407" s="121"/>
      <c r="BQ407" s="149"/>
    </row>
    <row r="408" spans="1:69" s="122" customFormat="1" ht="16.5">
      <c r="A408" s="118"/>
      <c r="B408" s="141" t="s">
        <v>1291</v>
      </c>
      <c r="C408" s="120"/>
      <c r="D408" s="120"/>
      <c r="E408" s="119"/>
      <c r="F408" s="120"/>
      <c r="G408" s="120"/>
      <c r="H408" s="120"/>
      <c r="J408" s="120"/>
      <c r="K408" s="120"/>
      <c r="L408" s="120"/>
      <c r="M408" s="120"/>
      <c r="N408" s="121"/>
      <c r="O408" s="120"/>
      <c r="P408" s="118"/>
      <c r="R408" s="123"/>
      <c r="T408" s="123"/>
      <c r="U408" s="123"/>
      <c r="V408" s="123"/>
      <c r="W408" s="123"/>
      <c r="X408" s="123"/>
      <c r="Y408" s="123"/>
      <c r="Z408" s="123"/>
      <c r="AA408" s="123"/>
      <c r="AB408" s="123"/>
      <c r="AC408" s="123"/>
      <c r="AD408" s="123"/>
      <c r="AE408" s="123"/>
      <c r="AF408" s="123"/>
      <c r="AG408" s="123"/>
      <c r="AH408" s="123"/>
      <c r="AI408" s="120" t="s">
        <v>1218</v>
      </c>
      <c r="AJ408" s="120"/>
      <c r="AK408" s="120"/>
      <c r="AL408" s="120"/>
      <c r="AM408" s="120"/>
      <c r="AN408" s="120"/>
      <c r="AO408" s="120"/>
      <c r="AP408" s="120"/>
      <c r="AQ408" s="120"/>
      <c r="AR408" s="120"/>
      <c r="AS408" s="120"/>
      <c r="AT408" s="120"/>
      <c r="AU408" s="120"/>
      <c r="AV408" s="120"/>
      <c r="AW408" s="120"/>
      <c r="AX408" s="120"/>
      <c r="AY408" s="120" t="str">
        <f t="shared" si="2"/>
        <v>信号与噪声(第版）</v>
      </c>
      <c r="AZ408" s="121"/>
      <c r="BA408" s="121"/>
      <c r="BB408" s="121"/>
      <c r="BD408" s="121"/>
      <c r="BE408" s="121"/>
      <c r="BF408" s="124"/>
      <c r="BH408" s="121"/>
      <c r="BI408" s="121"/>
      <c r="BP408" s="121"/>
      <c r="BQ408" s="149"/>
    </row>
    <row r="409" spans="1:69" s="122" customFormat="1" ht="16.5">
      <c r="A409" s="118"/>
      <c r="B409" s="141" t="s">
        <v>1292</v>
      </c>
      <c r="C409" s="120"/>
      <c r="D409" s="120"/>
      <c r="E409" s="119"/>
      <c r="F409" s="120"/>
      <c r="G409" s="120"/>
      <c r="H409" s="120"/>
      <c r="J409" s="120"/>
      <c r="K409" s="120"/>
      <c r="L409" s="120"/>
      <c r="M409" s="120"/>
      <c r="N409" s="121"/>
      <c r="O409" s="120"/>
      <c r="P409" s="118"/>
      <c r="R409" s="123"/>
      <c r="T409" s="123"/>
      <c r="U409" s="123"/>
      <c r="V409" s="123"/>
      <c r="W409" s="123"/>
      <c r="X409" s="123"/>
      <c r="Y409" s="123"/>
      <c r="Z409" s="123"/>
      <c r="AA409" s="123"/>
      <c r="AB409" s="123"/>
      <c r="AC409" s="123"/>
      <c r="AD409" s="123"/>
      <c r="AE409" s="123"/>
      <c r="AF409" s="123"/>
      <c r="AG409" s="123"/>
      <c r="AH409" s="123"/>
      <c r="AI409" s="120" t="s">
        <v>1234</v>
      </c>
      <c r="AJ409" s="120"/>
      <c r="AK409" s="120"/>
      <c r="AL409" s="120"/>
      <c r="AM409" s="120"/>
      <c r="AN409" s="120"/>
      <c r="AO409" s="120"/>
      <c r="AP409" s="120"/>
      <c r="AQ409" s="120"/>
      <c r="AR409" s="120"/>
      <c r="AS409" s="120"/>
      <c r="AT409" s="120"/>
      <c r="AU409" s="120"/>
      <c r="AV409" s="120"/>
      <c r="AW409" s="120"/>
      <c r="AX409" s="120"/>
      <c r="AY409" s="120" t="str">
        <f t="shared" si="2"/>
        <v>利率史(第版）</v>
      </c>
      <c r="AZ409" s="121"/>
      <c r="BA409" s="121"/>
      <c r="BB409" s="121"/>
      <c r="BD409" s="121"/>
      <c r="BE409" s="121"/>
      <c r="BF409" s="124"/>
      <c r="BH409" s="121"/>
      <c r="BI409" s="121"/>
      <c r="BP409" s="121"/>
      <c r="BQ409" s="149"/>
    </row>
    <row r="410" spans="1:69" s="122" customFormat="1" ht="33">
      <c r="A410" s="118"/>
      <c r="B410" s="141" t="s">
        <v>1561</v>
      </c>
      <c r="C410" s="120"/>
      <c r="D410" s="120"/>
      <c r="E410" s="119"/>
      <c r="F410" s="120"/>
      <c r="G410" s="120"/>
      <c r="H410" s="120"/>
      <c r="J410" s="120"/>
      <c r="K410" s="120"/>
      <c r="L410" s="120"/>
      <c r="M410" s="120"/>
      <c r="N410" s="121"/>
      <c r="O410" s="120"/>
      <c r="P410" s="118"/>
      <c r="R410" s="123"/>
      <c r="T410" s="123"/>
      <c r="U410" s="123"/>
      <c r="V410" s="123"/>
      <c r="W410" s="123"/>
      <c r="X410" s="123"/>
      <c r="Y410" s="123"/>
      <c r="Z410" s="123"/>
      <c r="AA410" s="123"/>
      <c r="AB410" s="123"/>
      <c r="AC410" s="123"/>
      <c r="AD410" s="123"/>
      <c r="AE410" s="123"/>
      <c r="AF410" s="123"/>
      <c r="AG410" s="123"/>
      <c r="AH410" s="123"/>
      <c r="AI410" s="120" t="s">
        <v>1234</v>
      </c>
      <c r="AJ410" s="120"/>
      <c r="AK410" s="120"/>
      <c r="AL410" s="120"/>
      <c r="AM410" s="120"/>
      <c r="AN410" s="120"/>
      <c r="AO410" s="120"/>
      <c r="AP410" s="120"/>
      <c r="AQ410" s="120"/>
      <c r="AR410" s="120"/>
      <c r="AS410" s="120"/>
      <c r="AT410" s="120"/>
      <c r="AU410" s="120"/>
      <c r="AV410" s="120"/>
      <c r="AW410" s="120"/>
      <c r="AX410" s="120"/>
      <c r="AY410" s="120" t="str">
        <f t="shared" si="2"/>
        <v>助推：如何作出有关健康，财富与幸福的最佳决策(第版）</v>
      </c>
      <c r="AZ410" s="121"/>
      <c r="BA410" s="121"/>
      <c r="BB410" s="121"/>
      <c r="BD410" s="121"/>
      <c r="BE410" s="121"/>
      <c r="BF410" s="124"/>
      <c r="BH410" s="121"/>
      <c r="BI410" s="121"/>
      <c r="BP410" s="121"/>
      <c r="BQ410" s="149"/>
    </row>
    <row r="411" spans="1:69" s="122" customFormat="1" ht="16.5">
      <c r="A411" s="118"/>
      <c r="B411" s="141" t="s">
        <v>1562</v>
      </c>
      <c r="C411" s="120"/>
      <c r="D411" s="120"/>
      <c r="E411" s="119"/>
      <c r="F411" s="120"/>
      <c r="G411" s="120"/>
      <c r="H411" s="120"/>
      <c r="J411" s="120"/>
      <c r="K411" s="120"/>
      <c r="L411" s="120"/>
      <c r="M411" s="120"/>
      <c r="N411" s="121"/>
      <c r="O411" s="120"/>
      <c r="P411" s="118"/>
      <c r="R411" s="123"/>
      <c r="T411" s="123"/>
      <c r="U411" s="123"/>
      <c r="V411" s="123"/>
      <c r="W411" s="123"/>
      <c r="X411" s="123"/>
      <c r="Y411" s="123"/>
      <c r="Z411" s="123"/>
      <c r="AA411" s="123"/>
      <c r="AB411" s="123"/>
      <c r="AC411" s="123"/>
      <c r="AD411" s="123"/>
      <c r="AE411" s="123"/>
      <c r="AF411" s="123"/>
      <c r="AG411" s="123"/>
      <c r="AH411" s="123"/>
      <c r="AI411" s="120" t="s">
        <v>1234</v>
      </c>
      <c r="AJ411" s="120"/>
      <c r="AK411" s="120"/>
      <c r="AL411" s="120"/>
      <c r="AM411" s="120"/>
      <c r="AN411" s="120"/>
      <c r="AO411" s="120"/>
      <c r="AP411" s="120"/>
      <c r="AQ411" s="120"/>
      <c r="AR411" s="120"/>
      <c r="AS411" s="120"/>
      <c r="AT411" s="120"/>
      <c r="AU411" s="120"/>
      <c r="AV411" s="120"/>
      <c r="AW411" s="120"/>
      <c r="AX411" s="120"/>
      <c r="AY411" s="120" t="str">
        <f t="shared" si="2"/>
        <v>行为设计学：零成本改变(第版）</v>
      </c>
      <c r="AZ411" s="121"/>
      <c r="BA411" s="121"/>
      <c r="BB411" s="121"/>
      <c r="BD411" s="121"/>
      <c r="BE411" s="121"/>
      <c r="BF411" s="124"/>
      <c r="BH411" s="121"/>
      <c r="BI411" s="121"/>
      <c r="BP411" s="121"/>
      <c r="BQ411" s="149"/>
    </row>
    <row r="412" spans="1:69" s="122" customFormat="1" ht="33">
      <c r="A412" s="118"/>
      <c r="B412" s="141" t="s">
        <v>1293</v>
      </c>
      <c r="C412" s="120"/>
      <c r="D412" s="120"/>
      <c r="E412" s="119"/>
      <c r="F412" s="120"/>
      <c r="G412" s="120"/>
      <c r="H412" s="120"/>
      <c r="J412" s="120"/>
      <c r="K412" s="120"/>
      <c r="L412" s="120"/>
      <c r="M412" s="120"/>
      <c r="N412" s="121"/>
      <c r="O412" s="120"/>
      <c r="P412" s="118"/>
      <c r="R412" s="123"/>
      <c r="T412" s="123"/>
      <c r="U412" s="123"/>
      <c r="V412" s="123"/>
      <c r="W412" s="123"/>
      <c r="X412" s="123"/>
      <c r="Y412" s="123"/>
      <c r="Z412" s="123"/>
      <c r="AA412" s="123"/>
      <c r="AB412" s="123"/>
      <c r="AC412" s="123"/>
      <c r="AD412" s="123"/>
      <c r="AE412" s="123"/>
      <c r="AF412" s="123"/>
      <c r="AG412" s="123"/>
      <c r="AH412" s="123"/>
      <c r="AI412" s="120" t="s">
        <v>1234</v>
      </c>
      <c r="AJ412" s="120"/>
      <c r="AK412" s="120"/>
      <c r="AL412" s="120"/>
      <c r="AM412" s="120"/>
      <c r="AN412" s="120"/>
      <c r="AO412" s="120"/>
      <c r="AP412" s="120"/>
      <c r="AQ412" s="120"/>
      <c r="AR412" s="120"/>
      <c r="AS412" s="120"/>
      <c r="AT412" s="120"/>
      <c r="AU412" s="120"/>
      <c r="AV412" s="120"/>
      <c r="AW412" s="120"/>
      <c r="AX412" s="120"/>
      <c r="AY412" s="120" t="str">
        <f t="shared" si="2"/>
        <v>上瘾：让用户养成使用习惯的四大产品逻辑(第版）</v>
      </c>
      <c r="AZ412" s="121"/>
      <c r="BA412" s="121"/>
      <c r="BB412" s="121"/>
      <c r="BD412" s="121"/>
      <c r="BE412" s="121"/>
      <c r="BF412" s="124"/>
      <c r="BH412" s="121"/>
      <c r="BI412" s="121"/>
      <c r="BP412" s="121"/>
      <c r="BQ412" s="149"/>
    </row>
    <row r="413" spans="1:69" s="122" customFormat="1" ht="16.5">
      <c r="A413" s="118"/>
      <c r="B413" s="141" t="s">
        <v>1294</v>
      </c>
      <c r="C413" s="120"/>
      <c r="D413" s="120"/>
      <c r="E413" s="119"/>
      <c r="F413" s="120"/>
      <c r="G413" s="120"/>
      <c r="H413" s="120"/>
      <c r="J413" s="120"/>
      <c r="K413" s="120"/>
      <c r="L413" s="120"/>
      <c r="M413" s="120"/>
      <c r="N413" s="121"/>
      <c r="O413" s="120"/>
      <c r="P413" s="118"/>
      <c r="R413" s="123"/>
      <c r="T413" s="123"/>
      <c r="U413" s="123"/>
      <c r="V413" s="123"/>
      <c r="W413" s="123"/>
      <c r="X413" s="123"/>
      <c r="Y413" s="123"/>
      <c r="Z413" s="123"/>
      <c r="AA413" s="123"/>
      <c r="AB413" s="123"/>
      <c r="AC413" s="123"/>
      <c r="AD413" s="123"/>
      <c r="AE413" s="123"/>
      <c r="AF413" s="123"/>
      <c r="AG413" s="123"/>
      <c r="AH413" s="123"/>
      <c r="AI413" s="120" t="s">
        <v>1234</v>
      </c>
      <c r="AJ413" s="120"/>
      <c r="AK413" s="120"/>
      <c r="AL413" s="120"/>
      <c r="AM413" s="120"/>
      <c r="AN413" s="120"/>
      <c r="AO413" s="120"/>
      <c r="AP413" s="120"/>
      <c r="AQ413" s="120"/>
      <c r="AR413" s="120"/>
      <c r="AS413" s="120"/>
      <c r="AT413" s="120"/>
      <c r="AU413" s="120"/>
      <c r="AV413" s="120"/>
      <c r="AW413" s="120"/>
      <c r="AX413" s="120"/>
      <c r="AY413" s="120" t="str">
        <f t="shared" si="2"/>
        <v>长尾理论(第版）</v>
      </c>
      <c r="AZ413" s="121"/>
      <c r="BA413" s="121"/>
      <c r="BB413" s="121"/>
      <c r="BD413" s="121"/>
      <c r="BE413" s="121"/>
      <c r="BF413" s="124"/>
      <c r="BH413" s="121"/>
      <c r="BI413" s="121"/>
      <c r="BP413" s="121"/>
      <c r="BQ413" s="149"/>
    </row>
    <row r="414" spans="1:69" s="122" customFormat="1" ht="16.5">
      <c r="A414" s="118"/>
      <c r="B414" s="141" t="s">
        <v>1295</v>
      </c>
      <c r="C414" s="120"/>
      <c r="D414" s="120"/>
      <c r="E414" s="119"/>
      <c r="F414" s="120"/>
      <c r="G414" s="120"/>
      <c r="H414" s="120"/>
      <c r="J414" s="120"/>
      <c r="K414" s="120"/>
      <c r="L414" s="120"/>
      <c r="M414" s="120"/>
      <c r="N414" s="121"/>
      <c r="O414" s="120"/>
      <c r="P414" s="118"/>
      <c r="R414" s="123"/>
      <c r="T414" s="123"/>
      <c r="U414" s="123"/>
      <c r="V414" s="123"/>
      <c r="W414" s="123"/>
      <c r="X414" s="123"/>
      <c r="Y414" s="123"/>
      <c r="Z414" s="123"/>
      <c r="AA414" s="123"/>
      <c r="AB414" s="123"/>
      <c r="AC414" s="123"/>
      <c r="AD414" s="123"/>
      <c r="AE414" s="123"/>
      <c r="AF414" s="123"/>
      <c r="AG414" s="123"/>
      <c r="AH414" s="123"/>
      <c r="AI414" s="120" t="s">
        <v>1234</v>
      </c>
      <c r="AJ414" s="120"/>
      <c r="AK414" s="120"/>
      <c r="AL414" s="120"/>
      <c r="AM414" s="120"/>
      <c r="AN414" s="120"/>
      <c r="AO414" s="120"/>
      <c r="AP414" s="120"/>
      <c r="AQ414" s="120"/>
      <c r="AR414" s="120"/>
      <c r="AS414" s="120"/>
      <c r="AT414" s="120"/>
      <c r="AU414" s="120"/>
      <c r="AV414" s="120"/>
      <c r="AW414" s="120"/>
      <c r="AX414" s="120"/>
      <c r="AY414" s="120" t="str">
        <f t="shared" si="2"/>
        <v>六顶思考帽(第版）</v>
      </c>
      <c r="AZ414" s="121"/>
      <c r="BA414" s="121"/>
      <c r="BB414" s="121"/>
      <c r="BD414" s="121"/>
      <c r="BE414" s="121"/>
      <c r="BF414" s="124"/>
      <c r="BH414" s="121"/>
      <c r="BI414" s="121"/>
      <c r="BP414" s="121"/>
      <c r="BQ414" s="149"/>
    </row>
    <row r="415" spans="1:69" s="122" customFormat="1" ht="16.5">
      <c r="A415" s="118"/>
      <c r="B415" s="141" t="s">
        <v>1297</v>
      </c>
      <c r="C415" s="120"/>
      <c r="D415" s="120"/>
      <c r="E415" s="119"/>
      <c r="F415" s="120"/>
      <c r="G415" s="120"/>
      <c r="H415" s="120"/>
      <c r="J415" s="120"/>
      <c r="K415" s="120"/>
      <c r="L415" s="120"/>
      <c r="M415" s="120"/>
      <c r="N415" s="121"/>
      <c r="O415" s="120"/>
      <c r="P415" s="118"/>
      <c r="R415" s="123"/>
      <c r="T415" s="123"/>
      <c r="U415" s="123"/>
      <c r="V415" s="123"/>
      <c r="W415" s="123"/>
      <c r="X415" s="123"/>
      <c r="Y415" s="123"/>
      <c r="Z415" s="123"/>
      <c r="AA415" s="123"/>
      <c r="AB415" s="123"/>
      <c r="AC415" s="123"/>
      <c r="AD415" s="123"/>
      <c r="AE415" s="123"/>
      <c r="AF415" s="123"/>
      <c r="AG415" s="123"/>
      <c r="AH415" s="123"/>
      <c r="AI415" s="120"/>
      <c r="AJ415" s="120"/>
      <c r="AK415" s="120" t="s">
        <v>1234</v>
      </c>
      <c r="AL415" s="120"/>
      <c r="AM415" s="120"/>
      <c r="AN415" s="120"/>
      <c r="AO415" s="120"/>
      <c r="AP415" s="120"/>
      <c r="AQ415" s="120"/>
      <c r="AR415" s="120"/>
      <c r="AS415" s="120"/>
      <c r="AT415" s="120"/>
      <c r="AU415" s="120"/>
      <c r="AV415" s="120"/>
      <c r="AW415" s="120"/>
      <c r="AX415" s="120"/>
      <c r="AY415" s="120" t="str">
        <f t="shared" si="2"/>
        <v>人类的未来(第版）</v>
      </c>
      <c r="AZ415" s="121"/>
      <c r="BA415" s="121"/>
      <c r="BB415" s="121"/>
      <c r="BD415" s="121"/>
      <c r="BE415" s="121"/>
      <c r="BF415" s="124"/>
      <c r="BH415" s="121"/>
      <c r="BI415" s="121"/>
      <c r="BP415" s="121"/>
      <c r="BQ415" s="149"/>
    </row>
    <row r="416" spans="1:69" s="122" customFormat="1" ht="16.5">
      <c r="A416" s="118"/>
      <c r="B416" s="141" t="s">
        <v>1563</v>
      </c>
      <c r="C416" s="120"/>
      <c r="D416" s="120"/>
      <c r="E416" s="119"/>
      <c r="F416" s="120"/>
      <c r="G416" s="120"/>
      <c r="H416" s="120"/>
      <c r="J416" s="120"/>
      <c r="K416" s="120"/>
      <c r="L416" s="120"/>
      <c r="M416" s="120"/>
      <c r="N416" s="121"/>
      <c r="O416" s="120"/>
      <c r="P416" s="118"/>
      <c r="R416" s="123"/>
      <c r="T416" s="123"/>
      <c r="U416" s="123"/>
      <c r="V416" s="123"/>
      <c r="W416" s="123"/>
      <c r="X416" s="123"/>
      <c r="Y416" s="123"/>
      <c r="Z416" s="123"/>
      <c r="AA416" s="123"/>
      <c r="AB416" s="123"/>
      <c r="AC416" s="123"/>
      <c r="AD416" s="123"/>
      <c r="AE416" s="123"/>
      <c r="AF416" s="123"/>
      <c r="AG416" s="123"/>
      <c r="AH416" s="123"/>
      <c r="AI416" s="120" t="s">
        <v>1234</v>
      </c>
      <c r="AJ416" s="120"/>
      <c r="AK416" s="120"/>
      <c r="AL416" s="120"/>
      <c r="AM416" s="120"/>
      <c r="AN416" s="120"/>
      <c r="AO416" s="120"/>
      <c r="AP416" s="120"/>
      <c r="AQ416" s="120"/>
      <c r="AR416" s="120"/>
      <c r="AS416" s="120"/>
      <c r="AT416" s="120"/>
      <c r="AU416" s="120"/>
      <c r="AV416" s="120"/>
      <c r="AW416" s="120"/>
      <c r="AX416" s="120"/>
      <c r="AY416" s="120" t="str">
        <f t="shared" si="2"/>
        <v>黑天鹅：如何应对不可预知的未来(第版）</v>
      </c>
      <c r="AZ416" s="121"/>
      <c r="BA416" s="121"/>
      <c r="BB416" s="121"/>
      <c r="BD416" s="121"/>
      <c r="BE416" s="121"/>
      <c r="BF416" s="124"/>
      <c r="BH416" s="121"/>
      <c r="BI416" s="121"/>
      <c r="BP416" s="121"/>
      <c r="BQ416" s="149"/>
    </row>
    <row r="417" spans="1:69" s="122" customFormat="1" ht="16.5">
      <c r="A417" s="118"/>
      <c r="B417" s="141" t="s">
        <v>1408</v>
      </c>
      <c r="C417" s="120"/>
      <c r="D417" s="120"/>
      <c r="E417" s="119"/>
      <c r="F417" s="120"/>
      <c r="G417" s="120"/>
      <c r="H417" s="120"/>
      <c r="J417" s="120"/>
      <c r="K417" s="120"/>
      <c r="L417" s="120"/>
      <c r="M417" s="120"/>
      <c r="N417" s="121"/>
      <c r="O417" s="120"/>
      <c r="P417" s="118"/>
      <c r="R417" s="123"/>
      <c r="T417" s="123"/>
      <c r="U417" s="123"/>
      <c r="V417" s="123"/>
      <c r="W417" s="123"/>
      <c r="X417" s="123"/>
      <c r="Y417" s="123"/>
      <c r="Z417" s="123"/>
      <c r="AA417" s="123"/>
      <c r="AB417" s="123"/>
      <c r="AC417" s="123"/>
      <c r="AD417" s="123"/>
      <c r="AE417" s="123"/>
      <c r="AF417" s="123"/>
      <c r="AG417" s="123"/>
      <c r="AH417" s="123"/>
      <c r="AI417" s="120" t="s">
        <v>1234</v>
      </c>
      <c r="AJ417" s="120"/>
      <c r="AK417" s="120"/>
      <c r="AL417" s="120"/>
      <c r="AM417" s="120"/>
      <c r="AN417" s="120"/>
      <c r="AO417" s="120"/>
      <c r="AP417" s="120"/>
      <c r="AQ417" s="120"/>
      <c r="AR417" s="120"/>
      <c r="AS417" s="120"/>
      <c r="AT417" s="120"/>
      <c r="AU417" s="120"/>
      <c r="AV417" s="120"/>
      <c r="AW417" s="120"/>
      <c r="AX417" s="120"/>
      <c r="AY417" s="120" t="str">
        <f t="shared" si="2"/>
        <v>社交媒体简史：从莎草纸到互联网(第版）</v>
      </c>
      <c r="AZ417" s="121"/>
      <c r="BA417" s="121"/>
      <c r="BB417" s="121"/>
      <c r="BD417" s="121"/>
      <c r="BE417" s="121"/>
      <c r="BF417" s="124"/>
      <c r="BH417" s="121"/>
      <c r="BI417" s="121"/>
      <c r="BP417" s="121"/>
      <c r="BQ417" s="149"/>
    </row>
    <row r="418" spans="1:69" s="122" customFormat="1" ht="16.5">
      <c r="A418" s="118"/>
      <c r="B418" s="141" t="s">
        <v>1298</v>
      </c>
      <c r="C418" s="120"/>
      <c r="D418" s="120"/>
      <c r="E418" s="119"/>
      <c r="F418" s="120"/>
      <c r="G418" s="120"/>
      <c r="H418" s="120"/>
      <c r="J418" s="120"/>
      <c r="K418" s="120"/>
      <c r="L418" s="120"/>
      <c r="M418" s="120"/>
      <c r="N418" s="121"/>
      <c r="O418" s="120"/>
      <c r="P418" s="118"/>
      <c r="R418" s="123"/>
      <c r="T418" s="123"/>
      <c r="U418" s="123"/>
      <c r="V418" s="123"/>
      <c r="W418" s="123"/>
      <c r="X418" s="123"/>
      <c r="Y418" s="123"/>
      <c r="Z418" s="123"/>
      <c r="AA418" s="123"/>
      <c r="AB418" s="123"/>
      <c r="AC418" s="123"/>
      <c r="AD418" s="123"/>
      <c r="AE418" s="123"/>
      <c r="AF418" s="123"/>
      <c r="AG418" s="123"/>
      <c r="AH418" s="123"/>
      <c r="AI418" s="120" t="s">
        <v>1218</v>
      </c>
      <c r="AJ418" s="120"/>
      <c r="AK418" s="120"/>
      <c r="AL418" s="120"/>
      <c r="AM418" s="120"/>
      <c r="AN418" s="120"/>
      <c r="AO418" s="120"/>
      <c r="AP418" s="120"/>
      <c r="AQ418" s="120"/>
      <c r="AR418" s="120"/>
      <c r="AS418" s="120"/>
      <c r="AT418" s="120"/>
      <c r="AU418" s="120"/>
      <c r="AV418" s="120"/>
      <c r="AW418" s="120"/>
      <c r="AX418" s="120"/>
      <c r="AY418" s="120" t="str">
        <f t="shared" si="2"/>
        <v>高能量姿势(第版）</v>
      </c>
      <c r="AZ418" s="121"/>
      <c r="BA418" s="121"/>
      <c r="BB418" s="121"/>
      <c r="BD418" s="121"/>
      <c r="BE418" s="121"/>
      <c r="BF418" s="124"/>
      <c r="BH418" s="121"/>
      <c r="BI418" s="121"/>
      <c r="BP418" s="121"/>
      <c r="BQ418" s="149"/>
    </row>
    <row r="419" spans="1:69" s="122" customFormat="1" ht="16.5">
      <c r="A419" s="118"/>
      <c r="B419" s="141" t="s">
        <v>1299</v>
      </c>
      <c r="C419" s="120"/>
      <c r="D419" s="120"/>
      <c r="E419" s="119"/>
      <c r="F419" s="120"/>
      <c r="G419" s="120"/>
      <c r="H419" s="120"/>
      <c r="J419" s="120"/>
      <c r="K419" s="120"/>
      <c r="L419" s="120"/>
      <c r="M419" s="120"/>
      <c r="N419" s="121"/>
      <c r="O419" s="120"/>
      <c r="P419" s="118"/>
      <c r="R419" s="123"/>
      <c r="T419" s="123"/>
      <c r="U419" s="123"/>
      <c r="V419" s="123"/>
      <c r="W419" s="123"/>
      <c r="X419" s="123"/>
      <c r="Y419" s="123"/>
      <c r="Z419" s="123"/>
      <c r="AA419" s="123"/>
      <c r="AB419" s="123"/>
      <c r="AC419" s="123"/>
      <c r="AD419" s="123"/>
      <c r="AE419" s="123"/>
      <c r="AF419" s="123"/>
      <c r="AG419" s="123"/>
      <c r="AH419" s="123"/>
      <c r="AI419" s="120" t="s">
        <v>1234</v>
      </c>
      <c r="AJ419" s="120"/>
      <c r="AK419" s="120"/>
      <c r="AL419" s="120"/>
      <c r="AM419" s="120"/>
      <c r="AN419" s="120"/>
      <c r="AO419" s="120"/>
      <c r="AP419" s="120"/>
      <c r="AQ419" s="120"/>
      <c r="AR419" s="120"/>
      <c r="AS419" s="120"/>
      <c r="AT419" s="120"/>
      <c r="AU419" s="120"/>
      <c r="AV419" s="120"/>
      <c r="AW419" s="120"/>
      <c r="AX419" s="120"/>
      <c r="AY419" s="120" t="str">
        <f t="shared" si="2"/>
        <v>学会争辩(第版）</v>
      </c>
      <c r="AZ419" s="121"/>
      <c r="BA419" s="121"/>
      <c r="BB419" s="121"/>
      <c r="BD419" s="121"/>
      <c r="BE419" s="121"/>
      <c r="BF419" s="124"/>
      <c r="BH419" s="121"/>
      <c r="BI419" s="121"/>
      <c r="BP419" s="121"/>
      <c r="BQ419" s="149"/>
    </row>
    <row r="420" spans="1:69" s="122" customFormat="1" ht="33">
      <c r="A420" s="118"/>
      <c r="B420" s="141" t="s">
        <v>1564</v>
      </c>
      <c r="C420" s="120"/>
      <c r="D420" s="120"/>
      <c r="E420" s="119"/>
      <c r="F420" s="120"/>
      <c r="G420" s="120"/>
      <c r="H420" s="120"/>
      <c r="J420" s="120"/>
      <c r="K420" s="120"/>
      <c r="L420" s="120"/>
      <c r="M420" s="120"/>
      <c r="N420" s="121"/>
      <c r="O420" s="120"/>
      <c r="P420" s="118"/>
      <c r="R420" s="123"/>
      <c r="T420" s="123"/>
      <c r="U420" s="123"/>
      <c r="V420" s="123"/>
      <c r="W420" s="123"/>
      <c r="X420" s="123"/>
      <c r="Y420" s="123"/>
      <c r="Z420" s="123"/>
      <c r="AA420" s="123"/>
      <c r="AB420" s="123"/>
      <c r="AC420" s="123"/>
      <c r="AD420" s="123"/>
      <c r="AE420" s="123"/>
      <c r="AF420" s="123"/>
      <c r="AG420" s="123"/>
      <c r="AH420" s="123"/>
      <c r="AI420" s="120" t="s">
        <v>1234</v>
      </c>
      <c r="AJ420" s="120"/>
      <c r="AK420" s="120"/>
      <c r="AL420" s="120"/>
      <c r="AM420" s="120"/>
      <c r="AN420" s="120"/>
      <c r="AO420" s="120"/>
      <c r="AP420" s="120"/>
      <c r="AQ420" s="120"/>
      <c r="AR420" s="120"/>
      <c r="AS420" s="120"/>
      <c r="AT420" s="120"/>
      <c r="AU420" s="120"/>
      <c r="AV420" s="120"/>
      <c r="AW420" s="120"/>
      <c r="AX420" s="120"/>
      <c r="AY420" s="120" t="str">
        <f t="shared" si="2"/>
        <v>MBA一日读2.0：一日之内学完知名商学院的全部课程(第版）</v>
      </c>
      <c r="AZ420" s="121"/>
      <c r="BA420" s="121"/>
      <c r="BB420" s="121"/>
      <c r="BD420" s="121"/>
      <c r="BE420" s="121"/>
      <c r="BF420" s="124"/>
      <c r="BH420" s="121"/>
      <c r="BI420" s="121"/>
      <c r="BP420" s="121"/>
      <c r="BQ420" s="149"/>
    </row>
    <row r="421" spans="1:69" s="122" customFormat="1" ht="16.5">
      <c r="A421" s="118"/>
      <c r="B421" s="141" t="s">
        <v>1565</v>
      </c>
      <c r="C421" s="120"/>
      <c r="D421" s="120"/>
      <c r="E421" s="119"/>
      <c r="F421" s="120"/>
      <c r="G421" s="120"/>
      <c r="H421" s="120"/>
      <c r="J421" s="120"/>
      <c r="K421" s="120"/>
      <c r="L421" s="120"/>
      <c r="M421" s="120"/>
      <c r="N421" s="121"/>
      <c r="O421" s="120"/>
      <c r="P421" s="118"/>
      <c r="R421" s="123"/>
      <c r="T421" s="123"/>
      <c r="U421" s="123"/>
      <c r="V421" s="123"/>
      <c r="W421" s="123"/>
      <c r="X421" s="123"/>
      <c r="Y421" s="123"/>
      <c r="Z421" s="123"/>
      <c r="AA421" s="123"/>
      <c r="AB421" s="123"/>
      <c r="AC421" s="123"/>
      <c r="AD421" s="123"/>
      <c r="AE421" s="123"/>
      <c r="AF421" s="123"/>
      <c r="AG421" s="123"/>
      <c r="AH421" s="123"/>
      <c r="AI421" s="120" t="s">
        <v>1218</v>
      </c>
      <c r="AJ421" s="120"/>
      <c r="AK421" s="120"/>
      <c r="AL421" s="120"/>
      <c r="AM421" s="120"/>
      <c r="AN421" s="120"/>
      <c r="AO421" s="120"/>
      <c r="AP421" s="120"/>
      <c r="AQ421" s="120"/>
      <c r="AR421" s="120"/>
      <c r="AS421" s="120"/>
      <c r="AT421" s="120"/>
      <c r="AU421" s="120"/>
      <c r="AV421" s="120"/>
      <c r="AW421" s="120"/>
      <c r="AX421" s="120"/>
      <c r="AY421" s="120" t="str">
        <f t="shared" si="2"/>
        <v>平台革命(第版）</v>
      </c>
      <c r="AZ421" s="121"/>
      <c r="BA421" s="121"/>
      <c r="BB421" s="121"/>
      <c r="BD421" s="121"/>
      <c r="BE421" s="121"/>
      <c r="BF421" s="124"/>
      <c r="BH421" s="121"/>
      <c r="BI421" s="121"/>
      <c r="BP421" s="121"/>
      <c r="BQ421" s="149"/>
    </row>
    <row r="422" spans="1:69" s="122" customFormat="1" ht="33">
      <c r="A422" s="118"/>
      <c r="B422" s="141" t="s">
        <v>1300</v>
      </c>
      <c r="C422" s="120"/>
      <c r="D422" s="120"/>
      <c r="E422" s="119"/>
      <c r="F422" s="120"/>
      <c r="G422" s="120"/>
      <c r="H422" s="120"/>
      <c r="J422" s="120"/>
      <c r="K422" s="120"/>
      <c r="L422" s="120"/>
      <c r="M422" s="120"/>
      <c r="N422" s="121"/>
      <c r="O422" s="120"/>
      <c r="P422" s="118"/>
      <c r="R422" s="123"/>
      <c r="T422" s="123"/>
      <c r="U422" s="123"/>
      <c r="V422" s="123"/>
      <c r="W422" s="123"/>
      <c r="X422" s="123"/>
      <c r="Y422" s="123"/>
      <c r="Z422" s="123"/>
      <c r="AA422" s="123"/>
      <c r="AB422" s="123"/>
      <c r="AC422" s="123"/>
      <c r="AD422" s="123"/>
      <c r="AE422" s="123"/>
      <c r="AF422" s="123"/>
      <c r="AG422" s="123"/>
      <c r="AH422" s="123"/>
      <c r="AI422" s="120" t="s">
        <v>1234</v>
      </c>
      <c r="AJ422" s="120"/>
      <c r="AK422" s="120"/>
      <c r="AL422" s="120"/>
      <c r="AM422" s="120"/>
      <c r="AN422" s="120"/>
      <c r="AO422" s="120"/>
      <c r="AP422" s="120"/>
      <c r="AQ422" s="120"/>
      <c r="AR422" s="120"/>
      <c r="AS422" s="120"/>
      <c r="AT422" s="120"/>
      <c r="AU422" s="120"/>
      <c r="AV422" s="120"/>
      <c r="AW422" s="120"/>
      <c r="AX422" s="120"/>
      <c r="AY422" s="120" t="str">
        <f t="shared" si="2"/>
        <v>有序创业24步法：创新型创业成功的方法论(第版）</v>
      </c>
      <c r="AZ422" s="121"/>
      <c r="BA422" s="121"/>
      <c r="BB422" s="121"/>
      <c r="BD422" s="121"/>
      <c r="BE422" s="121"/>
      <c r="BF422" s="124"/>
      <c r="BH422" s="121"/>
      <c r="BI422" s="121"/>
      <c r="BP422" s="121"/>
      <c r="BQ422" s="149"/>
    </row>
    <row r="423" spans="1:69" s="122" customFormat="1" ht="16.5">
      <c r="A423" s="118"/>
      <c r="B423" s="141" t="s">
        <v>1566</v>
      </c>
      <c r="C423" s="120"/>
      <c r="D423" s="120"/>
      <c r="E423" s="119"/>
      <c r="F423" s="120"/>
      <c r="G423" s="120"/>
      <c r="H423" s="120"/>
      <c r="J423" s="120"/>
      <c r="K423" s="120"/>
      <c r="L423" s="120"/>
      <c r="M423" s="120"/>
      <c r="N423" s="121"/>
      <c r="O423" s="120"/>
      <c r="P423" s="118"/>
      <c r="R423" s="123"/>
      <c r="T423" s="123"/>
      <c r="U423" s="123"/>
      <c r="V423" s="123"/>
      <c r="W423" s="123"/>
      <c r="X423" s="123"/>
      <c r="Y423" s="123"/>
      <c r="Z423" s="123"/>
      <c r="AA423" s="123"/>
      <c r="AB423" s="123"/>
      <c r="AC423" s="123"/>
      <c r="AD423" s="123"/>
      <c r="AE423" s="123"/>
      <c r="AF423" s="123"/>
      <c r="AG423" s="123"/>
      <c r="AH423" s="123"/>
      <c r="AI423" s="120" t="s">
        <v>1234</v>
      </c>
      <c r="AJ423" s="120"/>
      <c r="AK423" s="120"/>
      <c r="AL423" s="120"/>
      <c r="AM423" s="120"/>
      <c r="AN423" s="120"/>
      <c r="AO423" s="120"/>
      <c r="AP423" s="120"/>
      <c r="AQ423" s="120"/>
      <c r="AR423" s="120"/>
      <c r="AS423" s="120"/>
      <c r="AT423" s="120"/>
      <c r="AU423" s="120"/>
      <c r="AV423" s="120"/>
      <c r="AW423" s="120"/>
      <c r="AX423" s="120"/>
      <c r="AY423" s="120" t="str">
        <f t="shared" si="2"/>
        <v>风险认知：如何精准决策(第版）</v>
      </c>
      <c r="AZ423" s="121"/>
      <c r="BA423" s="121"/>
      <c r="BB423" s="121"/>
      <c r="BD423" s="121"/>
      <c r="BE423" s="121"/>
      <c r="BF423" s="124"/>
      <c r="BH423" s="121"/>
      <c r="BI423" s="121"/>
      <c r="BP423" s="121"/>
      <c r="BQ423" s="149"/>
    </row>
    <row r="425" spans="1:69" s="122" customFormat="1" ht="16.5">
      <c r="A425" s="118"/>
      <c r="B425" s="141" t="s">
        <v>1567</v>
      </c>
      <c r="C425" s="120"/>
      <c r="D425" s="120"/>
      <c r="E425" s="119"/>
      <c r="F425" s="120"/>
      <c r="G425" s="120"/>
      <c r="H425" s="120"/>
      <c r="J425" s="120"/>
      <c r="K425" s="120"/>
      <c r="L425" s="120"/>
      <c r="M425" s="120"/>
      <c r="N425" s="121"/>
      <c r="O425" s="120"/>
      <c r="P425" s="118"/>
      <c r="R425" s="123"/>
      <c r="T425" s="123"/>
      <c r="U425" s="123"/>
      <c r="V425" s="123"/>
      <c r="W425" s="123"/>
      <c r="X425" s="123"/>
      <c r="Y425" s="123"/>
      <c r="Z425" s="123"/>
      <c r="AA425" s="123"/>
      <c r="AB425" s="123"/>
      <c r="AC425" s="123"/>
      <c r="AD425" s="123"/>
      <c r="AE425" s="123"/>
      <c r="AF425" s="123"/>
      <c r="AG425" s="123"/>
      <c r="AH425" s="123"/>
      <c r="AI425" s="120" t="s">
        <v>1234</v>
      </c>
      <c r="AJ425" s="120"/>
      <c r="AK425" s="120"/>
      <c r="AL425" s="120"/>
      <c r="AM425" s="120"/>
      <c r="AN425" s="120"/>
      <c r="AO425" s="120"/>
      <c r="AP425" s="120"/>
      <c r="AQ425" s="120"/>
      <c r="AR425" s="120"/>
      <c r="AS425" s="120"/>
      <c r="AT425" s="120"/>
      <c r="AU425" s="120"/>
      <c r="AV425" s="120"/>
      <c r="AW425" s="120"/>
      <c r="AX425" s="120"/>
      <c r="AY425" s="120" t="str">
        <f t="shared" ref="AY425:AY454" si="3">B425&amp;"(第"&amp;C425&amp;"版）"</f>
        <v>赋能：打造应对不确定性的团队(第版）</v>
      </c>
      <c r="AZ425" s="121"/>
      <c r="BA425" s="121"/>
      <c r="BB425" s="121"/>
      <c r="BD425" s="121"/>
      <c r="BE425" s="121"/>
      <c r="BF425" s="124"/>
      <c r="BH425" s="121"/>
      <c r="BI425" s="121"/>
      <c r="BP425" s="121"/>
      <c r="BQ425" s="149"/>
    </row>
    <row r="426" spans="1:69" s="122" customFormat="1" ht="16.5">
      <c r="A426" s="118"/>
      <c r="B426" s="141" t="s">
        <v>1568</v>
      </c>
      <c r="C426" s="120"/>
      <c r="D426" s="120"/>
      <c r="E426" s="119"/>
      <c r="F426" s="120"/>
      <c r="G426" s="120"/>
      <c r="H426" s="120"/>
      <c r="J426" s="120"/>
      <c r="K426" s="120"/>
      <c r="L426" s="120"/>
      <c r="M426" s="120"/>
      <c r="N426" s="121"/>
      <c r="O426" s="120"/>
      <c r="P426" s="118"/>
      <c r="R426" s="123"/>
      <c r="T426" s="123"/>
      <c r="U426" s="123"/>
      <c r="V426" s="123"/>
      <c r="W426" s="123"/>
      <c r="X426" s="123"/>
      <c r="Y426" s="123"/>
      <c r="Z426" s="123"/>
      <c r="AA426" s="123"/>
      <c r="AB426" s="123"/>
      <c r="AC426" s="123"/>
      <c r="AD426" s="123"/>
      <c r="AE426" s="123"/>
      <c r="AF426" s="123"/>
      <c r="AG426" s="123"/>
      <c r="AH426" s="123"/>
      <c r="AI426" s="120" t="s">
        <v>1234</v>
      </c>
      <c r="AJ426" s="120"/>
      <c r="AK426" s="120"/>
      <c r="AL426" s="120"/>
      <c r="AM426" s="120"/>
      <c r="AN426" s="120"/>
      <c r="AO426" s="120"/>
      <c r="AP426" s="120"/>
      <c r="AQ426" s="120"/>
      <c r="AR426" s="120"/>
      <c r="AS426" s="120"/>
      <c r="AT426" s="120"/>
      <c r="AU426" s="120"/>
      <c r="AV426" s="120"/>
      <c r="AW426" s="120"/>
      <c r="AX426" s="120"/>
      <c r="AY426" s="120" t="str">
        <f t="shared" si="3"/>
        <v>能力清单(第版）</v>
      </c>
      <c r="AZ426" s="121"/>
      <c r="BA426" s="121"/>
      <c r="BB426" s="121"/>
      <c r="BD426" s="121"/>
      <c r="BE426" s="121"/>
      <c r="BF426" s="124"/>
      <c r="BH426" s="121"/>
      <c r="BI426" s="121"/>
      <c r="BP426" s="121"/>
      <c r="BQ426" s="149"/>
    </row>
    <row r="427" spans="1:69" s="122" customFormat="1" ht="16.5">
      <c r="A427" s="118"/>
      <c r="B427" s="141" t="s">
        <v>1301</v>
      </c>
      <c r="C427" s="120"/>
      <c r="D427" s="120"/>
      <c r="E427" s="119"/>
      <c r="F427" s="120"/>
      <c r="G427" s="120"/>
      <c r="H427" s="120"/>
      <c r="J427" s="120"/>
      <c r="K427" s="120"/>
      <c r="L427" s="120"/>
      <c r="M427" s="120"/>
      <c r="N427" s="121"/>
      <c r="O427" s="120"/>
      <c r="P427" s="118"/>
      <c r="R427" s="123"/>
      <c r="T427" s="123"/>
      <c r="U427" s="123"/>
      <c r="V427" s="123"/>
      <c r="W427" s="123"/>
      <c r="X427" s="123"/>
      <c r="Y427" s="123"/>
      <c r="Z427" s="123"/>
      <c r="AA427" s="123"/>
      <c r="AB427" s="123"/>
      <c r="AC427" s="123"/>
      <c r="AD427" s="123"/>
      <c r="AE427" s="123"/>
      <c r="AF427" s="123"/>
      <c r="AG427" s="123"/>
      <c r="AH427" s="123"/>
      <c r="AI427" s="120" t="s">
        <v>1234</v>
      </c>
      <c r="AJ427" s="120"/>
      <c r="AK427" s="120"/>
      <c r="AL427" s="120"/>
      <c r="AM427" s="120"/>
      <c r="AN427" s="120"/>
      <c r="AO427" s="120"/>
      <c r="AP427" s="120"/>
      <c r="AQ427" s="120"/>
      <c r="AR427" s="120"/>
      <c r="AS427" s="120"/>
      <c r="AT427" s="120"/>
      <c r="AU427" s="120"/>
      <c r="AV427" s="120"/>
      <c r="AW427" s="120"/>
      <c r="AX427" s="120"/>
      <c r="AY427" s="120" t="str">
        <f t="shared" si="3"/>
        <v>他们创造了美国(第版）</v>
      </c>
      <c r="AZ427" s="121"/>
      <c r="BA427" s="121"/>
      <c r="BB427" s="121"/>
      <c r="BD427" s="121"/>
      <c r="BE427" s="121"/>
      <c r="BF427" s="124"/>
      <c r="BH427" s="121"/>
      <c r="BI427" s="121"/>
      <c r="BP427" s="121"/>
      <c r="BQ427" s="149"/>
    </row>
    <row r="428" spans="1:69" s="122" customFormat="1" ht="16.5">
      <c r="A428" s="118"/>
      <c r="B428" s="141" t="s">
        <v>1302</v>
      </c>
      <c r="C428" s="120"/>
      <c r="D428" s="120"/>
      <c r="E428" s="119"/>
      <c r="F428" s="120"/>
      <c r="G428" s="120"/>
      <c r="H428" s="120"/>
      <c r="J428" s="120"/>
      <c r="K428" s="120"/>
      <c r="L428" s="120"/>
      <c r="M428" s="120"/>
      <c r="N428" s="121"/>
      <c r="O428" s="120"/>
      <c r="P428" s="118"/>
      <c r="R428" s="123"/>
      <c r="T428" s="123"/>
      <c r="U428" s="123"/>
      <c r="V428" s="123"/>
      <c r="W428" s="123"/>
      <c r="X428" s="123"/>
      <c r="Y428" s="123"/>
      <c r="Z428" s="123"/>
      <c r="AA428" s="123"/>
      <c r="AB428" s="123"/>
      <c r="AC428" s="123"/>
      <c r="AD428" s="123"/>
      <c r="AE428" s="123"/>
      <c r="AF428" s="123"/>
      <c r="AG428" s="123"/>
      <c r="AH428" s="123"/>
      <c r="AI428" s="120" t="s">
        <v>1218</v>
      </c>
      <c r="AJ428" s="120"/>
      <c r="AK428" s="120"/>
      <c r="AL428" s="120"/>
      <c r="AM428" s="120"/>
      <c r="AN428" s="120"/>
      <c r="AO428" s="120"/>
      <c r="AP428" s="120"/>
      <c r="AQ428" s="120"/>
      <c r="AR428" s="120"/>
      <c r="AS428" s="120"/>
      <c r="AT428" s="120"/>
      <c r="AU428" s="120"/>
      <c r="AV428" s="120"/>
      <c r="AW428" s="120"/>
      <c r="AX428" s="120"/>
      <c r="AY428" s="120" t="str">
        <f t="shared" si="3"/>
        <v>风险与好的决策(第版）</v>
      </c>
      <c r="AZ428" s="121"/>
      <c r="BA428" s="121"/>
      <c r="BB428" s="121"/>
      <c r="BD428" s="121"/>
      <c r="BE428" s="121"/>
      <c r="BF428" s="124"/>
      <c r="BH428" s="121"/>
      <c r="BI428" s="121"/>
      <c r="BP428" s="121"/>
      <c r="BQ428" s="149"/>
    </row>
    <row r="429" spans="1:69" s="122" customFormat="1" ht="16.5">
      <c r="A429" s="118"/>
      <c r="B429" s="141" t="s">
        <v>1303</v>
      </c>
      <c r="C429" s="120"/>
      <c r="D429" s="120"/>
      <c r="E429" s="119"/>
      <c r="F429" s="120"/>
      <c r="G429" s="120"/>
      <c r="H429" s="120"/>
      <c r="J429" s="120"/>
      <c r="K429" s="120"/>
      <c r="L429" s="120"/>
      <c r="M429" s="120"/>
      <c r="N429" s="121"/>
      <c r="O429" s="120"/>
      <c r="P429" s="118"/>
      <c r="R429" s="123"/>
      <c r="T429" s="123"/>
      <c r="U429" s="123"/>
      <c r="V429" s="123"/>
      <c r="W429" s="123"/>
      <c r="X429" s="123"/>
      <c r="Y429" s="123"/>
      <c r="Z429" s="123"/>
      <c r="AA429" s="123"/>
      <c r="AB429" s="123"/>
      <c r="AC429" s="123"/>
      <c r="AD429" s="123"/>
      <c r="AE429" s="123"/>
      <c r="AF429" s="123"/>
      <c r="AG429" s="123"/>
      <c r="AH429" s="123"/>
      <c r="AI429" s="120" t="s">
        <v>1218</v>
      </c>
      <c r="AJ429" s="120"/>
      <c r="AK429" s="120"/>
      <c r="AL429" s="120"/>
      <c r="AM429" s="120"/>
      <c r="AN429" s="120"/>
      <c r="AO429" s="120"/>
      <c r="AP429" s="120"/>
      <c r="AQ429" s="120"/>
      <c r="AR429" s="120"/>
      <c r="AS429" s="120"/>
      <c r="AT429" s="120"/>
      <c r="AU429" s="120"/>
      <c r="AV429" s="120"/>
      <c r="AW429" s="120"/>
      <c r="AX429" s="120"/>
      <c r="AY429" s="120" t="str">
        <f t="shared" si="3"/>
        <v>管理成就生活(第版）</v>
      </c>
      <c r="AZ429" s="121"/>
      <c r="BA429" s="121"/>
      <c r="BB429" s="121"/>
      <c r="BD429" s="121"/>
      <c r="BE429" s="121"/>
      <c r="BF429" s="124"/>
      <c r="BH429" s="121"/>
      <c r="BI429" s="121"/>
      <c r="BP429" s="121"/>
      <c r="BQ429" s="149"/>
    </row>
    <row r="430" spans="1:69" s="122" customFormat="1" ht="33">
      <c r="A430" s="118"/>
      <c r="B430" s="141" t="s">
        <v>1569</v>
      </c>
      <c r="C430" s="120"/>
      <c r="D430" s="120"/>
      <c r="E430" s="119"/>
      <c r="F430" s="120"/>
      <c r="G430" s="120"/>
      <c r="H430" s="120"/>
      <c r="J430" s="120"/>
      <c r="K430" s="120"/>
      <c r="L430" s="120"/>
      <c r="M430" s="120"/>
      <c r="N430" s="121"/>
      <c r="O430" s="120"/>
      <c r="P430" s="118"/>
      <c r="R430" s="123"/>
      <c r="T430" s="123"/>
      <c r="U430" s="123"/>
      <c r="V430" s="123"/>
      <c r="W430" s="123"/>
      <c r="X430" s="123"/>
      <c r="Y430" s="123"/>
      <c r="Z430" s="123"/>
      <c r="AA430" s="123"/>
      <c r="AB430" s="123"/>
      <c r="AC430" s="123"/>
      <c r="AD430" s="123"/>
      <c r="AE430" s="123"/>
      <c r="AF430" s="123"/>
      <c r="AG430" s="123"/>
      <c r="AH430" s="123"/>
      <c r="AI430" s="120" t="s">
        <v>1234</v>
      </c>
      <c r="AJ430" s="120"/>
      <c r="AK430" s="120"/>
      <c r="AL430" s="120"/>
      <c r="AM430" s="120"/>
      <c r="AN430" s="120"/>
      <c r="AO430" s="120"/>
      <c r="AP430" s="120"/>
      <c r="AQ430" s="120"/>
      <c r="AR430" s="120"/>
      <c r="AS430" s="120"/>
      <c r="AT430" s="120"/>
      <c r="AU430" s="120"/>
      <c r="AV430" s="120"/>
      <c r="AW430" s="120"/>
      <c r="AX430" s="120"/>
      <c r="AY430" s="120" t="str">
        <f t="shared" si="3"/>
        <v>OKR工作法：谷歌，领英等顶级公司的高绩效秘籍(第版）</v>
      </c>
      <c r="AZ430" s="121"/>
      <c r="BA430" s="121"/>
      <c r="BB430" s="121"/>
      <c r="BD430" s="121"/>
      <c r="BE430" s="121"/>
      <c r="BF430" s="124"/>
      <c r="BH430" s="121"/>
      <c r="BI430" s="121"/>
      <c r="BP430" s="121"/>
      <c r="BQ430" s="149"/>
    </row>
    <row r="431" spans="1:69" s="122" customFormat="1" ht="16.5">
      <c r="A431" s="118"/>
      <c r="B431" s="141" t="s">
        <v>1571</v>
      </c>
      <c r="C431" s="120"/>
      <c r="D431" s="120"/>
      <c r="E431" s="119"/>
      <c r="F431" s="120"/>
      <c r="G431" s="120"/>
      <c r="H431" s="120"/>
      <c r="J431" s="120"/>
      <c r="K431" s="120"/>
      <c r="L431" s="120"/>
      <c r="M431" s="120"/>
      <c r="N431" s="121"/>
      <c r="O431" s="120"/>
      <c r="P431" s="118"/>
      <c r="R431" s="123"/>
      <c r="T431" s="123"/>
      <c r="U431" s="123"/>
      <c r="V431" s="123"/>
      <c r="W431" s="123"/>
      <c r="X431" s="123"/>
      <c r="Y431" s="123"/>
      <c r="Z431" s="123"/>
      <c r="AA431" s="123"/>
      <c r="AB431" s="123"/>
      <c r="AC431" s="123"/>
      <c r="AD431" s="123"/>
      <c r="AE431" s="123"/>
      <c r="AF431" s="123"/>
      <c r="AG431" s="123"/>
      <c r="AH431" s="123"/>
      <c r="AI431" s="120" t="s">
        <v>1234</v>
      </c>
      <c r="AJ431" s="120"/>
      <c r="AK431" s="120"/>
      <c r="AL431" s="120"/>
      <c r="AM431" s="120"/>
      <c r="AN431" s="120"/>
      <c r="AO431" s="120"/>
      <c r="AP431" s="120"/>
      <c r="AQ431" s="120"/>
      <c r="AR431" s="120"/>
      <c r="AS431" s="120"/>
      <c r="AT431" s="120"/>
      <c r="AU431" s="120"/>
      <c r="AV431" s="120"/>
      <c r="AW431" s="120"/>
      <c r="AX431" s="120"/>
      <c r="AY431" s="120" t="str">
        <f t="shared" si="3"/>
        <v>创业维艰：如何完成比难更难的事(第版）</v>
      </c>
      <c r="AZ431" s="121"/>
      <c r="BA431" s="121"/>
      <c r="BB431" s="121"/>
      <c r="BD431" s="121"/>
      <c r="BE431" s="121"/>
      <c r="BF431" s="124"/>
      <c r="BH431" s="121"/>
      <c r="BI431" s="121"/>
      <c r="BP431" s="121"/>
      <c r="BQ431" s="149"/>
    </row>
    <row r="432" spans="1:69" s="122" customFormat="1" ht="16.5">
      <c r="A432" s="118"/>
      <c r="B432" s="141" t="s">
        <v>1572</v>
      </c>
      <c r="C432" s="120"/>
      <c r="D432" s="120"/>
      <c r="E432" s="119"/>
      <c r="F432" s="120"/>
      <c r="G432" s="120"/>
      <c r="H432" s="120"/>
      <c r="J432" s="120"/>
      <c r="K432" s="120"/>
      <c r="L432" s="120"/>
      <c r="M432" s="120"/>
      <c r="N432" s="121"/>
      <c r="O432" s="120"/>
      <c r="P432" s="118"/>
      <c r="R432" s="123"/>
      <c r="T432" s="123"/>
      <c r="U432" s="123"/>
      <c r="V432" s="123"/>
      <c r="W432" s="123"/>
      <c r="X432" s="123"/>
      <c r="Y432" s="123"/>
      <c r="Z432" s="123"/>
      <c r="AA432" s="123"/>
      <c r="AB432" s="123"/>
      <c r="AC432" s="123"/>
      <c r="AD432" s="123"/>
      <c r="AE432" s="123"/>
      <c r="AF432" s="123"/>
      <c r="AG432" s="123"/>
      <c r="AH432" s="123"/>
      <c r="AI432" s="120" t="s">
        <v>1234</v>
      </c>
      <c r="AJ432" s="120"/>
      <c r="AK432" s="120"/>
      <c r="AL432" s="120"/>
      <c r="AM432" s="120"/>
      <c r="AN432" s="120"/>
      <c r="AO432" s="120"/>
      <c r="AP432" s="120"/>
      <c r="AQ432" s="120"/>
      <c r="AR432" s="120"/>
      <c r="AS432" s="120"/>
      <c r="AT432" s="120"/>
      <c r="AU432" s="120"/>
      <c r="AV432" s="120"/>
      <c r="AW432" s="120"/>
      <c r="AX432" s="120"/>
      <c r="AY432" s="120" t="str">
        <f t="shared" si="3"/>
        <v>战略思维(第版）</v>
      </c>
      <c r="AZ432" s="121"/>
      <c r="BA432" s="121"/>
      <c r="BB432" s="121"/>
      <c r="BD432" s="121"/>
      <c r="BE432" s="121"/>
      <c r="BF432" s="124"/>
      <c r="BH432" s="121"/>
      <c r="BI432" s="121"/>
      <c r="BP432" s="121"/>
      <c r="BQ432" s="149"/>
    </row>
    <row r="433" spans="1:69" s="122" customFormat="1" ht="16.5">
      <c r="A433" s="118"/>
      <c r="B433" s="141" t="s">
        <v>1573</v>
      </c>
      <c r="C433" s="120"/>
      <c r="D433" s="120"/>
      <c r="E433" s="119"/>
      <c r="F433" s="120"/>
      <c r="G433" s="120"/>
      <c r="H433" s="120"/>
      <c r="J433" s="120"/>
      <c r="K433" s="120"/>
      <c r="L433" s="120"/>
      <c r="M433" s="120"/>
      <c r="N433" s="121"/>
      <c r="O433" s="120"/>
      <c r="P433" s="118"/>
      <c r="R433" s="123"/>
      <c r="T433" s="123"/>
      <c r="U433" s="123"/>
      <c r="V433" s="123"/>
      <c r="W433" s="123"/>
      <c r="X433" s="123"/>
      <c r="Y433" s="123"/>
      <c r="Z433" s="123"/>
      <c r="AA433" s="123"/>
      <c r="AB433" s="123"/>
      <c r="AC433" s="123"/>
      <c r="AD433" s="123"/>
      <c r="AE433" s="123"/>
      <c r="AF433" s="123"/>
      <c r="AG433" s="123"/>
      <c r="AH433" s="123"/>
      <c r="AI433" s="120" t="s">
        <v>1234</v>
      </c>
      <c r="AJ433" s="120"/>
      <c r="AK433" s="120"/>
      <c r="AL433" s="120"/>
      <c r="AM433" s="120"/>
      <c r="AN433" s="120"/>
      <c r="AO433" s="120"/>
      <c r="AP433" s="120"/>
      <c r="AQ433" s="120"/>
      <c r="AR433" s="120"/>
      <c r="AS433" s="120"/>
      <c r="AT433" s="120"/>
      <c r="AU433" s="120"/>
      <c r="AV433" s="120"/>
      <c r="AW433" s="120"/>
      <c r="AX433" s="120"/>
      <c r="AY433" s="120" t="str">
        <f t="shared" si="3"/>
        <v>意义革命：成为卓越成就的领导力(第版）</v>
      </c>
      <c r="AZ433" s="121"/>
      <c r="BA433" s="121"/>
      <c r="BB433" s="121"/>
      <c r="BD433" s="121"/>
      <c r="BE433" s="121"/>
      <c r="BF433" s="124"/>
      <c r="BH433" s="121"/>
      <c r="BI433" s="121"/>
      <c r="BP433" s="121"/>
      <c r="BQ433" s="149"/>
    </row>
    <row r="434" spans="1:69" s="122" customFormat="1" ht="33">
      <c r="A434" s="118"/>
      <c r="B434" s="141" t="s">
        <v>1574</v>
      </c>
      <c r="C434" s="120"/>
      <c r="D434" s="120"/>
      <c r="E434" s="119"/>
      <c r="F434" s="120"/>
      <c r="G434" s="120"/>
      <c r="H434" s="120"/>
      <c r="J434" s="120"/>
      <c r="K434" s="120"/>
      <c r="L434" s="120"/>
      <c r="M434" s="120"/>
      <c r="N434" s="121"/>
      <c r="O434" s="120"/>
      <c r="P434" s="118"/>
      <c r="R434" s="123"/>
      <c r="T434" s="123"/>
      <c r="U434" s="123"/>
      <c r="V434" s="123"/>
      <c r="W434" s="123"/>
      <c r="X434" s="123"/>
      <c r="Y434" s="123"/>
      <c r="Z434" s="123"/>
      <c r="AA434" s="123"/>
      <c r="AB434" s="123"/>
      <c r="AC434" s="123"/>
      <c r="AD434" s="123"/>
      <c r="AE434" s="123"/>
      <c r="AF434" s="123"/>
      <c r="AG434" s="123"/>
      <c r="AH434" s="123"/>
      <c r="AI434" s="120" t="s">
        <v>1234</v>
      </c>
      <c r="AJ434" s="120"/>
      <c r="AK434" s="120"/>
      <c r="AL434" s="120"/>
      <c r="AM434" s="120"/>
      <c r="AN434" s="120"/>
      <c r="AO434" s="120"/>
      <c r="AP434" s="120"/>
      <c r="AQ434" s="120"/>
      <c r="AR434" s="120"/>
      <c r="AS434" s="120"/>
      <c r="AT434" s="120"/>
      <c r="AU434" s="120"/>
      <c r="AV434" s="120"/>
      <c r="AW434" s="120"/>
      <c r="AX434" s="120"/>
      <c r="AY434" s="120" t="str">
        <f t="shared" si="3"/>
        <v>指数型组织：打造独角兽公司的11个最强属性(第版）</v>
      </c>
      <c r="AZ434" s="121"/>
      <c r="BA434" s="121"/>
      <c r="BB434" s="121"/>
      <c r="BD434" s="121"/>
      <c r="BE434" s="121"/>
      <c r="BF434" s="124"/>
      <c r="BH434" s="121"/>
      <c r="BI434" s="121"/>
      <c r="BP434" s="121"/>
      <c r="BQ434" s="149"/>
    </row>
    <row r="435" spans="1:69" s="122" customFormat="1" ht="16.5">
      <c r="A435" s="118"/>
      <c r="B435" s="141" t="s">
        <v>1575</v>
      </c>
      <c r="C435" s="120"/>
      <c r="D435" s="120"/>
      <c r="E435" s="119"/>
      <c r="F435" s="120"/>
      <c r="G435" s="120"/>
      <c r="H435" s="120"/>
      <c r="J435" s="120"/>
      <c r="K435" s="120"/>
      <c r="L435" s="120"/>
      <c r="M435" s="120"/>
      <c r="N435" s="121"/>
      <c r="O435" s="120"/>
      <c r="P435" s="118"/>
      <c r="R435" s="123"/>
      <c r="T435" s="123"/>
      <c r="U435" s="123"/>
      <c r="V435" s="123"/>
      <c r="W435" s="123"/>
      <c r="X435" s="123"/>
      <c r="Y435" s="123"/>
      <c r="Z435" s="123"/>
      <c r="AA435" s="123"/>
      <c r="AB435" s="123"/>
      <c r="AC435" s="123"/>
      <c r="AD435" s="123"/>
      <c r="AE435" s="123"/>
      <c r="AF435" s="123"/>
      <c r="AG435" s="123"/>
      <c r="AH435" s="123"/>
      <c r="AI435" s="120" t="s">
        <v>1218</v>
      </c>
      <c r="AJ435" s="120"/>
      <c r="AK435" s="120"/>
      <c r="AL435" s="120"/>
      <c r="AM435" s="120"/>
      <c r="AN435" s="120"/>
      <c r="AO435" s="120"/>
      <c r="AP435" s="120"/>
      <c r="AQ435" s="120"/>
      <c r="AR435" s="120"/>
      <c r="AS435" s="120"/>
      <c r="AT435" s="120"/>
      <c r="AU435" s="120"/>
      <c r="AV435" s="120"/>
      <c r="AW435" s="120"/>
      <c r="AX435" s="120"/>
      <c r="AY435" s="120" t="str">
        <f t="shared" si="3"/>
        <v>洞察：精确观察和有效沟通的艺术(第版）</v>
      </c>
      <c r="AZ435" s="121"/>
      <c r="BA435" s="121"/>
      <c r="BB435" s="121"/>
      <c r="BD435" s="121"/>
      <c r="BE435" s="121"/>
      <c r="BF435" s="124"/>
      <c r="BH435" s="121"/>
      <c r="BI435" s="121"/>
      <c r="BP435" s="121"/>
      <c r="BQ435" s="149"/>
    </row>
    <row r="436" spans="1:69" s="122" customFormat="1" ht="16.5">
      <c r="A436" s="118"/>
      <c r="B436" s="141" t="s">
        <v>1576</v>
      </c>
      <c r="C436" s="120"/>
      <c r="D436" s="120"/>
      <c r="E436" s="119"/>
      <c r="F436" s="120"/>
      <c r="G436" s="120"/>
      <c r="H436" s="120"/>
      <c r="J436" s="120"/>
      <c r="K436" s="120"/>
      <c r="L436" s="120"/>
      <c r="M436" s="120"/>
      <c r="N436" s="121"/>
      <c r="O436" s="120"/>
      <c r="P436" s="118"/>
      <c r="R436" s="123"/>
      <c r="T436" s="123"/>
      <c r="U436" s="123"/>
      <c r="V436" s="123"/>
      <c r="W436" s="123"/>
      <c r="X436" s="123"/>
      <c r="Y436" s="123"/>
      <c r="Z436" s="123"/>
      <c r="AA436" s="123"/>
      <c r="AB436" s="123"/>
      <c r="AC436" s="123"/>
      <c r="AD436" s="123"/>
      <c r="AE436" s="123"/>
      <c r="AF436" s="123"/>
      <c r="AG436" s="123"/>
      <c r="AH436" s="123"/>
      <c r="AI436" s="120" t="s">
        <v>1234</v>
      </c>
      <c r="AJ436" s="120"/>
      <c r="AK436" s="120"/>
      <c r="AL436" s="120"/>
      <c r="AM436" s="120"/>
      <c r="AN436" s="120"/>
      <c r="AO436" s="120"/>
      <c r="AP436" s="120"/>
      <c r="AQ436" s="120"/>
      <c r="AR436" s="120"/>
      <c r="AS436" s="120"/>
      <c r="AT436" s="120"/>
      <c r="AU436" s="120"/>
      <c r="AV436" s="120"/>
      <c r="AW436" s="120"/>
      <c r="AX436" s="120"/>
      <c r="AY436" s="120" t="str">
        <f t="shared" si="3"/>
        <v>TED演讲的秘密：18分钟改变世界(第版）</v>
      </c>
      <c r="AZ436" s="121"/>
      <c r="BA436" s="121"/>
      <c r="BB436" s="121"/>
      <c r="BD436" s="121"/>
      <c r="BE436" s="121"/>
      <c r="BF436" s="124"/>
      <c r="BH436" s="121"/>
      <c r="BI436" s="121"/>
      <c r="BP436" s="121"/>
      <c r="BQ436" s="149"/>
    </row>
    <row r="437" spans="1:69" s="122" customFormat="1" ht="27">
      <c r="A437" s="118"/>
      <c r="B437" s="141" t="s">
        <v>1577</v>
      </c>
      <c r="C437" s="120"/>
      <c r="D437" s="120"/>
      <c r="E437" s="119"/>
      <c r="F437" s="120"/>
      <c r="G437" s="120"/>
      <c r="H437" s="120"/>
      <c r="J437" s="120"/>
      <c r="K437" s="120"/>
      <c r="L437" s="120"/>
      <c r="M437" s="120"/>
      <c r="N437" s="121"/>
      <c r="O437" s="120"/>
      <c r="P437" s="118"/>
      <c r="R437" s="123"/>
      <c r="T437" s="123"/>
      <c r="U437" s="123"/>
      <c r="V437" s="123"/>
      <c r="W437" s="123"/>
      <c r="X437" s="123"/>
      <c r="Y437" s="123"/>
      <c r="Z437" s="123"/>
      <c r="AA437" s="123"/>
      <c r="AB437" s="123"/>
      <c r="AC437" s="123"/>
      <c r="AD437" s="123"/>
      <c r="AE437" s="123"/>
      <c r="AF437" s="123"/>
      <c r="AG437" s="123"/>
      <c r="AH437" s="123"/>
      <c r="AI437" s="120" t="s">
        <v>1234</v>
      </c>
      <c r="AJ437" s="120"/>
      <c r="AK437" s="120"/>
      <c r="AL437" s="120"/>
      <c r="AM437" s="120"/>
      <c r="AN437" s="120"/>
      <c r="AO437" s="120"/>
      <c r="AP437" s="120"/>
      <c r="AQ437" s="120"/>
      <c r="AR437" s="120"/>
      <c r="AS437" s="120"/>
      <c r="AT437" s="120"/>
      <c r="AU437" s="120"/>
      <c r="AV437" s="120"/>
      <c r="AW437" s="120"/>
      <c r="AX437" s="120"/>
      <c r="AY437" s="120" t="str">
        <f t="shared" si="3"/>
        <v>OKR：源于英特尔和谷歌的目标管理利器(第版）</v>
      </c>
      <c r="AZ437" s="121"/>
      <c r="BA437" s="121"/>
      <c r="BB437" s="121"/>
      <c r="BD437" s="121"/>
      <c r="BE437" s="121"/>
      <c r="BF437" s="124"/>
      <c r="BH437" s="121"/>
      <c r="BI437" s="121"/>
      <c r="BP437" s="121"/>
      <c r="BQ437" s="149"/>
    </row>
    <row r="438" spans="1:69" s="122" customFormat="1" ht="16.5">
      <c r="A438" s="118"/>
      <c r="B438" s="141" t="s">
        <v>1578</v>
      </c>
      <c r="C438" s="120"/>
      <c r="D438" s="120"/>
      <c r="E438" s="119"/>
      <c r="F438" s="120"/>
      <c r="G438" s="120"/>
      <c r="H438" s="120"/>
      <c r="J438" s="120"/>
      <c r="K438" s="120"/>
      <c r="L438" s="120"/>
      <c r="M438" s="120"/>
      <c r="N438" s="121"/>
      <c r="O438" s="120"/>
      <c r="P438" s="118"/>
      <c r="R438" s="123"/>
      <c r="T438" s="123"/>
      <c r="U438" s="123"/>
      <c r="V438" s="123"/>
      <c r="W438" s="123"/>
      <c r="X438" s="123"/>
      <c r="Y438" s="123"/>
      <c r="Z438" s="123"/>
      <c r="AA438" s="123"/>
      <c r="AB438" s="123"/>
      <c r="AC438" s="123"/>
      <c r="AD438" s="123"/>
      <c r="AE438" s="123"/>
      <c r="AF438" s="123"/>
      <c r="AG438" s="123"/>
      <c r="AH438" s="123"/>
      <c r="AI438" s="120" t="s">
        <v>1234</v>
      </c>
      <c r="AJ438" s="120"/>
      <c r="AK438" s="120"/>
      <c r="AL438" s="120"/>
      <c r="AM438" s="120"/>
      <c r="AN438" s="120"/>
      <c r="AO438" s="120"/>
      <c r="AP438" s="120"/>
      <c r="AQ438" s="120"/>
      <c r="AR438" s="120"/>
      <c r="AS438" s="120"/>
      <c r="AT438" s="120"/>
      <c r="AU438" s="120"/>
      <c r="AV438" s="120"/>
      <c r="AW438" s="120"/>
      <c r="AX438" s="120"/>
      <c r="AY438" s="120" t="str">
        <f t="shared" si="3"/>
        <v>高绩效团队：VUCA时代的5个管理策略(第版）</v>
      </c>
      <c r="AZ438" s="121"/>
      <c r="BA438" s="121"/>
      <c r="BB438" s="121"/>
      <c r="BD438" s="121"/>
      <c r="BE438" s="121"/>
      <c r="BF438" s="124"/>
      <c r="BH438" s="121"/>
      <c r="BI438" s="121"/>
      <c r="BP438" s="121"/>
      <c r="BQ438" s="149"/>
    </row>
    <row r="439" spans="1:69" s="122" customFormat="1" ht="16.5">
      <c r="A439" s="118"/>
      <c r="B439" s="141" t="s">
        <v>1307</v>
      </c>
      <c r="C439" s="120"/>
      <c r="D439" s="120"/>
      <c r="E439" s="119"/>
      <c r="F439" s="120"/>
      <c r="G439" s="120"/>
      <c r="H439" s="120"/>
      <c r="J439" s="120"/>
      <c r="K439" s="120"/>
      <c r="L439" s="120"/>
      <c r="M439" s="120"/>
      <c r="N439" s="121"/>
      <c r="O439" s="120"/>
      <c r="P439" s="118"/>
      <c r="R439" s="123"/>
      <c r="T439" s="123"/>
      <c r="U439" s="123"/>
      <c r="V439" s="123"/>
      <c r="W439" s="123"/>
      <c r="X439" s="123"/>
      <c r="Y439" s="123"/>
      <c r="Z439" s="123"/>
      <c r="AA439" s="123"/>
      <c r="AB439" s="123"/>
      <c r="AC439" s="123"/>
      <c r="AD439" s="123"/>
      <c r="AE439" s="123"/>
      <c r="AF439" s="123"/>
      <c r="AG439" s="123"/>
      <c r="AH439" s="123"/>
      <c r="AI439" s="120" t="s">
        <v>1234</v>
      </c>
      <c r="AJ439" s="120"/>
      <c r="AK439" s="120"/>
      <c r="AL439" s="120"/>
      <c r="AM439" s="120"/>
      <c r="AN439" s="120"/>
      <c r="AO439" s="120"/>
      <c r="AP439" s="120"/>
      <c r="AQ439" s="120"/>
      <c r="AR439" s="120"/>
      <c r="AS439" s="120"/>
      <c r="AT439" s="120"/>
      <c r="AU439" s="120"/>
      <c r="AV439" s="120"/>
      <c r="AW439" s="120"/>
      <c r="AX439" s="120"/>
      <c r="AY439" s="120" t="str">
        <f t="shared" si="3"/>
        <v>技术的本质(第版）</v>
      </c>
      <c r="AZ439" s="121"/>
      <c r="BA439" s="121"/>
      <c r="BB439" s="121"/>
      <c r="BD439" s="121"/>
      <c r="BE439" s="121"/>
      <c r="BF439" s="124"/>
      <c r="BH439" s="121"/>
      <c r="BI439" s="121"/>
      <c r="BP439" s="121"/>
      <c r="BQ439" s="149"/>
    </row>
    <row r="440" spans="1:69" s="122" customFormat="1" ht="16.5">
      <c r="A440" s="118"/>
      <c r="B440" s="141" t="s">
        <v>1308</v>
      </c>
      <c r="C440" s="120"/>
      <c r="D440" s="120"/>
      <c r="E440" s="119"/>
      <c r="F440" s="120"/>
      <c r="G440" s="120"/>
      <c r="H440" s="120"/>
      <c r="J440" s="120"/>
      <c r="K440" s="120"/>
      <c r="L440" s="120"/>
      <c r="M440" s="120"/>
      <c r="N440" s="121"/>
      <c r="O440" s="120"/>
      <c r="P440" s="118"/>
      <c r="R440" s="123"/>
      <c r="T440" s="123"/>
      <c r="U440" s="123"/>
      <c r="V440" s="123"/>
      <c r="W440" s="123"/>
      <c r="X440" s="123"/>
      <c r="Y440" s="123"/>
      <c r="Z440" s="123"/>
      <c r="AA440" s="123"/>
      <c r="AB440" s="123"/>
      <c r="AC440" s="123"/>
      <c r="AD440" s="123"/>
      <c r="AE440" s="123"/>
      <c r="AF440" s="123"/>
      <c r="AG440" s="123"/>
      <c r="AH440" s="123"/>
      <c r="AI440" s="120" t="s">
        <v>1234</v>
      </c>
      <c r="AJ440" s="120"/>
      <c r="AK440" s="120"/>
      <c r="AL440" s="120"/>
      <c r="AM440" s="120"/>
      <c r="AN440" s="120"/>
      <c r="AO440" s="120"/>
      <c r="AP440" s="120"/>
      <c r="AQ440" s="120"/>
      <c r="AR440" s="120"/>
      <c r="AS440" s="120"/>
      <c r="AT440" s="120"/>
      <c r="AU440" s="120"/>
      <c r="AV440" s="120"/>
      <c r="AW440" s="120"/>
      <c r="AX440" s="120"/>
      <c r="AY440" s="120" t="str">
        <f t="shared" si="3"/>
        <v>反常识(第版）</v>
      </c>
      <c r="AZ440" s="121"/>
      <c r="BA440" s="121"/>
      <c r="BB440" s="121"/>
      <c r="BD440" s="121"/>
      <c r="BE440" s="121"/>
      <c r="BF440" s="124"/>
      <c r="BH440" s="121"/>
      <c r="BI440" s="121"/>
      <c r="BP440" s="121"/>
      <c r="BQ440" s="149"/>
    </row>
    <row r="441" spans="1:69" s="122" customFormat="1" ht="16.5">
      <c r="A441" s="118"/>
      <c r="B441" s="141" t="s">
        <v>1579</v>
      </c>
      <c r="C441" s="120"/>
      <c r="D441" s="120"/>
      <c r="E441" s="119"/>
      <c r="F441" s="120"/>
      <c r="G441" s="120"/>
      <c r="H441" s="120"/>
      <c r="J441" s="120"/>
      <c r="K441" s="120"/>
      <c r="L441" s="120"/>
      <c r="M441" s="120"/>
      <c r="N441" s="121"/>
      <c r="O441" s="120"/>
      <c r="P441" s="118"/>
      <c r="R441" s="123"/>
      <c r="T441" s="123"/>
      <c r="U441" s="123"/>
      <c r="V441" s="123"/>
      <c r="W441" s="123"/>
      <c r="X441" s="123"/>
      <c r="Y441" s="123"/>
      <c r="Z441" s="123"/>
      <c r="AA441" s="123"/>
      <c r="AB441" s="123"/>
      <c r="AC441" s="123"/>
      <c r="AD441" s="123"/>
      <c r="AE441" s="123"/>
      <c r="AF441" s="123"/>
      <c r="AG441" s="123"/>
      <c r="AH441" s="123"/>
      <c r="AI441" s="120" t="s">
        <v>1234</v>
      </c>
      <c r="AJ441" s="120"/>
      <c r="AK441" s="120"/>
      <c r="AL441" s="120"/>
      <c r="AM441" s="120"/>
      <c r="AN441" s="120"/>
      <c r="AO441" s="120"/>
      <c r="AP441" s="120"/>
      <c r="AQ441" s="120"/>
      <c r="AR441" s="120"/>
      <c r="AS441" s="120"/>
      <c r="AT441" s="120"/>
      <c r="AU441" s="120"/>
      <c r="AV441" s="120"/>
      <c r="AW441" s="120"/>
      <c r="AX441" s="120"/>
      <c r="AY441" s="120" t="str">
        <f t="shared" si="3"/>
        <v>第三选择：解决所有难题的关键思维(第版）</v>
      </c>
      <c r="AZ441" s="121"/>
      <c r="BA441" s="121"/>
      <c r="BB441" s="121"/>
      <c r="BD441" s="121"/>
      <c r="BE441" s="121"/>
      <c r="BF441" s="124"/>
      <c r="BH441" s="121"/>
      <c r="BI441" s="121"/>
      <c r="BP441" s="121"/>
      <c r="BQ441" s="149"/>
    </row>
    <row r="442" spans="1:69" s="122" customFormat="1" ht="16.5">
      <c r="A442" s="118"/>
      <c r="B442" s="141" t="s">
        <v>1309</v>
      </c>
      <c r="C442" s="120"/>
      <c r="D442" s="120"/>
      <c r="E442" s="119"/>
      <c r="F442" s="120"/>
      <c r="G442" s="120"/>
      <c r="H442" s="120"/>
      <c r="J442" s="120"/>
      <c r="K442" s="120"/>
      <c r="L442" s="120"/>
      <c r="M442" s="120"/>
      <c r="N442" s="121"/>
      <c r="O442" s="120"/>
      <c r="P442" s="118"/>
      <c r="R442" s="123"/>
      <c r="T442" s="123"/>
      <c r="U442" s="123"/>
      <c r="V442" s="123"/>
      <c r="W442" s="123"/>
      <c r="X442" s="123"/>
      <c r="Y442" s="123"/>
      <c r="Z442" s="123"/>
      <c r="AA442" s="123"/>
      <c r="AB442" s="123"/>
      <c r="AC442" s="123"/>
      <c r="AD442" s="123"/>
      <c r="AE442" s="123"/>
      <c r="AF442" s="123"/>
      <c r="AG442" s="123"/>
      <c r="AH442" s="123"/>
      <c r="AI442" s="120" t="s">
        <v>1218</v>
      </c>
      <c r="AJ442" s="120"/>
      <c r="AK442" s="120"/>
      <c r="AL442" s="120"/>
      <c r="AM442" s="120"/>
      <c r="AN442" s="120"/>
      <c r="AO442" s="120"/>
      <c r="AP442" s="120"/>
      <c r="AQ442" s="120"/>
      <c r="AR442" s="120"/>
      <c r="AS442" s="120"/>
      <c r="AT442" s="120"/>
      <c r="AU442" s="120"/>
      <c r="AV442" s="120"/>
      <c r="AW442" s="120"/>
      <c r="AX442" s="120"/>
      <c r="AY442" s="120" t="str">
        <f t="shared" si="3"/>
        <v>重塑大脑，重塑人生(第版）</v>
      </c>
      <c r="AZ442" s="121"/>
      <c r="BA442" s="121"/>
      <c r="BB442" s="121"/>
      <c r="BD442" s="121"/>
      <c r="BE442" s="121"/>
      <c r="BF442" s="124"/>
      <c r="BH442" s="121"/>
      <c r="BI442" s="121"/>
      <c r="BP442" s="121"/>
      <c r="BQ442" s="149"/>
    </row>
    <row r="443" spans="1:69" s="122" customFormat="1" ht="16.5">
      <c r="A443" s="118"/>
      <c r="B443" s="141" t="s">
        <v>1310</v>
      </c>
      <c r="C443" s="120"/>
      <c r="D443" s="120"/>
      <c r="E443" s="119"/>
      <c r="F443" s="120"/>
      <c r="G443" s="120"/>
      <c r="H443" s="120"/>
      <c r="J443" s="120"/>
      <c r="K443" s="120"/>
      <c r="L443" s="120"/>
      <c r="M443" s="120"/>
      <c r="N443" s="121"/>
      <c r="O443" s="120"/>
      <c r="P443" s="118"/>
      <c r="R443" s="123"/>
      <c r="T443" s="123"/>
      <c r="U443" s="123"/>
      <c r="V443" s="123"/>
      <c r="W443" s="123"/>
      <c r="X443" s="123"/>
      <c r="Y443" s="123"/>
      <c r="Z443" s="123"/>
      <c r="AA443" s="123"/>
      <c r="AB443" s="123"/>
      <c r="AC443" s="123"/>
      <c r="AD443" s="123"/>
      <c r="AE443" s="123"/>
      <c r="AF443" s="123"/>
      <c r="AG443" s="123"/>
      <c r="AH443" s="123"/>
      <c r="AI443" s="120" t="s">
        <v>1234</v>
      </c>
      <c r="AJ443" s="120"/>
      <c r="AK443" s="120"/>
      <c r="AL443" s="120"/>
      <c r="AM443" s="120"/>
      <c r="AN443" s="120"/>
      <c r="AO443" s="120"/>
      <c r="AP443" s="120"/>
      <c r="AQ443" s="120"/>
      <c r="AR443" s="120"/>
      <c r="AS443" s="120"/>
      <c r="AT443" s="120"/>
      <c r="AU443" s="120"/>
      <c r="AV443" s="120"/>
      <c r="AW443" s="120"/>
      <c r="AX443" s="120"/>
      <c r="AY443" s="120" t="str">
        <f t="shared" si="3"/>
        <v>伟大的博弈(第版）</v>
      </c>
      <c r="AZ443" s="121"/>
      <c r="BA443" s="121"/>
      <c r="BB443" s="121"/>
      <c r="BD443" s="121"/>
      <c r="BE443" s="121"/>
      <c r="BF443" s="124"/>
      <c r="BH443" s="121"/>
      <c r="BI443" s="121"/>
      <c r="BP443" s="121"/>
      <c r="BQ443" s="149"/>
    </row>
    <row r="444" spans="1:69" s="122" customFormat="1" ht="33">
      <c r="A444" s="118"/>
      <c r="B444" s="141" t="s">
        <v>1580</v>
      </c>
      <c r="C444" s="120"/>
      <c r="D444" s="120"/>
      <c r="E444" s="119"/>
      <c r="F444" s="120"/>
      <c r="G444" s="120"/>
      <c r="H444" s="120"/>
      <c r="J444" s="120"/>
      <c r="K444" s="120"/>
      <c r="L444" s="120"/>
      <c r="M444" s="120"/>
      <c r="N444" s="121"/>
      <c r="O444" s="120"/>
      <c r="P444" s="118"/>
      <c r="R444" s="123"/>
      <c r="T444" s="123"/>
      <c r="U444" s="123"/>
      <c r="V444" s="123"/>
      <c r="W444" s="123"/>
      <c r="X444" s="123"/>
      <c r="Y444" s="123"/>
      <c r="Z444" s="123"/>
      <c r="AA444" s="123"/>
      <c r="AB444" s="123"/>
      <c r="AC444" s="123"/>
      <c r="AD444" s="123"/>
      <c r="AE444" s="123"/>
      <c r="AF444" s="123"/>
      <c r="AG444" s="123"/>
      <c r="AH444" s="123"/>
      <c r="AI444" s="120" t="s">
        <v>1234</v>
      </c>
      <c r="AJ444" s="120"/>
      <c r="AK444" s="120"/>
      <c r="AL444" s="120"/>
      <c r="AM444" s="120"/>
      <c r="AN444" s="120"/>
      <c r="AO444" s="120"/>
      <c r="AP444" s="120"/>
      <c r="AQ444" s="120"/>
      <c r="AR444" s="120"/>
      <c r="AS444" s="120"/>
      <c r="AT444" s="120"/>
      <c r="AU444" s="120"/>
      <c r="AV444" s="120"/>
      <c r="AW444" s="120"/>
      <c r="AX444" s="120"/>
      <c r="AY444" s="120" t="str">
        <f t="shared" si="3"/>
        <v>这就是OKR：让谷歌、亚马逊实现爆炸性增长的工作法(第版）</v>
      </c>
      <c r="AZ444" s="121"/>
      <c r="BA444" s="121"/>
      <c r="BB444" s="121"/>
      <c r="BD444" s="121"/>
      <c r="BE444" s="121"/>
      <c r="BF444" s="124"/>
      <c r="BH444" s="121"/>
      <c r="BI444" s="121"/>
      <c r="BP444" s="121"/>
      <c r="BQ444" s="149"/>
    </row>
    <row r="445" spans="1:69" s="122" customFormat="1" ht="16.5">
      <c r="A445" s="118"/>
      <c r="B445" s="141" t="s">
        <v>1225</v>
      </c>
      <c r="C445" s="120"/>
      <c r="D445" s="120"/>
      <c r="E445" s="119"/>
      <c r="F445" s="120"/>
      <c r="G445" s="120"/>
      <c r="H445" s="120"/>
      <c r="J445" s="120"/>
      <c r="K445" s="120"/>
      <c r="L445" s="120"/>
      <c r="M445" s="120"/>
      <c r="N445" s="121"/>
      <c r="O445" s="120"/>
      <c r="P445" s="118"/>
      <c r="R445" s="123"/>
      <c r="T445" s="123"/>
      <c r="U445" s="123"/>
      <c r="V445" s="123"/>
      <c r="W445" s="123"/>
      <c r="X445" s="123"/>
      <c r="Y445" s="123"/>
      <c r="Z445" s="123"/>
      <c r="AA445" s="123"/>
      <c r="AB445" s="123"/>
      <c r="AC445" s="123"/>
      <c r="AD445" s="123"/>
      <c r="AE445" s="123"/>
      <c r="AF445" s="123"/>
      <c r="AG445" s="123"/>
      <c r="AH445" s="123"/>
      <c r="AI445" s="120" t="s">
        <v>1218</v>
      </c>
      <c r="AJ445" s="120"/>
      <c r="AK445" s="120"/>
      <c r="AL445" s="120"/>
      <c r="AM445" s="120"/>
      <c r="AN445" s="120"/>
      <c r="AO445" s="120"/>
      <c r="AP445" s="120"/>
      <c r="AQ445" s="120"/>
      <c r="AR445" s="120"/>
      <c r="AS445" s="120"/>
      <c r="AT445" s="120"/>
      <c r="AU445" s="120"/>
      <c r="AV445" s="120"/>
      <c r="AW445" s="120"/>
      <c r="AX445" s="120"/>
      <c r="AY445" s="120" t="str">
        <f t="shared" si="3"/>
        <v>卓有成效的管理者(第版）</v>
      </c>
      <c r="AZ445" s="121"/>
      <c r="BA445" s="121"/>
      <c r="BB445" s="121"/>
      <c r="BD445" s="121"/>
      <c r="BE445" s="121"/>
      <c r="BF445" s="124"/>
      <c r="BH445" s="121"/>
      <c r="BI445" s="121"/>
      <c r="BP445" s="121"/>
      <c r="BQ445" s="149"/>
    </row>
    <row r="446" spans="1:69" s="122" customFormat="1" ht="16.5">
      <c r="A446" s="118"/>
      <c r="B446" s="141" t="s">
        <v>1581</v>
      </c>
      <c r="C446" s="120"/>
      <c r="D446" s="120"/>
      <c r="E446" s="119"/>
      <c r="F446" s="120"/>
      <c r="G446" s="120"/>
      <c r="H446" s="120"/>
      <c r="J446" s="120"/>
      <c r="K446" s="120"/>
      <c r="L446" s="120"/>
      <c r="M446" s="120"/>
      <c r="N446" s="121"/>
      <c r="O446" s="120"/>
      <c r="P446" s="118"/>
      <c r="R446" s="123"/>
      <c r="T446" s="123"/>
      <c r="U446" s="123"/>
      <c r="V446" s="123"/>
      <c r="W446" s="123"/>
      <c r="X446" s="123"/>
      <c r="Y446" s="123"/>
      <c r="Z446" s="123"/>
      <c r="AA446" s="123"/>
      <c r="AB446" s="123"/>
      <c r="AC446" s="123"/>
      <c r="AD446" s="123"/>
      <c r="AE446" s="123"/>
      <c r="AF446" s="123"/>
      <c r="AG446" s="123"/>
      <c r="AH446" s="123"/>
      <c r="AI446" s="120" t="s">
        <v>1234</v>
      </c>
      <c r="AJ446" s="120"/>
      <c r="AK446" s="120"/>
      <c r="AL446" s="120"/>
      <c r="AM446" s="120"/>
      <c r="AN446" s="120"/>
      <c r="AO446" s="120"/>
      <c r="AP446" s="120"/>
      <c r="AQ446" s="120"/>
      <c r="AR446" s="120"/>
      <c r="AS446" s="120"/>
      <c r="AT446" s="120"/>
      <c r="AU446" s="120"/>
      <c r="AV446" s="120"/>
      <c r="AW446" s="120"/>
      <c r="AX446" s="120"/>
      <c r="AY446" s="120" t="str">
        <f t="shared" si="3"/>
        <v>关键时刻MOT(第版）</v>
      </c>
      <c r="AZ446" s="121"/>
      <c r="BA446" s="121"/>
      <c r="BB446" s="121"/>
      <c r="BD446" s="121"/>
      <c r="BE446" s="121"/>
      <c r="BF446" s="124"/>
      <c r="BH446" s="121"/>
      <c r="BI446" s="121"/>
      <c r="BP446" s="121"/>
      <c r="BQ446" s="149"/>
    </row>
    <row r="447" spans="1:69" s="122" customFormat="1" ht="16.5">
      <c r="A447" s="118"/>
      <c r="B447" s="141" t="s">
        <v>1311</v>
      </c>
      <c r="C447" s="120"/>
      <c r="D447" s="120"/>
      <c r="E447" s="119"/>
      <c r="F447" s="120"/>
      <c r="G447" s="120"/>
      <c r="H447" s="120"/>
      <c r="J447" s="120"/>
      <c r="K447" s="120"/>
      <c r="L447" s="120"/>
      <c r="M447" s="120"/>
      <c r="N447" s="121"/>
      <c r="O447" s="120"/>
      <c r="P447" s="118"/>
      <c r="R447" s="123"/>
      <c r="T447" s="123"/>
      <c r="U447" s="123"/>
      <c r="V447" s="123"/>
      <c r="W447" s="123"/>
      <c r="X447" s="123"/>
      <c r="Y447" s="123"/>
      <c r="Z447" s="123"/>
      <c r="AA447" s="123"/>
      <c r="AB447" s="123"/>
      <c r="AC447" s="123"/>
      <c r="AD447" s="123"/>
      <c r="AE447" s="123"/>
      <c r="AF447" s="123"/>
      <c r="AG447" s="123"/>
      <c r="AH447" s="123"/>
      <c r="AI447" s="120" t="s">
        <v>1234</v>
      </c>
      <c r="AJ447" s="120"/>
      <c r="AK447" s="120"/>
      <c r="AL447" s="120"/>
      <c r="AM447" s="120"/>
      <c r="AN447" s="120"/>
      <c r="AO447" s="120"/>
      <c r="AP447" s="120"/>
      <c r="AQ447" s="120"/>
      <c r="AR447" s="120"/>
      <c r="AS447" s="120"/>
      <c r="AT447" s="120"/>
      <c r="AU447" s="120"/>
      <c r="AV447" s="120"/>
      <c r="AW447" s="120"/>
      <c r="AX447" s="120"/>
      <c r="AY447" s="120" t="str">
        <f t="shared" si="3"/>
        <v>演讲的力量(第版）</v>
      </c>
      <c r="AZ447" s="121"/>
      <c r="BA447" s="121"/>
      <c r="BB447" s="121"/>
      <c r="BD447" s="121"/>
      <c r="BE447" s="121"/>
      <c r="BF447" s="124"/>
      <c r="BH447" s="121"/>
      <c r="BI447" s="121"/>
      <c r="BP447" s="121"/>
      <c r="BQ447" s="149"/>
    </row>
    <row r="448" spans="1:69" s="122" customFormat="1" ht="16.5">
      <c r="A448" s="118"/>
      <c r="B448" s="141" t="s">
        <v>1582</v>
      </c>
      <c r="C448" s="120"/>
      <c r="D448" s="120"/>
      <c r="E448" s="119"/>
      <c r="F448" s="120"/>
      <c r="G448" s="120"/>
      <c r="H448" s="120"/>
      <c r="J448" s="120"/>
      <c r="K448" s="120"/>
      <c r="L448" s="120"/>
      <c r="M448" s="120"/>
      <c r="N448" s="121"/>
      <c r="O448" s="120"/>
      <c r="P448" s="118"/>
      <c r="R448" s="123"/>
      <c r="T448" s="123"/>
      <c r="U448" s="123"/>
      <c r="V448" s="123"/>
      <c r="W448" s="123"/>
      <c r="X448" s="123"/>
      <c r="Y448" s="123"/>
      <c r="Z448" s="123"/>
      <c r="AA448" s="123"/>
      <c r="AB448" s="123"/>
      <c r="AC448" s="123"/>
      <c r="AD448" s="123"/>
      <c r="AE448" s="123"/>
      <c r="AF448" s="123"/>
      <c r="AG448" s="123"/>
      <c r="AH448" s="123"/>
      <c r="AI448" s="120" t="s">
        <v>1234</v>
      </c>
      <c r="AJ448" s="120"/>
      <c r="AK448" s="120"/>
      <c r="AL448" s="120"/>
      <c r="AM448" s="120"/>
      <c r="AN448" s="120"/>
      <c r="AO448" s="120"/>
      <c r="AP448" s="120"/>
      <c r="AQ448" s="120"/>
      <c r="AR448" s="120"/>
      <c r="AS448" s="120"/>
      <c r="AT448" s="120"/>
      <c r="AU448" s="120"/>
      <c r="AV448" s="120"/>
      <c r="AW448" s="120"/>
      <c r="AX448" s="120"/>
      <c r="AY448" s="120" t="str">
        <f t="shared" si="3"/>
        <v>链接：商业、科学与生活的思维(第版）</v>
      </c>
      <c r="AZ448" s="121"/>
      <c r="BA448" s="121"/>
      <c r="BB448" s="121"/>
      <c r="BD448" s="121"/>
      <c r="BE448" s="121"/>
      <c r="BF448" s="124"/>
      <c r="BH448" s="121"/>
      <c r="BI448" s="121"/>
      <c r="BP448" s="121"/>
      <c r="BQ448" s="149"/>
    </row>
    <row r="449" spans="1:69" s="122" customFormat="1" ht="16.5">
      <c r="A449" s="118"/>
      <c r="B449" s="141" t="s">
        <v>1583</v>
      </c>
      <c r="C449" s="120"/>
      <c r="D449" s="120"/>
      <c r="E449" s="119"/>
      <c r="F449" s="120"/>
      <c r="G449" s="120"/>
      <c r="H449" s="120"/>
      <c r="J449" s="120"/>
      <c r="K449" s="120"/>
      <c r="L449" s="120"/>
      <c r="M449" s="120"/>
      <c r="N449" s="121"/>
      <c r="O449" s="120"/>
      <c r="P449" s="118"/>
      <c r="R449" s="123"/>
      <c r="T449" s="123"/>
      <c r="U449" s="123"/>
      <c r="V449" s="123"/>
      <c r="W449" s="123"/>
      <c r="X449" s="123"/>
      <c r="Y449" s="123"/>
      <c r="Z449" s="123"/>
      <c r="AA449" s="123"/>
      <c r="AB449" s="123"/>
      <c r="AC449" s="123"/>
      <c r="AD449" s="123"/>
      <c r="AE449" s="123"/>
      <c r="AF449" s="123"/>
      <c r="AG449" s="123"/>
      <c r="AH449" s="123"/>
      <c r="AI449" s="120" t="s">
        <v>1234</v>
      </c>
      <c r="AJ449" s="120"/>
      <c r="AK449" s="120"/>
      <c r="AL449" s="120"/>
      <c r="AM449" s="120"/>
      <c r="AN449" s="120"/>
      <c r="AO449" s="120"/>
      <c r="AP449" s="120"/>
      <c r="AQ449" s="120"/>
      <c r="AR449" s="120"/>
      <c r="AS449" s="120"/>
      <c r="AT449" s="120"/>
      <c r="AU449" s="120"/>
      <c r="AV449" s="120"/>
      <c r="AW449" s="120"/>
      <c r="AX449" s="120"/>
      <c r="AY449" s="120" t="str">
        <f t="shared" si="3"/>
        <v>产品游戏化(第版）</v>
      </c>
      <c r="AZ449" s="121"/>
      <c r="BA449" s="121"/>
      <c r="BB449" s="121"/>
      <c r="BD449" s="121"/>
      <c r="BE449" s="121"/>
      <c r="BF449" s="124"/>
      <c r="BH449" s="121"/>
      <c r="BI449" s="121"/>
      <c r="BP449" s="121"/>
      <c r="BQ449" s="149"/>
    </row>
    <row r="450" spans="1:69" s="122" customFormat="1" ht="33">
      <c r="A450" s="118"/>
      <c r="B450" s="141" t="s">
        <v>1312</v>
      </c>
      <c r="C450" s="120"/>
      <c r="D450" s="120"/>
      <c r="E450" s="119"/>
      <c r="F450" s="120"/>
      <c r="G450" s="120"/>
      <c r="H450" s="120"/>
      <c r="J450" s="120"/>
      <c r="K450" s="120"/>
      <c r="L450" s="120"/>
      <c r="M450" s="120"/>
      <c r="N450" s="121"/>
      <c r="O450" s="120"/>
      <c r="P450" s="118"/>
      <c r="R450" s="123"/>
      <c r="T450" s="123"/>
      <c r="U450" s="123"/>
      <c r="V450" s="123"/>
      <c r="W450" s="123"/>
      <c r="X450" s="123"/>
      <c r="Y450" s="123"/>
      <c r="Z450" s="123"/>
      <c r="AA450" s="123"/>
      <c r="AB450" s="123"/>
      <c r="AC450" s="123"/>
      <c r="AD450" s="123"/>
      <c r="AE450" s="123"/>
      <c r="AF450" s="123"/>
      <c r="AG450" s="123"/>
      <c r="AH450" s="123"/>
      <c r="AI450" s="120" t="s">
        <v>1234</v>
      </c>
      <c r="AJ450" s="120"/>
      <c r="AK450" s="120"/>
      <c r="AL450" s="120"/>
      <c r="AM450" s="120"/>
      <c r="AN450" s="120"/>
      <c r="AO450" s="120"/>
      <c r="AP450" s="120"/>
      <c r="AQ450" s="120"/>
      <c r="AR450" s="120"/>
      <c r="AS450" s="120"/>
      <c r="AT450" s="120"/>
      <c r="AU450" s="120"/>
      <c r="AV450" s="120"/>
      <c r="AW450" s="120"/>
      <c r="AX450" s="120"/>
      <c r="AY450" s="120" t="str">
        <f t="shared" si="3"/>
        <v>你所做即你所是：打造企业文化的策略和技巧(第版）</v>
      </c>
      <c r="AZ450" s="121"/>
      <c r="BA450" s="121"/>
      <c r="BB450" s="121"/>
      <c r="BD450" s="121"/>
      <c r="BE450" s="121"/>
      <c r="BF450" s="124"/>
      <c r="BH450" s="121"/>
      <c r="BI450" s="121"/>
      <c r="BP450" s="121"/>
      <c r="BQ450" s="149"/>
    </row>
    <row r="451" spans="1:69" s="122" customFormat="1" ht="16.5">
      <c r="A451" s="118"/>
      <c r="B451" s="141" t="s">
        <v>1314</v>
      </c>
      <c r="C451" s="120"/>
      <c r="D451" s="120"/>
      <c r="E451" s="119"/>
      <c r="F451" s="120"/>
      <c r="G451" s="120"/>
      <c r="H451" s="120"/>
      <c r="J451" s="120"/>
      <c r="K451" s="120"/>
      <c r="L451" s="120"/>
      <c r="M451" s="120"/>
      <c r="N451" s="121"/>
      <c r="O451" s="120"/>
      <c r="P451" s="118"/>
      <c r="R451" s="123"/>
      <c r="T451" s="123"/>
      <c r="U451" s="123"/>
      <c r="V451" s="123"/>
      <c r="W451" s="123"/>
      <c r="X451" s="123"/>
      <c r="Y451" s="123"/>
      <c r="Z451" s="123"/>
      <c r="AA451" s="123"/>
      <c r="AB451" s="123"/>
      <c r="AC451" s="123"/>
      <c r="AD451" s="123"/>
      <c r="AE451" s="123"/>
      <c r="AF451" s="123"/>
      <c r="AG451" s="123"/>
      <c r="AH451" s="123"/>
      <c r="AI451" s="120" t="s">
        <v>1234</v>
      </c>
      <c r="AJ451" s="120"/>
      <c r="AK451" s="120"/>
      <c r="AL451" s="120"/>
      <c r="AM451" s="120"/>
      <c r="AN451" s="120"/>
      <c r="AO451" s="120"/>
      <c r="AP451" s="120"/>
      <c r="AQ451" s="120"/>
      <c r="AR451" s="120"/>
      <c r="AS451" s="120"/>
      <c r="AT451" s="120"/>
      <c r="AU451" s="120"/>
      <c r="AV451" s="120"/>
      <c r="AW451" s="120"/>
      <c r="AX451" s="120"/>
      <c r="AY451" s="120" t="str">
        <f t="shared" si="3"/>
        <v>DTC创造品牌奇迹(第版）</v>
      </c>
      <c r="AZ451" s="121"/>
      <c r="BA451" s="121"/>
      <c r="BB451" s="121"/>
      <c r="BD451" s="121"/>
      <c r="BE451" s="121"/>
      <c r="BF451" s="124"/>
      <c r="BH451" s="121"/>
      <c r="BI451" s="121"/>
      <c r="BP451" s="121"/>
      <c r="BQ451" s="149"/>
    </row>
    <row r="452" spans="1:69" s="122" customFormat="1" ht="16.5">
      <c r="A452" s="118"/>
      <c r="B452" s="141" t="s">
        <v>1315</v>
      </c>
      <c r="C452" s="120"/>
      <c r="D452" s="120"/>
      <c r="E452" s="119"/>
      <c r="F452" s="120"/>
      <c r="G452" s="120"/>
      <c r="H452" s="120"/>
      <c r="J452" s="120"/>
      <c r="K452" s="120"/>
      <c r="L452" s="120"/>
      <c r="M452" s="120"/>
      <c r="N452" s="121"/>
      <c r="O452" s="120"/>
      <c r="P452" s="118"/>
      <c r="R452" s="123"/>
      <c r="T452" s="123"/>
      <c r="U452" s="123"/>
      <c r="V452" s="123"/>
      <c r="W452" s="123"/>
      <c r="X452" s="123"/>
      <c r="Y452" s="123"/>
      <c r="Z452" s="123"/>
      <c r="AA452" s="123"/>
      <c r="AB452" s="123"/>
      <c r="AC452" s="123"/>
      <c r="AD452" s="123"/>
      <c r="AE452" s="123"/>
      <c r="AF452" s="123"/>
      <c r="AG452" s="123"/>
      <c r="AH452" s="123"/>
      <c r="AI452" s="120" t="s">
        <v>1234</v>
      </c>
      <c r="AJ452" s="120"/>
      <c r="AK452" s="120"/>
      <c r="AL452" s="120"/>
      <c r="AM452" s="120"/>
      <c r="AN452" s="120"/>
      <c r="AO452" s="120"/>
      <c r="AP452" s="120"/>
      <c r="AQ452" s="120"/>
      <c r="AR452" s="120"/>
      <c r="AS452" s="120"/>
      <c r="AT452" s="120"/>
      <c r="AU452" s="120"/>
      <c r="AV452" s="120"/>
      <c r="AW452" s="120"/>
      <c r="AX452" s="120"/>
      <c r="AY452" s="120" t="str">
        <f t="shared" si="3"/>
        <v>创业无畏：指数级成长路线图(第版）</v>
      </c>
      <c r="AZ452" s="121"/>
      <c r="BA452" s="121"/>
      <c r="BB452" s="121"/>
      <c r="BD452" s="121"/>
      <c r="BE452" s="121"/>
      <c r="BF452" s="124"/>
      <c r="BH452" s="121"/>
      <c r="BI452" s="121"/>
      <c r="BP452" s="121"/>
      <c r="BQ452" s="149"/>
    </row>
    <row r="453" spans="1:69" s="122" customFormat="1" ht="16.5">
      <c r="A453" s="118"/>
      <c r="B453" s="141" t="s">
        <v>1316</v>
      </c>
      <c r="C453" s="120"/>
      <c r="D453" s="120"/>
      <c r="E453" s="119"/>
      <c r="F453" s="120"/>
      <c r="G453" s="120"/>
      <c r="H453" s="120"/>
      <c r="J453" s="120"/>
      <c r="K453" s="120"/>
      <c r="L453" s="120"/>
      <c r="M453" s="120"/>
      <c r="N453" s="121"/>
      <c r="O453" s="120"/>
      <c r="P453" s="118"/>
      <c r="R453" s="123"/>
      <c r="T453" s="123"/>
      <c r="U453" s="123"/>
      <c r="V453" s="123"/>
      <c r="W453" s="123"/>
      <c r="X453" s="123"/>
      <c r="Y453" s="123"/>
      <c r="Z453" s="123"/>
      <c r="AA453" s="123"/>
      <c r="AB453" s="123"/>
      <c r="AC453" s="123"/>
      <c r="AD453" s="123"/>
      <c r="AE453" s="123"/>
      <c r="AF453" s="123"/>
      <c r="AG453" s="123"/>
      <c r="AH453" s="123"/>
      <c r="AI453" s="120" t="s">
        <v>1218</v>
      </c>
      <c r="AJ453" s="120"/>
      <c r="AK453" s="120"/>
      <c r="AL453" s="120"/>
      <c r="AM453" s="120"/>
      <c r="AN453" s="120"/>
      <c r="AO453" s="120"/>
      <c r="AP453" s="120"/>
      <c r="AQ453" s="120"/>
      <c r="AR453" s="120"/>
      <c r="AS453" s="120"/>
      <c r="AT453" s="120"/>
      <c r="AU453" s="120"/>
      <c r="AV453" s="120"/>
      <c r="AW453" s="120"/>
      <c r="AX453" s="120"/>
      <c r="AY453" s="120" t="str">
        <f t="shared" si="3"/>
        <v>星巴克：关于咖啡、商业和文化的传奇(第版）</v>
      </c>
      <c r="AZ453" s="121"/>
      <c r="BA453" s="121"/>
      <c r="BB453" s="121"/>
      <c r="BD453" s="121"/>
      <c r="BE453" s="121"/>
      <c r="BF453" s="124"/>
      <c r="BH453" s="121"/>
      <c r="BI453" s="121"/>
      <c r="BP453" s="121"/>
      <c r="BQ453" s="149"/>
    </row>
    <row r="454" spans="1:69" s="122" customFormat="1" ht="16.5">
      <c r="A454" s="118"/>
      <c r="B454" s="141" t="s">
        <v>1317</v>
      </c>
      <c r="C454" s="120"/>
      <c r="D454" s="120"/>
      <c r="E454" s="119"/>
      <c r="F454" s="120"/>
      <c r="G454" s="120"/>
      <c r="H454" s="120"/>
      <c r="J454" s="120"/>
      <c r="K454" s="120"/>
      <c r="L454" s="120"/>
      <c r="M454" s="120"/>
      <c r="N454" s="121"/>
      <c r="O454" s="120"/>
      <c r="P454" s="118"/>
      <c r="R454" s="123"/>
      <c r="T454" s="123"/>
      <c r="U454" s="123"/>
      <c r="V454" s="123"/>
      <c r="W454" s="123"/>
      <c r="X454" s="123"/>
      <c r="Y454" s="123"/>
      <c r="Z454" s="123"/>
      <c r="AA454" s="123"/>
      <c r="AB454" s="123"/>
      <c r="AC454" s="123"/>
      <c r="AD454" s="123"/>
      <c r="AE454" s="123"/>
      <c r="AF454" s="123"/>
      <c r="AG454" s="123"/>
      <c r="AH454" s="123"/>
      <c r="AI454" s="120" t="s">
        <v>1218</v>
      </c>
      <c r="AJ454" s="120"/>
      <c r="AK454" s="120"/>
      <c r="AL454" s="120"/>
      <c r="AM454" s="120"/>
      <c r="AN454" s="120"/>
      <c r="AO454" s="120"/>
      <c r="AP454" s="120"/>
      <c r="AQ454" s="120"/>
      <c r="AR454" s="120"/>
      <c r="AS454" s="120"/>
      <c r="AT454" s="120"/>
      <c r="AU454" s="120"/>
      <c r="AV454" s="120"/>
      <c r="AW454" s="120"/>
      <c r="AX454" s="120"/>
      <c r="AY454" s="120" t="str">
        <f t="shared" si="3"/>
        <v>与众不同：极度竞争时代的生存之道(第版）</v>
      </c>
      <c r="AZ454" s="121"/>
      <c r="BA454" s="121"/>
      <c r="BB454" s="121"/>
      <c r="BD454" s="121"/>
      <c r="BE454" s="121"/>
      <c r="BF454" s="124"/>
      <c r="BH454" s="121"/>
      <c r="BI454" s="121"/>
      <c r="BP454" s="121"/>
      <c r="BQ454" s="149"/>
    </row>
    <row r="455" spans="1:69" s="122" customFormat="1" ht="16.5">
      <c r="A455" s="118"/>
      <c r="B455" s="141" t="s">
        <v>1318</v>
      </c>
      <c r="C455" s="120"/>
      <c r="D455" s="120"/>
      <c r="E455" s="119"/>
      <c r="F455" s="120"/>
      <c r="G455" s="120"/>
      <c r="H455" s="120"/>
      <c r="J455" s="120"/>
      <c r="K455" s="120"/>
      <c r="L455" s="120"/>
      <c r="M455" s="120"/>
      <c r="N455" s="121"/>
      <c r="O455" s="120"/>
      <c r="P455" s="118"/>
      <c r="R455" s="123"/>
      <c r="T455" s="123"/>
      <c r="U455" s="123"/>
      <c r="V455" s="123"/>
      <c r="W455" s="123"/>
      <c r="X455" s="123"/>
      <c r="Y455" s="123"/>
      <c r="Z455" s="123"/>
      <c r="AA455" s="123"/>
      <c r="AB455" s="123"/>
      <c r="AC455" s="123"/>
      <c r="AD455" s="123"/>
      <c r="AE455" s="123"/>
      <c r="AF455" s="123"/>
      <c r="AG455" s="123"/>
      <c r="AH455" s="123"/>
      <c r="AI455" s="120" t="s">
        <v>1218</v>
      </c>
      <c r="AJ455" s="120"/>
      <c r="AK455" s="120"/>
      <c r="AL455" s="120"/>
      <c r="AM455" s="120"/>
      <c r="AN455" s="120"/>
      <c r="AO455" s="120"/>
      <c r="AP455" s="120"/>
      <c r="AQ455" s="120"/>
      <c r="AR455" s="120"/>
      <c r="AS455" s="120"/>
      <c r="AT455" s="120"/>
      <c r="AU455" s="120"/>
      <c r="AV455" s="120"/>
      <c r="AW455" s="120"/>
      <c r="AX455" s="120"/>
      <c r="AY455" s="120" t="str">
        <f t="shared" ref="AY455:AY1252" si="4">B455&amp;"(第"&amp;C455&amp;"版）"</f>
        <v>故事与估值(第版）</v>
      </c>
      <c r="AZ455" s="121"/>
      <c r="BA455" s="121"/>
      <c r="BB455" s="121"/>
      <c r="BD455" s="121"/>
      <c r="BE455" s="121"/>
      <c r="BF455" s="124"/>
      <c r="BH455" s="121"/>
      <c r="BI455" s="121"/>
      <c r="BP455" s="121"/>
      <c r="BQ455" s="149"/>
    </row>
    <row r="456" spans="1:69" s="122" customFormat="1" ht="16.5">
      <c r="A456" s="118"/>
      <c r="B456" s="141" t="s">
        <v>1319</v>
      </c>
      <c r="C456" s="120"/>
      <c r="D456" s="120"/>
      <c r="E456" s="119"/>
      <c r="F456" s="120"/>
      <c r="G456" s="120"/>
      <c r="H456" s="120"/>
      <c r="J456" s="120"/>
      <c r="K456" s="120"/>
      <c r="L456" s="120"/>
      <c r="M456" s="120"/>
      <c r="N456" s="121"/>
      <c r="O456" s="120"/>
      <c r="P456" s="118"/>
      <c r="R456" s="123"/>
      <c r="T456" s="123"/>
      <c r="U456" s="123"/>
      <c r="V456" s="123"/>
      <c r="W456" s="123"/>
      <c r="X456" s="123"/>
      <c r="Y456" s="123"/>
      <c r="Z456" s="123"/>
      <c r="AA456" s="123"/>
      <c r="AB456" s="123"/>
      <c r="AC456" s="123"/>
      <c r="AD456" s="123"/>
      <c r="AE456" s="123"/>
      <c r="AF456" s="123"/>
      <c r="AG456" s="123"/>
      <c r="AH456" s="123"/>
      <c r="AI456" s="120" t="s">
        <v>1234</v>
      </c>
      <c r="AJ456" s="120"/>
      <c r="AK456" s="120"/>
      <c r="AL456" s="120"/>
      <c r="AM456" s="120"/>
      <c r="AN456" s="120"/>
      <c r="AO456" s="120"/>
      <c r="AP456" s="120"/>
      <c r="AQ456" s="120"/>
      <c r="AR456" s="120"/>
      <c r="AS456" s="120"/>
      <c r="AT456" s="120"/>
      <c r="AU456" s="120"/>
      <c r="AV456" s="120"/>
      <c r="AW456" s="120"/>
      <c r="AX456" s="120"/>
      <c r="AY456" s="120" t="str">
        <f t="shared" si="4"/>
        <v>营销革命4.0(第版）</v>
      </c>
      <c r="AZ456" s="121"/>
      <c r="BA456" s="121"/>
      <c r="BB456" s="121"/>
      <c r="BD456" s="121"/>
      <c r="BE456" s="121"/>
      <c r="BF456" s="124"/>
      <c r="BH456" s="121"/>
      <c r="BI456" s="121"/>
      <c r="BP456" s="121"/>
      <c r="BQ456" s="149"/>
    </row>
    <row r="457" spans="1:69" s="122" customFormat="1" ht="16.5">
      <c r="A457" s="118"/>
      <c r="B457" s="141" t="s">
        <v>1320</v>
      </c>
      <c r="C457" s="120"/>
      <c r="D457" s="120"/>
      <c r="E457" s="119"/>
      <c r="F457" s="120"/>
      <c r="G457" s="120"/>
      <c r="H457" s="120"/>
      <c r="J457" s="120"/>
      <c r="K457" s="120"/>
      <c r="L457" s="120"/>
      <c r="M457" s="120"/>
      <c r="N457" s="121"/>
      <c r="O457" s="120"/>
      <c r="P457" s="118"/>
      <c r="R457" s="123"/>
      <c r="T457" s="123"/>
      <c r="U457" s="123"/>
      <c r="V457" s="123"/>
      <c r="W457" s="123"/>
      <c r="X457" s="123"/>
      <c r="Y457" s="123"/>
      <c r="Z457" s="123"/>
      <c r="AA457" s="123"/>
      <c r="AB457" s="123"/>
      <c r="AC457" s="123"/>
      <c r="AD457" s="123"/>
      <c r="AE457" s="123"/>
      <c r="AF457" s="123"/>
      <c r="AG457" s="123"/>
      <c r="AH457" s="123"/>
      <c r="AI457" s="120" t="s">
        <v>1234</v>
      </c>
      <c r="AJ457" s="120"/>
      <c r="AK457" s="120"/>
      <c r="AL457" s="120"/>
      <c r="AM457" s="120"/>
      <c r="AN457" s="120"/>
      <c r="AO457" s="120"/>
      <c r="AP457" s="120"/>
      <c r="AQ457" s="120"/>
      <c r="AR457" s="120"/>
      <c r="AS457" s="120"/>
      <c r="AT457" s="120"/>
      <c r="AU457" s="120"/>
      <c r="AV457" s="120"/>
      <c r="AW457" s="120"/>
      <c r="AX457" s="120"/>
      <c r="AY457" s="120" t="str">
        <f t="shared" si="4"/>
        <v>竞争优势(第版）</v>
      </c>
      <c r="AZ457" s="121"/>
      <c r="BA457" s="121"/>
      <c r="BB457" s="121"/>
      <c r="BD457" s="121"/>
      <c r="BE457" s="121"/>
      <c r="BF457" s="124"/>
      <c r="BH457" s="121"/>
      <c r="BI457" s="121"/>
      <c r="BP457" s="121"/>
      <c r="BQ457" s="149"/>
    </row>
    <row r="458" spans="1:69" s="122" customFormat="1" ht="16.5">
      <c r="A458" s="118"/>
      <c r="B458" s="141" t="s">
        <v>1321</v>
      </c>
      <c r="C458" s="120"/>
      <c r="D458" s="120"/>
      <c r="E458" s="119"/>
      <c r="F458" s="120"/>
      <c r="G458" s="120"/>
      <c r="H458" s="120"/>
      <c r="J458" s="120"/>
      <c r="K458" s="120"/>
      <c r="L458" s="120"/>
      <c r="M458" s="120"/>
      <c r="N458" s="121"/>
      <c r="O458" s="120"/>
      <c r="P458" s="118"/>
      <c r="R458" s="123"/>
      <c r="T458" s="123"/>
      <c r="U458" s="123"/>
      <c r="V458" s="123"/>
      <c r="W458" s="123"/>
      <c r="X458" s="123"/>
      <c r="Y458" s="123"/>
      <c r="Z458" s="123"/>
      <c r="AA458" s="123"/>
      <c r="AB458" s="123"/>
      <c r="AC458" s="123"/>
      <c r="AD458" s="123"/>
      <c r="AE458" s="123"/>
      <c r="AF458" s="123"/>
      <c r="AG458" s="123"/>
      <c r="AH458" s="123"/>
      <c r="AI458" s="120" t="s">
        <v>1234</v>
      </c>
      <c r="AJ458" s="120"/>
      <c r="AK458" s="120"/>
      <c r="AL458" s="120"/>
      <c r="AM458" s="120"/>
      <c r="AN458" s="120"/>
      <c r="AO458" s="120"/>
      <c r="AP458" s="120"/>
      <c r="AQ458" s="120"/>
      <c r="AR458" s="120"/>
      <c r="AS458" s="120"/>
      <c r="AT458" s="120"/>
      <c r="AU458" s="120"/>
      <c r="AV458" s="120"/>
      <c r="AW458" s="120"/>
      <c r="AX458" s="120"/>
      <c r="AY458" s="120" t="str">
        <f t="shared" si="4"/>
        <v>管理：使命、责任、实务（实务篇）(第版）</v>
      </c>
      <c r="AZ458" s="121"/>
      <c r="BA458" s="121"/>
      <c r="BB458" s="121"/>
      <c r="BD458" s="121"/>
      <c r="BE458" s="121"/>
      <c r="BF458" s="124"/>
      <c r="BH458" s="121"/>
      <c r="BI458" s="121"/>
      <c r="BP458" s="121"/>
      <c r="BQ458" s="149"/>
    </row>
    <row r="459" spans="1:69" s="122" customFormat="1" ht="16.5">
      <c r="A459" s="118"/>
      <c r="B459" s="141" t="s">
        <v>1322</v>
      </c>
      <c r="C459" s="120"/>
      <c r="D459" s="120"/>
      <c r="E459" s="119"/>
      <c r="F459" s="120"/>
      <c r="G459" s="120"/>
      <c r="H459" s="120"/>
      <c r="J459" s="120"/>
      <c r="K459" s="120"/>
      <c r="L459" s="120"/>
      <c r="M459" s="120"/>
      <c r="N459" s="121"/>
      <c r="O459" s="120"/>
      <c r="P459" s="118"/>
      <c r="R459" s="123"/>
      <c r="T459" s="123"/>
      <c r="U459" s="123"/>
      <c r="V459" s="123"/>
      <c r="W459" s="123"/>
      <c r="X459" s="123"/>
      <c r="Y459" s="123"/>
      <c r="Z459" s="123"/>
      <c r="AA459" s="123"/>
      <c r="AB459" s="123"/>
      <c r="AC459" s="123"/>
      <c r="AD459" s="123"/>
      <c r="AE459" s="123"/>
      <c r="AF459" s="123"/>
      <c r="AG459" s="123"/>
      <c r="AH459" s="123"/>
      <c r="AI459" s="120" t="s">
        <v>1234</v>
      </c>
      <c r="AJ459" s="120"/>
      <c r="AK459" s="120"/>
      <c r="AL459" s="120"/>
      <c r="AM459" s="120"/>
      <c r="AN459" s="120"/>
      <c r="AO459" s="120"/>
      <c r="AP459" s="120"/>
      <c r="AQ459" s="120"/>
      <c r="AR459" s="120"/>
      <c r="AS459" s="120"/>
      <c r="AT459" s="120"/>
      <c r="AU459" s="120"/>
      <c r="AV459" s="120"/>
      <c r="AW459" s="120"/>
      <c r="AX459" s="120"/>
      <c r="AY459" s="120" t="str">
        <f t="shared" si="4"/>
        <v>引爆点(第版）</v>
      </c>
      <c r="AZ459" s="121"/>
      <c r="BA459" s="121"/>
      <c r="BB459" s="121"/>
      <c r="BD459" s="121"/>
      <c r="BE459" s="121"/>
      <c r="BF459" s="124"/>
      <c r="BH459" s="121"/>
      <c r="BI459" s="121"/>
      <c r="BP459" s="121"/>
      <c r="BQ459" s="149"/>
    </row>
    <row r="460" spans="1:69" s="122" customFormat="1" ht="16.5">
      <c r="A460" s="118"/>
      <c r="B460" s="141" t="s">
        <v>1323</v>
      </c>
      <c r="C460" s="120"/>
      <c r="D460" s="120"/>
      <c r="E460" s="119"/>
      <c r="F460" s="120"/>
      <c r="G460" s="120"/>
      <c r="H460" s="120"/>
      <c r="J460" s="120"/>
      <c r="K460" s="120"/>
      <c r="L460" s="120"/>
      <c r="M460" s="120"/>
      <c r="N460" s="121"/>
      <c r="O460" s="120"/>
      <c r="P460" s="118"/>
      <c r="R460" s="123"/>
      <c r="T460" s="123"/>
      <c r="U460" s="123"/>
      <c r="V460" s="123"/>
      <c r="W460" s="123"/>
      <c r="X460" s="123"/>
      <c r="Y460" s="123"/>
      <c r="Z460" s="123"/>
      <c r="AA460" s="123"/>
      <c r="AB460" s="123"/>
      <c r="AC460" s="123"/>
      <c r="AD460" s="123"/>
      <c r="AE460" s="123"/>
      <c r="AF460" s="123"/>
      <c r="AG460" s="123"/>
      <c r="AH460" s="123"/>
      <c r="AI460" s="120" t="s">
        <v>1234</v>
      </c>
      <c r="AJ460" s="120"/>
      <c r="AK460" s="120"/>
      <c r="AL460" s="120"/>
      <c r="AM460" s="120"/>
      <c r="AN460" s="120"/>
      <c r="AO460" s="120"/>
      <c r="AP460" s="120"/>
      <c r="AQ460" s="120"/>
      <c r="AR460" s="120"/>
      <c r="AS460" s="120"/>
      <c r="AT460" s="120"/>
      <c r="AU460" s="120"/>
      <c r="AV460" s="120"/>
      <c r="AW460" s="120"/>
      <c r="AX460" s="120"/>
      <c r="AY460" s="120" t="str">
        <f t="shared" si="4"/>
        <v>变革性创新(第版）</v>
      </c>
      <c r="AZ460" s="121"/>
      <c r="BA460" s="121"/>
      <c r="BB460" s="121"/>
      <c r="BD460" s="121"/>
      <c r="BE460" s="121"/>
      <c r="BF460" s="124"/>
      <c r="BH460" s="121"/>
      <c r="BI460" s="121"/>
      <c r="BP460" s="121"/>
      <c r="BQ460" s="149"/>
    </row>
    <row r="461" spans="1:69" s="122" customFormat="1" ht="16.5">
      <c r="A461" s="118"/>
      <c r="B461" s="141" t="s">
        <v>1324</v>
      </c>
      <c r="C461" s="120"/>
      <c r="D461" s="120"/>
      <c r="E461" s="119"/>
      <c r="F461" s="120"/>
      <c r="G461" s="120"/>
      <c r="H461" s="120"/>
      <c r="J461" s="120"/>
      <c r="K461" s="120"/>
      <c r="L461" s="120"/>
      <c r="M461" s="120"/>
      <c r="N461" s="121"/>
      <c r="O461" s="120"/>
      <c r="P461" s="118"/>
      <c r="R461" s="123"/>
      <c r="T461" s="123"/>
      <c r="U461" s="123"/>
      <c r="V461" s="123"/>
      <c r="W461" s="123"/>
      <c r="X461" s="123"/>
      <c r="Y461" s="123"/>
      <c r="Z461" s="123"/>
      <c r="AA461" s="123"/>
      <c r="AB461" s="123"/>
      <c r="AC461" s="123"/>
      <c r="AD461" s="123"/>
      <c r="AE461" s="123"/>
      <c r="AF461" s="123"/>
      <c r="AG461" s="123"/>
      <c r="AH461" s="123"/>
      <c r="AI461" s="120" t="s">
        <v>1234</v>
      </c>
      <c r="AJ461" s="120"/>
      <c r="AK461" s="120"/>
      <c r="AL461" s="120"/>
      <c r="AM461" s="120"/>
      <c r="AN461" s="120"/>
      <c r="AO461" s="120"/>
      <c r="AP461" s="120"/>
      <c r="AQ461" s="120"/>
      <c r="AR461" s="120"/>
      <c r="AS461" s="120"/>
      <c r="AT461" s="120"/>
      <c r="AU461" s="120"/>
      <c r="AV461" s="120"/>
      <c r="AW461" s="120"/>
      <c r="AX461" s="120"/>
      <c r="AY461" s="120" t="str">
        <f t="shared" si="4"/>
        <v>改变未来的九大算法(第版）</v>
      </c>
      <c r="AZ461" s="121"/>
      <c r="BA461" s="121"/>
      <c r="BB461" s="121"/>
      <c r="BD461" s="121"/>
      <c r="BE461" s="121"/>
      <c r="BF461" s="124"/>
      <c r="BH461" s="121"/>
      <c r="BI461" s="121"/>
      <c r="BP461" s="121"/>
      <c r="BQ461" s="149"/>
    </row>
    <row r="462" spans="1:69" s="122" customFormat="1" ht="33">
      <c r="A462" s="118"/>
      <c r="B462" s="141" t="s">
        <v>1331</v>
      </c>
      <c r="C462" s="120"/>
      <c r="D462" s="120"/>
      <c r="E462" s="119"/>
      <c r="F462" s="120"/>
      <c r="G462" s="120"/>
      <c r="H462" s="120"/>
      <c r="J462" s="120"/>
      <c r="K462" s="120"/>
      <c r="L462" s="120"/>
      <c r="M462" s="120"/>
      <c r="N462" s="121"/>
      <c r="O462" s="120"/>
      <c r="P462" s="118"/>
      <c r="R462" s="123"/>
      <c r="T462" s="123"/>
      <c r="U462" s="123"/>
      <c r="V462" s="123"/>
      <c r="W462" s="123"/>
      <c r="X462" s="123"/>
      <c r="Y462" s="123"/>
      <c r="Z462" s="123"/>
      <c r="AA462" s="123"/>
      <c r="AB462" s="123"/>
      <c r="AC462" s="123"/>
      <c r="AD462" s="123"/>
      <c r="AE462" s="123"/>
      <c r="AF462" s="123"/>
      <c r="AG462" s="123"/>
      <c r="AH462" s="123"/>
      <c r="AI462" s="120" t="s">
        <v>1218</v>
      </c>
      <c r="AJ462" s="120"/>
      <c r="AK462" s="120"/>
      <c r="AL462" s="120"/>
      <c r="AM462" s="120"/>
      <c r="AN462" s="120"/>
      <c r="AO462" s="120"/>
      <c r="AP462" s="120"/>
      <c r="AQ462" s="120"/>
      <c r="AR462" s="120"/>
      <c r="AS462" s="120"/>
      <c r="AT462" s="120"/>
      <c r="AU462" s="120"/>
      <c r="AV462" s="120"/>
      <c r="AW462" s="120"/>
      <c r="AX462" s="120"/>
      <c r="AY462" s="120" t="str">
        <f t="shared" si="4"/>
        <v>魔鬼经济学1：揭示隐藏在表象之下的真实世界(第版）</v>
      </c>
      <c r="AZ462" s="121"/>
      <c r="BA462" s="121"/>
      <c r="BB462" s="121"/>
      <c r="BD462" s="121"/>
      <c r="BE462" s="121"/>
      <c r="BF462" s="124"/>
      <c r="BH462" s="121"/>
      <c r="BI462" s="121"/>
      <c r="BP462" s="121"/>
      <c r="BQ462" s="149"/>
    </row>
    <row r="463" spans="1:69" s="122" customFormat="1" ht="16.5">
      <c r="A463" s="118"/>
      <c r="B463" s="141" t="s">
        <v>1330</v>
      </c>
      <c r="C463" s="120"/>
      <c r="D463" s="120"/>
      <c r="E463" s="119"/>
      <c r="F463" s="120"/>
      <c r="G463" s="120"/>
      <c r="H463" s="120"/>
      <c r="J463" s="120"/>
      <c r="K463" s="120"/>
      <c r="L463" s="120"/>
      <c r="M463" s="120"/>
      <c r="N463" s="121"/>
      <c r="O463" s="120"/>
      <c r="P463" s="118"/>
      <c r="R463" s="123"/>
      <c r="T463" s="123"/>
      <c r="U463" s="123"/>
      <c r="V463" s="123"/>
      <c r="W463" s="123"/>
      <c r="X463" s="123"/>
      <c r="Y463" s="123"/>
      <c r="Z463" s="123"/>
      <c r="AA463" s="123"/>
      <c r="AB463" s="123"/>
      <c r="AC463" s="123"/>
      <c r="AD463" s="123"/>
      <c r="AE463" s="123"/>
      <c r="AF463" s="123"/>
      <c r="AG463" s="123"/>
      <c r="AH463" s="123"/>
      <c r="AI463" s="120" t="s">
        <v>1218</v>
      </c>
      <c r="AJ463" s="120"/>
      <c r="AK463" s="120"/>
      <c r="AL463" s="120"/>
      <c r="AM463" s="120"/>
      <c r="AN463" s="120"/>
      <c r="AO463" s="120"/>
      <c r="AP463" s="120"/>
      <c r="AQ463" s="120"/>
      <c r="AR463" s="120"/>
      <c r="AS463" s="120"/>
      <c r="AT463" s="120"/>
      <c r="AU463" s="120"/>
      <c r="AV463" s="120"/>
      <c r="AW463" s="120"/>
      <c r="AX463" s="120"/>
      <c r="AY463" s="120" t="str">
        <f t="shared" si="4"/>
        <v>魔鬼经济学2：拥有清晰思维的艺术(第版）</v>
      </c>
      <c r="AZ463" s="121"/>
      <c r="BA463" s="121"/>
      <c r="BB463" s="121"/>
      <c r="BD463" s="121"/>
      <c r="BE463" s="121"/>
      <c r="BF463" s="124"/>
      <c r="BH463" s="121"/>
      <c r="BI463" s="121"/>
      <c r="BP463" s="121"/>
      <c r="BQ463" s="149"/>
    </row>
    <row r="464" spans="1:69" s="122" customFormat="1" ht="16.5">
      <c r="A464" s="118"/>
      <c r="B464" s="141" t="s">
        <v>1313</v>
      </c>
      <c r="C464" s="120"/>
      <c r="D464" s="120"/>
      <c r="E464" s="119"/>
      <c r="F464" s="120"/>
      <c r="G464" s="120"/>
      <c r="H464" s="120"/>
      <c r="J464" s="120"/>
      <c r="K464" s="120"/>
      <c r="L464" s="120"/>
      <c r="M464" s="120"/>
      <c r="N464" s="121"/>
      <c r="O464" s="120"/>
      <c r="P464" s="118"/>
      <c r="R464" s="123"/>
      <c r="T464" s="123"/>
      <c r="U464" s="123"/>
      <c r="V464" s="123"/>
      <c r="W464" s="123"/>
      <c r="X464" s="123"/>
      <c r="Y464" s="123"/>
      <c r="Z464" s="123"/>
      <c r="AA464" s="123"/>
      <c r="AB464" s="123"/>
      <c r="AC464" s="123"/>
      <c r="AD464" s="123"/>
      <c r="AE464" s="123"/>
      <c r="AF464" s="123"/>
      <c r="AG464" s="123"/>
      <c r="AH464" s="123"/>
      <c r="AI464" s="120" t="s">
        <v>1218</v>
      </c>
      <c r="AJ464" s="120"/>
      <c r="AK464" s="120"/>
      <c r="AL464" s="120"/>
      <c r="AM464" s="120"/>
      <c r="AN464" s="120"/>
      <c r="AO464" s="120"/>
      <c r="AP464" s="120"/>
      <c r="AQ464" s="120"/>
      <c r="AR464" s="120"/>
      <c r="AS464" s="120"/>
      <c r="AT464" s="120"/>
      <c r="AU464" s="120"/>
      <c r="AV464" s="120"/>
      <c r="AW464" s="120"/>
      <c r="AX464" s="120"/>
      <c r="AY464" s="120" t="str">
        <f t="shared" si="4"/>
        <v>魔鬼经济学3：用反常思维解决问题(第版）</v>
      </c>
      <c r="AZ464" s="121"/>
      <c r="BA464" s="121"/>
      <c r="BB464" s="121"/>
      <c r="BD464" s="121"/>
      <c r="BE464" s="121"/>
      <c r="BF464" s="124"/>
      <c r="BH464" s="121"/>
      <c r="BI464" s="121"/>
      <c r="BP464" s="121"/>
      <c r="BQ464" s="149"/>
    </row>
    <row r="465" spans="1:69" s="122" customFormat="1" ht="27">
      <c r="A465" s="118"/>
      <c r="B465" s="141" t="s">
        <v>1325</v>
      </c>
      <c r="C465" s="120"/>
      <c r="D465" s="120"/>
      <c r="E465" s="119"/>
      <c r="F465" s="120"/>
      <c r="G465" s="120"/>
      <c r="H465" s="120"/>
      <c r="J465" s="120"/>
      <c r="K465" s="120"/>
      <c r="L465" s="120"/>
      <c r="M465" s="120"/>
      <c r="N465" s="121"/>
      <c r="O465" s="120"/>
      <c r="P465" s="118"/>
      <c r="R465" s="123"/>
      <c r="T465" s="123"/>
      <c r="U465" s="123"/>
      <c r="V465" s="123"/>
      <c r="W465" s="123"/>
      <c r="X465" s="123"/>
      <c r="Y465" s="123"/>
      <c r="Z465" s="123"/>
      <c r="AA465" s="123"/>
      <c r="AB465" s="123"/>
      <c r="AC465" s="123"/>
      <c r="AD465" s="123"/>
      <c r="AE465" s="123"/>
      <c r="AF465" s="123"/>
      <c r="AG465" s="123"/>
      <c r="AH465" s="123"/>
      <c r="AI465" s="120" t="s">
        <v>1218</v>
      </c>
      <c r="AJ465" s="120"/>
      <c r="AK465" s="120"/>
      <c r="AL465" s="120"/>
      <c r="AM465" s="120"/>
      <c r="AN465" s="120"/>
      <c r="AO465" s="120"/>
      <c r="AP465" s="120"/>
      <c r="AQ465" s="120"/>
      <c r="AR465" s="120"/>
      <c r="AS465" s="120"/>
      <c r="AT465" s="120"/>
      <c r="AU465" s="120"/>
      <c r="AV465" s="120"/>
      <c r="AW465" s="120"/>
      <c r="AX465" s="120"/>
      <c r="AY465" s="120" t="str">
        <f t="shared" si="4"/>
        <v>魔鬼经济学4：用“有色眼镜”看清世界(第版）</v>
      </c>
      <c r="AZ465" s="121"/>
      <c r="BA465" s="121"/>
      <c r="BB465" s="121"/>
      <c r="BD465" s="121"/>
      <c r="BE465" s="121"/>
      <c r="BF465" s="124"/>
      <c r="BH465" s="121"/>
      <c r="BI465" s="121"/>
      <c r="BP465" s="121"/>
      <c r="BQ465" s="149"/>
    </row>
    <row r="466" spans="1:69" s="122" customFormat="1" ht="16.5">
      <c r="A466" s="118"/>
      <c r="B466" s="141" t="s">
        <v>1326</v>
      </c>
      <c r="C466" s="120"/>
      <c r="D466" s="120"/>
      <c r="E466" s="119"/>
      <c r="F466" s="120"/>
      <c r="G466" s="120"/>
      <c r="H466" s="120"/>
      <c r="J466" s="120"/>
      <c r="K466" s="120"/>
      <c r="L466" s="120"/>
      <c r="M466" s="120"/>
      <c r="N466" s="121"/>
      <c r="O466" s="120"/>
      <c r="P466" s="118"/>
      <c r="R466" s="123"/>
      <c r="T466" s="123"/>
      <c r="U466" s="123"/>
      <c r="V466" s="123"/>
      <c r="W466" s="123"/>
      <c r="X466" s="123"/>
      <c r="Y466" s="123"/>
      <c r="Z466" s="123"/>
      <c r="AA466" s="123"/>
      <c r="AB466" s="123"/>
      <c r="AC466" s="123"/>
      <c r="AD466" s="123"/>
      <c r="AE466" s="123"/>
      <c r="AF466" s="123"/>
      <c r="AG466" s="123"/>
      <c r="AH466" s="123"/>
      <c r="AI466" s="120" t="s">
        <v>1234</v>
      </c>
      <c r="AJ466" s="120"/>
      <c r="AK466" s="120"/>
      <c r="AL466" s="120"/>
      <c r="AM466" s="120"/>
      <c r="AN466" s="120"/>
      <c r="AO466" s="120"/>
      <c r="AP466" s="120"/>
      <c r="AQ466" s="120"/>
      <c r="AR466" s="120"/>
      <c r="AS466" s="120"/>
      <c r="AT466" s="120"/>
      <c r="AU466" s="120"/>
      <c r="AV466" s="120"/>
      <c r="AW466" s="120"/>
      <c r="AX466" s="120"/>
      <c r="AY466" s="120" t="str">
        <f t="shared" si="4"/>
        <v>点击：解密移动经济的未来版图(第版）</v>
      </c>
      <c r="AZ466" s="121"/>
      <c r="BA466" s="121"/>
      <c r="BB466" s="121"/>
      <c r="BD466" s="121"/>
      <c r="BE466" s="121"/>
      <c r="BF466" s="124"/>
      <c r="BH466" s="121"/>
      <c r="BI466" s="121"/>
      <c r="BP466" s="121"/>
      <c r="BQ466" s="149"/>
    </row>
    <row r="467" spans="1:69" s="122" customFormat="1" ht="16.5">
      <c r="A467" s="118"/>
      <c r="B467" s="141"/>
      <c r="C467" s="120"/>
      <c r="D467" s="120"/>
      <c r="E467" s="119"/>
      <c r="F467" s="120"/>
      <c r="G467" s="120"/>
      <c r="H467" s="120"/>
      <c r="J467" s="120"/>
      <c r="K467" s="120"/>
      <c r="L467" s="120"/>
      <c r="M467" s="120"/>
      <c r="N467" s="121"/>
      <c r="O467" s="120"/>
      <c r="P467" s="118"/>
      <c r="R467" s="123"/>
      <c r="T467" s="123"/>
      <c r="U467" s="123"/>
      <c r="V467" s="123"/>
      <c r="W467" s="123"/>
      <c r="X467" s="123"/>
      <c r="Y467" s="123"/>
      <c r="Z467" s="123"/>
      <c r="AA467" s="123"/>
      <c r="AB467" s="123"/>
      <c r="AC467" s="123"/>
      <c r="AD467" s="123"/>
      <c r="AE467" s="123"/>
      <c r="AF467" s="123"/>
      <c r="AG467" s="123"/>
      <c r="AH467" s="123"/>
      <c r="AI467" s="120" t="s">
        <v>1218</v>
      </c>
      <c r="AJ467" s="120"/>
      <c r="AK467" s="120"/>
      <c r="AL467" s="120"/>
      <c r="AM467" s="120"/>
      <c r="AN467" s="120"/>
      <c r="AO467" s="120"/>
      <c r="AP467" s="120"/>
      <c r="AQ467" s="120"/>
      <c r="AR467" s="120"/>
      <c r="AS467" s="120"/>
      <c r="AT467" s="120"/>
      <c r="AU467" s="120"/>
      <c r="AV467" s="120"/>
      <c r="AW467" s="120"/>
      <c r="AX467" s="120"/>
      <c r="AY467" s="120" t="str">
        <f t="shared" si="4"/>
        <v>(第版）</v>
      </c>
      <c r="AZ467" s="121"/>
      <c r="BA467" s="121"/>
      <c r="BB467" s="121"/>
      <c r="BD467" s="121"/>
      <c r="BE467" s="121"/>
      <c r="BF467" s="124"/>
      <c r="BH467" s="121"/>
      <c r="BI467" s="121"/>
      <c r="BP467" s="121"/>
      <c r="BQ467" s="149"/>
    </row>
    <row r="468" spans="1:69" s="122" customFormat="1" ht="16.5">
      <c r="A468" s="118"/>
      <c r="B468" s="141" t="s">
        <v>1231</v>
      </c>
      <c r="C468" s="120"/>
      <c r="D468" s="120"/>
      <c r="E468" s="119"/>
      <c r="F468" s="120"/>
      <c r="G468" s="120"/>
      <c r="H468" s="120"/>
      <c r="J468" s="120"/>
      <c r="K468" s="120"/>
      <c r="L468" s="120"/>
      <c r="M468" s="120"/>
      <c r="N468" s="121"/>
      <c r="O468" s="120"/>
      <c r="P468" s="118"/>
      <c r="R468" s="123"/>
      <c r="T468" s="123"/>
      <c r="U468" s="123"/>
      <c r="V468" s="123"/>
      <c r="W468" s="123"/>
      <c r="X468" s="123"/>
      <c r="Y468" s="123"/>
      <c r="Z468" s="123"/>
      <c r="AA468" s="123"/>
      <c r="AB468" s="123"/>
      <c r="AC468" s="123"/>
      <c r="AD468" s="123"/>
      <c r="AE468" s="123"/>
      <c r="AF468" s="123"/>
      <c r="AG468" s="123"/>
      <c r="AH468" s="123"/>
      <c r="AI468" s="120" t="s">
        <v>1218</v>
      </c>
      <c r="AJ468" s="120"/>
      <c r="AK468" s="120"/>
      <c r="AL468" s="120"/>
      <c r="AM468" s="120"/>
      <c r="AN468" s="120"/>
      <c r="AO468" s="120"/>
      <c r="AP468" s="120"/>
      <c r="AQ468" s="120"/>
      <c r="AR468" s="120"/>
      <c r="AS468" s="120"/>
      <c r="AT468" s="120"/>
      <c r="AU468" s="120"/>
      <c r="AV468" s="120"/>
      <c r="AW468" s="120"/>
      <c r="AX468" s="120"/>
      <c r="AY468" s="120" t="str">
        <f t="shared" si="4"/>
        <v>反常识经济学1：生活中的经济游戏(第版）</v>
      </c>
      <c r="AZ468" s="121"/>
      <c r="BA468" s="121"/>
      <c r="BB468" s="121"/>
      <c r="BD468" s="121"/>
      <c r="BE468" s="121"/>
      <c r="BF468" s="124"/>
      <c r="BH468" s="121"/>
      <c r="BI468" s="121"/>
      <c r="BP468" s="121"/>
      <c r="BQ468" s="149"/>
    </row>
    <row r="469" spans="1:69" s="122" customFormat="1" ht="16.5">
      <c r="A469" s="118"/>
      <c r="B469" s="141" t="s">
        <v>1230</v>
      </c>
      <c r="C469" s="120"/>
      <c r="D469" s="120"/>
      <c r="E469" s="119"/>
      <c r="F469" s="120"/>
      <c r="G469" s="120"/>
      <c r="H469" s="120"/>
      <c r="J469" s="120"/>
      <c r="K469" s="120"/>
      <c r="L469" s="120"/>
      <c r="M469" s="120"/>
      <c r="N469" s="121"/>
      <c r="O469" s="120"/>
      <c r="P469" s="118"/>
      <c r="R469" s="123"/>
      <c r="T469" s="123"/>
      <c r="U469" s="123"/>
      <c r="V469" s="123"/>
      <c r="W469" s="123"/>
      <c r="X469" s="123"/>
      <c r="Y469" s="123"/>
      <c r="Z469" s="123"/>
      <c r="AA469" s="123"/>
      <c r="AB469" s="123"/>
      <c r="AC469" s="123"/>
      <c r="AD469" s="123"/>
      <c r="AE469" s="123"/>
      <c r="AF469" s="123"/>
      <c r="AG469" s="123"/>
      <c r="AH469" s="123"/>
      <c r="AI469" s="120" t="s">
        <v>1218</v>
      </c>
      <c r="AJ469" s="120"/>
      <c r="AK469" s="120"/>
      <c r="AL469" s="120"/>
      <c r="AM469" s="120"/>
      <c r="AN469" s="120"/>
      <c r="AO469" s="120"/>
      <c r="AP469" s="120"/>
      <c r="AQ469" s="120"/>
      <c r="AR469" s="120"/>
      <c r="AS469" s="120"/>
      <c r="AT469" s="120"/>
      <c r="AU469" s="120"/>
      <c r="AV469" s="120"/>
      <c r="AW469" s="120"/>
      <c r="AX469" s="120"/>
      <c r="AY469" s="120" t="str">
        <f t="shared" si="4"/>
        <v>反常识经济学2：为什么不向美丽征税(第版）</v>
      </c>
      <c r="AZ469" s="121"/>
      <c r="BA469" s="121"/>
      <c r="BB469" s="121"/>
      <c r="BD469" s="121"/>
      <c r="BE469" s="121"/>
      <c r="BF469" s="124"/>
      <c r="BH469" s="121"/>
      <c r="BI469" s="121"/>
      <c r="BP469" s="121"/>
      <c r="BQ469" s="149"/>
    </row>
    <row r="470" spans="1:69" s="122" customFormat="1" ht="16.5">
      <c r="A470" s="118"/>
      <c r="B470" s="141" t="s">
        <v>1327</v>
      </c>
      <c r="C470" s="120"/>
      <c r="D470" s="120"/>
      <c r="E470" s="119"/>
      <c r="F470" s="120"/>
      <c r="G470" s="120"/>
      <c r="H470" s="120"/>
      <c r="J470" s="120"/>
      <c r="K470" s="120"/>
      <c r="L470" s="120"/>
      <c r="M470" s="120"/>
      <c r="N470" s="121"/>
      <c r="O470" s="120"/>
      <c r="P470" s="118"/>
      <c r="R470" s="123"/>
      <c r="T470" s="123"/>
      <c r="U470" s="123"/>
      <c r="V470" s="123"/>
      <c r="W470" s="123"/>
      <c r="X470" s="123"/>
      <c r="Y470" s="123"/>
      <c r="Z470" s="123"/>
      <c r="AA470" s="123"/>
      <c r="AB470" s="123"/>
      <c r="AC470" s="123"/>
      <c r="AD470" s="123"/>
      <c r="AE470" s="123"/>
      <c r="AF470" s="123"/>
      <c r="AG470" s="123"/>
      <c r="AH470" s="123"/>
      <c r="AI470" s="120" t="s">
        <v>1218</v>
      </c>
      <c r="AJ470" s="120"/>
      <c r="AK470" s="120"/>
      <c r="AL470" s="120"/>
      <c r="AM470" s="120"/>
      <c r="AN470" s="120"/>
      <c r="AO470" s="120"/>
      <c r="AP470" s="120"/>
      <c r="AQ470" s="120"/>
      <c r="AR470" s="120"/>
      <c r="AS470" s="120"/>
      <c r="AT470" s="120"/>
      <c r="AU470" s="120"/>
      <c r="AV470" s="120"/>
      <c r="AW470" s="120"/>
      <c r="AX470" s="120"/>
      <c r="AY470" s="120" t="str">
        <f t="shared" si="4"/>
        <v>反常识经济学3：为什么常识会撒谎(第版）</v>
      </c>
      <c r="AZ470" s="121"/>
      <c r="BA470" s="121"/>
      <c r="BB470" s="121"/>
      <c r="BD470" s="121"/>
      <c r="BE470" s="121"/>
      <c r="BF470" s="124"/>
      <c r="BH470" s="121"/>
      <c r="BI470" s="121"/>
      <c r="BP470" s="121"/>
      <c r="BQ470" s="149"/>
    </row>
    <row r="471" spans="1:69" s="122" customFormat="1" ht="16.5">
      <c r="A471" s="118"/>
      <c r="B471" s="141" t="s">
        <v>1334</v>
      </c>
      <c r="C471" s="120"/>
      <c r="D471" s="120"/>
      <c r="E471" s="119"/>
      <c r="F471" s="120"/>
      <c r="G471" s="120"/>
      <c r="H471" s="120"/>
      <c r="J471" s="120"/>
      <c r="K471" s="120"/>
      <c r="L471" s="120"/>
      <c r="M471" s="120"/>
      <c r="N471" s="121"/>
      <c r="O471" s="120"/>
      <c r="P471" s="118"/>
      <c r="R471" s="123"/>
      <c r="T471" s="123"/>
      <c r="U471" s="123"/>
      <c r="V471" s="123"/>
      <c r="W471" s="123"/>
      <c r="X471" s="123"/>
      <c r="Y471" s="123"/>
      <c r="Z471" s="123"/>
      <c r="AA471" s="123"/>
      <c r="AB471" s="123"/>
      <c r="AC471" s="123"/>
      <c r="AD471" s="123"/>
      <c r="AE471" s="123"/>
      <c r="AF471" s="123"/>
      <c r="AG471" s="123"/>
      <c r="AH471" s="123"/>
      <c r="AI471" s="120" t="s">
        <v>1218</v>
      </c>
      <c r="AJ471" s="120"/>
      <c r="AK471" s="120"/>
      <c r="AL471" s="120"/>
      <c r="AM471" s="120"/>
      <c r="AN471" s="120"/>
      <c r="AO471" s="120"/>
      <c r="AP471" s="120"/>
      <c r="AQ471" s="120"/>
      <c r="AR471" s="120"/>
      <c r="AS471" s="120"/>
      <c r="AT471" s="120"/>
      <c r="AU471" s="120"/>
      <c r="AV471" s="120"/>
      <c r="AW471" s="120"/>
      <c r="AX471" s="120"/>
      <c r="AY471" s="120" t="str">
        <f t="shared" si="4"/>
        <v>反常识经济学4：性越多越安全(第版）</v>
      </c>
      <c r="AZ471" s="121"/>
      <c r="BA471" s="121"/>
      <c r="BB471" s="121"/>
      <c r="BD471" s="121"/>
      <c r="BE471" s="121"/>
      <c r="BF471" s="124"/>
      <c r="BH471" s="121"/>
      <c r="BI471" s="121"/>
      <c r="BP471" s="121"/>
      <c r="BQ471" s="149"/>
    </row>
    <row r="472" spans="1:69" s="122" customFormat="1" ht="16.5">
      <c r="A472" s="118"/>
      <c r="B472" s="141"/>
      <c r="C472" s="120"/>
      <c r="D472" s="120"/>
      <c r="E472" s="119"/>
      <c r="F472" s="120"/>
      <c r="G472" s="120"/>
      <c r="H472" s="120"/>
      <c r="J472" s="120"/>
      <c r="K472" s="120"/>
      <c r="L472" s="120"/>
      <c r="M472" s="120"/>
      <c r="N472" s="121"/>
      <c r="O472" s="120"/>
      <c r="P472" s="118"/>
      <c r="R472" s="123"/>
      <c r="T472" s="123"/>
      <c r="U472" s="123"/>
      <c r="V472" s="123"/>
      <c r="W472" s="123"/>
      <c r="X472" s="123"/>
      <c r="Y472" s="123"/>
      <c r="Z472" s="123"/>
      <c r="AA472" s="123"/>
      <c r="AB472" s="123"/>
      <c r="AC472" s="123"/>
      <c r="AD472" s="123"/>
      <c r="AE472" s="123"/>
      <c r="AF472" s="123"/>
      <c r="AG472" s="123"/>
      <c r="AH472" s="123"/>
      <c r="AI472" s="120" t="s">
        <v>1218</v>
      </c>
      <c r="AJ472" s="120"/>
      <c r="AK472" s="120"/>
      <c r="AL472" s="120"/>
      <c r="AM472" s="120"/>
      <c r="AN472" s="120"/>
      <c r="AO472" s="120"/>
      <c r="AP472" s="120"/>
      <c r="AQ472" s="120"/>
      <c r="AR472" s="120"/>
      <c r="AS472" s="120"/>
      <c r="AT472" s="120"/>
      <c r="AU472" s="120"/>
      <c r="AV472" s="120"/>
      <c r="AW472" s="120"/>
      <c r="AX472" s="120"/>
      <c r="AY472" s="120" t="str">
        <f t="shared" si="4"/>
        <v>(第版）</v>
      </c>
      <c r="AZ472" s="121"/>
      <c r="BA472" s="121"/>
      <c r="BB472" s="121"/>
      <c r="BD472" s="121"/>
      <c r="BE472" s="121"/>
      <c r="BF472" s="124"/>
      <c r="BH472" s="121"/>
      <c r="BI472" s="121"/>
      <c r="BP472" s="121"/>
      <c r="BQ472" s="149"/>
    </row>
    <row r="473" spans="1:69" s="122" customFormat="1" ht="16.5">
      <c r="A473" s="118"/>
      <c r="B473" s="141" t="s">
        <v>1328</v>
      </c>
      <c r="C473" s="120"/>
      <c r="D473" s="120"/>
      <c r="E473" s="119"/>
      <c r="F473" s="120"/>
      <c r="G473" s="120"/>
      <c r="H473" s="120"/>
      <c r="J473" s="120"/>
      <c r="K473" s="120"/>
      <c r="L473" s="120"/>
      <c r="M473" s="120"/>
      <c r="N473" s="121"/>
      <c r="O473" s="120"/>
      <c r="P473" s="118"/>
      <c r="R473" s="123"/>
      <c r="T473" s="123"/>
      <c r="U473" s="123"/>
      <c r="V473" s="123"/>
      <c r="W473" s="123"/>
      <c r="X473" s="123"/>
      <c r="Y473" s="123"/>
      <c r="Z473" s="123"/>
      <c r="AA473" s="123"/>
      <c r="AB473" s="123"/>
      <c r="AC473" s="123"/>
      <c r="AD473" s="123"/>
      <c r="AE473" s="123"/>
      <c r="AF473" s="123"/>
      <c r="AG473" s="123"/>
      <c r="AH473" s="123"/>
      <c r="AI473" s="120" t="s">
        <v>1218</v>
      </c>
      <c r="AJ473" s="120"/>
      <c r="AK473" s="120"/>
      <c r="AL473" s="120"/>
      <c r="AM473" s="120"/>
      <c r="AN473" s="120"/>
      <c r="AO473" s="120"/>
      <c r="AP473" s="120"/>
      <c r="AQ473" s="120"/>
      <c r="AR473" s="120"/>
      <c r="AS473" s="120"/>
      <c r="AT473" s="120"/>
      <c r="AU473" s="120"/>
      <c r="AV473" s="120"/>
      <c r="AW473" s="120"/>
      <c r="AX473" s="120"/>
      <c r="AY473" s="120" t="str">
        <f t="shared" si="4"/>
        <v>爆款：如何打造超级IP(第版）</v>
      </c>
      <c r="AZ473" s="121"/>
      <c r="BA473" s="121"/>
      <c r="BB473" s="121"/>
      <c r="BD473" s="121"/>
      <c r="BE473" s="121"/>
      <c r="BF473" s="124"/>
      <c r="BH473" s="121"/>
      <c r="BI473" s="121"/>
      <c r="BP473" s="121"/>
      <c r="BQ473" s="149"/>
    </row>
    <row r="474" spans="1:69" s="122" customFormat="1" ht="33">
      <c r="A474" s="118"/>
      <c r="B474" s="141" t="s">
        <v>1332</v>
      </c>
      <c r="C474" s="120"/>
      <c r="D474" s="120"/>
      <c r="E474" s="119"/>
      <c r="F474" s="120"/>
      <c r="G474" s="120"/>
      <c r="H474" s="120"/>
      <c r="J474" s="120"/>
      <c r="K474" s="120"/>
      <c r="L474" s="120"/>
      <c r="M474" s="120"/>
      <c r="N474" s="121"/>
      <c r="O474" s="120"/>
      <c r="P474" s="118"/>
      <c r="R474" s="123"/>
      <c r="T474" s="123"/>
      <c r="U474" s="123"/>
      <c r="V474" s="123"/>
      <c r="W474" s="123"/>
      <c r="X474" s="123"/>
      <c r="Y474" s="123"/>
      <c r="Z474" s="123"/>
      <c r="AA474" s="123"/>
      <c r="AB474" s="123"/>
      <c r="AC474" s="123"/>
      <c r="AD474" s="123"/>
      <c r="AE474" s="123"/>
      <c r="AF474" s="123"/>
      <c r="AG474" s="123"/>
      <c r="AH474" s="123"/>
      <c r="AI474" s="120" t="s">
        <v>1234</v>
      </c>
      <c r="AJ474" s="120"/>
      <c r="AK474" s="120"/>
      <c r="AL474" s="120"/>
      <c r="AM474" s="120"/>
      <c r="AN474" s="120"/>
      <c r="AO474" s="120"/>
      <c r="AP474" s="120"/>
      <c r="AQ474" s="120"/>
      <c r="AR474" s="120"/>
      <c r="AS474" s="120"/>
      <c r="AT474" s="120"/>
      <c r="AU474" s="120"/>
      <c r="AV474" s="120"/>
      <c r="AW474" s="120"/>
      <c r="AX474" s="120"/>
      <c r="AY474" s="120" t="str">
        <f t="shared" si="4"/>
        <v>基因与命运：什么在影响我们的信念、行为和生活(第版）</v>
      </c>
      <c r="AZ474" s="121"/>
      <c r="BA474" s="121"/>
      <c r="BB474" s="121"/>
      <c r="BD474" s="121"/>
      <c r="BE474" s="121"/>
      <c r="BF474" s="124"/>
      <c r="BH474" s="121"/>
      <c r="BI474" s="121"/>
      <c r="BP474" s="121"/>
      <c r="BQ474" s="149"/>
    </row>
    <row r="475" spans="1:69" s="122" customFormat="1" ht="27">
      <c r="A475" s="118"/>
      <c r="B475" s="141" t="s">
        <v>1329</v>
      </c>
      <c r="C475" s="120"/>
      <c r="D475" s="120"/>
      <c r="E475" s="119"/>
      <c r="F475" s="120"/>
      <c r="G475" s="120"/>
      <c r="H475" s="120"/>
      <c r="J475" s="120"/>
      <c r="K475" s="120"/>
      <c r="L475" s="120"/>
      <c r="M475" s="120"/>
      <c r="N475" s="121"/>
      <c r="O475" s="120"/>
      <c r="P475" s="118"/>
      <c r="R475" s="123"/>
      <c r="T475" s="123"/>
      <c r="U475" s="123"/>
      <c r="V475" s="123"/>
      <c r="W475" s="123"/>
      <c r="X475" s="123"/>
      <c r="Y475" s="123"/>
      <c r="Z475" s="123"/>
      <c r="AA475" s="123"/>
      <c r="AB475" s="123"/>
      <c r="AC475" s="123"/>
      <c r="AD475" s="123"/>
      <c r="AE475" s="123"/>
      <c r="AF475" s="123"/>
      <c r="AG475" s="123"/>
      <c r="AH475" s="123"/>
      <c r="AI475" s="120" t="s">
        <v>1218</v>
      </c>
      <c r="AJ475" s="120"/>
      <c r="AK475" s="120"/>
      <c r="AL475" s="120"/>
      <c r="AM475" s="120"/>
      <c r="AN475" s="120"/>
      <c r="AO475" s="120"/>
      <c r="AP475" s="120"/>
      <c r="AQ475" s="120"/>
      <c r="AR475" s="120"/>
      <c r="AS475" s="120"/>
      <c r="AT475" s="120"/>
      <c r="AU475" s="120"/>
      <c r="AV475" s="120"/>
      <c r="AW475" s="120"/>
      <c r="AX475" s="120"/>
      <c r="AY475" s="120" t="str">
        <f t="shared" si="4"/>
        <v>搞定2：提升工作与生活效率的52项原则(第版）</v>
      </c>
      <c r="AZ475" s="121"/>
      <c r="BA475" s="121"/>
      <c r="BB475" s="121"/>
      <c r="BD475" s="121"/>
      <c r="BE475" s="121"/>
      <c r="BF475" s="124"/>
      <c r="BH475" s="121"/>
      <c r="BI475" s="121"/>
      <c r="BP475" s="121"/>
      <c r="BQ475" s="149"/>
    </row>
    <row r="476" spans="1:69" s="122" customFormat="1" ht="16.5">
      <c r="A476" s="118"/>
      <c r="B476" s="141" t="s">
        <v>1333</v>
      </c>
      <c r="C476" s="120"/>
      <c r="D476" s="120"/>
      <c r="E476" s="119"/>
      <c r="F476" s="120"/>
      <c r="G476" s="120"/>
      <c r="H476" s="120"/>
      <c r="J476" s="120"/>
      <c r="K476" s="120"/>
      <c r="L476" s="120"/>
      <c r="M476" s="120"/>
      <c r="N476" s="121"/>
      <c r="O476" s="120"/>
      <c r="P476" s="118"/>
      <c r="R476" s="123"/>
      <c r="T476" s="123"/>
      <c r="U476" s="123"/>
      <c r="V476" s="123"/>
      <c r="W476" s="123"/>
      <c r="X476" s="123"/>
      <c r="Y476" s="123"/>
      <c r="Z476" s="123"/>
      <c r="AA476" s="123"/>
      <c r="AB476" s="123"/>
      <c r="AC476" s="123"/>
      <c r="AD476" s="123"/>
      <c r="AE476" s="123"/>
      <c r="AF476" s="123"/>
      <c r="AG476" s="123"/>
      <c r="AH476" s="123"/>
      <c r="AI476" s="120" t="s">
        <v>1234</v>
      </c>
      <c r="AJ476" s="120"/>
      <c r="AK476" s="120"/>
      <c r="AL476" s="120"/>
      <c r="AM476" s="120"/>
      <c r="AN476" s="120"/>
      <c r="AO476" s="120"/>
      <c r="AP476" s="120"/>
      <c r="AQ476" s="120"/>
      <c r="AR476" s="120"/>
      <c r="AS476" s="120"/>
      <c r="AT476" s="120"/>
      <c r="AU476" s="120"/>
      <c r="AV476" s="120"/>
      <c r="AW476" s="120"/>
      <c r="AX476" s="120"/>
      <c r="AY476" s="120" t="str">
        <f t="shared" si="4"/>
        <v>未来战争：科技与全球新型冲突(第版）</v>
      </c>
      <c r="AZ476" s="121"/>
      <c r="BA476" s="121"/>
      <c r="BB476" s="121"/>
      <c r="BD476" s="121"/>
      <c r="BE476" s="121"/>
      <c r="BF476" s="124"/>
      <c r="BH476" s="121"/>
      <c r="BI476" s="121"/>
      <c r="BP476" s="121"/>
      <c r="BQ476" s="149"/>
    </row>
    <row r="477" spans="1:69" s="122" customFormat="1" ht="16.5">
      <c r="A477" s="118"/>
      <c r="B477" s="141"/>
      <c r="C477" s="120"/>
      <c r="D477" s="120"/>
      <c r="E477" s="119"/>
      <c r="F477" s="120"/>
      <c r="G477" s="120"/>
      <c r="H477" s="120"/>
      <c r="J477" s="120"/>
      <c r="K477" s="120"/>
      <c r="L477" s="120"/>
      <c r="M477" s="120"/>
      <c r="N477" s="121"/>
      <c r="O477" s="120"/>
      <c r="P477" s="118"/>
      <c r="R477" s="123"/>
      <c r="T477" s="123"/>
      <c r="U477" s="123"/>
      <c r="V477" s="123"/>
      <c r="W477" s="123"/>
      <c r="X477" s="123"/>
      <c r="Y477" s="123"/>
      <c r="Z477" s="123"/>
      <c r="AA477" s="123"/>
      <c r="AB477" s="123"/>
      <c r="AC477" s="123"/>
      <c r="AD477" s="123"/>
      <c r="AE477" s="123"/>
      <c r="AF477" s="123"/>
      <c r="AG477" s="123"/>
      <c r="AH477" s="123"/>
      <c r="AI477" s="120" t="s">
        <v>1234</v>
      </c>
      <c r="AJ477" s="120"/>
      <c r="AK477" s="120"/>
      <c r="AL477" s="120"/>
      <c r="AM477" s="120"/>
      <c r="AN477" s="120"/>
      <c r="AO477" s="120"/>
      <c r="AP477" s="120"/>
      <c r="AQ477" s="120"/>
      <c r="AR477" s="120"/>
      <c r="AS477" s="120"/>
      <c r="AT477" s="120"/>
      <c r="AU477" s="120"/>
      <c r="AV477" s="120"/>
      <c r="AW477" s="120"/>
      <c r="AX477" s="120"/>
      <c r="AY477" s="120" t="str">
        <f t="shared" si="4"/>
        <v>(第版）</v>
      </c>
      <c r="AZ477" s="121"/>
      <c r="BA477" s="121"/>
      <c r="BB477" s="121"/>
      <c r="BD477" s="121"/>
      <c r="BE477" s="121"/>
      <c r="BF477" s="124"/>
      <c r="BH477" s="121"/>
      <c r="BI477" s="121"/>
      <c r="BP477" s="121"/>
      <c r="BQ477" s="149"/>
    </row>
    <row r="478" spans="1:69" s="122" customFormat="1" ht="16.5">
      <c r="A478" s="118"/>
      <c r="B478" s="141"/>
      <c r="C478" s="120"/>
      <c r="D478" s="120"/>
      <c r="E478" s="119"/>
      <c r="F478" s="120"/>
      <c r="G478" s="120"/>
      <c r="H478" s="120"/>
      <c r="J478" s="120"/>
      <c r="K478" s="120"/>
      <c r="L478" s="120"/>
      <c r="M478" s="120"/>
      <c r="N478" s="121"/>
      <c r="O478" s="120"/>
      <c r="P478" s="118"/>
      <c r="R478" s="123"/>
      <c r="T478" s="123"/>
      <c r="U478" s="123"/>
      <c r="V478" s="123"/>
      <c r="W478" s="123"/>
      <c r="X478" s="123"/>
      <c r="Y478" s="123"/>
      <c r="Z478" s="123"/>
      <c r="AA478" s="123"/>
      <c r="AB478" s="123"/>
      <c r="AC478" s="123"/>
      <c r="AD478" s="123"/>
      <c r="AE478" s="123"/>
      <c r="AF478" s="123"/>
      <c r="AG478" s="123"/>
      <c r="AH478" s="123"/>
      <c r="AI478" s="120" t="s">
        <v>1234</v>
      </c>
      <c r="AJ478" s="120"/>
      <c r="AK478" s="120"/>
      <c r="AL478" s="120"/>
      <c r="AM478" s="120"/>
      <c r="AN478" s="120"/>
      <c r="AO478" s="120"/>
      <c r="AP478" s="120"/>
      <c r="AQ478" s="120"/>
      <c r="AR478" s="120"/>
      <c r="AS478" s="120"/>
      <c r="AT478" s="120"/>
      <c r="AU478" s="120"/>
      <c r="AV478" s="120"/>
      <c r="AW478" s="120"/>
      <c r="AX478" s="120"/>
      <c r="AY478" s="120" t="str">
        <f t="shared" si="4"/>
        <v>(第版）</v>
      </c>
      <c r="AZ478" s="121"/>
      <c r="BA478" s="121"/>
      <c r="BB478" s="121"/>
      <c r="BD478" s="121"/>
      <c r="BE478" s="121"/>
      <c r="BF478" s="124"/>
      <c r="BH478" s="121"/>
      <c r="BI478" s="121"/>
      <c r="BP478" s="121"/>
      <c r="BQ478" s="149"/>
    </row>
    <row r="479" spans="1:69" s="61" customFormat="1" ht="18.75">
      <c r="B479" s="141" t="s">
        <v>1584</v>
      </c>
      <c r="C479" s="63"/>
      <c r="D479" s="63"/>
      <c r="E479" s="62"/>
      <c r="F479" s="63" t="s">
        <v>1201</v>
      </c>
      <c r="G479" s="63"/>
      <c r="H479" s="63" t="s">
        <v>1203</v>
      </c>
      <c r="I479" s="64">
        <v>2019</v>
      </c>
      <c r="J479" s="63" t="s">
        <v>1205</v>
      </c>
      <c r="K479" s="63"/>
      <c r="L479" s="63" t="s">
        <v>1208</v>
      </c>
      <c r="M479" s="63"/>
      <c r="N479" s="64"/>
      <c r="O479" s="63"/>
      <c r="P479" s="54"/>
      <c r="R479" s="65"/>
      <c r="T479" s="65"/>
      <c r="U479" s="65"/>
      <c r="V479" s="65"/>
      <c r="W479" s="65"/>
      <c r="X479" s="65"/>
      <c r="Y479" s="65"/>
      <c r="Z479" s="65"/>
      <c r="AA479" s="65"/>
      <c r="AB479" s="65"/>
      <c r="AC479" s="65"/>
      <c r="AD479" s="65"/>
      <c r="AE479" s="65"/>
      <c r="AF479" s="65"/>
      <c r="AG479" s="65"/>
      <c r="AH479" s="65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120" t="str">
        <f t="shared" si="4"/>
        <v>Python3.7编程快速入门(第版）</v>
      </c>
      <c r="AZ479" s="64"/>
      <c r="BA479" s="64"/>
      <c r="BB479" s="64"/>
      <c r="BD479" s="64"/>
      <c r="BE479" s="64"/>
      <c r="BF479" s="66"/>
      <c r="BH479" s="64"/>
      <c r="BI479" s="64"/>
      <c r="BP479" s="64"/>
      <c r="BQ479" s="148"/>
    </row>
    <row r="480" spans="1:69" s="61" customFormat="1" ht="18.75">
      <c r="B480" s="141" t="s">
        <v>1585</v>
      </c>
      <c r="C480" s="63"/>
      <c r="D480" s="63"/>
      <c r="E480" s="62"/>
      <c r="F480" s="63" t="s">
        <v>1202</v>
      </c>
      <c r="G480" s="63"/>
      <c r="H480" s="63" t="s">
        <v>1204</v>
      </c>
      <c r="I480" s="64">
        <v>2020.6</v>
      </c>
      <c r="J480" s="63" t="s">
        <v>1206</v>
      </c>
      <c r="K480" s="63"/>
      <c r="L480" s="63" t="s">
        <v>1209</v>
      </c>
      <c r="M480" s="63"/>
      <c r="N480" s="64"/>
      <c r="O480" s="63"/>
      <c r="P480" s="54"/>
      <c r="R480" s="65"/>
      <c r="T480" s="65"/>
      <c r="U480" s="65"/>
      <c r="V480" s="65"/>
      <c r="W480" s="65"/>
      <c r="X480" s="65"/>
      <c r="Y480" s="65"/>
      <c r="Z480" s="65"/>
      <c r="AA480" s="65"/>
      <c r="AB480" s="65"/>
      <c r="AC480" s="65"/>
      <c r="AD480" s="65"/>
      <c r="AE480" s="65"/>
      <c r="AF480" s="65"/>
      <c r="AG480" s="65"/>
      <c r="AH480" s="65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120" t="str">
        <f t="shared" si="4"/>
        <v>人工智能：知识图谱前沿技术(第版）</v>
      </c>
      <c r="AZ480" s="64"/>
      <c r="BA480" s="64"/>
      <c r="BB480" s="64"/>
      <c r="BD480" s="64"/>
      <c r="BE480" s="64"/>
      <c r="BF480" s="66"/>
      <c r="BH480" s="64"/>
      <c r="BI480" s="64"/>
      <c r="BP480" s="64"/>
      <c r="BQ480" s="148"/>
    </row>
    <row r="481" spans="2:69" s="13" customFormat="1" ht="26.25" customHeight="1">
      <c r="B481" s="141" t="s">
        <v>1586</v>
      </c>
      <c r="D481" s="46"/>
      <c r="F481" s="15"/>
      <c r="G481" s="17"/>
      <c r="H481" s="16"/>
      <c r="AI481" s="129" t="s">
        <v>1354</v>
      </c>
      <c r="BQ481" s="37"/>
    </row>
    <row r="482" spans="2:69" s="13" customFormat="1" ht="26.25" customHeight="1">
      <c r="B482" s="141" t="s">
        <v>1587</v>
      </c>
      <c r="D482" s="46"/>
      <c r="F482" s="15"/>
      <c r="G482" s="17"/>
      <c r="H482" s="16"/>
      <c r="AI482" s="129" t="s">
        <v>1354</v>
      </c>
      <c r="BQ482" s="37"/>
    </row>
    <row r="483" spans="2:69" s="13" customFormat="1" ht="26.25" customHeight="1">
      <c r="B483" s="141" t="s">
        <v>1588</v>
      </c>
      <c r="D483" s="46"/>
      <c r="F483" s="15"/>
      <c r="G483" s="17"/>
      <c r="H483" s="16"/>
      <c r="AI483" s="129" t="s">
        <v>1354</v>
      </c>
      <c r="BQ483" s="37"/>
    </row>
    <row r="484" spans="2:69" s="13" customFormat="1" ht="26.25" customHeight="1">
      <c r="B484" s="141" t="s">
        <v>1589</v>
      </c>
      <c r="D484" s="46"/>
      <c r="F484" s="15"/>
      <c r="G484" s="17"/>
      <c r="H484" s="16"/>
      <c r="AI484" s="129" t="s">
        <v>1354</v>
      </c>
      <c r="BQ484" s="37"/>
    </row>
    <row r="485" spans="2:69" s="13" customFormat="1" ht="26.25" customHeight="1">
      <c r="B485" s="141" t="s">
        <v>1590</v>
      </c>
      <c r="D485" s="46"/>
      <c r="F485" s="15"/>
      <c r="G485" s="17"/>
      <c r="H485" s="16"/>
      <c r="AI485" s="129" t="s">
        <v>1354</v>
      </c>
      <c r="BQ485" s="37"/>
    </row>
    <row r="486" spans="2:69" s="13" customFormat="1" ht="26.25" customHeight="1">
      <c r="B486" s="141" t="s">
        <v>1591</v>
      </c>
      <c r="D486" s="46"/>
      <c r="F486" s="15"/>
      <c r="G486" s="17"/>
      <c r="H486" s="16"/>
      <c r="AI486" s="129" t="s">
        <v>1354</v>
      </c>
      <c r="BQ486" s="37"/>
    </row>
    <row r="487" spans="2:69" s="13" customFormat="1" ht="26.25" customHeight="1">
      <c r="B487" s="141" t="s">
        <v>1592</v>
      </c>
      <c r="D487" s="46"/>
      <c r="F487" s="15"/>
      <c r="G487" s="17"/>
      <c r="H487" s="16"/>
      <c r="AI487" s="129" t="s">
        <v>1354</v>
      </c>
      <c r="BQ487" s="37"/>
    </row>
    <row r="488" spans="2:69" s="13" customFormat="1" ht="26.25" customHeight="1">
      <c r="B488" s="141" t="s">
        <v>1593</v>
      </c>
      <c r="D488" s="46"/>
      <c r="F488" s="15"/>
      <c r="G488" s="17"/>
      <c r="H488" s="16"/>
      <c r="AI488" s="129" t="s">
        <v>1354</v>
      </c>
      <c r="BQ488" s="37"/>
    </row>
    <row r="489" spans="2:69" s="13" customFormat="1" ht="26.25" customHeight="1">
      <c r="B489" s="141" t="s">
        <v>1594</v>
      </c>
      <c r="D489" s="46"/>
      <c r="F489" s="15"/>
      <c r="G489" s="17"/>
      <c r="H489" s="16"/>
      <c r="AI489" s="129" t="s">
        <v>1354</v>
      </c>
      <c r="BQ489" s="37"/>
    </row>
    <row r="490" spans="2:69" s="13" customFormat="1" ht="26.25" customHeight="1">
      <c r="B490" s="141" t="s">
        <v>1595</v>
      </c>
      <c r="D490" s="46"/>
      <c r="F490" s="15"/>
      <c r="G490" s="17"/>
      <c r="H490" s="16"/>
      <c r="AI490" s="129" t="s">
        <v>1354</v>
      </c>
      <c r="BQ490" s="37"/>
    </row>
    <row r="491" spans="2:69" s="13" customFormat="1" ht="26.25" customHeight="1">
      <c r="B491" s="141" t="s">
        <v>1596</v>
      </c>
      <c r="D491" s="46"/>
      <c r="F491" s="15"/>
      <c r="G491" s="17"/>
      <c r="H491" s="16"/>
      <c r="AI491" s="129" t="s">
        <v>1354</v>
      </c>
      <c r="BQ491" s="37"/>
    </row>
    <row r="492" spans="2:69" s="13" customFormat="1" ht="26.25" customHeight="1">
      <c r="B492" s="141" t="s">
        <v>1597</v>
      </c>
      <c r="D492" s="46"/>
      <c r="F492" s="15"/>
      <c r="G492" s="17"/>
      <c r="H492" s="16"/>
      <c r="AI492" s="129" t="s">
        <v>1354</v>
      </c>
      <c r="BQ492" s="37"/>
    </row>
    <row r="493" spans="2:69" s="13" customFormat="1" ht="26.25" customHeight="1">
      <c r="B493" s="141" t="s">
        <v>1598</v>
      </c>
      <c r="D493" s="46"/>
      <c r="F493" s="15"/>
      <c r="G493" s="17"/>
      <c r="H493" s="16" t="s">
        <v>624</v>
      </c>
      <c r="AI493" s="129" t="s">
        <v>1354</v>
      </c>
      <c r="BQ493" s="37"/>
    </row>
    <row r="494" spans="2:69" s="13" customFormat="1" ht="26.25" customHeight="1">
      <c r="B494" s="141" t="s">
        <v>1599</v>
      </c>
      <c r="D494" s="46"/>
      <c r="F494" s="15"/>
      <c r="G494" s="17"/>
      <c r="H494" s="16"/>
      <c r="AI494" s="129" t="s">
        <v>1354</v>
      </c>
      <c r="BQ494" s="37"/>
    </row>
    <row r="495" spans="2:69" s="13" customFormat="1" ht="26.25" customHeight="1">
      <c r="B495" s="141" t="s">
        <v>1600</v>
      </c>
      <c r="D495" s="46"/>
      <c r="F495" s="15"/>
      <c r="G495" s="17"/>
      <c r="H495" s="16"/>
      <c r="AI495" s="129" t="s">
        <v>1354</v>
      </c>
      <c r="BQ495" s="37"/>
    </row>
    <row r="496" spans="2:69" s="13" customFormat="1" ht="26.25" customHeight="1">
      <c r="B496" s="141" t="s">
        <v>1601</v>
      </c>
      <c r="D496" s="46"/>
      <c r="F496" s="15"/>
      <c r="G496" s="17"/>
      <c r="H496" s="16"/>
      <c r="AI496" s="129" t="s">
        <v>1354</v>
      </c>
      <c r="BQ496" s="37"/>
    </row>
    <row r="497" spans="2:69" s="13" customFormat="1" ht="26.25" customHeight="1">
      <c r="B497" s="141" t="s">
        <v>1602</v>
      </c>
      <c r="D497" s="46"/>
      <c r="F497" s="15"/>
      <c r="G497" s="17"/>
      <c r="H497" s="16" t="s">
        <v>624</v>
      </c>
      <c r="AI497" s="129" t="s">
        <v>1354</v>
      </c>
      <c r="BQ497" s="37"/>
    </row>
    <row r="498" spans="2:69" s="13" customFormat="1" ht="26.25" customHeight="1">
      <c r="B498" s="141" t="s">
        <v>1290</v>
      </c>
      <c r="D498" s="46"/>
      <c r="F498" s="15"/>
      <c r="G498" s="17"/>
      <c r="H498" s="16" t="s">
        <v>853</v>
      </c>
      <c r="AI498" s="129" t="s">
        <v>1354</v>
      </c>
      <c r="BQ498" s="37"/>
    </row>
    <row r="499" spans="2:69" s="13" customFormat="1" ht="26.25" customHeight="1">
      <c r="B499" s="141" t="s">
        <v>1603</v>
      </c>
      <c r="D499" s="46"/>
      <c r="F499" s="15"/>
      <c r="G499" s="17"/>
      <c r="H499" s="16" t="s">
        <v>855</v>
      </c>
      <c r="AI499" s="129" t="s">
        <v>1354</v>
      </c>
      <c r="BQ499" s="37"/>
    </row>
    <row r="500" spans="2:69" s="13" customFormat="1" ht="26.25" customHeight="1">
      <c r="B500" s="141" t="s">
        <v>1604</v>
      </c>
      <c r="D500" s="46"/>
      <c r="F500" s="15"/>
      <c r="G500" s="17"/>
      <c r="H500" s="16" t="s">
        <v>624</v>
      </c>
      <c r="AI500" s="129" t="s">
        <v>1354</v>
      </c>
      <c r="BQ500" s="37"/>
    </row>
    <row r="501" spans="2:69" s="13" customFormat="1" ht="26.25" customHeight="1">
      <c r="B501" s="141" t="s">
        <v>1605</v>
      </c>
      <c r="D501" s="46"/>
      <c r="F501" s="15"/>
      <c r="G501" s="17"/>
      <c r="H501" s="16" t="s">
        <v>624</v>
      </c>
      <c r="AI501" s="129" t="s">
        <v>1354</v>
      </c>
      <c r="BQ501" s="37"/>
    </row>
    <row r="502" spans="2:69" s="13" customFormat="1" ht="26.25" customHeight="1">
      <c r="B502" s="141" t="s">
        <v>1606</v>
      </c>
      <c r="D502" s="46"/>
      <c r="F502" s="15"/>
      <c r="G502" s="17"/>
      <c r="H502" s="16" t="s">
        <v>624</v>
      </c>
      <c r="AI502" s="129" t="s">
        <v>1354</v>
      </c>
      <c r="BQ502" s="37"/>
    </row>
    <row r="503" spans="2:69" s="13" customFormat="1" ht="26.25" customHeight="1">
      <c r="B503" s="141" t="s">
        <v>1607</v>
      </c>
      <c r="D503" s="46"/>
      <c r="F503" s="15"/>
      <c r="G503" s="17"/>
      <c r="H503" s="16" t="s">
        <v>861</v>
      </c>
      <c r="AI503" s="129" t="s">
        <v>1354</v>
      </c>
      <c r="BQ503" s="37"/>
    </row>
    <row r="504" spans="2:69" s="13" customFormat="1" ht="26.25" customHeight="1">
      <c r="B504" s="141" t="s">
        <v>1608</v>
      </c>
      <c r="D504" s="46"/>
      <c r="F504" s="15"/>
      <c r="G504" s="17"/>
      <c r="H504" s="16" t="s">
        <v>861</v>
      </c>
      <c r="AI504" s="129" t="s">
        <v>1354</v>
      </c>
      <c r="BQ504" s="37"/>
    </row>
    <row r="505" spans="2:69" s="13" customFormat="1" ht="26.25" customHeight="1">
      <c r="B505" s="141" t="s">
        <v>1609</v>
      </c>
      <c r="D505" s="46"/>
      <c r="F505" s="15"/>
      <c r="G505" s="17"/>
      <c r="H505" s="16"/>
      <c r="AI505" s="129" t="s">
        <v>1354</v>
      </c>
      <c r="BQ505" s="37"/>
    </row>
    <row r="506" spans="2:69" s="13" customFormat="1" ht="26.25" customHeight="1">
      <c r="B506" s="141" t="s">
        <v>1611</v>
      </c>
      <c r="D506" s="46"/>
      <c r="F506" s="15"/>
      <c r="G506" s="17"/>
      <c r="H506" s="16"/>
      <c r="AI506" s="129" t="s">
        <v>1354</v>
      </c>
      <c r="BQ506" s="37"/>
    </row>
    <row r="507" spans="2:69" s="13" customFormat="1" ht="26.25" customHeight="1">
      <c r="B507" s="141" t="s">
        <v>1612</v>
      </c>
      <c r="D507" s="46"/>
      <c r="F507" s="15"/>
      <c r="G507" s="17"/>
      <c r="H507" s="16"/>
      <c r="AI507" s="129" t="s">
        <v>1354</v>
      </c>
      <c r="BQ507" s="37"/>
    </row>
    <row r="508" spans="2:69" s="13" customFormat="1" ht="26.25" customHeight="1">
      <c r="B508" s="141" t="s">
        <v>1501</v>
      </c>
      <c r="D508" s="46"/>
      <c r="F508" s="15"/>
      <c r="G508" s="17"/>
      <c r="H508" s="16"/>
      <c r="AI508" s="129" t="s">
        <v>1354</v>
      </c>
      <c r="BQ508" s="37"/>
    </row>
    <row r="509" spans="2:69" s="13" customFormat="1" ht="26.25" customHeight="1">
      <c r="B509" s="141" t="s">
        <v>1613</v>
      </c>
      <c r="D509" s="46"/>
      <c r="F509" s="15"/>
      <c r="G509" s="17"/>
      <c r="H509" s="16"/>
      <c r="AI509" s="129" t="s">
        <v>1354</v>
      </c>
      <c r="BQ509" s="37"/>
    </row>
    <row r="510" spans="2:69" s="13" customFormat="1" ht="26.25" customHeight="1">
      <c r="B510" s="141" t="s">
        <v>1614</v>
      </c>
      <c r="D510" s="46"/>
      <c r="F510" s="15"/>
      <c r="G510" s="17"/>
      <c r="H510" s="16"/>
      <c r="AI510" s="129" t="s">
        <v>1354</v>
      </c>
      <c r="BQ510" s="37"/>
    </row>
    <row r="511" spans="2:69" s="13" customFormat="1" ht="26.25" customHeight="1">
      <c r="B511" s="141" t="s">
        <v>1616</v>
      </c>
      <c r="D511" s="46"/>
      <c r="F511" s="15"/>
      <c r="G511" s="17"/>
      <c r="H511" s="16"/>
      <c r="AI511" s="129" t="s">
        <v>1354</v>
      </c>
      <c r="BQ511" s="37"/>
    </row>
    <row r="512" spans="2:69" s="13" customFormat="1" ht="26.25" customHeight="1">
      <c r="B512" s="141" t="s">
        <v>1617</v>
      </c>
      <c r="D512" s="46"/>
      <c r="F512" s="15"/>
      <c r="G512" s="17"/>
      <c r="H512" s="16"/>
      <c r="AI512" s="129" t="s">
        <v>1354</v>
      </c>
      <c r="BQ512" s="37"/>
    </row>
    <row r="513" spans="2:69" s="13" customFormat="1" ht="26.25" customHeight="1">
      <c r="B513" s="141" t="s">
        <v>1618</v>
      </c>
      <c r="D513" s="46"/>
      <c r="F513" s="15"/>
      <c r="G513" s="17"/>
      <c r="H513" s="16"/>
      <c r="AI513" s="129" t="s">
        <v>1354</v>
      </c>
      <c r="BQ513" s="37"/>
    </row>
    <row r="514" spans="2:69" s="13" customFormat="1" ht="26.25" customHeight="1">
      <c r="B514" s="141" t="s">
        <v>1619</v>
      </c>
      <c r="D514" s="46"/>
      <c r="F514" s="15"/>
      <c r="G514" s="17"/>
      <c r="H514" s="16"/>
      <c r="AI514" s="129" t="s">
        <v>1354</v>
      </c>
      <c r="BQ514" s="37"/>
    </row>
    <row r="515" spans="2:69" s="13" customFormat="1" ht="26.25" customHeight="1">
      <c r="B515" s="141" t="s">
        <v>1620</v>
      </c>
      <c r="D515" s="46"/>
      <c r="F515" s="15"/>
      <c r="G515" s="17"/>
      <c r="H515" s="16"/>
      <c r="AI515" s="129" t="s">
        <v>1354</v>
      </c>
      <c r="BQ515" s="37"/>
    </row>
    <row r="516" spans="2:69" s="13" customFormat="1" ht="26.25" customHeight="1">
      <c r="B516" s="141" t="s">
        <v>1621</v>
      </c>
      <c r="D516" s="46"/>
      <c r="F516" s="15"/>
      <c r="G516" s="17"/>
      <c r="H516" s="16"/>
      <c r="AI516" s="129" t="s">
        <v>1354</v>
      </c>
      <c r="BQ516" s="37"/>
    </row>
    <row r="517" spans="2:69" s="13" customFormat="1" ht="26.25" customHeight="1">
      <c r="B517" s="141" t="s">
        <v>1622</v>
      </c>
      <c r="D517" s="46"/>
      <c r="F517" s="15"/>
      <c r="G517" s="17"/>
      <c r="H517" s="16"/>
      <c r="AI517" s="129" t="s">
        <v>1354</v>
      </c>
      <c r="BQ517" s="37"/>
    </row>
    <row r="518" spans="2:69" s="13" customFormat="1" ht="26.25" customHeight="1">
      <c r="B518" s="141" t="s">
        <v>1291</v>
      </c>
      <c r="D518" s="46"/>
      <c r="F518" s="15"/>
      <c r="G518" s="17"/>
      <c r="H518" s="16"/>
      <c r="AI518" s="129" t="s">
        <v>1354</v>
      </c>
      <c r="BQ518" s="37"/>
    </row>
    <row r="519" spans="2:69" s="13" customFormat="1" ht="26.25" customHeight="1">
      <c r="B519" s="141" t="s">
        <v>1623</v>
      </c>
      <c r="D519" s="46"/>
      <c r="F519" s="15"/>
      <c r="G519" s="17"/>
      <c r="H519" s="16"/>
      <c r="AI519" s="129" t="s">
        <v>1354</v>
      </c>
      <c r="BQ519" s="37"/>
    </row>
    <row r="520" spans="2:69" s="13" customFormat="1" ht="26.25" customHeight="1">
      <c r="B520" s="141" t="s">
        <v>1624</v>
      </c>
      <c r="D520" s="46"/>
      <c r="F520" s="15"/>
      <c r="G520" s="17"/>
      <c r="H520" s="16"/>
      <c r="AI520" s="129" t="s">
        <v>1354</v>
      </c>
      <c r="BQ520" s="37"/>
    </row>
    <row r="521" spans="2:69" s="13" customFormat="1" ht="26.25" customHeight="1">
      <c r="B521" s="141" t="s">
        <v>1625</v>
      </c>
      <c r="D521" s="46"/>
      <c r="F521" s="15"/>
      <c r="G521" s="17"/>
      <c r="H521" s="16"/>
      <c r="AI521" s="129" t="s">
        <v>1354</v>
      </c>
      <c r="BQ521" s="37"/>
    </row>
    <row r="522" spans="2:69" s="13" customFormat="1" ht="26.25" customHeight="1">
      <c r="B522" s="141" t="s">
        <v>1503</v>
      </c>
      <c r="D522" s="46"/>
      <c r="F522" s="15"/>
      <c r="G522" s="17"/>
      <c r="H522" s="16"/>
      <c r="AI522" s="129" t="s">
        <v>1354</v>
      </c>
      <c r="BQ522" s="37"/>
    </row>
    <row r="523" spans="2:69" s="13" customFormat="1" ht="26.25" customHeight="1">
      <c r="B523" s="141" t="s">
        <v>1626</v>
      </c>
      <c r="D523" s="46"/>
      <c r="F523" s="15"/>
      <c r="G523" s="17"/>
      <c r="H523" s="16"/>
      <c r="AI523" s="129" t="s">
        <v>1354</v>
      </c>
      <c r="BQ523" s="37"/>
    </row>
    <row r="524" spans="2:69" s="13" customFormat="1" ht="26.25" customHeight="1">
      <c r="B524" s="141" t="s">
        <v>1627</v>
      </c>
      <c r="D524" s="46"/>
      <c r="F524" s="15"/>
      <c r="G524" s="17"/>
      <c r="H524" s="16"/>
      <c r="AI524" s="129" t="s">
        <v>1354</v>
      </c>
      <c r="BQ524" s="37"/>
    </row>
    <row r="525" spans="2:69" s="13" customFormat="1" ht="26.25" customHeight="1">
      <c r="B525" s="141" t="s">
        <v>1628</v>
      </c>
      <c r="D525" s="46"/>
      <c r="F525" s="15"/>
      <c r="G525" s="17"/>
      <c r="H525" s="16"/>
      <c r="AI525" s="129" t="s">
        <v>1354</v>
      </c>
      <c r="BQ525" s="37"/>
    </row>
    <row r="526" spans="2:69" s="13" customFormat="1" ht="26.25" customHeight="1">
      <c r="B526" s="141" t="s">
        <v>1629</v>
      </c>
      <c r="D526" s="46"/>
      <c r="F526" s="15"/>
      <c r="G526" s="17"/>
      <c r="H526" s="16"/>
      <c r="AI526" s="129" t="s">
        <v>1354</v>
      </c>
      <c r="BQ526" s="37"/>
    </row>
    <row r="527" spans="2:69" s="13" customFormat="1" ht="26.25" customHeight="1">
      <c r="B527" s="141" t="s">
        <v>1630</v>
      </c>
      <c r="D527" s="46"/>
      <c r="F527" s="15"/>
      <c r="G527" s="17"/>
      <c r="H527" s="16"/>
      <c r="AI527" s="129" t="s">
        <v>1354</v>
      </c>
      <c r="BQ527" s="37"/>
    </row>
    <row r="528" spans="2:69" s="13" customFormat="1" ht="26.25" customHeight="1">
      <c r="B528" s="141" t="s">
        <v>1631</v>
      </c>
      <c r="D528" s="46"/>
      <c r="F528" s="15"/>
      <c r="G528" s="17"/>
      <c r="H528" s="16"/>
      <c r="AI528" s="129" t="s">
        <v>1354</v>
      </c>
      <c r="BQ528" s="37"/>
    </row>
    <row r="529" spans="2:69" s="13" customFormat="1" ht="26.25" customHeight="1">
      <c r="B529" s="141" t="s">
        <v>1632</v>
      </c>
      <c r="D529" s="46"/>
      <c r="F529" s="15"/>
      <c r="G529" s="17"/>
      <c r="H529" s="16"/>
      <c r="AI529" s="129" t="s">
        <v>1354</v>
      </c>
      <c r="BQ529" s="37"/>
    </row>
    <row r="530" spans="2:69" s="13" customFormat="1" ht="26.25" customHeight="1">
      <c r="B530" s="141" t="s">
        <v>1633</v>
      </c>
      <c r="D530" s="46"/>
      <c r="F530" s="15"/>
      <c r="G530" s="17"/>
      <c r="H530" s="16"/>
      <c r="AI530" s="129" t="s">
        <v>1354</v>
      </c>
      <c r="BQ530" s="37"/>
    </row>
    <row r="531" spans="2:69" s="13" customFormat="1" ht="26.25" customHeight="1">
      <c r="B531" s="141" t="s">
        <v>1634</v>
      </c>
      <c r="D531" s="46"/>
      <c r="F531" s="15"/>
      <c r="G531" s="17"/>
      <c r="H531" s="16"/>
      <c r="AI531" s="129" t="s">
        <v>1354</v>
      </c>
      <c r="BQ531" s="37"/>
    </row>
    <row r="532" spans="2:69" s="13" customFormat="1" ht="26.25" customHeight="1">
      <c r="B532" s="141" t="s">
        <v>1635</v>
      </c>
      <c r="D532" s="46"/>
      <c r="F532" s="15"/>
      <c r="G532" s="17"/>
      <c r="H532" s="16"/>
      <c r="AI532" s="129" t="s">
        <v>1354</v>
      </c>
      <c r="BQ532" s="37"/>
    </row>
    <row r="533" spans="2:69" s="13" customFormat="1" ht="26.25" customHeight="1">
      <c r="B533" s="141" t="s">
        <v>1636</v>
      </c>
      <c r="D533" s="46"/>
      <c r="F533" s="15"/>
      <c r="G533" s="17"/>
      <c r="H533" s="16"/>
      <c r="AI533" s="129" t="s">
        <v>1354</v>
      </c>
      <c r="BQ533" s="37"/>
    </row>
    <row r="534" spans="2:69" s="13" customFormat="1" ht="26.25" customHeight="1">
      <c r="B534" s="141" t="s">
        <v>1637</v>
      </c>
      <c r="D534" s="46"/>
      <c r="F534" s="15"/>
      <c r="G534" s="17"/>
      <c r="H534" s="16"/>
      <c r="AI534" s="129" t="s">
        <v>1354</v>
      </c>
      <c r="BQ534" s="37"/>
    </row>
    <row r="535" spans="2:69" s="13" customFormat="1" ht="26.25" customHeight="1">
      <c r="B535" s="141" t="s">
        <v>1638</v>
      </c>
      <c r="D535" s="46"/>
      <c r="F535" s="15"/>
      <c r="G535" s="17"/>
      <c r="H535" s="16"/>
      <c r="AI535" s="129" t="s">
        <v>1354</v>
      </c>
      <c r="BQ535" s="37"/>
    </row>
    <row r="536" spans="2:69" s="13" customFormat="1" ht="26.25" customHeight="1">
      <c r="B536" s="141" t="s">
        <v>1639</v>
      </c>
      <c r="D536" s="46"/>
      <c r="F536" s="15"/>
      <c r="G536" s="17"/>
      <c r="H536" s="16"/>
      <c r="AI536" s="129" t="s">
        <v>1354</v>
      </c>
      <c r="BQ536" s="37"/>
    </row>
    <row r="537" spans="2:69" s="13" customFormat="1" ht="26.25" customHeight="1">
      <c r="B537" s="141" t="s">
        <v>1640</v>
      </c>
      <c r="D537" s="46"/>
      <c r="F537" s="15"/>
      <c r="G537" s="17"/>
      <c r="H537" s="16"/>
      <c r="AI537" s="129" t="s">
        <v>1354</v>
      </c>
      <c r="BQ537" s="37"/>
    </row>
    <row r="538" spans="2:69" s="13" customFormat="1" ht="26.25" customHeight="1">
      <c r="B538" s="141" t="s">
        <v>1641</v>
      </c>
      <c r="D538" s="46"/>
      <c r="F538" s="15"/>
      <c r="G538" s="17"/>
      <c r="H538" s="16"/>
      <c r="AI538" s="129" t="s">
        <v>1354</v>
      </c>
      <c r="BQ538" s="37"/>
    </row>
    <row r="539" spans="2:69" s="13" customFormat="1" ht="26.25" customHeight="1">
      <c r="B539" s="141" t="s">
        <v>1642</v>
      </c>
      <c r="D539" s="46"/>
      <c r="F539" s="15"/>
      <c r="G539" s="17"/>
      <c r="H539" s="16"/>
      <c r="AI539" s="129" t="s">
        <v>1354</v>
      </c>
      <c r="BQ539" s="37"/>
    </row>
    <row r="540" spans="2:69" s="13" customFormat="1" ht="26.25" customHeight="1">
      <c r="B540" s="141" t="s">
        <v>1643</v>
      </c>
      <c r="D540" s="46"/>
      <c r="F540" s="15"/>
      <c r="G540" s="17"/>
      <c r="H540" s="16"/>
      <c r="AI540" s="129" t="s">
        <v>1354</v>
      </c>
      <c r="BQ540" s="37"/>
    </row>
    <row r="541" spans="2:69" s="13" customFormat="1" ht="26.25" customHeight="1">
      <c r="B541" s="141" t="s">
        <v>1644</v>
      </c>
      <c r="D541" s="46"/>
      <c r="F541" s="15"/>
      <c r="G541" s="17"/>
      <c r="H541" s="16"/>
      <c r="AI541" s="129" t="s">
        <v>1354</v>
      </c>
      <c r="BQ541" s="37"/>
    </row>
    <row r="542" spans="2:69" s="13" customFormat="1" ht="26.25" customHeight="1">
      <c r="B542" s="141" t="s">
        <v>1645</v>
      </c>
      <c r="D542" s="46"/>
      <c r="F542" s="15"/>
      <c r="G542" s="17"/>
      <c r="H542" s="16"/>
      <c r="AI542" s="129" t="s">
        <v>1354</v>
      </c>
      <c r="BQ542" s="37"/>
    </row>
    <row r="543" spans="2:69" s="13" customFormat="1" ht="26.25" customHeight="1">
      <c r="B543" s="141" t="s">
        <v>1426</v>
      </c>
      <c r="D543" s="46"/>
      <c r="F543" s="15"/>
      <c r="G543" s="17"/>
      <c r="H543" s="16"/>
      <c r="AI543" s="129" t="s">
        <v>1354</v>
      </c>
      <c r="BQ543" s="37"/>
    </row>
    <row r="544" spans="2:69" s="13" customFormat="1" ht="26.25" customHeight="1">
      <c r="B544" s="141" t="s">
        <v>1297</v>
      </c>
      <c r="D544" s="46"/>
      <c r="F544" s="15"/>
      <c r="G544" s="17"/>
      <c r="H544" s="16"/>
      <c r="AI544" s="129" t="s">
        <v>1354</v>
      </c>
      <c r="BQ544" s="37"/>
    </row>
    <row r="545" spans="2:69" s="13" customFormat="1" ht="26.25" customHeight="1">
      <c r="B545" s="141" t="s">
        <v>1646</v>
      </c>
      <c r="D545" s="46"/>
      <c r="F545" s="15"/>
      <c r="G545" s="17"/>
      <c r="H545" s="16"/>
      <c r="AI545" s="129" t="s">
        <v>1354</v>
      </c>
      <c r="BQ545" s="37"/>
    </row>
    <row r="546" spans="2:69" s="13" customFormat="1" ht="26.25" customHeight="1">
      <c r="B546" s="141" t="s">
        <v>1647</v>
      </c>
      <c r="D546" s="46"/>
      <c r="F546" s="15"/>
      <c r="G546" s="17"/>
      <c r="H546" s="16"/>
      <c r="AI546" s="129" t="s">
        <v>1354</v>
      </c>
      <c r="BQ546" s="37"/>
    </row>
    <row r="547" spans="2:69" s="13" customFormat="1" ht="26.25" customHeight="1">
      <c r="B547" s="141" t="s">
        <v>1648</v>
      </c>
      <c r="D547" s="46"/>
      <c r="F547" s="15"/>
      <c r="G547" s="17"/>
      <c r="H547" s="16"/>
      <c r="AI547" s="129" t="s">
        <v>1354</v>
      </c>
      <c r="BQ547" s="37"/>
    </row>
    <row r="548" spans="2:69" s="13" customFormat="1" ht="26.25" customHeight="1">
      <c r="B548" s="141" t="s">
        <v>1649</v>
      </c>
      <c r="D548" s="46"/>
      <c r="F548" s="15"/>
      <c r="G548" s="17"/>
      <c r="H548" s="16"/>
      <c r="AI548" s="129" t="s">
        <v>1354</v>
      </c>
      <c r="BQ548" s="37"/>
    </row>
    <row r="549" spans="2:69" s="13" customFormat="1" ht="26.25" customHeight="1">
      <c r="B549" s="141" t="s">
        <v>1650</v>
      </c>
      <c r="D549" s="46"/>
      <c r="F549" s="15"/>
      <c r="G549" s="17"/>
      <c r="H549" s="16"/>
      <c r="AI549" s="129" t="s">
        <v>1354</v>
      </c>
      <c r="BQ549" s="37"/>
    </row>
    <row r="550" spans="2:69" s="13" customFormat="1" ht="26.25" customHeight="1">
      <c r="B550" s="141" t="s">
        <v>1651</v>
      </c>
      <c r="D550" s="46"/>
      <c r="F550" s="15"/>
      <c r="G550" s="17"/>
      <c r="H550" s="16"/>
      <c r="AI550" s="129" t="s">
        <v>1354</v>
      </c>
      <c r="BQ550" s="37"/>
    </row>
    <row r="551" spans="2:69" s="13" customFormat="1" ht="26.25" customHeight="1">
      <c r="B551" s="141" t="s">
        <v>1652</v>
      </c>
      <c r="D551" s="46"/>
      <c r="F551" s="15"/>
      <c r="G551" s="17"/>
      <c r="H551" s="16"/>
      <c r="AI551" s="129" t="s">
        <v>1354</v>
      </c>
      <c r="BQ551" s="37"/>
    </row>
    <row r="552" spans="2:69" s="13" customFormat="1" ht="26.25" customHeight="1">
      <c r="B552" s="141" t="s">
        <v>1653</v>
      </c>
      <c r="D552" s="46"/>
      <c r="F552" s="15"/>
      <c r="G552" s="17"/>
      <c r="H552" s="16"/>
      <c r="AI552" s="129" t="s">
        <v>1354</v>
      </c>
      <c r="BQ552" s="37"/>
    </row>
    <row r="553" spans="2:69" s="13" customFormat="1" ht="26.25" customHeight="1">
      <c r="B553" s="141" t="s">
        <v>1654</v>
      </c>
      <c r="D553" s="46"/>
      <c r="F553" s="15"/>
      <c r="G553" s="17"/>
      <c r="H553" s="16"/>
      <c r="AI553" s="129" t="s">
        <v>1354</v>
      </c>
      <c r="BQ553" s="37"/>
    </row>
    <row r="554" spans="2:69" s="13" customFormat="1" ht="26.25" customHeight="1">
      <c r="B554" s="141" t="s">
        <v>1655</v>
      </c>
      <c r="D554" s="46"/>
      <c r="F554" s="15"/>
      <c r="G554" s="17"/>
      <c r="H554" s="16"/>
      <c r="AI554" s="129" t="s">
        <v>1354</v>
      </c>
      <c r="BQ554" s="37"/>
    </row>
    <row r="555" spans="2:69" s="13" customFormat="1" ht="26.25" customHeight="1">
      <c r="B555" s="141" t="s">
        <v>1656</v>
      </c>
      <c r="D555" s="46"/>
      <c r="F555" s="15"/>
      <c r="G555" s="17"/>
      <c r="H555" s="16"/>
      <c r="AI555" s="129" t="s">
        <v>1354</v>
      </c>
      <c r="BQ555" s="37"/>
    </row>
    <row r="556" spans="2:69" s="13" customFormat="1" ht="26.25" customHeight="1">
      <c r="B556" s="141" t="s">
        <v>1657</v>
      </c>
      <c r="D556" s="46"/>
      <c r="F556" s="15"/>
      <c r="G556" s="17"/>
      <c r="H556" s="16"/>
      <c r="AI556" s="129" t="s">
        <v>1354</v>
      </c>
      <c r="BQ556" s="37"/>
    </row>
    <row r="557" spans="2:69" s="13" customFormat="1" ht="26.25" customHeight="1">
      <c r="B557" s="141" t="s">
        <v>1658</v>
      </c>
      <c r="D557" s="46"/>
      <c r="F557" s="15"/>
      <c r="G557" s="17"/>
      <c r="H557" s="16"/>
      <c r="AI557" s="129" t="s">
        <v>1354</v>
      </c>
      <c r="BQ557" s="37"/>
    </row>
    <row r="558" spans="2:69" s="13" customFormat="1" ht="26.25" customHeight="1">
      <c r="B558" s="141" t="s">
        <v>1659</v>
      </c>
      <c r="D558" s="46"/>
      <c r="F558" s="15"/>
      <c r="G558" s="17"/>
      <c r="H558" s="16"/>
      <c r="AI558" s="129" t="s">
        <v>1354</v>
      </c>
      <c r="BQ558" s="37"/>
    </row>
    <row r="559" spans="2:69" s="13" customFormat="1" ht="26.25" customHeight="1">
      <c r="B559" s="141" t="s">
        <v>1660</v>
      </c>
      <c r="D559" s="46"/>
      <c r="F559" s="15"/>
      <c r="G559" s="17"/>
      <c r="H559" s="16"/>
      <c r="AI559" s="129" t="s">
        <v>1354</v>
      </c>
      <c r="BQ559" s="37"/>
    </row>
    <row r="560" spans="2:69" s="13" customFormat="1" ht="26.25" customHeight="1">
      <c r="B560" s="141" t="s">
        <v>1661</v>
      </c>
      <c r="D560" s="46"/>
      <c r="F560" s="15"/>
      <c r="G560" s="17"/>
      <c r="H560" s="16"/>
      <c r="AI560" s="129" t="s">
        <v>1354</v>
      </c>
      <c r="BQ560" s="37"/>
    </row>
    <row r="561" spans="2:69" s="13" customFormat="1" ht="26.25" customHeight="1">
      <c r="B561" s="141" t="s">
        <v>1298</v>
      </c>
      <c r="D561" s="46"/>
      <c r="F561" s="15"/>
      <c r="G561" s="17"/>
      <c r="H561" s="16"/>
      <c r="AI561" s="129" t="s">
        <v>1354</v>
      </c>
      <c r="BQ561" s="37"/>
    </row>
    <row r="562" spans="2:69" s="13" customFormat="1" ht="26.25" customHeight="1">
      <c r="B562" s="141" t="s">
        <v>1662</v>
      </c>
      <c r="D562" s="46"/>
      <c r="F562" s="15"/>
      <c r="G562" s="17"/>
      <c r="H562" s="16"/>
      <c r="AI562" s="129" t="s">
        <v>1354</v>
      </c>
      <c r="BQ562" s="37"/>
    </row>
    <row r="563" spans="2:69" s="13" customFormat="1" ht="26.25" customHeight="1">
      <c r="B563" s="141" t="s">
        <v>1663</v>
      </c>
      <c r="D563" s="46"/>
      <c r="F563" s="15"/>
      <c r="G563" s="17"/>
      <c r="H563" s="16"/>
      <c r="AI563" s="129" t="s">
        <v>1354</v>
      </c>
      <c r="BQ563" s="37"/>
    </row>
    <row r="564" spans="2:69" s="13" customFormat="1" ht="26.25" customHeight="1">
      <c r="B564" s="141" t="s">
        <v>1664</v>
      </c>
      <c r="D564" s="46"/>
      <c r="F564" s="15"/>
      <c r="G564" s="17"/>
      <c r="H564" s="16"/>
      <c r="AI564" s="129" t="s">
        <v>1354</v>
      </c>
      <c r="BQ564" s="37"/>
    </row>
    <row r="565" spans="2:69" s="13" customFormat="1" ht="26.25" customHeight="1">
      <c r="B565" s="141" t="s">
        <v>1382</v>
      </c>
      <c r="D565" s="46"/>
      <c r="F565" s="15"/>
      <c r="G565" s="17"/>
      <c r="H565" s="16"/>
      <c r="AI565" s="129" t="s">
        <v>1354</v>
      </c>
      <c r="BQ565" s="37"/>
    </row>
    <row r="566" spans="2:69" s="13" customFormat="1" ht="26.25" customHeight="1">
      <c r="B566" s="141" t="s">
        <v>1665</v>
      </c>
      <c r="D566" s="46"/>
      <c r="F566" s="15"/>
      <c r="G566" s="17"/>
      <c r="H566" s="16"/>
      <c r="AI566" s="129" t="s">
        <v>1354</v>
      </c>
      <c r="BQ566" s="37"/>
    </row>
    <row r="567" spans="2:69" s="13" customFormat="1" ht="26.25" customHeight="1">
      <c r="B567" s="141" t="s">
        <v>1666</v>
      </c>
      <c r="D567" s="46"/>
      <c r="F567" s="15"/>
      <c r="G567" s="17"/>
      <c r="H567" s="16"/>
      <c r="AI567" s="129" t="s">
        <v>1354</v>
      </c>
      <c r="BQ567" s="37"/>
    </row>
    <row r="568" spans="2:69" s="13" customFormat="1" ht="26.25" customHeight="1">
      <c r="B568" s="141" t="s">
        <v>1288</v>
      </c>
      <c r="D568" s="46"/>
      <c r="F568" s="15"/>
      <c r="G568" s="17"/>
      <c r="H568" s="16"/>
      <c r="AI568" s="129" t="s">
        <v>1354</v>
      </c>
      <c r="BQ568" s="37"/>
    </row>
    <row r="569" spans="2:69" s="13" customFormat="1" ht="26.25" customHeight="1">
      <c r="B569" s="141" t="s">
        <v>1303</v>
      </c>
      <c r="D569" s="46"/>
      <c r="F569" s="15"/>
      <c r="G569" s="17"/>
      <c r="H569" s="16"/>
      <c r="AI569" s="129" t="s">
        <v>1354</v>
      </c>
      <c r="BQ569" s="37"/>
    </row>
    <row r="570" spans="2:69" s="13" customFormat="1" ht="26.25" customHeight="1">
      <c r="B570" s="141" t="s">
        <v>1667</v>
      </c>
      <c r="D570" s="46"/>
      <c r="F570" s="15"/>
      <c r="G570" s="17"/>
      <c r="H570" s="16"/>
      <c r="AI570" s="129" t="s">
        <v>1354</v>
      </c>
      <c r="BQ570" s="37"/>
    </row>
    <row r="571" spans="2:69" s="13" customFormat="1" ht="26.25" customHeight="1">
      <c r="B571" s="141" t="s">
        <v>1668</v>
      </c>
      <c r="D571" s="46"/>
      <c r="F571" s="15"/>
      <c r="G571" s="17"/>
      <c r="H571" s="16"/>
      <c r="AI571" s="129" t="s">
        <v>1354</v>
      </c>
      <c r="BQ571" s="37"/>
    </row>
    <row r="572" spans="2:69" s="13" customFormat="1" ht="26.25" customHeight="1">
      <c r="B572" s="141" t="s">
        <v>1669</v>
      </c>
      <c r="D572" s="46"/>
      <c r="F572" s="15"/>
      <c r="G572" s="17"/>
      <c r="H572" s="16"/>
      <c r="AI572" s="129" t="s">
        <v>1354</v>
      </c>
      <c r="BQ572" s="37"/>
    </row>
    <row r="573" spans="2:69" s="13" customFormat="1" ht="26.25" customHeight="1">
      <c r="B573" s="141" t="s">
        <v>1670</v>
      </c>
      <c r="D573" s="46"/>
      <c r="F573" s="15"/>
      <c r="G573" s="17"/>
      <c r="H573" s="16"/>
      <c r="AI573" s="129" t="s">
        <v>1354</v>
      </c>
      <c r="BQ573" s="37"/>
    </row>
    <row r="574" spans="2:69" s="13" customFormat="1" ht="26.25" customHeight="1">
      <c r="B574" s="141" t="s">
        <v>1671</v>
      </c>
      <c r="D574" s="46"/>
      <c r="F574" s="15"/>
      <c r="G574" s="17"/>
      <c r="H574" s="16"/>
      <c r="AI574" s="129" t="s">
        <v>1354</v>
      </c>
      <c r="BQ574" s="37"/>
    </row>
    <row r="575" spans="2:69" s="13" customFormat="1" ht="26.25" customHeight="1">
      <c r="B575" s="141" t="s">
        <v>1672</v>
      </c>
      <c r="D575" s="46"/>
      <c r="F575" s="15"/>
      <c r="G575" s="17"/>
      <c r="H575" s="16"/>
      <c r="AI575" s="129" t="s">
        <v>1354</v>
      </c>
      <c r="AK575" s="165">
        <v>0</v>
      </c>
      <c r="BQ575" s="37"/>
    </row>
    <row r="576" spans="2:69" s="13" customFormat="1" ht="36.75" customHeight="1">
      <c r="B576" s="141" t="s">
        <v>1673</v>
      </c>
      <c r="D576" s="46"/>
      <c r="F576" s="15"/>
      <c r="G576" s="17"/>
      <c r="H576" s="16"/>
      <c r="AI576" s="129" t="s">
        <v>1354</v>
      </c>
      <c r="BQ576" s="151">
        <v>44596.676990740743</v>
      </c>
    </row>
    <row r="577" spans="2:69" s="13" customFormat="1" ht="26.25" customHeight="1">
      <c r="B577" s="141" t="s">
        <v>1674</v>
      </c>
      <c r="D577" s="46"/>
      <c r="F577" s="15"/>
      <c r="G577" s="17"/>
      <c r="H577" s="16"/>
      <c r="AI577" s="129" t="s">
        <v>1354</v>
      </c>
      <c r="BQ577" s="37"/>
    </row>
    <row r="578" spans="2:69" s="13" customFormat="1" ht="26.25" customHeight="1">
      <c r="B578" s="141" t="s">
        <v>1675</v>
      </c>
      <c r="D578" s="46"/>
      <c r="F578" s="15"/>
      <c r="G578" s="17"/>
      <c r="H578" s="16"/>
      <c r="AI578" s="129" t="s">
        <v>1354</v>
      </c>
      <c r="BQ578" s="37"/>
    </row>
    <row r="579" spans="2:69" s="13" customFormat="1" ht="26.25" customHeight="1">
      <c r="B579" s="141" t="s">
        <v>1676</v>
      </c>
      <c r="D579" s="46"/>
      <c r="F579" s="15"/>
      <c r="G579" s="17"/>
      <c r="H579" s="16"/>
      <c r="AI579" s="129" t="s">
        <v>1354</v>
      </c>
      <c r="BQ579" s="37"/>
    </row>
    <row r="580" spans="2:69" s="13" customFormat="1" ht="26.25" customHeight="1">
      <c r="B580" s="141" t="s">
        <v>1677</v>
      </c>
      <c r="D580" s="46"/>
      <c r="F580" s="15"/>
      <c r="G580" s="17"/>
      <c r="H580" s="16"/>
      <c r="AI580" s="129" t="s">
        <v>1354</v>
      </c>
      <c r="BQ580" s="37"/>
    </row>
    <row r="581" spans="2:69" s="13" customFormat="1" ht="26.25" customHeight="1">
      <c r="B581" s="141" t="s">
        <v>1678</v>
      </c>
      <c r="D581" s="46"/>
      <c r="F581" s="15"/>
      <c r="G581" s="17"/>
      <c r="H581" s="16"/>
      <c r="AI581" s="129" t="s">
        <v>1354</v>
      </c>
      <c r="BQ581" s="37"/>
    </row>
    <row r="582" spans="2:69" s="13" customFormat="1" ht="26.25" customHeight="1">
      <c r="B582" s="141" t="s">
        <v>1307</v>
      </c>
      <c r="D582" s="46"/>
      <c r="F582" s="15"/>
      <c r="G582" s="17"/>
      <c r="H582" s="16"/>
      <c r="AI582" s="129" t="s">
        <v>1354</v>
      </c>
      <c r="BQ582" s="37"/>
    </row>
    <row r="583" spans="2:69" s="13" customFormat="1" ht="26.25" customHeight="1">
      <c r="B583" s="141" t="s">
        <v>1679</v>
      </c>
      <c r="D583" s="46"/>
      <c r="F583" s="15"/>
      <c r="G583" s="17"/>
      <c r="H583" s="16"/>
      <c r="AI583" s="129" t="s">
        <v>1354</v>
      </c>
      <c r="BQ583" s="37"/>
    </row>
    <row r="584" spans="2:69" s="13" customFormat="1" ht="26.25" customHeight="1">
      <c r="B584" s="141" t="s">
        <v>1680</v>
      </c>
      <c r="D584" s="46"/>
      <c r="F584" s="15"/>
      <c r="G584" s="17"/>
      <c r="H584" s="16"/>
      <c r="AI584" s="129" t="s">
        <v>1354</v>
      </c>
      <c r="BQ584" s="37"/>
    </row>
    <row r="585" spans="2:69" s="13" customFormat="1" ht="26.25" customHeight="1">
      <c r="B585" s="141" t="s">
        <v>1308</v>
      </c>
      <c r="D585" s="46"/>
      <c r="F585" s="15"/>
      <c r="G585" s="17"/>
      <c r="H585" s="16"/>
      <c r="AI585" s="129" t="s">
        <v>1354</v>
      </c>
      <c r="BQ585" s="37"/>
    </row>
    <row r="586" spans="2:69" s="13" customFormat="1" ht="26.25" customHeight="1">
      <c r="B586" s="141" t="s">
        <v>1681</v>
      </c>
      <c r="D586" s="46"/>
      <c r="F586" s="15"/>
      <c r="G586" s="17"/>
      <c r="H586" s="16"/>
      <c r="AI586" s="129" t="s">
        <v>1354</v>
      </c>
      <c r="BQ586" s="37"/>
    </row>
    <row r="587" spans="2:69" s="13" customFormat="1" ht="26.25" customHeight="1">
      <c r="B587" s="141" t="s">
        <v>1682</v>
      </c>
      <c r="D587" s="46"/>
      <c r="F587" s="15"/>
      <c r="G587" s="17"/>
      <c r="H587" s="16"/>
      <c r="AI587" s="129" t="s">
        <v>1354</v>
      </c>
      <c r="BQ587" s="37"/>
    </row>
    <row r="588" spans="2:69" s="13" customFormat="1" ht="26.25" customHeight="1">
      <c r="B588" s="141" t="s">
        <v>1683</v>
      </c>
      <c r="D588" s="46"/>
      <c r="F588" s="15"/>
      <c r="G588" s="17"/>
      <c r="H588" s="16"/>
      <c r="AI588" s="129" t="s">
        <v>1354</v>
      </c>
      <c r="BQ588" s="37"/>
    </row>
    <row r="589" spans="2:69" s="13" customFormat="1" ht="26.25" customHeight="1">
      <c r="B589" s="141" t="s">
        <v>1684</v>
      </c>
      <c r="D589" s="46"/>
      <c r="F589" s="15"/>
      <c r="G589" s="17"/>
      <c r="H589" s="16"/>
      <c r="AI589" s="129" t="s">
        <v>1354</v>
      </c>
      <c r="BQ589" s="37"/>
    </row>
    <row r="590" spans="2:69" s="13" customFormat="1" ht="26.25" customHeight="1">
      <c r="B590" s="141" t="s">
        <v>1309</v>
      </c>
      <c r="D590" s="46"/>
      <c r="F590" s="15"/>
      <c r="G590" s="17"/>
      <c r="H590" s="16"/>
      <c r="AI590" s="129" t="s">
        <v>1354</v>
      </c>
      <c r="BQ590" s="37"/>
    </row>
    <row r="591" spans="2:69" s="13" customFormat="1" ht="26.25" customHeight="1">
      <c r="B591" s="141" t="s">
        <v>1685</v>
      </c>
      <c r="D591" s="46"/>
      <c r="F591" s="15"/>
      <c r="G591" s="17"/>
      <c r="H591" s="16"/>
      <c r="AI591" s="129" t="s">
        <v>1354</v>
      </c>
      <c r="BQ591" s="37"/>
    </row>
    <row r="592" spans="2:69" s="13" customFormat="1" ht="26.25" customHeight="1">
      <c r="B592" s="141" t="s">
        <v>1310</v>
      </c>
      <c r="D592" s="46"/>
      <c r="F592" s="15"/>
      <c r="G592" s="17"/>
      <c r="H592" s="16"/>
      <c r="AI592" s="129" t="s">
        <v>1354</v>
      </c>
      <c r="BQ592" s="37"/>
    </row>
    <row r="593" spans="2:69" s="13" customFormat="1" ht="26.25" customHeight="1">
      <c r="B593" s="141" t="s">
        <v>1686</v>
      </c>
      <c r="D593" s="46"/>
      <c r="F593" s="15"/>
      <c r="G593" s="17"/>
      <c r="H593" s="16"/>
      <c r="AI593" s="129" t="s">
        <v>1354</v>
      </c>
      <c r="BQ593" s="37"/>
    </row>
    <row r="594" spans="2:69" s="13" customFormat="1" ht="26.25" customHeight="1">
      <c r="B594" s="141" t="s">
        <v>1687</v>
      </c>
      <c r="D594" s="46"/>
      <c r="F594" s="15"/>
      <c r="G594" s="17"/>
      <c r="H594" s="16"/>
      <c r="AI594" s="129" t="s">
        <v>1354</v>
      </c>
      <c r="BQ594" s="37"/>
    </row>
    <row r="595" spans="2:69" s="13" customFormat="1" ht="26.25" customHeight="1">
      <c r="B595" s="141" t="s">
        <v>1689</v>
      </c>
      <c r="D595" s="46"/>
      <c r="F595" s="15"/>
      <c r="G595" s="17"/>
      <c r="H595" s="16"/>
      <c r="AI595" s="129" t="s">
        <v>1354</v>
      </c>
      <c r="BQ595" s="37"/>
    </row>
    <row r="596" spans="2:69" s="13" customFormat="1" ht="26.25" customHeight="1">
      <c r="B596" s="141" t="s">
        <v>1690</v>
      </c>
      <c r="D596" s="46"/>
      <c r="F596" s="15"/>
      <c r="G596" s="17"/>
      <c r="H596" s="16"/>
      <c r="AI596" s="129" t="s">
        <v>1354</v>
      </c>
      <c r="BQ596" s="37"/>
    </row>
    <row r="597" spans="2:69" s="13" customFormat="1" ht="26.25" customHeight="1">
      <c r="B597" s="141" t="s">
        <v>1692</v>
      </c>
      <c r="D597" s="46"/>
      <c r="F597" s="15"/>
      <c r="G597" s="17"/>
      <c r="H597" s="16"/>
      <c r="AI597" s="129" t="s">
        <v>1354</v>
      </c>
      <c r="BQ597" s="37"/>
    </row>
    <row r="598" spans="2:69" s="13" customFormat="1" ht="26.25" customHeight="1">
      <c r="B598" s="141" t="s">
        <v>1693</v>
      </c>
      <c r="D598" s="46"/>
      <c r="F598" s="15"/>
      <c r="G598" s="17"/>
      <c r="H598" s="16"/>
      <c r="AI598" s="129" t="s">
        <v>1354</v>
      </c>
      <c r="BQ598" s="37"/>
    </row>
    <row r="599" spans="2:69" s="13" customFormat="1" ht="26.25" customHeight="1">
      <c r="B599" s="141" t="s">
        <v>1312</v>
      </c>
      <c r="D599" s="46"/>
      <c r="F599" s="15"/>
      <c r="G599" s="17"/>
      <c r="H599" s="16"/>
      <c r="AI599" s="129" t="s">
        <v>1354</v>
      </c>
      <c r="BQ599" s="37"/>
    </row>
    <row r="600" spans="2:69" s="13" customFormat="1" ht="26.25" customHeight="1">
      <c r="B600" s="141" t="s">
        <v>1429</v>
      </c>
      <c r="D600" s="46"/>
      <c r="F600" s="15"/>
      <c r="G600" s="17"/>
      <c r="H600" s="16"/>
      <c r="AI600" s="129" t="s">
        <v>1354</v>
      </c>
      <c r="BQ600" s="37"/>
    </row>
    <row r="601" spans="2:69" s="13" customFormat="1" ht="26.25" customHeight="1">
      <c r="B601" s="141" t="s">
        <v>1694</v>
      </c>
      <c r="D601" s="46"/>
      <c r="F601" s="15"/>
      <c r="G601" s="17"/>
      <c r="H601" s="16"/>
      <c r="AI601" s="129" t="s">
        <v>1354</v>
      </c>
      <c r="BQ601" s="37"/>
    </row>
    <row r="602" spans="2:69" s="13" customFormat="1" ht="26.25" customHeight="1">
      <c r="B602" s="141" t="s">
        <v>1695</v>
      </c>
      <c r="D602" s="46"/>
      <c r="F602" s="15"/>
      <c r="G602" s="17"/>
      <c r="H602" s="16"/>
      <c r="AI602" s="129" t="s">
        <v>1354</v>
      </c>
      <c r="BQ602" s="37"/>
    </row>
    <row r="603" spans="2:69" s="13" customFormat="1" ht="26.25" customHeight="1">
      <c r="B603" s="141" t="s">
        <v>1696</v>
      </c>
      <c r="D603" s="46"/>
      <c r="F603" s="15"/>
      <c r="G603" s="17"/>
      <c r="H603" s="16"/>
      <c r="AI603" s="129" t="s">
        <v>1354</v>
      </c>
      <c r="BQ603" s="37"/>
    </row>
    <row r="604" spans="2:69" s="13" customFormat="1" ht="26.25" customHeight="1">
      <c r="B604" s="141" t="s">
        <v>1697</v>
      </c>
      <c r="D604" s="46"/>
      <c r="F604" s="15"/>
      <c r="G604" s="17"/>
      <c r="H604" s="16"/>
      <c r="AI604" s="129" t="s">
        <v>1354</v>
      </c>
      <c r="BQ604" s="37"/>
    </row>
    <row r="605" spans="2:69" s="13" customFormat="1" ht="26.25" customHeight="1">
      <c r="B605" s="141" t="s">
        <v>1314</v>
      </c>
      <c r="D605" s="46"/>
      <c r="F605" s="15"/>
      <c r="G605" s="17"/>
      <c r="H605" s="16"/>
      <c r="AI605" s="129" t="s">
        <v>1354</v>
      </c>
      <c r="BQ605" s="37"/>
    </row>
    <row r="606" spans="2:69" s="13" customFormat="1" ht="26.25" customHeight="1">
      <c r="B606" s="141" t="s">
        <v>1315</v>
      </c>
      <c r="D606" s="46"/>
      <c r="F606" s="15"/>
      <c r="G606" s="17"/>
      <c r="H606" s="16"/>
      <c r="AI606" s="129" t="s">
        <v>1354</v>
      </c>
      <c r="BQ606" s="37"/>
    </row>
    <row r="607" spans="2:69" s="13" customFormat="1" ht="26.25" customHeight="1">
      <c r="B607" s="141" t="s">
        <v>1698</v>
      </c>
      <c r="D607" s="46"/>
      <c r="F607" s="15"/>
      <c r="G607" s="17"/>
      <c r="H607" s="16"/>
      <c r="AI607" s="129" t="s">
        <v>1354</v>
      </c>
      <c r="BQ607" s="37"/>
    </row>
    <row r="608" spans="2:69" s="13" customFormat="1" ht="26.25" customHeight="1">
      <c r="B608" s="141" t="s">
        <v>1699</v>
      </c>
      <c r="D608" s="46"/>
      <c r="F608" s="15"/>
      <c r="G608" s="17"/>
      <c r="H608" s="16"/>
      <c r="AI608" s="129" t="s">
        <v>1354</v>
      </c>
      <c r="BQ608" s="37"/>
    </row>
    <row r="609" spans="2:69" s="13" customFormat="1" ht="26.25" customHeight="1">
      <c r="B609" s="141" t="s">
        <v>1700</v>
      </c>
      <c r="D609" s="46"/>
      <c r="F609" s="15"/>
      <c r="G609" s="17"/>
      <c r="H609" s="16"/>
      <c r="AI609" s="129" t="s">
        <v>1354</v>
      </c>
      <c r="BQ609" s="37"/>
    </row>
    <row r="610" spans="2:69" s="13" customFormat="1" ht="26.25" customHeight="1">
      <c r="B610" s="141" t="s">
        <v>1316</v>
      </c>
      <c r="D610" s="46"/>
      <c r="F610" s="15"/>
      <c r="G610" s="17"/>
      <c r="H610" s="16"/>
      <c r="AI610" s="129" t="s">
        <v>1354</v>
      </c>
      <c r="BQ610" s="37"/>
    </row>
    <row r="611" spans="2:69" s="13" customFormat="1" ht="26.25" customHeight="1">
      <c r="B611" s="141" t="s">
        <v>1317</v>
      </c>
      <c r="D611" s="46"/>
      <c r="F611" s="15"/>
      <c r="G611" s="17"/>
      <c r="H611" s="16"/>
      <c r="AI611" s="129" t="s">
        <v>1354</v>
      </c>
      <c r="BQ611" s="37"/>
    </row>
    <row r="612" spans="2:69" s="13" customFormat="1" ht="26.25" customHeight="1">
      <c r="B612" s="141" t="s">
        <v>1701</v>
      </c>
      <c r="D612" s="46"/>
      <c r="F612" s="15"/>
      <c r="G612" s="17"/>
      <c r="H612" s="16"/>
      <c r="AI612" s="129" t="s">
        <v>1354</v>
      </c>
      <c r="BQ612" s="37"/>
    </row>
    <row r="613" spans="2:69" s="13" customFormat="1" ht="26.25" customHeight="1">
      <c r="B613" s="141" t="s">
        <v>1702</v>
      </c>
      <c r="D613" s="46"/>
      <c r="F613" s="15"/>
      <c r="G613" s="17"/>
      <c r="H613" s="16"/>
      <c r="AI613" s="129" t="s">
        <v>1354</v>
      </c>
      <c r="BQ613" s="37"/>
    </row>
    <row r="614" spans="2:69" s="13" customFormat="1" ht="26.25" customHeight="1">
      <c r="B614" s="141" t="s">
        <v>1703</v>
      </c>
      <c r="D614" s="46"/>
      <c r="F614" s="15"/>
      <c r="G614" s="17"/>
      <c r="H614" s="16"/>
      <c r="AI614" s="129" t="s">
        <v>1354</v>
      </c>
      <c r="BQ614" s="37"/>
    </row>
    <row r="615" spans="2:69" s="13" customFormat="1" ht="26.25" customHeight="1">
      <c r="B615" s="141" t="s">
        <v>1705</v>
      </c>
      <c r="D615" s="46"/>
      <c r="F615" s="15"/>
      <c r="G615" s="17"/>
      <c r="H615" s="16"/>
      <c r="AI615" s="129" t="s">
        <v>1354</v>
      </c>
      <c r="BQ615" s="37"/>
    </row>
    <row r="616" spans="2:69" s="13" customFormat="1" ht="26.25" customHeight="1">
      <c r="B616" s="141" t="s">
        <v>1706</v>
      </c>
      <c r="D616" s="46"/>
      <c r="F616" s="15"/>
      <c r="G616" s="17"/>
      <c r="H616" s="16"/>
      <c r="AI616" s="129" t="s">
        <v>1354</v>
      </c>
      <c r="BQ616" s="37"/>
    </row>
    <row r="617" spans="2:69" s="13" customFormat="1" ht="26.25" customHeight="1">
      <c r="B617" s="141" t="s">
        <v>1707</v>
      </c>
      <c r="D617" s="46"/>
      <c r="F617" s="15"/>
      <c r="G617" s="17"/>
      <c r="H617" s="16"/>
      <c r="AI617" s="129" t="s">
        <v>1354</v>
      </c>
      <c r="BQ617" s="37"/>
    </row>
    <row r="618" spans="2:69" s="13" customFormat="1" ht="26.25" customHeight="1">
      <c r="B618" s="141" t="s">
        <v>1319</v>
      </c>
      <c r="D618" s="46"/>
      <c r="F618" s="15"/>
      <c r="G618" s="17"/>
      <c r="H618" s="16"/>
      <c r="AI618" s="129" t="s">
        <v>1354</v>
      </c>
      <c r="BQ618" s="37"/>
    </row>
    <row r="619" spans="2:69" s="13" customFormat="1" ht="26.25" customHeight="1">
      <c r="B619" s="141" t="s">
        <v>1708</v>
      </c>
      <c r="D619" s="46"/>
      <c r="F619" s="15"/>
      <c r="G619" s="17"/>
      <c r="H619" s="16"/>
      <c r="AI619" s="129" t="s">
        <v>1354</v>
      </c>
      <c r="BQ619" s="37"/>
    </row>
    <row r="620" spans="2:69" s="13" customFormat="1" ht="26.25" customHeight="1">
      <c r="B620" s="141" t="s">
        <v>1320</v>
      </c>
      <c r="D620" s="46"/>
      <c r="F620" s="15"/>
      <c r="G620" s="17"/>
      <c r="H620" s="16"/>
      <c r="AI620" s="129" t="s">
        <v>1354</v>
      </c>
      <c r="BQ620" s="37"/>
    </row>
    <row r="621" spans="2:69" s="13" customFormat="1" ht="26.25" customHeight="1">
      <c r="B621" s="141" t="s">
        <v>1710</v>
      </c>
      <c r="D621" s="46"/>
      <c r="F621" s="15"/>
      <c r="G621" s="17"/>
      <c r="H621" s="16"/>
      <c r="AI621" s="129" t="s">
        <v>1354</v>
      </c>
      <c r="BQ621" s="37"/>
    </row>
    <row r="622" spans="2:69" s="13" customFormat="1" ht="26.25" customHeight="1">
      <c r="B622" s="141" t="s">
        <v>1711</v>
      </c>
      <c r="D622" s="46"/>
      <c r="F622" s="15"/>
      <c r="G622" s="17"/>
      <c r="H622" s="16"/>
      <c r="AI622" s="129" t="s">
        <v>1354</v>
      </c>
      <c r="BQ622" s="37"/>
    </row>
    <row r="623" spans="2:69" s="13" customFormat="1" ht="26.25" customHeight="1">
      <c r="B623" s="141" t="s">
        <v>1712</v>
      </c>
      <c r="D623" s="46"/>
      <c r="F623" s="15"/>
      <c r="G623" s="17"/>
      <c r="H623" s="16"/>
      <c r="AI623" s="129" t="s">
        <v>1354</v>
      </c>
      <c r="BQ623" s="37"/>
    </row>
    <row r="624" spans="2:69" s="13" customFormat="1" ht="26.25" customHeight="1">
      <c r="B624" s="141" t="s">
        <v>1713</v>
      </c>
      <c r="D624" s="46"/>
      <c r="F624" s="15"/>
      <c r="G624" s="17"/>
      <c r="H624" s="16"/>
      <c r="AI624" s="129" t="s">
        <v>1354</v>
      </c>
      <c r="BQ624" s="37"/>
    </row>
    <row r="625" spans="2:69" s="13" customFormat="1" ht="26.25" customHeight="1">
      <c r="B625" s="141" t="s">
        <v>1714</v>
      </c>
      <c r="D625" s="46"/>
      <c r="F625" s="15"/>
      <c r="G625" s="17"/>
      <c r="H625" s="16"/>
      <c r="AI625" s="129" t="s">
        <v>1354</v>
      </c>
      <c r="BQ625" s="37"/>
    </row>
    <row r="626" spans="2:69" s="13" customFormat="1" ht="26.25" customHeight="1">
      <c r="B626" s="141" t="s">
        <v>1715</v>
      </c>
      <c r="D626" s="46"/>
      <c r="F626" s="15"/>
      <c r="G626" s="17"/>
      <c r="H626" s="16"/>
      <c r="AI626" s="129" t="s">
        <v>1354</v>
      </c>
      <c r="BQ626" s="37"/>
    </row>
    <row r="627" spans="2:69" s="13" customFormat="1" ht="26.25" customHeight="1">
      <c r="B627" s="141" t="s">
        <v>1716</v>
      </c>
      <c r="D627" s="46"/>
      <c r="F627" s="15"/>
      <c r="G627" s="17"/>
      <c r="H627" s="16"/>
      <c r="AI627" s="129" t="s">
        <v>1354</v>
      </c>
      <c r="BQ627" s="37"/>
    </row>
    <row r="628" spans="2:69" s="13" customFormat="1" ht="26.25" customHeight="1">
      <c r="B628" s="141" t="s">
        <v>1717</v>
      </c>
      <c r="D628" s="46"/>
      <c r="F628" s="15"/>
      <c r="G628" s="17"/>
      <c r="H628" s="16"/>
      <c r="AI628" s="129" t="s">
        <v>1354</v>
      </c>
      <c r="BQ628" s="37"/>
    </row>
    <row r="629" spans="2:69" s="13" customFormat="1" ht="26.25" customHeight="1">
      <c r="B629" s="141" t="s">
        <v>1433</v>
      </c>
      <c r="D629" s="46"/>
      <c r="F629" s="15"/>
      <c r="G629" s="17"/>
      <c r="H629" s="16"/>
      <c r="AI629" s="129" t="s">
        <v>1354</v>
      </c>
      <c r="BQ629" s="37"/>
    </row>
    <row r="630" spans="2:69" s="13" customFormat="1" ht="26.25" customHeight="1">
      <c r="B630" s="141" t="s">
        <v>1720</v>
      </c>
      <c r="D630" s="46"/>
      <c r="F630" s="15"/>
      <c r="G630" s="17"/>
      <c r="H630" s="16"/>
      <c r="AI630" s="129" t="s">
        <v>1354</v>
      </c>
      <c r="BQ630" s="37"/>
    </row>
    <row r="631" spans="2:69" s="13" customFormat="1" ht="26.25" customHeight="1">
      <c r="B631" s="141" t="s">
        <v>1722</v>
      </c>
      <c r="D631" s="46"/>
      <c r="F631" s="15"/>
      <c r="G631" s="17"/>
      <c r="H631" s="16"/>
      <c r="AI631" s="129" t="s">
        <v>1354</v>
      </c>
      <c r="BQ631" s="37"/>
    </row>
    <row r="632" spans="2:69" s="13" customFormat="1" ht="26.25" customHeight="1">
      <c r="B632" s="141" t="s">
        <v>1723</v>
      </c>
      <c r="D632" s="46"/>
      <c r="F632" s="15"/>
      <c r="G632" s="17"/>
      <c r="H632" s="16"/>
      <c r="AI632" s="129" t="s">
        <v>1354</v>
      </c>
      <c r="BQ632" s="37"/>
    </row>
    <row r="633" spans="2:69" s="13" customFormat="1" ht="26.25" customHeight="1">
      <c r="B633" s="141" t="s">
        <v>1724</v>
      </c>
      <c r="D633" s="46"/>
      <c r="F633" s="15"/>
      <c r="G633" s="17"/>
      <c r="H633" s="16"/>
      <c r="AI633" s="129" t="s">
        <v>1354</v>
      </c>
      <c r="BQ633" s="37"/>
    </row>
    <row r="634" spans="2:69" s="13" customFormat="1" ht="26.25" customHeight="1">
      <c r="B634" s="141" t="s">
        <v>1725</v>
      </c>
      <c r="D634" s="46"/>
      <c r="F634" s="15"/>
      <c r="G634" s="17"/>
      <c r="H634" s="16"/>
      <c r="AI634" s="129" t="s">
        <v>1354</v>
      </c>
      <c r="BQ634" s="37"/>
    </row>
    <row r="635" spans="2:69" s="13" customFormat="1" ht="26.25" customHeight="1">
      <c r="B635" s="141" t="s">
        <v>1726</v>
      </c>
      <c r="D635" s="46"/>
      <c r="F635" s="15"/>
      <c r="G635" s="17"/>
      <c r="H635" s="16"/>
      <c r="AI635" s="129" t="s">
        <v>1354</v>
      </c>
      <c r="BQ635" s="37"/>
    </row>
    <row r="636" spans="2:69" s="13" customFormat="1" ht="26.25" customHeight="1">
      <c r="B636" s="141" t="s">
        <v>1727</v>
      </c>
      <c r="D636" s="46"/>
      <c r="F636" s="15"/>
      <c r="G636" s="17"/>
      <c r="H636" s="16"/>
      <c r="AI636" s="129" t="s">
        <v>1354</v>
      </c>
      <c r="BQ636" s="37"/>
    </row>
    <row r="637" spans="2:69" s="13" customFormat="1" ht="26.25" customHeight="1">
      <c r="B637" s="141" t="s">
        <v>1728</v>
      </c>
      <c r="D637" s="46"/>
      <c r="F637" s="15"/>
      <c r="G637" s="17"/>
      <c r="H637" s="16"/>
      <c r="AI637" s="129" t="s">
        <v>1354</v>
      </c>
      <c r="BQ637" s="37"/>
    </row>
    <row r="638" spans="2:69" s="13" customFormat="1" ht="26.25" customHeight="1">
      <c r="B638" s="141" t="s">
        <v>1729</v>
      </c>
      <c r="D638" s="46"/>
      <c r="F638" s="15"/>
      <c r="G638" s="17"/>
      <c r="H638" s="16"/>
      <c r="AI638" s="129" t="s">
        <v>1354</v>
      </c>
      <c r="BQ638" s="37"/>
    </row>
    <row r="639" spans="2:69" s="13" customFormat="1" ht="26.25" customHeight="1">
      <c r="B639" s="141" t="s">
        <v>1730</v>
      </c>
      <c r="D639" s="46"/>
      <c r="F639" s="15"/>
      <c r="G639" s="17"/>
      <c r="H639" s="16"/>
      <c r="AI639" s="129" t="s">
        <v>1354</v>
      </c>
      <c r="BQ639" s="37"/>
    </row>
    <row r="640" spans="2:69" s="13" customFormat="1" ht="26.25" customHeight="1">
      <c r="B640" s="141" t="s">
        <v>1422</v>
      </c>
      <c r="D640" s="46"/>
      <c r="F640" s="15"/>
      <c r="G640" s="17"/>
      <c r="H640" s="16"/>
      <c r="AI640" s="129" t="s">
        <v>1354</v>
      </c>
      <c r="AJ640" s="165">
        <v>0</v>
      </c>
      <c r="BQ640" s="37"/>
    </row>
    <row r="641" spans="2:69" s="13" customFormat="1" ht="26.25" customHeight="1">
      <c r="B641" s="141" t="s">
        <v>1731</v>
      </c>
      <c r="D641" s="46"/>
      <c r="F641" s="15"/>
      <c r="G641" s="17"/>
      <c r="H641" s="16"/>
      <c r="AI641" s="129" t="s">
        <v>1354</v>
      </c>
      <c r="BQ641" s="151">
        <v>44596.666342592594</v>
      </c>
    </row>
    <row r="642" spans="2:69" s="13" customFormat="1" ht="26.25" customHeight="1">
      <c r="B642" s="141" t="s">
        <v>1732</v>
      </c>
      <c r="D642" s="46"/>
      <c r="F642" s="15"/>
      <c r="G642" s="17"/>
      <c r="H642" s="16"/>
      <c r="AI642" s="129" t="s">
        <v>1354</v>
      </c>
      <c r="BQ642" s="37"/>
    </row>
    <row r="643" spans="2:69" s="13" customFormat="1" ht="26.25" customHeight="1">
      <c r="B643" s="141" t="s">
        <v>1733</v>
      </c>
      <c r="D643" s="46"/>
      <c r="F643" s="15"/>
      <c r="G643" s="17"/>
      <c r="H643" s="16"/>
      <c r="AI643" s="129" t="s">
        <v>1354</v>
      </c>
      <c r="BQ643" s="37"/>
    </row>
    <row r="644" spans="2:69" s="13" customFormat="1" ht="26.25" customHeight="1">
      <c r="B644" s="141" t="s">
        <v>1734</v>
      </c>
      <c r="D644" s="46"/>
      <c r="F644" s="15"/>
      <c r="G644" s="17"/>
      <c r="H644" s="16"/>
      <c r="AI644" s="129" t="s">
        <v>1354</v>
      </c>
      <c r="BQ644" s="37"/>
    </row>
    <row r="645" spans="2:69" s="13" customFormat="1" ht="26.25" customHeight="1">
      <c r="B645" s="141" t="s">
        <v>1735</v>
      </c>
      <c r="D645" s="46"/>
      <c r="F645" s="15"/>
      <c r="G645" s="17"/>
      <c r="H645" s="16"/>
      <c r="AI645" s="129" t="s">
        <v>1354</v>
      </c>
      <c r="BQ645" s="37"/>
    </row>
    <row r="646" spans="2:69" s="13" customFormat="1" ht="26.25" customHeight="1">
      <c r="B646" s="141" t="s">
        <v>1736</v>
      </c>
      <c r="D646" s="46"/>
      <c r="F646" s="15"/>
      <c r="G646" s="17"/>
      <c r="H646" s="16"/>
      <c r="AI646" s="129" t="s">
        <v>1354</v>
      </c>
      <c r="AL646" s="165">
        <v>0</v>
      </c>
      <c r="BQ646" s="37"/>
    </row>
    <row r="647" spans="2:69" s="13" customFormat="1" ht="26.25" customHeight="1">
      <c r="B647" s="141" t="s">
        <v>1737</v>
      </c>
      <c r="D647" s="46"/>
      <c r="F647" s="15"/>
      <c r="G647" s="17"/>
      <c r="H647" s="16"/>
      <c r="AI647" s="129" t="s">
        <v>1354</v>
      </c>
      <c r="BQ647" s="151">
        <v>44596.669502314813</v>
      </c>
    </row>
    <row r="648" spans="2:69" s="13" customFormat="1" ht="26.25" customHeight="1">
      <c r="B648" s="141" t="s">
        <v>1296</v>
      </c>
      <c r="D648" s="46"/>
      <c r="F648" s="15"/>
      <c r="G648" s="17"/>
      <c r="H648" s="16"/>
      <c r="AI648" s="129" t="s">
        <v>1354</v>
      </c>
      <c r="BQ648" s="37"/>
    </row>
    <row r="649" spans="2:69" s="13" customFormat="1" ht="26.25" customHeight="1">
      <c r="B649" s="141" t="s">
        <v>1738</v>
      </c>
      <c r="D649" s="46"/>
      <c r="F649" s="15"/>
      <c r="G649" s="17"/>
      <c r="H649" s="16"/>
      <c r="AI649" s="129" t="s">
        <v>1354</v>
      </c>
      <c r="BQ649" s="37"/>
    </row>
    <row r="650" spans="2:69" s="13" customFormat="1" ht="26.25" customHeight="1">
      <c r="B650" s="141" t="s">
        <v>1739</v>
      </c>
      <c r="D650" s="46"/>
      <c r="F650" s="15"/>
      <c r="G650" s="17"/>
      <c r="H650" s="16"/>
      <c r="AI650" s="129" t="s">
        <v>1354</v>
      </c>
      <c r="BQ650" s="37"/>
    </row>
    <row r="651" spans="2:69" s="13" customFormat="1" ht="26.25" customHeight="1">
      <c r="B651" s="141" t="s">
        <v>1740</v>
      </c>
      <c r="D651" s="46"/>
      <c r="F651" s="15"/>
      <c r="G651" s="17"/>
      <c r="H651" s="16"/>
      <c r="AI651" s="129" t="s">
        <v>1354</v>
      </c>
      <c r="BQ651" s="37"/>
    </row>
    <row r="652" spans="2:69" s="13" customFormat="1" ht="26.25" customHeight="1">
      <c r="B652" s="141" t="s">
        <v>1741</v>
      </c>
      <c r="D652" s="46"/>
      <c r="F652" s="15"/>
      <c r="G652" s="17"/>
      <c r="H652" s="16"/>
      <c r="AI652" s="129" t="s">
        <v>1354</v>
      </c>
      <c r="BQ652" s="37"/>
    </row>
    <row r="653" spans="2:69" s="13" customFormat="1" ht="26.25" customHeight="1">
      <c r="B653" s="141" t="s">
        <v>1742</v>
      </c>
      <c r="D653" s="46"/>
      <c r="F653" s="15"/>
      <c r="G653" s="17"/>
      <c r="H653" s="16"/>
      <c r="AI653" s="129" t="s">
        <v>1354</v>
      </c>
      <c r="BQ653" s="37"/>
    </row>
    <row r="654" spans="2:69" s="13" customFormat="1" ht="26.25" customHeight="1">
      <c r="B654" s="141" t="s">
        <v>1743</v>
      </c>
      <c r="D654" s="46"/>
      <c r="F654" s="15"/>
      <c r="G654" s="17"/>
      <c r="H654" s="16"/>
      <c r="AI654" s="129" t="s">
        <v>1354</v>
      </c>
      <c r="BQ654" s="37"/>
    </row>
    <row r="655" spans="2:69" s="13" customFormat="1" ht="26.25" customHeight="1">
      <c r="B655" s="141" t="s">
        <v>1324</v>
      </c>
      <c r="D655" s="46"/>
      <c r="F655" s="15"/>
      <c r="G655" s="17"/>
      <c r="H655" s="16"/>
      <c r="AI655" s="129" t="s">
        <v>1354</v>
      </c>
      <c r="BQ655" s="37"/>
    </row>
    <row r="656" spans="2:69" s="13" customFormat="1" ht="26.25" customHeight="1">
      <c r="B656" s="141" t="s">
        <v>1744</v>
      </c>
      <c r="D656" s="46"/>
      <c r="F656" s="15"/>
      <c r="G656" s="17"/>
      <c r="H656" s="16"/>
      <c r="AI656" s="129" t="s">
        <v>1354</v>
      </c>
      <c r="BQ656" s="37"/>
    </row>
    <row r="657" spans="2:69" s="13" customFormat="1" ht="26.25" customHeight="1">
      <c r="B657" s="141" t="s">
        <v>1745</v>
      </c>
      <c r="D657" s="46"/>
      <c r="F657" s="15"/>
      <c r="G657" s="17"/>
      <c r="H657" s="16"/>
      <c r="AI657" s="129" t="s">
        <v>1354</v>
      </c>
      <c r="BQ657" s="37"/>
    </row>
    <row r="658" spans="2:69" s="13" customFormat="1" ht="26.25" customHeight="1">
      <c r="B658" s="141" t="s">
        <v>1326</v>
      </c>
      <c r="D658" s="46"/>
      <c r="F658" s="15"/>
      <c r="G658" s="17"/>
      <c r="H658" s="16"/>
      <c r="AI658" s="129" t="s">
        <v>1354</v>
      </c>
      <c r="BQ658" s="37"/>
    </row>
    <row r="659" spans="2:69" s="13" customFormat="1" ht="26.25" customHeight="1">
      <c r="B659" s="141" t="s">
        <v>1746</v>
      </c>
      <c r="D659" s="46"/>
      <c r="F659" s="15"/>
      <c r="G659" s="17"/>
      <c r="H659" s="16"/>
      <c r="AI659" s="129" t="s">
        <v>1354</v>
      </c>
      <c r="BQ659" s="37"/>
    </row>
    <row r="660" spans="2:69" s="13" customFormat="1" ht="26.25" customHeight="1">
      <c r="B660" s="141" t="s">
        <v>1747</v>
      </c>
      <c r="D660" s="46"/>
      <c r="F660" s="15"/>
      <c r="G660" s="17"/>
      <c r="H660" s="16"/>
      <c r="AI660" s="129" t="s">
        <v>1354</v>
      </c>
      <c r="BQ660" s="37"/>
    </row>
    <row r="661" spans="2:69" s="13" customFormat="1" ht="26.25" customHeight="1">
      <c r="B661" s="141" t="s">
        <v>1748</v>
      </c>
      <c r="D661" s="46"/>
      <c r="F661" s="15"/>
      <c r="G661" s="17"/>
      <c r="H661" s="16"/>
      <c r="AI661" s="129" t="s">
        <v>1354</v>
      </c>
      <c r="BQ661" s="37"/>
    </row>
    <row r="662" spans="2:69" s="13" customFormat="1" ht="26.25" customHeight="1">
      <c r="B662" s="141" t="s">
        <v>1749</v>
      </c>
      <c r="D662" s="46"/>
      <c r="F662" s="15"/>
      <c r="G662" s="17"/>
      <c r="H662" s="16"/>
      <c r="AI662" s="129" t="s">
        <v>1354</v>
      </c>
      <c r="BQ662" s="37"/>
    </row>
    <row r="663" spans="2:69" s="13" customFormat="1" ht="26.25" customHeight="1">
      <c r="B663" s="141" t="s">
        <v>1327</v>
      </c>
      <c r="D663" s="46"/>
      <c r="F663" s="15"/>
      <c r="G663" s="17"/>
      <c r="H663" s="16"/>
      <c r="AI663" s="129" t="s">
        <v>1354</v>
      </c>
      <c r="BQ663" s="37"/>
    </row>
    <row r="664" spans="2:69" s="13" customFormat="1" ht="26.25" customHeight="1">
      <c r="B664" s="141" t="s">
        <v>1750</v>
      </c>
      <c r="D664" s="46"/>
      <c r="F664" s="15"/>
      <c r="G664" s="17"/>
      <c r="H664" s="16"/>
      <c r="AI664" s="129" t="s">
        <v>1354</v>
      </c>
      <c r="BQ664" s="37"/>
    </row>
    <row r="665" spans="2:69" s="13" customFormat="1" ht="26.25" customHeight="1">
      <c r="B665" s="141" t="s">
        <v>1751</v>
      </c>
      <c r="D665" s="46"/>
      <c r="F665" s="15"/>
      <c r="G665" s="17"/>
      <c r="H665" s="16"/>
      <c r="AI665" s="129" t="s">
        <v>1354</v>
      </c>
      <c r="BQ665" s="37"/>
    </row>
    <row r="666" spans="2:69" s="13" customFormat="1" ht="26.25" customHeight="1">
      <c r="B666" s="141" t="s">
        <v>1752</v>
      </c>
      <c r="D666" s="46"/>
      <c r="F666" s="15"/>
      <c r="G666" s="17"/>
      <c r="H666" s="16"/>
      <c r="AI666" s="129" t="s">
        <v>1354</v>
      </c>
      <c r="BQ666" s="37"/>
    </row>
    <row r="667" spans="2:69" s="13" customFormat="1" ht="26.25" customHeight="1">
      <c r="B667" s="141" t="s">
        <v>1753</v>
      </c>
      <c r="D667" s="46"/>
      <c r="F667" s="15"/>
      <c r="G667" s="17"/>
      <c r="H667" s="16"/>
      <c r="AI667" s="129" t="s">
        <v>1354</v>
      </c>
      <c r="BQ667" s="37"/>
    </row>
    <row r="668" spans="2:69" s="13" customFormat="1" ht="26.25" customHeight="1">
      <c r="B668" s="141" t="s">
        <v>1328</v>
      </c>
      <c r="D668" s="46"/>
      <c r="F668" s="15"/>
      <c r="G668" s="17"/>
      <c r="H668" s="16"/>
      <c r="AI668" s="129" t="s">
        <v>1354</v>
      </c>
      <c r="BQ668" s="37"/>
    </row>
    <row r="669" spans="2:69" s="13" customFormat="1" ht="26.25" customHeight="1">
      <c r="B669" s="141" t="s">
        <v>1754</v>
      </c>
      <c r="D669" s="46"/>
      <c r="F669" s="15"/>
      <c r="G669" s="17"/>
      <c r="H669" s="16"/>
      <c r="AI669" s="129" t="s">
        <v>1354</v>
      </c>
      <c r="BQ669" s="37"/>
    </row>
    <row r="670" spans="2:69" s="13" customFormat="1" ht="26.25" customHeight="1">
      <c r="B670" s="141" t="s">
        <v>1329</v>
      </c>
      <c r="D670" s="46"/>
      <c r="F670" s="15"/>
      <c r="G670" s="17"/>
      <c r="H670" s="16"/>
      <c r="AI670" s="129" t="s">
        <v>1354</v>
      </c>
      <c r="BQ670" s="37"/>
    </row>
    <row r="671" spans="2:69" s="13" customFormat="1" ht="26.25" customHeight="1">
      <c r="B671" s="141" t="s">
        <v>1331</v>
      </c>
      <c r="D671" s="46"/>
      <c r="F671" s="15"/>
      <c r="G671" s="17"/>
      <c r="H671" s="16"/>
      <c r="AI671" s="129" t="s">
        <v>1354</v>
      </c>
      <c r="BQ671" s="37"/>
    </row>
    <row r="672" spans="2:69" s="13" customFormat="1" ht="26.25" customHeight="1">
      <c r="B672" s="141" t="s">
        <v>1330</v>
      </c>
      <c r="D672" s="46"/>
      <c r="F672" s="15"/>
      <c r="G672" s="17"/>
      <c r="H672" s="16"/>
      <c r="AI672" s="129" t="s">
        <v>1354</v>
      </c>
      <c r="BQ672" s="37"/>
    </row>
    <row r="673" spans="2:69" s="13" customFormat="1" ht="26.25" customHeight="1">
      <c r="B673" s="141" t="s">
        <v>1755</v>
      </c>
      <c r="D673" s="46"/>
      <c r="F673" s="15"/>
      <c r="G673" s="17"/>
      <c r="H673" s="16"/>
      <c r="AI673" s="129" t="s">
        <v>1354</v>
      </c>
      <c r="BQ673" s="37"/>
    </row>
    <row r="674" spans="2:69" s="13" customFormat="1" ht="26.25" customHeight="1">
      <c r="B674" s="141" t="s">
        <v>1756</v>
      </c>
      <c r="D674" s="46"/>
      <c r="F674" s="15"/>
      <c r="G674" s="17"/>
      <c r="H674" s="16"/>
      <c r="AI674" s="129" t="s">
        <v>1354</v>
      </c>
      <c r="BQ674" s="37"/>
    </row>
    <row r="675" spans="2:69" s="13" customFormat="1" ht="26.25" customHeight="1">
      <c r="B675" s="141" t="s">
        <v>1757</v>
      </c>
      <c r="D675" s="46"/>
      <c r="F675" s="15"/>
      <c r="G675" s="17"/>
      <c r="H675" s="16"/>
      <c r="AI675" s="129" t="s">
        <v>1354</v>
      </c>
      <c r="BQ675" s="37"/>
    </row>
    <row r="676" spans="2:69" s="13" customFormat="1" ht="26.25" customHeight="1">
      <c r="B676" s="141" t="s">
        <v>1758</v>
      </c>
      <c r="D676" s="46"/>
      <c r="F676" s="15"/>
      <c r="G676" s="17"/>
      <c r="H676" s="16"/>
      <c r="AI676" s="129" t="s">
        <v>1354</v>
      </c>
      <c r="BQ676" s="37"/>
    </row>
    <row r="677" spans="2:69" s="13" customFormat="1" ht="26.25" customHeight="1">
      <c r="B677" s="141" t="s">
        <v>1333</v>
      </c>
      <c r="D677" s="46"/>
      <c r="F677" s="15"/>
      <c r="G677" s="17"/>
      <c r="H677" s="16"/>
      <c r="AI677" s="129" t="s">
        <v>1354</v>
      </c>
      <c r="BQ677" s="37"/>
    </row>
    <row r="678" spans="2:69" s="13" customFormat="1" ht="26.25" customHeight="1">
      <c r="B678" s="141" t="s">
        <v>1759</v>
      </c>
      <c r="D678" s="46"/>
      <c r="F678" s="15"/>
      <c r="G678" s="17"/>
      <c r="H678" s="16"/>
      <c r="AI678" s="129" t="s">
        <v>1354</v>
      </c>
      <c r="BQ678" s="37"/>
    </row>
    <row r="679" spans="2:69" s="13" customFormat="1" ht="26.25" customHeight="1">
      <c r="B679" s="141" t="s">
        <v>1760</v>
      </c>
      <c r="D679" s="46"/>
      <c r="F679" s="15"/>
      <c r="G679" s="17"/>
      <c r="H679" s="16"/>
      <c r="AI679" s="129" t="s">
        <v>1354</v>
      </c>
      <c r="BQ679" s="37"/>
    </row>
    <row r="680" spans="2:69" s="13" customFormat="1" ht="26.25" customHeight="1">
      <c r="B680" s="141" t="s">
        <v>1761</v>
      </c>
      <c r="D680" s="46"/>
      <c r="F680" s="15"/>
      <c r="G680" s="17"/>
      <c r="H680" s="16"/>
      <c r="AI680" s="129" t="s">
        <v>1354</v>
      </c>
      <c r="BQ680" s="37"/>
    </row>
    <row r="681" spans="2:69" s="13" customFormat="1" ht="26.25" customHeight="1">
      <c r="B681" s="141" t="s">
        <v>1334</v>
      </c>
      <c r="D681" s="46"/>
      <c r="F681" s="15"/>
      <c r="G681" s="17"/>
      <c r="H681" s="16"/>
      <c r="AI681" s="129" t="s">
        <v>1354</v>
      </c>
      <c r="BQ681" s="37"/>
    </row>
    <row r="682" spans="2:69" s="13" customFormat="1" ht="26.25" customHeight="1">
      <c r="B682" s="141" t="s">
        <v>1231</v>
      </c>
      <c r="D682" s="46"/>
      <c r="F682" s="15"/>
      <c r="G682" s="17"/>
      <c r="H682" s="16"/>
      <c r="AI682" s="129" t="s">
        <v>1354</v>
      </c>
      <c r="BQ682" s="37"/>
    </row>
    <row r="683" spans="2:69" s="13" customFormat="1" ht="26.25" customHeight="1">
      <c r="B683" s="141" t="s">
        <v>1762</v>
      </c>
      <c r="D683" s="46"/>
      <c r="F683" s="15"/>
      <c r="G683" s="17"/>
      <c r="H683" s="16"/>
      <c r="AI683" s="129" t="s">
        <v>1354</v>
      </c>
      <c r="BQ683" s="37"/>
    </row>
    <row r="684" spans="2:69" s="13" customFormat="1" ht="26.25" customHeight="1">
      <c r="B684" s="141" t="s">
        <v>1763</v>
      </c>
      <c r="D684" s="46"/>
      <c r="F684" s="15"/>
      <c r="G684" s="17"/>
      <c r="H684" s="16"/>
      <c r="AI684" s="129" t="s">
        <v>1354</v>
      </c>
      <c r="BQ684" s="37"/>
    </row>
    <row r="685" spans="2:69" s="13" customFormat="1" ht="26.25" customHeight="1">
      <c r="B685" s="141" t="s">
        <v>1764</v>
      </c>
      <c r="D685" s="46"/>
      <c r="F685" s="15"/>
      <c r="G685" s="17"/>
      <c r="H685" s="16"/>
      <c r="AI685" s="129" t="s">
        <v>1354</v>
      </c>
      <c r="BQ685" s="37"/>
    </row>
    <row r="686" spans="2:69" s="13" customFormat="1" ht="26.25" customHeight="1">
      <c r="B686" s="141" t="s">
        <v>1765</v>
      </c>
      <c r="D686" s="46"/>
      <c r="F686" s="15"/>
      <c r="G686" s="17"/>
      <c r="H686" s="16"/>
      <c r="AI686" s="129" t="s">
        <v>1354</v>
      </c>
      <c r="BQ686" s="37"/>
    </row>
    <row r="687" spans="2:69" s="13" customFormat="1" ht="26.25" customHeight="1">
      <c r="B687" s="141" t="s">
        <v>1766</v>
      </c>
      <c r="D687" s="46"/>
      <c r="F687" s="15"/>
      <c r="G687" s="17"/>
      <c r="H687" s="16"/>
      <c r="AI687" s="129" t="s">
        <v>1354</v>
      </c>
      <c r="BQ687" s="37"/>
    </row>
    <row r="688" spans="2:69" s="13" customFormat="1" ht="26.25" customHeight="1">
      <c r="B688" s="141" t="s">
        <v>1767</v>
      </c>
      <c r="D688" s="46"/>
      <c r="F688" s="15"/>
      <c r="G688" s="17"/>
      <c r="H688" s="16"/>
      <c r="AI688" s="129" t="s">
        <v>1354</v>
      </c>
      <c r="BQ688" s="37"/>
    </row>
    <row r="689" spans="2:69" s="13" customFormat="1" ht="26.25" customHeight="1">
      <c r="B689" s="141" t="s">
        <v>1405</v>
      </c>
      <c r="D689" s="46"/>
      <c r="F689" s="15"/>
      <c r="G689" s="17"/>
      <c r="H689" s="16"/>
      <c r="AI689" s="129" t="s">
        <v>1354</v>
      </c>
      <c r="BQ689" s="37"/>
    </row>
    <row r="690" spans="2:69" s="13" customFormat="1" ht="26.25" customHeight="1">
      <c r="B690" s="141" t="s">
        <v>1271</v>
      </c>
      <c r="D690" s="46"/>
      <c r="F690" s="15"/>
      <c r="G690" s="17"/>
      <c r="H690" s="16"/>
      <c r="AI690" s="129" t="s">
        <v>1354</v>
      </c>
      <c r="BQ690" s="37"/>
    </row>
    <row r="691" spans="2:69" s="13" customFormat="1" ht="26.25" customHeight="1">
      <c r="B691" s="141" t="s">
        <v>1769</v>
      </c>
      <c r="D691" s="46"/>
      <c r="F691" s="15"/>
      <c r="G691" s="17"/>
      <c r="H691" s="16"/>
      <c r="AI691" s="129" t="s">
        <v>1354</v>
      </c>
      <c r="BQ691" s="37"/>
    </row>
    <row r="692" spans="2:69" s="13" customFormat="1" ht="26.25" customHeight="1">
      <c r="B692" s="141" t="s">
        <v>1770</v>
      </c>
      <c r="D692" s="46"/>
      <c r="F692" s="15"/>
      <c r="G692" s="17"/>
      <c r="H692" s="16"/>
      <c r="AI692" s="129" t="s">
        <v>1354</v>
      </c>
      <c r="BQ692" s="37"/>
    </row>
    <row r="693" spans="2:69" s="13" customFormat="1" ht="26.25" customHeight="1">
      <c r="B693" s="141" t="s">
        <v>1771</v>
      </c>
      <c r="D693" s="46"/>
      <c r="F693" s="15"/>
      <c r="G693" s="17"/>
      <c r="H693" s="16"/>
      <c r="AI693" s="129" t="s">
        <v>1354</v>
      </c>
      <c r="BQ693" s="37"/>
    </row>
    <row r="694" spans="2:69" s="13" customFormat="1" ht="26.25" customHeight="1">
      <c r="B694" s="141" t="s">
        <v>1772</v>
      </c>
      <c r="D694" s="46"/>
      <c r="F694" s="15"/>
      <c r="G694" s="17"/>
      <c r="H694" s="16"/>
      <c r="AI694" s="129" t="s">
        <v>1354</v>
      </c>
      <c r="BQ694" s="37"/>
    </row>
    <row r="695" spans="2:69" s="13" customFormat="1" ht="26.25" customHeight="1">
      <c r="B695" s="141" t="s">
        <v>1773</v>
      </c>
      <c r="D695" s="46"/>
      <c r="F695" s="15"/>
      <c r="G695" s="17"/>
      <c r="H695" s="16"/>
      <c r="AI695" s="129" t="s">
        <v>1354</v>
      </c>
      <c r="BQ695" s="37"/>
    </row>
    <row r="696" spans="2:69" s="13" customFormat="1" ht="26.25" customHeight="1">
      <c r="B696" s="141" t="s">
        <v>1774</v>
      </c>
      <c r="D696" s="46"/>
      <c r="F696" s="15"/>
      <c r="G696" s="17"/>
      <c r="H696" s="16"/>
      <c r="AI696" s="129" t="s">
        <v>1354</v>
      </c>
      <c r="BQ696" s="37"/>
    </row>
    <row r="697" spans="2:69" s="13" customFormat="1" ht="26.25" customHeight="1">
      <c r="B697" s="141" t="s">
        <v>1775</v>
      </c>
      <c r="D697" s="46"/>
      <c r="F697" s="15"/>
      <c r="G697" s="17"/>
      <c r="H697" s="16"/>
      <c r="AI697" s="129" t="s">
        <v>1354</v>
      </c>
      <c r="BQ697" s="37"/>
    </row>
    <row r="698" spans="2:69" s="13" customFormat="1" ht="26.25" customHeight="1">
      <c r="B698" s="141" t="s">
        <v>1776</v>
      </c>
      <c r="D698" s="46"/>
      <c r="F698" s="15"/>
      <c r="G698" s="17"/>
      <c r="H698" s="16"/>
      <c r="AI698" s="129" t="s">
        <v>1354</v>
      </c>
      <c r="BQ698" s="37"/>
    </row>
    <row r="699" spans="2:69" s="13" customFormat="1" ht="26.25" customHeight="1">
      <c r="B699" s="141" t="s">
        <v>1272</v>
      </c>
      <c r="D699" s="46"/>
      <c r="F699" s="15"/>
      <c r="G699" s="17"/>
      <c r="H699" s="16"/>
      <c r="AI699" s="129" t="s">
        <v>1354</v>
      </c>
      <c r="BQ699" s="37"/>
    </row>
    <row r="700" spans="2:69" s="13" customFormat="1" ht="26.25" customHeight="1">
      <c r="B700" s="141" t="s">
        <v>1777</v>
      </c>
      <c r="D700" s="46"/>
      <c r="F700" s="15"/>
      <c r="G700" s="17"/>
      <c r="H700" s="16"/>
      <c r="AI700" s="129" t="s">
        <v>1354</v>
      </c>
      <c r="BQ700" s="37"/>
    </row>
    <row r="701" spans="2:69" s="13" customFormat="1" ht="26.25" customHeight="1">
      <c r="B701" s="141" t="s">
        <v>1778</v>
      </c>
      <c r="D701" s="46"/>
      <c r="F701" s="15"/>
      <c r="G701" s="17"/>
      <c r="H701" s="16"/>
      <c r="AI701" s="129" t="s">
        <v>1354</v>
      </c>
      <c r="BQ701" s="37"/>
    </row>
    <row r="702" spans="2:69" s="13" customFormat="1" ht="26.25" customHeight="1">
      <c r="B702" s="141" t="s">
        <v>1779</v>
      </c>
      <c r="D702" s="46"/>
      <c r="F702" s="15"/>
      <c r="G702" s="17"/>
      <c r="H702" s="16"/>
      <c r="AI702" s="129" t="s">
        <v>1354</v>
      </c>
      <c r="BQ702" s="37"/>
    </row>
    <row r="703" spans="2:69" s="13" customFormat="1" ht="26.25" customHeight="1">
      <c r="B703" s="141" t="s">
        <v>1780</v>
      </c>
      <c r="D703" s="46"/>
      <c r="F703" s="15"/>
      <c r="G703" s="17"/>
      <c r="H703" s="16"/>
      <c r="AI703" s="129" t="s">
        <v>1354</v>
      </c>
      <c r="BQ703" s="37"/>
    </row>
    <row r="704" spans="2:69" s="13" customFormat="1" ht="26.25" customHeight="1">
      <c r="B704" s="141" t="s">
        <v>1275</v>
      </c>
      <c r="D704" s="46"/>
      <c r="F704" s="15"/>
      <c r="G704" s="17"/>
      <c r="H704" s="16"/>
      <c r="AI704" s="129" t="s">
        <v>1354</v>
      </c>
      <c r="BQ704" s="37"/>
    </row>
    <row r="705" spans="2:69" s="13" customFormat="1" ht="26.25" customHeight="1">
      <c r="B705" s="141" t="s">
        <v>1781</v>
      </c>
      <c r="D705" s="46"/>
      <c r="F705" s="15"/>
      <c r="G705" s="17"/>
      <c r="H705" s="16"/>
      <c r="AI705" s="129" t="s">
        <v>1354</v>
      </c>
      <c r="BQ705" s="37"/>
    </row>
    <row r="706" spans="2:69" s="13" customFormat="1" ht="26.25" customHeight="1">
      <c r="B706" s="141" t="s">
        <v>1276</v>
      </c>
      <c r="D706" s="46"/>
      <c r="F706" s="15"/>
      <c r="G706" s="17"/>
      <c r="H706" s="16"/>
      <c r="AI706" s="129" t="s">
        <v>1354</v>
      </c>
      <c r="BQ706" s="37"/>
    </row>
    <row r="707" spans="2:69" s="13" customFormat="1" ht="26.25" customHeight="1">
      <c r="B707" s="141" t="s">
        <v>1782</v>
      </c>
      <c r="D707" s="46"/>
      <c r="F707" s="15"/>
      <c r="G707" s="17"/>
      <c r="H707" s="16"/>
      <c r="AI707" s="129" t="s">
        <v>1354</v>
      </c>
      <c r="BQ707" s="37"/>
    </row>
    <row r="708" spans="2:69" s="13" customFormat="1" ht="26.25" customHeight="1">
      <c r="B708" s="141" t="s">
        <v>1364</v>
      </c>
      <c r="D708" s="46"/>
      <c r="F708" s="15"/>
      <c r="G708" s="17"/>
      <c r="H708" s="16"/>
      <c r="AI708" s="129" t="s">
        <v>1354</v>
      </c>
      <c r="BQ708" s="37"/>
    </row>
    <row r="709" spans="2:69" s="13" customFormat="1" ht="26.25" customHeight="1">
      <c r="B709" s="141" t="s">
        <v>1783</v>
      </c>
      <c r="D709" s="46"/>
      <c r="F709" s="15"/>
      <c r="G709" s="17"/>
      <c r="H709" s="16"/>
      <c r="AI709" s="129" t="s">
        <v>1354</v>
      </c>
      <c r="BQ709" s="37"/>
    </row>
    <row r="710" spans="2:69" s="13" customFormat="1" ht="26.25" customHeight="1">
      <c r="B710" s="141" t="s">
        <v>1784</v>
      </c>
      <c r="D710" s="46"/>
      <c r="F710" s="15"/>
      <c r="G710" s="17"/>
      <c r="H710" s="16"/>
      <c r="AI710" s="129" t="s">
        <v>1354</v>
      </c>
      <c r="BQ710" s="37"/>
    </row>
    <row r="711" spans="2:69" s="13" customFormat="1" ht="26.25" customHeight="1">
      <c r="B711" s="141" t="s">
        <v>1278</v>
      </c>
      <c r="D711" s="46"/>
      <c r="F711" s="15"/>
      <c r="G711" s="17"/>
      <c r="H711" s="16"/>
      <c r="AI711" s="129" t="s">
        <v>1354</v>
      </c>
      <c r="BQ711" s="37"/>
    </row>
    <row r="712" spans="2:69" s="13" customFormat="1" ht="26.25" customHeight="1">
      <c r="B712" s="141" t="s">
        <v>1785</v>
      </c>
      <c r="D712" s="46"/>
      <c r="F712" s="15"/>
      <c r="G712" s="17"/>
      <c r="H712" s="16"/>
      <c r="AI712" s="129" t="s">
        <v>1354</v>
      </c>
      <c r="BQ712" s="37"/>
    </row>
    <row r="713" spans="2:69" s="13" customFormat="1" ht="26.25" customHeight="1">
      <c r="B713" s="141" t="s">
        <v>1786</v>
      </c>
      <c r="D713" s="46"/>
      <c r="F713" s="15"/>
      <c r="G713" s="17"/>
      <c r="H713" s="16"/>
      <c r="AI713" s="129" t="s">
        <v>1354</v>
      </c>
      <c r="BQ713" s="37"/>
    </row>
    <row r="714" spans="2:69" s="13" customFormat="1" ht="26.25" customHeight="1">
      <c r="B714" s="141" t="s">
        <v>1279</v>
      </c>
      <c r="D714" s="46"/>
      <c r="F714" s="15"/>
      <c r="G714" s="17"/>
      <c r="H714" s="16"/>
      <c r="AI714" s="129" t="s">
        <v>1354</v>
      </c>
      <c r="BQ714" s="37"/>
    </row>
    <row r="715" spans="2:69" s="13" customFormat="1" ht="26.25" customHeight="1">
      <c r="B715" s="141" t="s">
        <v>1787</v>
      </c>
      <c r="D715" s="46"/>
      <c r="F715" s="15"/>
      <c r="G715" s="17"/>
      <c r="H715" s="16"/>
      <c r="AI715" s="129" t="s">
        <v>1354</v>
      </c>
      <c r="BQ715" s="37"/>
    </row>
    <row r="716" spans="2:69" s="13" customFormat="1" ht="26.25" customHeight="1">
      <c r="B716" s="141" t="s">
        <v>1280</v>
      </c>
      <c r="D716" s="46"/>
      <c r="F716" s="15"/>
      <c r="G716" s="17"/>
      <c r="H716" s="16"/>
      <c r="AI716" s="129" t="s">
        <v>1354</v>
      </c>
      <c r="BQ716" s="37"/>
    </row>
    <row r="717" spans="2:69" s="13" customFormat="1" ht="26.25" customHeight="1">
      <c r="B717" s="141" t="s">
        <v>1788</v>
      </c>
      <c r="D717" s="46"/>
      <c r="F717" s="15"/>
      <c r="G717" s="17"/>
      <c r="H717" s="16"/>
      <c r="AI717" s="129" t="s">
        <v>1354</v>
      </c>
      <c r="BQ717" s="37"/>
    </row>
    <row r="718" spans="2:69" s="13" customFormat="1" ht="26.25" customHeight="1">
      <c r="B718" s="141" t="s">
        <v>1789</v>
      </c>
      <c r="D718" s="46"/>
      <c r="F718" s="15"/>
      <c r="G718" s="17"/>
      <c r="H718" s="16"/>
      <c r="AI718" s="129" t="s">
        <v>1354</v>
      </c>
      <c r="BQ718" s="37"/>
    </row>
    <row r="719" spans="2:69" s="13" customFormat="1" ht="26.25" customHeight="1">
      <c r="B719" s="141" t="s">
        <v>1790</v>
      </c>
      <c r="D719" s="46"/>
      <c r="F719" s="15"/>
      <c r="G719" s="17"/>
      <c r="H719" s="16"/>
      <c r="AI719" s="129" t="s">
        <v>1354</v>
      </c>
      <c r="BQ719" s="37"/>
    </row>
    <row r="720" spans="2:69" s="13" customFormat="1" ht="26.25" customHeight="1">
      <c r="B720" s="141" t="s">
        <v>1791</v>
      </c>
      <c r="D720" s="46"/>
      <c r="F720" s="15"/>
      <c r="G720" s="17"/>
      <c r="H720" s="16"/>
      <c r="AI720" s="129" t="s">
        <v>1354</v>
      </c>
      <c r="BQ720" s="37"/>
    </row>
    <row r="721" spans="2:69" s="13" customFormat="1" ht="26.25" customHeight="1">
      <c r="B721" s="141" t="s">
        <v>1792</v>
      </c>
      <c r="D721" s="46"/>
      <c r="F721" s="15"/>
      <c r="G721" s="17"/>
      <c r="H721" s="16"/>
      <c r="AI721" s="129" t="s">
        <v>1354</v>
      </c>
      <c r="BQ721" s="37"/>
    </row>
    <row r="722" spans="2:69" s="13" customFormat="1" ht="26.25" customHeight="1">
      <c r="B722" s="141" t="s">
        <v>1793</v>
      </c>
      <c r="D722" s="46"/>
      <c r="F722" s="15"/>
      <c r="G722" s="17"/>
      <c r="H722" s="16"/>
      <c r="AI722" s="129" t="s">
        <v>1354</v>
      </c>
      <c r="BQ722" s="37"/>
    </row>
    <row r="723" spans="2:69" s="13" customFormat="1" ht="26.25" customHeight="1">
      <c r="B723" s="141" t="s">
        <v>1282</v>
      </c>
      <c r="D723" s="46"/>
      <c r="F723" s="15"/>
      <c r="G723" s="17"/>
      <c r="H723" s="16"/>
      <c r="AI723" s="129" t="s">
        <v>1354</v>
      </c>
      <c r="BQ723" s="37"/>
    </row>
    <row r="724" spans="2:69" s="13" customFormat="1" ht="26.25" customHeight="1">
      <c r="B724" s="141" t="s">
        <v>1283</v>
      </c>
      <c r="D724" s="46"/>
      <c r="F724" s="15"/>
      <c r="G724" s="17"/>
      <c r="H724" s="16"/>
      <c r="AI724" s="129" t="s">
        <v>1354</v>
      </c>
      <c r="BQ724" s="37"/>
    </row>
    <row r="725" spans="2:69" s="13" customFormat="1" ht="26.25" customHeight="1">
      <c r="B725" s="141" t="s">
        <v>1794</v>
      </c>
      <c r="D725" s="46"/>
      <c r="F725" s="15"/>
      <c r="G725" s="17"/>
      <c r="H725" s="16"/>
      <c r="AI725" s="129" t="s">
        <v>1354</v>
      </c>
      <c r="BQ725" s="37"/>
    </row>
    <row r="726" spans="2:69" s="13" customFormat="1" ht="26.25" customHeight="1">
      <c r="B726" s="141" t="s">
        <v>1795</v>
      </c>
      <c r="D726" s="46"/>
      <c r="F726" s="15"/>
      <c r="G726" s="17"/>
      <c r="H726" s="16"/>
      <c r="AI726" s="129" t="s">
        <v>1354</v>
      </c>
      <c r="BQ726" s="37"/>
    </row>
    <row r="727" spans="2:69" s="13" customFormat="1" ht="26.25" customHeight="1">
      <c r="B727" s="141" t="s">
        <v>1796</v>
      </c>
      <c r="D727" s="46"/>
      <c r="F727" s="15"/>
      <c r="G727" s="17"/>
      <c r="H727" s="16"/>
      <c r="AI727" s="129" t="s">
        <v>1354</v>
      </c>
      <c r="BQ727" s="37"/>
    </row>
    <row r="728" spans="2:69" s="13" customFormat="1" ht="26.25" customHeight="1">
      <c r="B728" s="141" t="s">
        <v>1797</v>
      </c>
      <c r="D728" s="46"/>
      <c r="F728" s="15"/>
      <c r="G728" s="17"/>
      <c r="H728" s="16"/>
      <c r="AI728" s="129" t="s">
        <v>1354</v>
      </c>
      <c r="BQ728" s="37"/>
    </row>
    <row r="729" spans="2:69" s="13" customFormat="1" ht="26.25" customHeight="1">
      <c r="B729" s="141" t="s">
        <v>1491</v>
      </c>
      <c r="D729" s="46"/>
      <c r="F729" s="15"/>
      <c r="G729" s="17"/>
      <c r="H729" s="16"/>
      <c r="AI729" s="129" t="s">
        <v>1354</v>
      </c>
      <c r="BQ729" s="37"/>
    </row>
    <row r="730" spans="2:69" s="13" customFormat="1" ht="26.25" customHeight="1">
      <c r="B730" s="141" t="s">
        <v>1391</v>
      </c>
      <c r="D730" s="46"/>
      <c r="F730" s="15"/>
      <c r="G730" s="17"/>
      <c r="H730" s="16"/>
      <c r="AI730" s="129" t="s">
        <v>1354</v>
      </c>
      <c r="BQ730" s="37"/>
    </row>
    <row r="731" spans="2:69" s="13" customFormat="1" ht="26.25" customHeight="1">
      <c r="B731" s="141" t="s">
        <v>1798</v>
      </c>
      <c r="D731" s="46"/>
      <c r="F731" s="15"/>
      <c r="G731" s="17"/>
      <c r="H731" s="16"/>
      <c r="AI731" s="129" t="s">
        <v>1354</v>
      </c>
      <c r="BQ731" s="37"/>
    </row>
    <row r="732" spans="2:69" s="13" customFormat="1" ht="26.25" customHeight="1">
      <c r="B732" s="141" t="s">
        <v>1800</v>
      </c>
      <c r="D732" s="46"/>
      <c r="F732" s="15"/>
      <c r="G732" s="17"/>
      <c r="H732" s="16"/>
      <c r="AI732" s="129" t="s">
        <v>1354</v>
      </c>
      <c r="BQ732" s="37"/>
    </row>
    <row r="733" spans="2:69" s="13" customFormat="1" ht="26.25" customHeight="1">
      <c r="B733" s="141" t="s">
        <v>1801</v>
      </c>
      <c r="D733" s="46"/>
      <c r="F733" s="15"/>
      <c r="G733" s="17"/>
      <c r="H733" s="16"/>
      <c r="AI733" s="129" t="s">
        <v>1354</v>
      </c>
      <c r="BQ733" s="37"/>
    </row>
    <row r="734" spans="2:69" s="13" customFormat="1" ht="26.25" customHeight="1">
      <c r="B734" s="141" t="s">
        <v>1803</v>
      </c>
      <c r="D734" s="46"/>
      <c r="F734" s="15"/>
      <c r="G734" s="17"/>
      <c r="H734" s="16"/>
      <c r="AI734" s="129" t="s">
        <v>1354</v>
      </c>
      <c r="BQ734" s="37"/>
    </row>
    <row r="735" spans="2:69" s="13" customFormat="1" ht="26.25" customHeight="1">
      <c r="B735" s="141" t="s">
        <v>1804</v>
      </c>
      <c r="D735" s="46"/>
      <c r="F735" s="15"/>
      <c r="G735" s="17"/>
      <c r="H735" s="16"/>
      <c r="AI735" s="129" t="s">
        <v>1354</v>
      </c>
      <c r="BQ735" s="37"/>
    </row>
    <row r="736" spans="2:69" s="13" customFormat="1" ht="26.25" customHeight="1">
      <c r="B736" s="141" t="s">
        <v>1805</v>
      </c>
      <c r="D736" s="46"/>
      <c r="F736" s="15"/>
      <c r="G736" s="17"/>
      <c r="H736" s="16"/>
      <c r="AI736" s="129" t="s">
        <v>1354</v>
      </c>
      <c r="BQ736" s="37"/>
    </row>
    <row r="737" spans="2:69" s="13" customFormat="1" ht="26.25" customHeight="1">
      <c r="B737" s="141" t="s">
        <v>1806</v>
      </c>
      <c r="D737" s="46"/>
      <c r="F737" s="15"/>
      <c r="G737" s="17"/>
      <c r="H737" s="16"/>
      <c r="AI737" s="129" t="s">
        <v>1354</v>
      </c>
      <c r="BQ737" s="37"/>
    </row>
    <row r="738" spans="2:69" s="13" customFormat="1" ht="26.25" customHeight="1">
      <c r="B738" s="141" t="s">
        <v>1807</v>
      </c>
      <c r="D738" s="46"/>
      <c r="F738" s="15"/>
      <c r="G738" s="17"/>
      <c r="H738" s="16"/>
      <c r="AI738" s="129" t="s">
        <v>1354</v>
      </c>
      <c r="BQ738" s="37"/>
    </row>
    <row r="739" spans="2:69" s="13" customFormat="1" ht="26.25" customHeight="1">
      <c r="B739" s="141" t="s">
        <v>1808</v>
      </c>
      <c r="D739" s="46"/>
      <c r="F739" s="15"/>
      <c r="G739" s="17"/>
      <c r="H739" s="16"/>
      <c r="AI739" s="129" t="s">
        <v>1354</v>
      </c>
      <c r="BQ739" s="37"/>
    </row>
    <row r="740" spans="2:69" s="13" customFormat="1" ht="26.25" customHeight="1">
      <c r="B740" s="141" t="s">
        <v>1809</v>
      </c>
      <c r="D740" s="46"/>
      <c r="F740" s="15"/>
      <c r="G740" s="17"/>
      <c r="H740" s="16"/>
      <c r="AI740" s="129" t="s">
        <v>1354</v>
      </c>
      <c r="BQ740" s="37"/>
    </row>
    <row r="741" spans="2:69" s="13" customFormat="1" ht="26.25" customHeight="1">
      <c r="B741" s="141" t="s">
        <v>1810</v>
      </c>
      <c r="D741" s="46"/>
      <c r="F741" s="15"/>
      <c r="G741" s="17"/>
      <c r="H741" s="16"/>
      <c r="AI741" s="129" t="s">
        <v>1354</v>
      </c>
      <c r="BQ741" s="37"/>
    </row>
    <row r="742" spans="2:69" s="13" customFormat="1" ht="26.25" customHeight="1">
      <c r="B742" s="141" t="s">
        <v>1232</v>
      </c>
      <c r="D742" s="46"/>
      <c r="F742" s="15"/>
      <c r="G742" s="17"/>
      <c r="H742" s="16"/>
      <c r="AI742" s="129" t="s">
        <v>1354</v>
      </c>
      <c r="BQ742" s="37"/>
    </row>
    <row r="743" spans="2:69" s="13" customFormat="1" ht="26.25" customHeight="1">
      <c r="B743" s="141" t="s">
        <v>1496</v>
      </c>
      <c r="D743" s="46"/>
      <c r="F743" s="15"/>
      <c r="G743" s="17"/>
      <c r="H743" s="16"/>
      <c r="AI743" s="129" t="s">
        <v>1354</v>
      </c>
      <c r="BQ743" s="37"/>
    </row>
    <row r="744" spans="2:69" s="13" customFormat="1" ht="26.25" customHeight="1">
      <c r="B744" s="141" t="s">
        <v>1811</v>
      </c>
      <c r="D744" s="46"/>
      <c r="F744" s="15"/>
      <c r="G744" s="17"/>
      <c r="H744" s="16"/>
      <c r="AI744" s="129" t="s">
        <v>1354</v>
      </c>
      <c r="BQ744" s="37"/>
    </row>
    <row r="745" spans="2:69" s="13" customFormat="1" ht="26.25" customHeight="1">
      <c r="B745" s="141" t="s">
        <v>1812</v>
      </c>
      <c r="D745" s="46"/>
      <c r="F745" s="15"/>
      <c r="G745" s="17"/>
      <c r="H745" s="16"/>
      <c r="AI745" s="129" t="s">
        <v>1354</v>
      </c>
      <c r="BQ745" s="37"/>
    </row>
    <row r="746" spans="2:69" s="13" customFormat="1" ht="26.25" customHeight="1">
      <c r="B746" s="141" t="s">
        <v>1813</v>
      </c>
      <c r="D746" s="46"/>
      <c r="F746" s="15"/>
      <c r="G746" s="17"/>
      <c r="H746" s="16"/>
      <c r="AI746" s="129" t="s">
        <v>1354</v>
      </c>
      <c r="BQ746" s="37"/>
    </row>
    <row r="747" spans="2:69" s="13" customFormat="1" ht="26.25" customHeight="1">
      <c r="B747" s="141" t="s">
        <v>1235</v>
      </c>
      <c r="D747" s="46"/>
      <c r="F747" s="15"/>
      <c r="G747" s="17"/>
      <c r="H747" s="16"/>
      <c r="AI747" s="129" t="s">
        <v>1354</v>
      </c>
      <c r="BQ747" s="37"/>
    </row>
    <row r="748" spans="2:69" s="13" customFormat="1" ht="26.25" customHeight="1">
      <c r="B748" s="141" t="s">
        <v>1237</v>
      </c>
      <c r="D748" s="46"/>
      <c r="F748" s="15"/>
      <c r="G748" s="17"/>
      <c r="H748" s="16"/>
      <c r="AI748" s="129" t="s">
        <v>1354</v>
      </c>
      <c r="BQ748" s="37"/>
    </row>
    <row r="749" spans="2:69" s="13" customFormat="1" ht="26.25" customHeight="1">
      <c r="B749" s="141" t="s">
        <v>1239</v>
      </c>
      <c r="D749" s="46"/>
      <c r="F749" s="15"/>
      <c r="G749" s="17"/>
      <c r="H749" s="16"/>
      <c r="AI749" s="129" t="s">
        <v>1354</v>
      </c>
      <c r="BQ749" s="37"/>
    </row>
    <row r="750" spans="2:69" s="13" customFormat="1" ht="26.25" customHeight="1">
      <c r="B750" s="141" t="s">
        <v>1270</v>
      </c>
      <c r="D750" s="46"/>
      <c r="F750" s="15"/>
      <c r="G750" s="17"/>
      <c r="H750" s="16"/>
      <c r="AI750" s="129" t="s">
        <v>1354</v>
      </c>
      <c r="BQ750" s="37"/>
    </row>
    <row r="751" spans="2:69" s="13" customFormat="1" ht="26.25" customHeight="1">
      <c r="B751" s="141" t="s">
        <v>1559</v>
      </c>
      <c r="D751" s="46"/>
      <c r="F751" s="15"/>
      <c r="G751" s="17"/>
      <c r="H751" s="16"/>
      <c r="AI751" s="129" t="s">
        <v>1354</v>
      </c>
      <c r="BQ751" s="37"/>
    </row>
    <row r="752" spans="2:69" s="13" customFormat="1" ht="26.25" customHeight="1">
      <c r="B752" s="141" t="s">
        <v>1528</v>
      </c>
      <c r="D752" s="46"/>
      <c r="F752" s="15"/>
      <c r="G752" s="17"/>
      <c r="H752" s="16"/>
      <c r="AI752" s="129" t="s">
        <v>1354</v>
      </c>
      <c r="BQ752" s="37"/>
    </row>
    <row r="753" spans="2:69" s="13" customFormat="1" ht="26.25" customHeight="1">
      <c r="B753" s="141" t="s">
        <v>1556</v>
      </c>
      <c r="D753" s="46"/>
      <c r="F753" s="15"/>
      <c r="G753" s="17"/>
      <c r="H753" s="16" t="s">
        <v>624</v>
      </c>
      <c r="AI753" s="129" t="s">
        <v>1354</v>
      </c>
      <c r="BQ753" s="37"/>
    </row>
    <row r="754" spans="2:69" s="13" customFormat="1" ht="26.25" customHeight="1">
      <c r="B754" s="141" t="s">
        <v>1439</v>
      </c>
      <c r="D754" s="46"/>
      <c r="F754" s="15"/>
      <c r="G754" s="17"/>
      <c r="H754" s="16"/>
      <c r="AI754" s="127" t="s">
        <v>1355</v>
      </c>
      <c r="BQ754" s="37"/>
    </row>
    <row r="755" spans="2:69" s="13" customFormat="1" ht="26.25" customHeight="1">
      <c r="B755" s="141" t="s">
        <v>1399</v>
      </c>
      <c r="D755" s="46"/>
      <c r="F755" s="15"/>
      <c r="G755" s="17"/>
      <c r="H755" s="16"/>
      <c r="AI755" s="129" t="s">
        <v>1354</v>
      </c>
      <c r="BQ755" s="37"/>
    </row>
    <row r="756" spans="2:69" s="13" customFormat="1" ht="26.25" customHeight="1">
      <c r="B756" s="141" t="s">
        <v>1815</v>
      </c>
      <c r="D756" s="46"/>
      <c r="F756" s="15"/>
      <c r="G756" s="17"/>
      <c r="H756" s="16"/>
      <c r="AI756" s="129" t="s">
        <v>1354</v>
      </c>
      <c r="BQ756" s="37"/>
    </row>
    <row r="757" spans="2:69" s="13" customFormat="1" ht="26.25" customHeight="1">
      <c r="B757" s="141" t="s">
        <v>1816</v>
      </c>
      <c r="D757" s="46"/>
      <c r="F757" s="15"/>
      <c r="G757" s="17"/>
      <c r="H757" s="16"/>
      <c r="AI757" s="129" t="s">
        <v>1354</v>
      </c>
      <c r="BQ757" s="37"/>
    </row>
    <row r="758" spans="2:69" s="13" customFormat="1" ht="26.25" customHeight="1">
      <c r="B758" s="141" t="s">
        <v>1817</v>
      </c>
      <c r="D758" s="46"/>
      <c r="F758" s="15"/>
      <c r="G758" s="17"/>
      <c r="H758" s="16"/>
      <c r="AI758" s="129" t="s">
        <v>1354</v>
      </c>
      <c r="BQ758" s="37"/>
    </row>
    <row r="759" spans="2:69" s="13" customFormat="1" ht="26.25" customHeight="1">
      <c r="B759" s="141" t="s">
        <v>1818</v>
      </c>
      <c r="D759" s="46"/>
      <c r="F759" s="15"/>
      <c r="G759" s="17"/>
      <c r="H759" s="16" t="s">
        <v>624</v>
      </c>
      <c r="AI759" s="129" t="s">
        <v>1354</v>
      </c>
      <c r="BQ759" s="37"/>
    </row>
    <row r="760" spans="2:69" s="13" customFormat="1" ht="26.25" customHeight="1">
      <c r="B760" s="141" t="s">
        <v>1819</v>
      </c>
      <c r="D760" s="46"/>
      <c r="F760" s="15"/>
      <c r="G760" s="17"/>
      <c r="H760" s="16" t="s">
        <v>624</v>
      </c>
      <c r="AI760" s="129" t="s">
        <v>1354</v>
      </c>
      <c r="BQ760" s="37"/>
    </row>
    <row r="761" spans="2:69" s="13" customFormat="1" ht="26.25" customHeight="1">
      <c r="B761" s="141" t="s">
        <v>1558</v>
      </c>
      <c r="D761" s="46"/>
      <c r="F761" s="15"/>
      <c r="G761" s="17"/>
      <c r="H761" s="16" t="s">
        <v>861</v>
      </c>
      <c r="AI761" s="129" t="s">
        <v>1354</v>
      </c>
      <c r="BQ761" s="37"/>
    </row>
    <row r="762" spans="2:69" s="13" customFormat="1" ht="26.25" customHeight="1">
      <c r="B762" s="141" t="s">
        <v>1273</v>
      </c>
      <c r="D762" s="46"/>
      <c r="F762" s="15"/>
      <c r="G762" s="17"/>
      <c r="H762" s="16" t="s">
        <v>855</v>
      </c>
      <c r="AI762" s="129" t="s">
        <v>1354</v>
      </c>
      <c r="BQ762" s="37"/>
    </row>
    <row r="763" spans="2:69" s="13" customFormat="1" ht="26.25" customHeight="1">
      <c r="B763" s="141" t="s">
        <v>1560</v>
      </c>
      <c r="D763" s="46"/>
      <c r="F763" s="15"/>
      <c r="G763" s="17"/>
      <c r="H763" s="16" t="s">
        <v>855</v>
      </c>
      <c r="AI763" s="129" t="s">
        <v>1354</v>
      </c>
      <c r="BQ763" s="37"/>
    </row>
    <row r="764" spans="2:69" s="13" customFormat="1" ht="26.25" customHeight="1">
      <c r="B764" s="141" t="s">
        <v>1274</v>
      </c>
      <c r="D764" s="46"/>
      <c r="F764" s="15"/>
      <c r="G764" s="17"/>
      <c r="H764" s="16" t="s">
        <v>861</v>
      </c>
      <c r="AI764" s="129" t="s">
        <v>1354</v>
      </c>
      <c r="BQ764" s="37"/>
    </row>
    <row r="765" spans="2:69" s="13" customFormat="1" ht="26.25" customHeight="1">
      <c r="B765" s="141" t="s">
        <v>1277</v>
      </c>
      <c r="D765" s="46"/>
      <c r="F765" s="15"/>
      <c r="G765" s="17"/>
      <c r="H765" s="16" t="s">
        <v>853</v>
      </c>
      <c r="AI765" s="129" t="s">
        <v>1354</v>
      </c>
      <c r="BQ765" s="37"/>
    </row>
    <row r="766" spans="2:69" s="13" customFormat="1" ht="26.25" customHeight="1">
      <c r="B766" s="141" t="s">
        <v>1287</v>
      </c>
      <c r="D766" s="46"/>
      <c r="F766" s="15"/>
      <c r="G766" s="17"/>
      <c r="H766" s="16" t="s">
        <v>855</v>
      </c>
      <c r="AI766" s="129" t="s">
        <v>1354</v>
      </c>
      <c r="BQ766" s="37"/>
    </row>
    <row r="767" spans="2:69" s="13" customFormat="1" ht="26.25" customHeight="1">
      <c r="B767" s="141" t="s">
        <v>1826</v>
      </c>
      <c r="D767" s="46"/>
      <c r="F767" s="15"/>
      <c r="G767" s="17"/>
      <c r="H767" s="16" t="s">
        <v>861</v>
      </c>
      <c r="AI767" s="129" t="s">
        <v>1354</v>
      </c>
      <c r="BQ767" s="37"/>
    </row>
    <row r="768" spans="2:69" s="13" customFormat="1" ht="26.25" customHeight="1">
      <c r="B768" s="141" t="s">
        <v>1827</v>
      </c>
      <c r="D768" s="46"/>
      <c r="F768" s="15"/>
      <c r="G768" s="17"/>
      <c r="H768" s="16" t="s">
        <v>624</v>
      </c>
      <c r="AI768" s="129" t="s">
        <v>1354</v>
      </c>
      <c r="BQ768" s="37"/>
    </row>
    <row r="769" spans="2:69" s="13" customFormat="1" ht="26.25" customHeight="1">
      <c r="B769" s="141" t="s">
        <v>1828</v>
      </c>
      <c r="D769" s="46"/>
      <c r="F769" s="15"/>
      <c r="G769" s="17"/>
      <c r="H769" s="16" t="s">
        <v>624</v>
      </c>
      <c r="AI769" s="129" t="s">
        <v>1354</v>
      </c>
      <c r="BQ769" s="37"/>
    </row>
    <row r="770" spans="2:69" s="13" customFormat="1" ht="26.25" customHeight="1">
      <c r="B770" s="141" t="s">
        <v>1829</v>
      </c>
      <c r="D770" s="46"/>
      <c r="F770" s="15"/>
      <c r="G770" s="17"/>
      <c r="H770" s="16"/>
      <c r="AI770" s="129" t="s">
        <v>1354</v>
      </c>
      <c r="BQ770" s="37"/>
    </row>
    <row r="771" spans="2:69" s="13" customFormat="1" ht="26.25" customHeight="1">
      <c r="B771" s="141" t="s">
        <v>1830</v>
      </c>
      <c r="D771" s="46"/>
      <c r="F771" s="15"/>
      <c r="G771" s="17"/>
      <c r="H771" s="16" t="s">
        <v>624</v>
      </c>
      <c r="AI771" s="129" t="s">
        <v>1354</v>
      </c>
      <c r="BQ771" s="37"/>
    </row>
    <row r="772" spans="2:69" s="13" customFormat="1" ht="26.25" customHeight="1">
      <c r="B772" s="141" t="s">
        <v>1831</v>
      </c>
      <c r="D772" s="46"/>
      <c r="F772" s="15"/>
      <c r="G772" s="17"/>
      <c r="H772" s="16" t="s">
        <v>624</v>
      </c>
      <c r="AI772" s="129" t="s">
        <v>1354</v>
      </c>
      <c r="BQ772" s="37"/>
    </row>
    <row r="773" spans="2:69" s="13" customFormat="1" ht="26.25" customHeight="1">
      <c r="B773" s="141" t="s">
        <v>1832</v>
      </c>
      <c r="D773" s="46"/>
      <c r="F773" s="15"/>
      <c r="G773" s="17"/>
      <c r="H773" s="16" t="s">
        <v>624</v>
      </c>
      <c r="AI773" s="129" t="s">
        <v>1354</v>
      </c>
      <c r="BQ773" s="37"/>
    </row>
    <row r="774" spans="2:69" s="13" customFormat="1" ht="26.25" customHeight="1">
      <c r="B774" s="141" t="s">
        <v>1833</v>
      </c>
      <c r="D774" s="46"/>
      <c r="F774" s="15"/>
      <c r="G774" s="17"/>
      <c r="H774" s="16" t="s">
        <v>624</v>
      </c>
      <c r="AI774" s="129" t="s">
        <v>1354</v>
      </c>
      <c r="BQ774" s="37"/>
    </row>
    <row r="775" spans="2:69" s="13" customFormat="1" ht="26.25" customHeight="1">
      <c r="B775" s="141" t="s">
        <v>1834</v>
      </c>
      <c r="D775" s="46"/>
      <c r="F775" s="15"/>
      <c r="G775" s="17"/>
      <c r="H775" s="16" t="s">
        <v>624</v>
      </c>
      <c r="AI775" s="129" t="s">
        <v>1354</v>
      </c>
      <c r="BQ775" s="37"/>
    </row>
    <row r="776" spans="2:69" s="13" customFormat="1" ht="26.25" customHeight="1">
      <c r="B776" s="141" t="s">
        <v>1835</v>
      </c>
      <c r="D776" s="46"/>
      <c r="F776" s="15"/>
      <c r="G776" s="17"/>
      <c r="H776" s="16" t="s">
        <v>624</v>
      </c>
      <c r="AI776" s="129" t="s">
        <v>1354</v>
      </c>
      <c r="BQ776" s="37"/>
    </row>
    <row r="777" spans="2:69" s="13" customFormat="1" ht="26.25" customHeight="1">
      <c r="B777" s="141" t="s">
        <v>1836</v>
      </c>
      <c r="D777" s="46"/>
      <c r="F777" s="15"/>
      <c r="G777" s="17"/>
      <c r="H777" s="16" t="s">
        <v>624</v>
      </c>
      <c r="AI777" s="129" t="s">
        <v>1354</v>
      </c>
      <c r="BQ777" s="37"/>
    </row>
    <row r="778" spans="2:69" s="13" customFormat="1" ht="26.25" customHeight="1">
      <c r="B778" s="141" t="s">
        <v>1837</v>
      </c>
      <c r="D778" s="46"/>
      <c r="F778" s="15"/>
      <c r="G778" s="17"/>
      <c r="H778" s="16" t="s">
        <v>624</v>
      </c>
      <c r="AI778" s="129" t="s">
        <v>1354</v>
      </c>
      <c r="BQ778" s="37"/>
    </row>
    <row r="779" spans="2:69" s="13" customFormat="1" ht="26.25" customHeight="1">
      <c r="B779" s="141" t="s">
        <v>1562</v>
      </c>
      <c r="D779" s="46"/>
      <c r="F779" s="15"/>
      <c r="G779" s="17"/>
      <c r="H779" s="16" t="s">
        <v>624</v>
      </c>
      <c r="AI779" s="129" t="s">
        <v>1354</v>
      </c>
      <c r="BQ779" s="37"/>
    </row>
    <row r="780" spans="2:69" s="13" customFormat="1" ht="26.25" customHeight="1">
      <c r="B780" s="141" t="s">
        <v>1294</v>
      </c>
      <c r="D780" s="46"/>
      <c r="F780" s="15"/>
      <c r="G780" s="17"/>
      <c r="H780" s="16" t="s">
        <v>624</v>
      </c>
      <c r="AI780" s="129" t="s">
        <v>1354</v>
      </c>
      <c r="BQ780" s="37"/>
    </row>
    <row r="781" spans="2:69" s="13" customFormat="1" ht="26.25" customHeight="1">
      <c r="B781" s="141" t="s">
        <v>1838</v>
      </c>
      <c r="D781" s="46"/>
      <c r="F781" s="15"/>
      <c r="G781" s="17"/>
      <c r="H781" s="16"/>
      <c r="AI781" s="129" t="s">
        <v>1354</v>
      </c>
      <c r="BQ781" s="37"/>
    </row>
    <row r="782" spans="2:69" s="13" customFormat="1" ht="26.25" customHeight="1">
      <c r="B782" s="141" t="s">
        <v>1295</v>
      </c>
      <c r="D782" s="46"/>
      <c r="F782" s="15"/>
      <c r="G782" s="17"/>
      <c r="H782" s="16" t="s">
        <v>624</v>
      </c>
      <c r="AI782" s="129" t="s">
        <v>1354</v>
      </c>
      <c r="BQ782" s="37"/>
    </row>
    <row r="783" spans="2:69" s="13" customFormat="1" ht="26.25" customHeight="1">
      <c r="B783" s="141" t="s">
        <v>1563</v>
      </c>
      <c r="D783" s="46"/>
      <c r="F783" s="15"/>
      <c r="G783" s="17"/>
      <c r="H783" s="16" t="s">
        <v>624</v>
      </c>
      <c r="AI783" s="129" t="s">
        <v>1354</v>
      </c>
      <c r="BQ783" s="37"/>
    </row>
    <row r="784" spans="2:69" s="13" customFormat="1" ht="26.25" customHeight="1">
      <c r="B784" s="141" t="s">
        <v>1408</v>
      </c>
      <c r="D784" s="46"/>
      <c r="F784" s="15"/>
      <c r="G784" s="17"/>
      <c r="H784" s="16" t="s">
        <v>624</v>
      </c>
      <c r="AI784" s="129" t="s">
        <v>1354</v>
      </c>
      <c r="BQ784" s="37"/>
    </row>
    <row r="785" spans="2:69" s="13" customFormat="1" ht="26.25" customHeight="1">
      <c r="B785" s="141" t="s">
        <v>1299</v>
      </c>
      <c r="D785" s="46"/>
      <c r="F785" s="15"/>
      <c r="G785" s="17"/>
      <c r="H785" s="16" t="s">
        <v>624</v>
      </c>
      <c r="AI785" s="129" t="s">
        <v>1354</v>
      </c>
      <c r="BQ785" s="37"/>
    </row>
    <row r="786" spans="2:69" s="13" customFormat="1" ht="33.75" customHeight="1">
      <c r="B786" s="141" t="s">
        <v>1564</v>
      </c>
      <c r="D786" s="46"/>
      <c r="F786" s="15"/>
      <c r="G786" s="17"/>
      <c r="H786" s="16"/>
      <c r="AI786" s="129" t="s">
        <v>1354</v>
      </c>
      <c r="BQ786" s="37"/>
    </row>
    <row r="787" spans="2:69" s="13" customFormat="1" ht="26.25" customHeight="1">
      <c r="B787" s="141" t="s">
        <v>1565</v>
      </c>
      <c r="D787" s="46"/>
      <c r="F787" s="15"/>
      <c r="G787" s="17"/>
      <c r="H787" s="16" t="s">
        <v>624</v>
      </c>
      <c r="AI787" s="129" t="s">
        <v>1354</v>
      </c>
      <c r="BQ787" s="37"/>
    </row>
    <row r="788" spans="2:69" s="13" customFormat="1" ht="26.25" customHeight="1">
      <c r="B788" s="141" t="s">
        <v>1839</v>
      </c>
      <c r="D788" s="46"/>
      <c r="F788" s="15"/>
      <c r="G788" s="17"/>
      <c r="H788" s="16"/>
      <c r="AI788" s="129" t="s">
        <v>1354</v>
      </c>
      <c r="BQ788" s="37"/>
    </row>
    <row r="789" spans="2:69" s="13" customFormat="1" ht="26.25" customHeight="1">
      <c r="B789" s="141" t="s">
        <v>1566</v>
      </c>
      <c r="D789" s="46"/>
      <c r="F789" s="15"/>
      <c r="G789" s="17"/>
      <c r="H789" s="16"/>
      <c r="AI789" s="129" t="s">
        <v>1354</v>
      </c>
      <c r="BQ789" s="37"/>
    </row>
    <row r="790" spans="2:69" s="13" customFormat="1" ht="26.25" customHeight="1">
      <c r="B790" s="141" t="s">
        <v>1567</v>
      </c>
      <c r="D790" s="46"/>
      <c r="F790" s="15"/>
      <c r="G790" s="17"/>
      <c r="H790" s="16" t="s">
        <v>624</v>
      </c>
      <c r="AI790" s="129" t="s">
        <v>1354</v>
      </c>
      <c r="BQ790" s="37"/>
    </row>
    <row r="791" spans="2:69" s="13" customFormat="1" ht="26.25" customHeight="1">
      <c r="B791" s="141" t="s">
        <v>1568</v>
      </c>
      <c r="D791" s="46"/>
      <c r="F791" s="15"/>
      <c r="G791" s="17"/>
      <c r="H791" s="16"/>
      <c r="AI791" s="129" t="s">
        <v>1354</v>
      </c>
      <c r="BQ791" s="37"/>
    </row>
    <row r="792" spans="2:69" s="13" customFormat="1" ht="26.25" customHeight="1">
      <c r="B792" s="141" t="s">
        <v>1301</v>
      </c>
      <c r="D792" s="46"/>
      <c r="F792" s="15"/>
      <c r="G792" s="17"/>
      <c r="H792" s="16"/>
      <c r="AI792" s="129" t="s">
        <v>1354</v>
      </c>
      <c r="BQ792" s="37"/>
    </row>
    <row r="793" spans="2:69" s="13" customFormat="1" ht="26.25" customHeight="1">
      <c r="B793" s="141" t="s">
        <v>1569</v>
      </c>
      <c r="D793" s="46"/>
      <c r="F793" s="15"/>
      <c r="G793" s="17"/>
      <c r="H793" s="16"/>
      <c r="AI793" s="129" t="s">
        <v>1354</v>
      </c>
      <c r="BQ793" s="37"/>
    </row>
    <row r="794" spans="2:69" s="13" customFormat="1" ht="26.25" customHeight="1">
      <c r="B794" s="141" t="s">
        <v>1570</v>
      </c>
      <c r="D794" s="46"/>
      <c r="F794" s="15"/>
      <c r="G794" s="17"/>
      <c r="H794" s="16" t="s">
        <v>653</v>
      </c>
      <c r="AI794" s="129" t="s">
        <v>1354</v>
      </c>
      <c r="BQ794" s="37"/>
    </row>
    <row r="795" spans="2:69" s="13" customFormat="1" ht="26.25" customHeight="1">
      <c r="B795" s="141" t="s">
        <v>1572</v>
      </c>
      <c r="D795" s="46"/>
      <c r="F795" s="15"/>
      <c r="G795" s="17"/>
      <c r="H795" s="16"/>
      <c r="AI795" s="129" t="s">
        <v>1354</v>
      </c>
      <c r="BQ795" s="37"/>
    </row>
    <row r="796" spans="2:69" s="13" customFormat="1" ht="26.25" customHeight="1">
      <c r="B796" s="141" t="s">
        <v>1573</v>
      </c>
      <c r="D796" s="46"/>
      <c r="F796" s="15"/>
      <c r="G796" s="17"/>
      <c r="H796" s="16"/>
      <c r="AI796" s="129" t="s">
        <v>1354</v>
      </c>
      <c r="BQ796" s="37"/>
    </row>
    <row r="797" spans="2:69" s="13" customFormat="1" ht="26.25" customHeight="1">
      <c r="B797" s="141" t="s">
        <v>1840</v>
      </c>
      <c r="D797" s="46"/>
      <c r="F797" s="15"/>
      <c r="G797" s="17"/>
      <c r="H797" s="16"/>
      <c r="AI797" s="129" t="s">
        <v>1354</v>
      </c>
      <c r="BQ797" s="37"/>
    </row>
    <row r="798" spans="2:69" s="13" customFormat="1" ht="26.25" customHeight="1">
      <c r="B798" s="141" t="s">
        <v>1574</v>
      </c>
      <c r="D798" s="46"/>
      <c r="F798" s="15"/>
      <c r="G798" s="17"/>
      <c r="H798" s="16"/>
      <c r="AI798" s="129" t="s">
        <v>1354</v>
      </c>
      <c r="BQ798" s="37"/>
    </row>
    <row r="799" spans="2:69" s="13" customFormat="1" ht="26.25" customHeight="1">
      <c r="B799" s="141" t="s">
        <v>1575</v>
      </c>
      <c r="D799" s="46"/>
      <c r="F799" s="15"/>
      <c r="G799" s="17"/>
      <c r="H799" s="16"/>
      <c r="AI799" s="129" t="s">
        <v>1354</v>
      </c>
      <c r="BQ799" s="37"/>
    </row>
    <row r="800" spans="2:69" s="13" customFormat="1" ht="26.25" customHeight="1">
      <c r="B800" s="141" t="s">
        <v>1576</v>
      </c>
      <c r="D800" s="46"/>
      <c r="F800" s="15"/>
      <c r="G800" s="17"/>
      <c r="H800" s="16"/>
      <c r="AI800" s="129" t="s">
        <v>1354</v>
      </c>
      <c r="BQ800" s="37"/>
    </row>
    <row r="801" spans="2:69" s="13" customFormat="1" ht="26.25" customHeight="1">
      <c r="B801" s="141" t="s">
        <v>1571</v>
      </c>
      <c r="D801" s="46"/>
      <c r="F801" s="15"/>
      <c r="G801" s="17"/>
      <c r="H801" s="16"/>
      <c r="AI801" s="129" t="s">
        <v>1354</v>
      </c>
      <c r="BQ801" s="37"/>
    </row>
    <row r="802" spans="2:69" s="13" customFormat="1" ht="26.25" customHeight="1">
      <c r="B802" s="141" t="s">
        <v>1578</v>
      </c>
      <c r="D802" s="46"/>
      <c r="F802" s="15"/>
      <c r="G802" s="17"/>
      <c r="H802" s="16"/>
      <c r="AI802" s="129" t="s">
        <v>1354</v>
      </c>
      <c r="BQ802" s="37"/>
    </row>
    <row r="803" spans="2:69" s="13" customFormat="1" ht="26.25" customHeight="1">
      <c r="B803" s="141" t="s">
        <v>1841</v>
      </c>
      <c r="D803" s="46"/>
      <c r="F803" s="15"/>
      <c r="G803" s="17"/>
      <c r="H803" s="16"/>
      <c r="AI803" s="129" t="s">
        <v>1354</v>
      </c>
      <c r="BQ803" s="37"/>
    </row>
    <row r="804" spans="2:69" s="13" customFormat="1" ht="26.25" customHeight="1">
      <c r="B804" s="141" t="s">
        <v>1579</v>
      </c>
      <c r="D804" s="46"/>
      <c r="F804" s="15"/>
      <c r="G804" s="17"/>
      <c r="H804" s="16"/>
      <c r="AI804" s="129" t="s">
        <v>1354</v>
      </c>
      <c r="BQ804" s="37"/>
    </row>
    <row r="805" spans="2:69" s="13" customFormat="1" ht="26.25" customHeight="1">
      <c r="B805" s="141" t="s">
        <v>1577</v>
      </c>
      <c r="D805" s="46"/>
      <c r="F805" s="15"/>
      <c r="G805" s="17"/>
      <c r="H805" s="16"/>
      <c r="AI805" s="129" t="s">
        <v>1354</v>
      </c>
      <c r="BQ805" s="37"/>
    </row>
    <row r="806" spans="2:69" s="13" customFormat="1" ht="26.25" customHeight="1">
      <c r="B806" s="141" t="s">
        <v>1581</v>
      </c>
      <c r="D806" s="46"/>
      <c r="F806" s="15"/>
      <c r="G806" s="17"/>
      <c r="H806" s="16"/>
      <c r="AI806" s="129" t="s">
        <v>1354</v>
      </c>
      <c r="BQ806" s="37"/>
    </row>
    <row r="807" spans="2:69" s="13" customFormat="1" ht="26.25" customHeight="1">
      <c r="B807" s="141" t="s">
        <v>1580</v>
      </c>
      <c r="D807" s="46"/>
      <c r="F807" s="15"/>
      <c r="G807" s="17"/>
      <c r="H807" s="16"/>
      <c r="AI807" s="129" t="s">
        <v>1354</v>
      </c>
      <c r="BQ807" s="37"/>
    </row>
    <row r="808" spans="2:69" s="13" customFormat="1" ht="26.25" customHeight="1">
      <c r="B808" s="141" t="s">
        <v>1582</v>
      </c>
      <c r="D808" s="46"/>
      <c r="F808" s="15"/>
      <c r="G808" s="17"/>
      <c r="H808" s="16"/>
      <c r="AI808" s="129" t="s">
        <v>1354</v>
      </c>
      <c r="BQ808" s="37"/>
    </row>
    <row r="809" spans="2:69" s="13" customFormat="1" ht="26.25" customHeight="1">
      <c r="B809" s="141" t="s">
        <v>1583</v>
      </c>
      <c r="D809" s="46"/>
      <c r="F809" s="15"/>
      <c r="G809" s="17"/>
      <c r="H809" s="16"/>
      <c r="AI809" s="129" t="s">
        <v>1354</v>
      </c>
      <c r="BQ809" s="37"/>
    </row>
    <row r="810" spans="2:69" s="13" customFormat="1" ht="26.25" customHeight="1">
      <c r="B810" s="141" t="s">
        <v>1558</v>
      </c>
      <c r="D810" s="46"/>
      <c r="F810" s="15"/>
      <c r="G810" s="17"/>
      <c r="H810" s="16"/>
      <c r="AI810" s="129" t="s">
        <v>1354</v>
      </c>
      <c r="BQ810" s="37"/>
    </row>
    <row r="811" spans="2:69" s="13" customFormat="1" ht="26.25" customHeight="1">
      <c r="B811" s="141" t="s">
        <v>1322</v>
      </c>
      <c r="D811" s="46"/>
      <c r="F811" s="15"/>
      <c r="G811" s="17"/>
      <c r="H811" s="16"/>
      <c r="AI811" s="129" t="s">
        <v>1354</v>
      </c>
      <c r="BQ811" s="37"/>
    </row>
    <row r="812" spans="2:69" s="21" customFormat="1" ht="27">
      <c r="B812" s="141" t="s">
        <v>1842</v>
      </c>
      <c r="D812" s="47"/>
      <c r="E812" s="22"/>
      <c r="G812" s="23"/>
      <c r="AO812" s="21" t="s">
        <v>1536</v>
      </c>
      <c r="BQ812" s="154"/>
    </row>
    <row r="813" spans="2:69" s="21" customFormat="1" ht="15.75">
      <c r="B813" s="141" t="s">
        <v>1843</v>
      </c>
      <c r="D813" s="47"/>
      <c r="E813" s="22"/>
      <c r="G813" s="23"/>
      <c r="AO813" s="21" t="s">
        <v>1536</v>
      </c>
      <c r="BQ813" s="154"/>
    </row>
    <row r="814" spans="2:69" s="21" customFormat="1" ht="15.75">
      <c r="B814" s="141" t="s">
        <v>1844</v>
      </c>
      <c r="D814" s="47"/>
      <c r="E814" s="22"/>
      <c r="G814" s="23"/>
      <c r="AO814" s="21" t="s">
        <v>1536</v>
      </c>
      <c r="BQ814" s="154"/>
    </row>
    <row r="815" spans="2:69" s="21" customFormat="1" ht="27">
      <c r="B815" s="141" t="s">
        <v>1845</v>
      </c>
      <c r="D815" s="47"/>
      <c r="E815" s="22"/>
      <c r="G815" s="23"/>
      <c r="AO815" s="21" t="s">
        <v>1536</v>
      </c>
      <c r="BQ815" s="154"/>
    </row>
    <row r="816" spans="2:69" s="21" customFormat="1" ht="15.75">
      <c r="B816" s="141" t="s">
        <v>1846</v>
      </c>
      <c r="D816" s="47"/>
      <c r="E816" s="22"/>
      <c r="G816" s="23"/>
      <c r="AO816" s="21" t="s">
        <v>1536</v>
      </c>
      <c r="BQ816" s="154"/>
    </row>
    <row r="817" spans="2:69" s="21" customFormat="1" ht="15.75">
      <c r="B817" s="141" t="s">
        <v>1847</v>
      </c>
      <c r="D817" s="47"/>
      <c r="E817" s="22"/>
      <c r="G817" s="23"/>
      <c r="AO817" s="21" t="s">
        <v>1536</v>
      </c>
      <c r="BQ817" s="154"/>
    </row>
    <row r="818" spans="2:69" s="21" customFormat="1" ht="15.75">
      <c r="B818" s="141" t="s">
        <v>1848</v>
      </c>
      <c r="D818" s="47"/>
      <c r="E818" s="22"/>
      <c r="G818" s="23"/>
      <c r="AO818" s="21" t="s">
        <v>1536</v>
      </c>
      <c r="BQ818" s="154"/>
    </row>
    <row r="819" spans="2:69" s="21" customFormat="1" ht="15.75">
      <c r="B819" s="141" t="s">
        <v>1849</v>
      </c>
      <c r="D819" s="47"/>
      <c r="E819" s="22"/>
      <c r="G819" s="23"/>
      <c r="AO819" s="21" t="s">
        <v>1536</v>
      </c>
      <c r="BQ819" s="154"/>
    </row>
    <row r="820" spans="2:69" s="21" customFormat="1" ht="15.75">
      <c r="B820" s="141" t="s">
        <v>1850</v>
      </c>
      <c r="D820" s="47"/>
      <c r="E820" s="22"/>
      <c r="G820" s="23"/>
      <c r="AO820" s="21" t="s">
        <v>1536</v>
      </c>
      <c r="BQ820" s="154"/>
    </row>
    <row r="821" spans="2:69" s="21" customFormat="1" ht="27">
      <c r="B821" s="141" t="s">
        <v>1851</v>
      </c>
      <c r="D821" s="47"/>
      <c r="E821" s="22"/>
      <c r="G821" s="23"/>
      <c r="AO821" s="21" t="s">
        <v>1536</v>
      </c>
      <c r="BQ821" s="154"/>
    </row>
    <row r="822" spans="2:69" s="21" customFormat="1" ht="27">
      <c r="B822" s="141" t="s">
        <v>1852</v>
      </c>
      <c r="D822" s="47"/>
      <c r="E822" s="22"/>
      <c r="G822" s="23"/>
      <c r="AO822" s="21" t="s">
        <v>1536</v>
      </c>
      <c r="BQ822" s="154"/>
    </row>
    <row r="823" spans="2:69" s="21" customFormat="1" ht="27">
      <c r="B823" s="141" t="s">
        <v>1853</v>
      </c>
      <c r="D823" s="47"/>
      <c r="E823" s="22"/>
      <c r="G823" s="23"/>
      <c r="AO823" s="21" t="s">
        <v>1536</v>
      </c>
      <c r="BQ823" s="154"/>
    </row>
    <row r="824" spans="2:69" s="21" customFormat="1" ht="27">
      <c r="B824" s="141" t="s">
        <v>1854</v>
      </c>
      <c r="D824" s="47"/>
      <c r="E824" s="22"/>
      <c r="G824" s="23"/>
      <c r="AO824" s="21" t="s">
        <v>1536</v>
      </c>
      <c r="BQ824" s="154"/>
    </row>
    <row r="825" spans="2:69" s="21" customFormat="1" ht="27">
      <c r="B825" s="141" t="s">
        <v>1855</v>
      </c>
      <c r="D825" s="47"/>
      <c r="E825" s="22"/>
      <c r="G825" s="23"/>
      <c r="AO825" s="21" t="s">
        <v>1536</v>
      </c>
      <c r="BQ825" s="154"/>
    </row>
    <row r="826" spans="2:69" s="21" customFormat="1" ht="27">
      <c r="B826" s="141" t="s">
        <v>1856</v>
      </c>
      <c r="D826" s="47"/>
      <c r="E826" s="22"/>
      <c r="G826" s="23"/>
      <c r="AO826" s="21" t="s">
        <v>1536</v>
      </c>
      <c r="BQ826" s="154"/>
    </row>
    <row r="827" spans="2:69" s="21" customFormat="1" ht="27">
      <c r="B827" s="141" t="s">
        <v>1857</v>
      </c>
      <c r="D827" s="47"/>
      <c r="E827" s="22"/>
      <c r="G827" s="23"/>
      <c r="AO827" s="21" t="s">
        <v>1536</v>
      </c>
      <c r="BQ827" s="154"/>
    </row>
    <row r="828" spans="2:69" s="21" customFormat="1" ht="15.75">
      <c r="B828" s="141" t="s">
        <v>1858</v>
      </c>
      <c r="D828" s="47"/>
      <c r="E828" s="22"/>
      <c r="G828" s="23"/>
      <c r="AO828" s="21" t="s">
        <v>1536</v>
      </c>
      <c r="BQ828" s="154"/>
    </row>
    <row r="829" spans="2:69" s="21" customFormat="1" ht="15.75">
      <c r="B829" s="141" t="s">
        <v>1859</v>
      </c>
      <c r="D829" s="47"/>
      <c r="E829" s="22"/>
      <c r="G829" s="23"/>
      <c r="AO829" s="21" t="s">
        <v>1536</v>
      </c>
      <c r="BQ829" s="154"/>
    </row>
    <row r="830" spans="2:69" s="21" customFormat="1" ht="15.75">
      <c r="B830" s="141" t="s">
        <v>1860</v>
      </c>
      <c r="D830" s="47"/>
      <c r="E830" s="22"/>
      <c r="G830" s="23"/>
      <c r="AO830" s="21" t="s">
        <v>1536</v>
      </c>
      <c r="BQ830" s="154"/>
    </row>
    <row r="831" spans="2:69" s="21" customFormat="1" ht="15.75">
      <c r="B831" s="141" t="s">
        <v>1861</v>
      </c>
      <c r="D831" s="47"/>
      <c r="E831" s="22"/>
      <c r="F831" s="25"/>
      <c r="G831" s="23"/>
      <c r="AO831" s="21" t="s">
        <v>1536</v>
      </c>
      <c r="BQ831" s="154"/>
    </row>
    <row r="832" spans="2:69" s="21" customFormat="1" ht="15.75">
      <c r="B832" s="141"/>
      <c r="D832" s="47"/>
      <c r="E832" s="22"/>
      <c r="F832" s="27"/>
      <c r="G832" s="23"/>
      <c r="AO832" s="21" t="s">
        <v>1536</v>
      </c>
      <c r="BQ832" s="154"/>
    </row>
    <row r="833" spans="2:69" s="21" customFormat="1" ht="15.75">
      <c r="B833" s="141" t="s">
        <v>1862</v>
      </c>
      <c r="D833" s="47"/>
      <c r="E833" s="22"/>
      <c r="G833" s="23"/>
      <c r="AO833" s="21" t="s">
        <v>1536</v>
      </c>
      <c r="BQ833" s="154"/>
    </row>
    <row r="834" spans="2:69" s="21" customFormat="1" ht="15.75">
      <c r="B834" s="141" t="s">
        <v>1863</v>
      </c>
      <c r="D834" s="47"/>
      <c r="E834" s="22"/>
      <c r="G834" s="23"/>
      <c r="AO834" s="21" t="s">
        <v>1536</v>
      </c>
      <c r="BQ834" s="154"/>
    </row>
    <row r="835" spans="2:69" s="21" customFormat="1" ht="15.75">
      <c r="B835" s="141" t="s">
        <v>1864</v>
      </c>
      <c r="D835" s="47"/>
      <c r="E835" s="22"/>
      <c r="G835" s="23"/>
      <c r="AO835" s="21" t="s">
        <v>1536</v>
      </c>
      <c r="BQ835" s="154"/>
    </row>
    <row r="836" spans="2:69" s="21" customFormat="1" ht="15.75">
      <c r="B836" s="141" t="s">
        <v>1865</v>
      </c>
      <c r="D836" s="47"/>
      <c r="E836" s="22"/>
      <c r="G836" s="23"/>
      <c r="AO836" s="21" t="s">
        <v>1536</v>
      </c>
      <c r="BQ836" s="154"/>
    </row>
    <row r="837" spans="2:69" s="21" customFormat="1" ht="27">
      <c r="B837" s="141" t="s">
        <v>1866</v>
      </c>
      <c r="D837" s="47"/>
      <c r="E837" s="22"/>
      <c r="G837" s="23"/>
      <c r="AO837" s="21" t="s">
        <v>1536</v>
      </c>
      <c r="BQ837" s="154"/>
    </row>
    <row r="838" spans="2:69" s="21" customFormat="1" ht="15.75">
      <c r="B838" s="141" t="s">
        <v>1867</v>
      </c>
      <c r="D838" s="47"/>
      <c r="E838" s="22"/>
      <c r="G838" s="23"/>
      <c r="AO838" s="21" t="s">
        <v>1536</v>
      </c>
      <c r="BQ838" s="154"/>
    </row>
    <row r="839" spans="2:69" s="21" customFormat="1" ht="27">
      <c r="B839" s="141" t="s">
        <v>1868</v>
      </c>
      <c r="D839" s="47"/>
      <c r="E839" s="22"/>
      <c r="G839" s="23"/>
      <c r="AO839" s="21" t="s">
        <v>1536</v>
      </c>
      <c r="BQ839" s="154"/>
    </row>
    <row r="840" spans="2:69" s="21" customFormat="1" ht="18.75">
      <c r="B840" s="141" t="s">
        <v>1869</v>
      </c>
      <c r="D840" s="47"/>
      <c r="E840" s="22"/>
      <c r="G840" s="23"/>
      <c r="AO840" s="21" t="s">
        <v>1536</v>
      </c>
      <c r="BQ840" s="154"/>
    </row>
    <row r="841" spans="2:69" s="21" customFormat="1" ht="15.75">
      <c r="B841" s="141" t="s">
        <v>1870</v>
      </c>
      <c r="D841" s="47"/>
      <c r="E841" s="22"/>
      <c r="G841" s="23"/>
      <c r="AO841" s="21" t="s">
        <v>1536</v>
      </c>
      <c r="BQ841" s="154"/>
    </row>
    <row r="842" spans="2:69" s="21" customFormat="1" ht="15.75">
      <c r="B842" s="141" t="s">
        <v>1871</v>
      </c>
      <c r="D842" s="47"/>
      <c r="E842" s="22"/>
      <c r="G842" s="23"/>
      <c r="AO842" s="21" t="s">
        <v>1536</v>
      </c>
      <c r="BQ842" s="154"/>
    </row>
    <row r="843" spans="2:69" s="21" customFormat="1" ht="15.75">
      <c r="B843" s="141" t="s">
        <v>1872</v>
      </c>
      <c r="D843" s="47"/>
      <c r="E843" s="22"/>
      <c r="G843" s="23"/>
      <c r="AO843" s="21" t="s">
        <v>1536</v>
      </c>
      <c r="BQ843" s="154"/>
    </row>
    <row r="844" spans="2:69" s="21" customFormat="1" ht="15.75">
      <c r="B844" s="141" t="s">
        <v>1873</v>
      </c>
      <c r="D844" s="47"/>
      <c r="E844" s="22"/>
      <c r="G844" s="23"/>
      <c r="AO844" s="21" t="s">
        <v>1536</v>
      </c>
      <c r="BQ844" s="154"/>
    </row>
    <row r="845" spans="2:69" s="21" customFormat="1" ht="15.75">
      <c r="B845" s="141" t="s">
        <v>1874</v>
      </c>
      <c r="D845" s="47"/>
      <c r="E845" s="22"/>
      <c r="G845" s="23"/>
      <c r="AO845" s="21" t="s">
        <v>1536</v>
      </c>
      <c r="BQ845" s="154"/>
    </row>
    <row r="846" spans="2:69" s="21" customFormat="1" ht="15.75">
      <c r="B846" s="141" t="s">
        <v>1875</v>
      </c>
      <c r="D846" s="47"/>
      <c r="E846" s="22"/>
      <c r="G846" s="23"/>
      <c r="AO846" s="21" t="s">
        <v>1536</v>
      </c>
      <c r="BQ846" s="154"/>
    </row>
    <row r="847" spans="2:69" s="21" customFormat="1" ht="15.75">
      <c r="B847" s="141" t="s">
        <v>1876</v>
      </c>
      <c r="D847" s="47"/>
      <c r="E847" s="22"/>
      <c r="G847" s="23"/>
      <c r="AO847" s="21" t="s">
        <v>1536</v>
      </c>
      <c r="BQ847" s="154"/>
    </row>
    <row r="848" spans="2:69" s="21" customFormat="1" ht="18.75">
      <c r="B848" s="141" t="s">
        <v>1877</v>
      </c>
      <c r="D848" s="47"/>
      <c r="E848" s="22"/>
      <c r="G848" s="23"/>
      <c r="AO848" s="21" t="s">
        <v>1536</v>
      </c>
      <c r="BQ848" s="154"/>
    </row>
    <row r="849" spans="2:69" s="21" customFormat="1" ht="15.75">
      <c r="B849" s="141" t="s">
        <v>1878</v>
      </c>
      <c r="D849" s="47"/>
      <c r="E849" s="22"/>
      <c r="G849" s="23"/>
      <c r="AO849" s="21" t="s">
        <v>1536</v>
      </c>
      <c r="BQ849" s="154"/>
    </row>
    <row r="850" spans="2:69" s="21" customFormat="1" ht="15.75">
      <c r="B850" s="141" t="s">
        <v>1879</v>
      </c>
      <c r="D850" s="47"/>
      <c r="E850" s="22"/>
      <c r="G850" s="23"/>
      <c r="AO850" s="21" t="s">
        <v>1536</v>
      </c>
      <c r="BQ850" s="154"/>
    </row>
    <row r="851" spans="2:69" s="21" customFormat="1" ht="15.75">
      <c r="B851" s="141" t="s">
        <v>1880</v>
      </c>
      <c r="D851" s="47"/>
      <c r="E851" s="22"/>
      <c r="G851" s="23"/>
      <c r="AO851" s="21" t="s">
        <v>1536</v>
      </c>
      <c r="BQ851" s="154"/>
    </row>
    <row r="852" spans="2:69" s="21" customFormat="1" ht="15.75">
      <c r="B852" s="141" t="s">
        <v>1881</v>
      </c>
      <c r="D852" s="47"/>
      <c r="E852" s="22"/>
      <c r="G852" s="23"/>
      <c r="AO852" s="21" t="s">
        <v>1536</v>
      </c>
      <c r="BQ852" s="154"/>
    </row>
    <row r="853" spans="2:69" s="21" customFormat="1" ht="15.75">
      <c r="B853" s="141" t="s">
        <v>1882</v>
      </c>
      <c r="D853" s="47"/>
      <c r="E853" s="22"/>
      <c r="G853" s="23"/>
      <c r="AO853" s="21" t="s">
        <v>1536</v>
      </c>
      <c r="BQ853" s="154"/>
    </row>
    <row r="854" spans="2:69" s="21" customFormat="1" ht="15.75">
      <c r="B854" s="141" t="s">
        <v>1883</v>
      </c>
      <c r="D854" s="47"/>
      <c r="E854" s="22"/>
      <c r="G854" s="23"/>
      <c r="AO854" s="21" t="s">
        <v>1536</v>
      </c>
      <c r="BQ854" s="154"/>
    </row>
    <row r="855" spans="2:69" s="21" customFormat="1" ht="15.75">
      <c r="B855" s="141" t="s">
        <v>1884</v>
      </c>
      <c r="D855" s="47"/>
      <c r="E855" s="22"/>
      <c r="G855" s="23"/>
      <c r="AO855" s="21" t="s">
        <v>1536</v>
      </c>
      <c r="BQ855" s="154"/>
    </row>
    <row r="856" spans="2:69" s="21" customFormat="1" ht="28.5">
      <c r="B856" s="141" t="s">
        <v>1885</v>
      </c>
      <c r="D856" s="47"/>
      <c r="E856" s="22"/>
      <c r="G856" s="23"/>
      <c r="AO856" s="21" t="s">
        <v>1536</v>
      </c>
      <c r="BQ856" s="154"/>
    </row>
    <row r="857" spans="2:69" s="21" customFormat="1" ht="27">
      <c r="B857" s="141" t="s">
        <v>1886</v>
      </c>
      <c r="D857" s="47"/>
      <c r="E857" s="22"/>
      <c r="G857" s="23"/>
      <c r="AO857" s="21" t="s">
        <v>1536</v>
      </c>
      <c r="BQ857" s="154"/>
    </row>
    <row r="858" spans="2:69" s="21" customFormat="1" ht="15.75">
      <c r="B858" s="141" t="s">
        <v>1887</v>
      </c>
      <c r="D858" s="47"/>
      <c r="E858" s="22"/>
      <c r="G858" s="23"/>
      <c r="AO858" s="21" t="s">
        <v>1536</v>
      </c>
      <c r="BQ858" s="154"/>
    </row>
    <row r="859" spans="2:69" s="21" customFormat="1" ht="27">
      <c r="B859" s="141" t="s">
        <v>1888</v>
      </c>
      <c r="D859" s="47"/>
      <c r="E859" s="22"/>
      <c r="G859" s="23"/>
      <c r="AO859" s="21" t="s">
        <v>1536</v>
      </c>
      <c r="BQ859" s="154"/>
    </row>
    <row r="860" spans="2:69" s="21" customFormat="1" ht="15.75">
      <c r="B860" s="141" t="s">
        <v>1889</v>
      </c>
      <c r="D860" s="47"/>
      <c r="E860" s="22"/>
      <c r="G860" s="23"/>
      <c r="AO860" s="21" t="s">
        <v>1536</v>
      </c>
      <c r="BQ860" s="154"/>
    </row>
    <row r="861" spans="2:69" s="21" customFormat="1" ht="27">
      <c r="B861" s="141" t="s">
        <v>1890</v>
      </c>
      <c r="D861" s="47"/>
      <c r="E861" s="22"/>
      <c r="G861" s="23"/>
      <c r="AO861" s="21" t="s">
        <v>1536</v>
      </c>
      <c r="BQ861" s="154"/>
    </row>
    <row r="862" spans="2:69" s="21" customFormat="1" ht="28.5">
      <c r="B862" s="141" t="s">
        <v>1891</v>
      </c>
      <c r="D862" s="47"/>
      <c r="E862" s="22"/>
      <c r="G862" s="23"/>
      <c r="AO862" s="21" t="s">
        <v>1536</v>
      </c>
      <c r="BQ862" s="154"/>
    </row>
    <row r="863" spans="2:69" s="21" customFormat="1" ht="28.5">
      <c r="B863" s="141" t="s">
        <v>1892</v>
      </c>
      <c r="D863" s="47"/>
      <c r="E863" s="22"/>
      <c r="G863" s="23"/>
      <c r="AO863" s="21" t="s">
        <v>1536</v>
      </c>
      <c r="BQ863" s="154"/>
    </row>
    <row r="864" spans="2:69" s="21" customFormat="1" ht="28.5">
      <c r="B864" s="141" t="s">
        <v>1893</v>
      </c>
      <c r="D864" s="47"/>
      <c r="E864" s="22"/>
      <c r="G864" s="23"/>
      <c r="AO864" s="21" t="s">
        <v>1536</v>
      </c>
      <c r="BQ864" s="154"/>
    </row>
    <row r="865" spans="2:69" s="21" customFormat="1" ht="15.75">
      <c r="B865" s="141" t="s">
        <v>1894</v>
      </c>
      <c r="D865" s="47"/>
      <c r="E865" s="22"/>
      <c r="G865" s="23"/>
      <c r="AO865" s="21" t="s">
        <v>1536</v>
      </c>
      <c r="BQ865" s="154"/>
    </row>
    <row r="866" spans="2:69" s="21" customFormat="1" ht="15.75">
      <c r="B866" s="141" t="s">
        <v>1895</v>
      </c>
      <c r="D866" s="47"/>
      <c r="E866" s="22"/>
      <c r="G866" s="23"/>
      <c r="AO866" s="21" t="s">
        <v>1536</v>
      </c>
      <c r="BQ866" s="154"/>
    </row>
    <row r="867" spans="2:69" s="21" customFormat="1" ht="15.75">
      <c r="B867" s="141" t="s">
        <v>1896</v>
      </c>
      <c r="D867" s="47"/>
      <c r="E867" s="22"/>
      <c r="G867" s="23"/>
      <c r="AO867" s="21" t="s">
        <v>1536</v>
      </c>
      <c r="BQ867" s="154"/>
    </row>
    <row r="868" spans="2:69" s="21" customFormat="1" ht="15.75">
      <c r="B868" s="141" t="s">
        <v>1897</v>
      </c>
      <c r="D868" s="47"/>
      <c r="E868" s="22"/>
      <c r="G868" s="23"/>
      <c r="AO868" s="21" t="s">
        <v>1536</v>
      </c>
      <c r="BQ868" s="154"/>
    </row>
    <row r="869" spans="2:69" s="21" customFormat="1" ht="27">
      <c r="B869" s="141" t="s">
        <v>1898</v>
      </c>
      <c r="D869" s="47"/>
      <c r="E869" s="22"/>
      <c r="G869" s="23"/>
      <c r="AO869" s="21" t="s">
        <v>1536</v>
      </c>
      <c r="BQ869" s="154"/>
    </row>
    <row r="870" spans="2:69" s="21" customFormat="1" ht="27">
      <c r="B870" s="141" t="s">
        <v>1899</v>
      </c>
      <c r="D870" s="47"/>
      <c r="E870" s="22"/>
      <c r="G870" s="23"/>
      <c r="AO870" s="21" t="s">
        <v>1536</v>
      </c>
      <c r="BQ870" s="154"/>
    </row>
    <row r="871" spans="2:69" s="21" customFormat="1" ht="15.75">
      <c r="B871" s="141" t="s">
        <v>1900</v>
      </c>
      <c r="D871" s="47"/>
      <c r="E871" s="22"/>
      <c r="G871" s="23"/>
      <c r="AO871" s="21" t="s">
        <v>1536</v>
      </c>
      <c r="BQ871" s="154"/>
    </row>
    <row r="872" spans="2:69" s="21" customFormat="1" ht="27">
      <c r="B872" s="141" t="s">
        <v>1901</v>
      </c>
      <c r="D872" s="47"/>
      <c r="E872" s="22"/>
      <c r="G872" s="23"/>
      <c r="AO872" s="21" t="s">
        <v>1536</v>
      </c>
      <c r="BQ872" s="154"/>
    </row>
    <row r="873" spans="2:69" s="21" customFormat="1" ht="27">
      <c r="B873" s="141" t="s">
        <v>1902</v>
      </c>
      <c r="D873" s="47"/>
      <c r="E873" s="22"/>
      <c r="G873" s="23"/>
      <c r="AO873" s="21" t="s">
        <v>1536</v>
      </c>
      <c r="BQ873" s="154"/>
    </row>
    <row r="874" spans="2:69" s="21" customFormat="1" ht="27">
      <c r="B874" s="141" t="s">
        <v>1903</v>
      </c>
      <c r="D874" s="47"/>
      <c r="E874" s="22"/>
      <c r="G874" s="23"/>
      <c r="AO874" s="21" t="s">
        <v>1536</v>
      </c>
      <c r="BQ874" s="154"/>
    </row>
    <row r="875" spans="2:69" s="21" customFormat="1" ht="27">
      <c r="B875" s="141" t="s">
        <v>1904</v>
      </c>
      <c r="D875" s="47"/>
      <c r="E875" s="22"/>
      <c r="G875" s="23"/>
      <c r="AO875" s="21" t="s">
        <v>1536</v>
      </c>
      <c r="BQ875" s="154"/>
    </row>
    <row r="876" spans="2:69" s="21" customFormat="1" ht="27">
      <c r="B876" s="141" t="s">
        <v>1905</v>
      </c>
      <c r="D876" s="47"/>
      <c r="E876" s="22"/>
      <c r="G876" s="23"/>
      <c r="AO876" s="21" t="s">
        <v>1536</v>
      </c>
      <c r="BQ876" s="154"/>
    </row>
    <row r="877" spans="2:69" s="21" customFormat="1" ht="15.75">
      <c r="B877" s="141" t="s">
        <v>1906</v>
      </c>
      <c r="D877" s="47"/>
      <c r="E877" s="22"/>
      <c r="G877" s="23"/>
      <c r="AO877" s="21" t="s">
        <v>1536</v>
      </c>
      <c r="BQ877" s="154"/>
    </row>
    <row r="878" spans="2:69" s="21" customFormat="1" ht="27">
      <c r="B878" s="141" t="s">
        <v>1907</v>
      </c>
      <c r="D878" s="47"/>
      <c r="E878" s="22"/>
      <c r="G878" s="23"/>
      <c r="AO878" s="21" t="s">
        <v>1536</v>
      </c>
      <c r="BQ878" s="154"/>
    </row>
    <row r="879" spans="2:69" s="21" customFormat="1" ht="15.75">
      <c r="B879" s="141" t="s">
        <v>1908</v>
      </c>
      <c r="D879" s="47"/>
      <c r="E879" s="22"/>
      <c r="G879" s="23"/>
      <c r="AO879" s="21" t="s">
        <v>1536</v>
      </c>
      <c r="BQ879" s="154"/>
    </row>
    <row r="880" spans="2:69" s="21" customFormat="1" ht="28.5">
      <c r="B880" s="141" t="s">
        <v>1909</v>
      </c>
      <c r="D880" s="47"/>
      <c r="E880" s="22"/>
      <c r="G880" s="23"/>
      <c r="AO880" s="21" t="s">
        <v>1536</v>
      </c>
      <c r="BQ880" s="154"/>
    </row>
    <row r="881" spans="2:69" s="21" customFormat="1" ht="15.75">
      <c r="B881" s="141" t="s">
        <v>1910</v>
      </c>
      <c r="D881" s="47"/>
      <c r="E881" s="22"/>
      <c r="G881" s="23"/>
      <c r="AO881" s="21" t="s">
        <v>1536</v>
      </c>
      <c r="BQ881" s="154"/>
    </row>
    <row r="882" spans="2:69" s="21" customFormat="1" ht="15.75">
      <c r="B882" s="141" t="s">
        <v>1911</v>
      </c>
      <c r="D882" s="47"/>
      <c r="E882" s="22"/>
      <c r="G882" s="23"/>
      <c r="AO882" s="21" t="s">
        <v>1536</v>
      </c>
      <c r="BQ882" s="154"/>
    </row>
    <row r="883" spans="2:69" s="21" customFormat="1" ht="15.75">
      <c r="B883" s="141" t="s">
        <v>1912</v>
      </c>
      <c r="D883" s="47"/>
      <c r="E883" s="22"/>
      <c r="G883" s="23"/>
      <c r="AO883" s="21" t="s">
        <v>1536</v>
      </c>
      <c r="BQ883" s="154"/>
    </row>
    <row r="884" spans="2:69" s="21" customFormat="1" ht="15.75">
      <c r="B884" s="141" t="s">
        <v>1913</v>
      </c>
      <c r="D884" s="47"/>
      <c r="E884" s="22"/>
      <c r="G884" s="23"/>
      <c r="AO884" s="21" t="s">
        <v>1536</v>
      </c>
      <c r="BQ884" s="154"/>
    </row>
    <row r="885" spans="2:69" s="21" customFormat="1" ht="15.75">
      <c r="B885" s="141" t="s">
        <v>1914</v>
      </c>
      <c r="D885" s="47"/>
      <c r="E885" s="22"/>
      <c r="G885" s="23"/>
      <c r="AO885" s="21" t="s">
        <v>1536</v>
      </c>
      <c r="BQ885" s="154"/>
    </row>
    <row r="886" spans="2:69" s="21" customFormat="1" ht="15.75">
      <c r="B886" s="141" t="s">
        <v>1915</v>
      </c>
      <c r="D886" s="47"/>
      <c r="E886" s="22"/>
      <c r="G886" s="23"/>
      <c r="AO886" s="21" t="s">
        <v>1536</v>
      </c>
      <c r="BQ886" s="154"/>
    </row>
    <row r="887" spans="2:69" s="21" customFormat="1" ht="27">
      <c r="B887" s="141" t="s">
        <v>1916</v>
      </c>
      <c r="D887" s="47"/>
      <c r="E887" s="22"/>
      <c r="G887" s="23"/>
      <c r="AO887" s="21" t="s">
        <v>1536</v>
      </c>
      <c r="BQ887" s="154"/>
    </row>
    <row r="888" spans="2:69" s="21" customFormat="1" ht="15.75">
      <c r="B888" s="141" t="s">
        <v>1917</v>
      </c>
      <c r="D888" s="47"/>
      <c r="E888" s="22"/>
      <c r="G888" s="23"/>
      <c r="AO888" s="21" t="s">
        <v>1536</v>
      </c>
      <c r="BQ888" s="154"/>
    </row>
    <row r="889" spans="2:69" s="21" customFormat="1" ht="15.75">
      <c r="B889" s="141" t="s">
        <v>1918</v>
      </c>
      <c r="D889" s="47"/>
      <c r="E889" s="22"/>
      <c r="G889" s="23"/>
      <c r="AO889" s="21" t="s">
        <v>1536</v>
      </c>
      <c r="BQ889" s="154"/>
    </row>
    <row r="890" spans="2:69" s="21" customFormat="1" ht="15.75">
      <c r="B890" s="141" t="s">
        <v>1919</v>
      </c>
      <c r="D890" s="47"/>
      <c r="E890" s="22"/>
      <c r="G890" s="23"/>
      <c r="AO890" s="21" t="s">
        <v>1536</v>
      </c>
      <c r="BQ890" s="154"/>
    </row>
    <row r="891" spans="2:69" s="21" customFormat="1" ht="15.75">
      <c r="B891" s="141" t="s">
        <v>1920</v>
      </c>
      <c r="D891" s="47"/>
      <c r="E891" s="22"/>
      <c r="G891" s="23"/>
      <c r="AO891" s="21" t="s">
        <v>1536</v>
      </c>
      <c r="BQ891" s="154"/>
    </row>
    <row r="892" spans="2:69" s="21" customFormat="1" ht="15.75">
      <c r="B892" s="141" t="s">
        <v>1921</v>
      </c>
      <c r="D892" s="47"/>
      <c r="E892" s="22"/>
      <c r="G892" s="23"/>
      <c r="AO892" s="21" t="s">
        <v>1536</v>
      </c>
      <c r="BQ892" s="154"/>
    </row>
    <row r="893" spans="2:69" s="21" customFormat="1" ht="15.75">
      <c r="B893" s="141" t="s">
        <v>1922</v>
      </c>
      <c r="D893" s="47"/>
      <c r="E893" s="22"/>
      <c r="G893" s="23"/>
      <c r="AO893" s="21" t="s">
        <v>1536</v>
      </c>
      <c r="BQ893" s="154"/>
    </row>
    <row r="894" spans="2:69" s="21" customFormat="1" ht="27">
      <c r="B894" s="141" t="s">
        <v>1923</v>
      </c>
      <c r="D894" s="47"/>
      <c r="E894" s="22"/>
      <c r="G894" s="23"/>
      <c r="AO894" s="21" t="s">
        <v>1536</v>
      </c>
      <c r="BQ894" s="154"/>
    </row>
    <row r="895" spans="2:69" s="21" customFormat="1" ht="27">
      <c r="B895" s="141" t="s">
        <v>1924</v>
      </c>
      <c r="D895" s="47"/>
      <c r="E895" s="22"/>
      <c r="G895" s="23"/>
      <c r="AO895" s="21" t="s">
        <v>1536</v>
      </c>
      <c r="BQ895" s="154"/>
    </row>
    <row r="896" spans="2:69" s="21" customFormat="1" ht="27">
      <c r="B896" s="141" t="s">
        <v>1925</v>
      </c>
      <c r="D896" s="47"/>
      <c r="E896" s="22"/>
      <c r="G896" s="23"/>
      <c r="AO896" s="21" t="s">
        <v>1536</v>
      </c>
      <c r="BQ896" s="154"/>
    </row>
    <row r="897" spans="2:69" s="21" customFormat="1" ht="27">
      <c r="B897" s="141" t="s">
        <v>1926</v>
      </c>
      <c r="D897" s="47"/>
      <c r="E897" s="22"/>
      <c r="G897" s="23"/>
      <c r="AO897" s="21" t="s">
        <v>1536</v>
      </c>
      <c r="BQ897" s="154"/>
    </row>
    <row r="898" spans="2:69" s="21" customFormat="1" ht="15.75">
      <c r="B898" s="141" t="s">
        <v>1927</v>
      </c>
      <c r="D898" s="47"/>
      <c r="E898" s="22"/>
      <c r="G898" s="23"/>
      <c r="AO898" s="21" t="s">
        <v>1536</v>
      </c>
      <c r="BQ898" s="154"/>
    </row>
    <row r="899" spans="2:69" s="21" customFormat="1" ht="15.75">
      <c r="B899" s="141" t="s">
        <v>1928</v>
      </c>
      <c r="D899" s="47"/>
      <c r="E899" s="22"/>
      <c r="G899" s="23"/>
      <c r="AO899" s="21" t="s">
        <v>1536</v>
      </c>
      <c r="BQ899" s="154"/>
    </row>
    <row r="900" spans="2:69" s="21" customFormat="1" ht="27">
      <c r="B900" s="141" t="s">
        <v>1929</v>
      </c>
      <c r="D900" s="47"/>
      <c r="E900" s="22"/>
      <c r="G900" s="23"/>
      <c r="AO900" s="21" t="s">
        <v>1536</v>
      </c>
      <c r="BQ900" s="154"/>
    </row>
    <row r="901" spans="2:69" s="21" customFormat="1" ht="27">
      <c r="B901" s="141" t="s">
        <v>1930</v>
      </c>
      <c r="D901" s="47"/>
      <c r="E901" s="22"/>
      <c r="G901" s="23"/>
      <c r="AO901" s="21" t="s">
        <v>1536</v>
      </c>
      <c r="BQ901" s="154"/>
    </row>
    <row r="902" spans="2:69" s="21" customFormat="1" ht="15.75">
      <c r="B902" s="141" t="s">
        <v>1931</v>
      </c>
      <c r="D902" s="47"/>
      <c r="E902" s="22"/>
      <c r="G902" s="23"/>
      <c r="AO902" s="21" t="s">
        <v>1536</v>
      </c>
      <c r="BQ902" s="154"/>
    </row>
    <row r="903" spans="2:69" s="21" customFormat="1" ht="15.75">
      <c r="B903" s="141" t="s">
        <v>1932</v>
      </c>
      <c r="D903" s="47"/>
      <c r="E903" s="22"/>
      <c r="G903" s="23"/>
      <c r="AO903" s="21" t="s">
        <v>1536</v>
      </c>
      <c r="BQ903" s="154"/>
    </row>
    <row r="904" spans="2:69" s="21" customFormat="1" ht="27">
      <c r="B904" s="141" t="s">
        <v>1933</v>
      </c>
      <c r="D904" s="47"/>
      <c r="E904" s="22"/>
      <c r="G904" s="23"/>
      <c r="AO904" s="21" t="s">
        <v>1536</v>
      </c>
      <c r="BQ904" s="154"/>
    </row>
    <row r="905" spans="2:69" s="21" customFormat="1" ht="15.75">
      <c r="B905" s="141" t="s">
        <v>1934</v>
      </c>
      <c r="D905" s="47"/>
      <c r="E905" s="22"/>
      <c r="G905" s="23"/>
      <c r="AO905" s="21" t="s">
        <v>1536</v>
      </c>
      <c r="BQ905" s="154"/>
    </row>
    <row r="906" spans="2:69" s="21" customFormat="1" ht="15.75">
      <c r="B906" s="141" t="s">
        <v>1935</v>
      </c>
      <c r="D906" s="47"/>
      <c r="E906" s="22"/>
      <c r="G906" s="23"/>
      <c r="AO906" s="21" t="s">
        <v>1536</v>
      </c>
      <c r="BQ906" s="154"/>
    </row>
    <row r="907" spans="2:69" s="21" customFormat="1" ht="15.75">
      <c r="B907" s="141" t="s">
        <v>1936</v>
      </c>
      <c r="D907" s="47"/>
      <c r="E907" s="22"/>
      <c r="G907" s="23"/>
      <c r="AO907" s="21" t="s">
        <v>1536</v>
      </c>
      <c r="BQ907" s="154"/>
    </row>
    <row r="908" spans="2:69" s="21" customFormat="1" ht="15.75">
      <c r="B908" s="141" t="s">
        <v>1937</v>
      </c>
      <c r="D908" s="47"/>
      <c r="E908" s="22"/>
      <c r="G908" s="23"/>
      <c r="AO908" s="21" t="s">
        <v>1536</v>
      </c>
      <c r="BQ908" s="154"/>
    </row>
    <row r="909" spans="2:69" s="21" customFormat="1" ht="15.75">
      <c r="B909" s="141" t="s">
        <v>1938</v>
      </c>
      <c r="D909" s="47"/>
      <c r="E909" s="22"/>
      <c r="G909" s="23"/>
      <c r="AO909" s="21" t="s">
        <v>1536</v>
      </c>
      <c r="BQ909" s="154"/>
    </row>
    <row r="910" spans="2:69" s="21" customFormat="1" ht="15.75">
      <c r="B910" s="141" t="s">
        <v>1939</v>
      </c>
      <c r="D910" s="47"/>
      <c r="E910" s="22"/>
      <c r="G910" s="23"/>
      <c r="AO910" s="21" t="s">
        <v>1536</v>
      </c>
      <c r="BQ910" s="154"/>
    </row>
    <row r="911" spans="2:69" s="21" customFormat="1" ht="15.75">
      <c r="B911" s="141" t="s">
        <v>1940</v>
      </c>
      <c r="D911" s="47"/>
      <c r="E911" s="22"/>
      <c r="G911" s="23"/>
      <c r="AO911" s="21" t="s">
        <v>1536</v>
      </c>
      <c r="BQ911" s="154"/>
    </row>
    <row r="912" spans="2:69" s="21" customFormat="1" ht="15.75">
      <c r="B912" s="141" t="s">
        <v>1941</v>
      </c>
      <c r="D912" s="47"/>
      <c r="E912" s="22"/>
      <c r="G912" s="23"/>
      <c r="AO912" s="21" t="s">
        <v>1536</v>
      </c>
      <c r="BQ912" s="154"/>
    </row>
    <row r="913" spans="2:69" s="21" customFormat="1" ht="15.75">
      <c r="B913" s="141" t="s">
        <v>1942</v>
      </c>
      <c r="D913" s="47"/>
      <c r="E913" s="22"/>
      <c r="G913" s="23"/>
      <c r="AO913" s="21" t="s">
        <v>1536</v>
      </c>
      <c r="BQ913" s="154"/>
    </row>
    <row r="914" spans="2:69" s="21" customFormat="1" ht="15.75">
      <c r="B914" s="141" t="s">
        <v>1943</v>
      </c>
      <c r="D914" s="47"/>
      <c r="E914" s="22"/>
      <c r="G914" s="23"/>
      <c r="AO914" s="21" t="s">
        <v>1536</v>
      </c>
      <c r="BQ914" s="154"/>
    </row>
    <row r="915" spans="2:69" s="21" customFormat="1" ht="15.75">
      <c r="B915" s="141" t="s">
        <v>1944</v>
      </c>
      <c r="D915" s="47"/>
      <c r="E915" s="22"/>
      <c r="G915" s="23"/>
      <c r="AO915" s="21" t="s">
        <v>1536</v>
      </c>
      <c r="BQ915" s="154"/>
    </row>
    <row r="916" spans="2:69" s="21" customFormat="1" ht="15.75">
      <c r="B916" s="141" t="s">
        <v>1945</v>
      </c>
      <c r="D916" s="47"/>
      <c r="E916" s="22"/>
      <c r="G916" s="23"/>
      <c r="AO916" s="21" t="s">
        <v>1536</v>
      </c>
      <c r="BQ916" s="154"/>
    </row>
    <row r="917" spans="2:69" s="21" customFormat="1" ht="15.75">
      <c r="B917" s="141" t="s">
        <v>1946</v>
      </c>
      <c r="D917" s="47"/>
      <c r="E917" s="22"/>
      <c r="G917" s="23"/>
      <c r="AO917" s="21" t="s">
        <v>1536</v>
      </c>
      <c r="BQ917" s="154"/>
    </row>
    <row r="918" spans="2:69" s="21" customFormat="1" ht="15.75">
      <c r="B918" s="141" t="s">
        <v>1947</v>
      </c>
      <c r="D918" s="47"/>
      <c r="E918" s="22"/>
      <c r="G918" s="23"/>
      <c r="AO918" s="21" t="s">
        <v>1536</v>
      </c>
      <c r="BQ918" s="154"/>
    </row>
    <row r="919" spans="2:69" s="21" customFormat="1" ht="15.75">
      <c r="B919" s="141" t="s">
        <v>1948</v>
      </c>
      <c r="D919" s="47"/>
      <c r="E919" s="22"/>
      <c r="G919" s="23"/>
      <c r="AO919" s="21" t="s">
        <v>1536</v>
      </c>
      <c r="BQ919" s="154"/>
    </row>
    <row r="920" spans="2:69" s="21" customFormat="1" ht="15.75">
      <c r="B920" s="141" t="s">
        <v>1949</v>
      </c>
      <c r="D920" s="47"/>
      <c r="E920" s="22"/>
      <c r="G920" s="23"/>
      <c r="AO920" s="21" t="s">
        <v>1536</v>
      </c>
      <c r="BQ920" s="154"/>
    </row>
    <row r="921" spans="2:69" s="21" customFormat="1" ht="27">
      <c r="B921" s="141" t="s">
        <v>1950</v>
      </c>
      <c r="D921" s="47"/>
      <c r="E921" s="22"/>
      <c r="G921" s="23"/>
      <c r="AO921" s="21" t="s">
        <v>1536</v>
      </c>
      <c r="BQ921" s="154"/>
    </row>
    <row r="922" spans="2:69" s="21" customFormat="1" ht="27">
      <c r="B922" s="141" t="s">
        <v>1951</v>
      </c>
      <c r="D922" s="47"/>
      <c r="E922" s="22"/>
      <c r="G922" s="23"/>
      <c r="AO922" s="21" t="s">
        <v>1536</v>
      </c>
      <c r="BQ922" s="154"/>
    </row>
    <row r="923" spans="2:69" s="21" customFormat="1" ht="27">
      <c r="B923" s="141" t="s">
        <v>1952</v>
      </c>
      <c r="D923" s="47"/>
      <c r="E923" s="22"/>
      <c r="G923" s="23"/>
      <c r="AO923" s="21" t="s">
        <v>1536</v>
      </c>
      <c r="BQ923" s="154"/>
    </row>
    <row r="924" spans="2:69" s="21" customFormat="1" ht="15.75">
      <c r="B924" s="141" t="s">
        <v>1953</v>
      </c>
      <c r="D924" s="47"/>
      <c r="E924" s="22"/>
      <c r="G924" s="23"/>
      <c r="AO924" s="21" t="s">
        <v>1536</v>
      </c>
      <c r="BQ924" s="154"/>
    </row>
    <row r="925" spans="2:69" s="21" customFormat="1" ht="15.75">
      <c r="B925" s="141" t="s">
        <v>1954</v>
      </c>
      <c r="D925" s="47"/>
      <c r="E925" s="22"/>
      <c r="G925" s="23"/>
      <c r="AO925" s="21" t="s">
        <v>1536</v>
      </c>
      <c r="BQ925" s="154"/>
    </row>
    <row r="926" spans="2:69" s="21" customFormat="1" ht="15.75">
      <c r="B926" s="141" t="s">
        <v>1955</v>
      </c>
      <c r="D926" s="47"/>
      <c r="E926" s="22"/>
      <c r="G926" s="23"/>
      <c r="AO926" s="21" t="s">
        <v>1536</v>
      </c>
      <c r="BQ926" s="154"/>
    </row>
    <row r="927" spans="2:69" s="21" customFormat="1" ht="15.75">
      <c r="B927" s="141" t="s">
        <v>1956</v>
      </c>
      <c r="D927" s="47"/>
      <c r="E927" s="22"/>
      <c r="G927" s="23"/>
      <c r="AO927" s="21" t="s">
        <v>1536</v>
      </c>
      <c r="BQ927" s="154"/>
    </row>
    <row r="928" spans="2:69" s="21" customFormat="1" ht="15.75">
      <c r="B928" s="141" t="s">
        <v>1957</v>
      </c>
      <c r="D928" s="47"/>
      <c r="E928" s="22"/>
      <c r="G928" s="23"/>
      <c r="AO928" s="21" t="s">
        <v>1536</v>
      </c>
      <c r="BQ928" s="154"/>
    </row>
    <row r="929" spans="2:69" s="21" customFormat="1" ht="15.75">
      <c r="B929" s="141" t="s">
        <v>1958</v>
      </c>
      <c r="D929" s="47"/>
      <c r="E929" s="22"/>
      <c r="G929" s="23"/>
      <c r="AO929" s="21" t="s">
        <v>1536</v>
      </c>
      <c r="BQ929" s="154"/>
    </row>
    <row r="930" spans="2:69" s="21" customFormat="1" ht="40.5">
      <c r="B930" s="141" t="s">
        <v>1959</v>
      </c>
      <c r="D930" s="47"/>
      <c r="E930" s="22"/>
      <c r="G930" s="23"/>
      <c r="AO930" s="21" t="s">
        <v>1536</v>
      </c>
      <c r="BQ930" s="154"/>
    </row>
    <row r="931" spans="2:69" s="21" customFormat="1" ht="15.75">
      <c r="B931" s="141" t="s">
        <v>1960</v>
      </c>
      <c r="D931" s="47"/>
      <c r="E931" s="22"/>
      <c r="G931" s="23"/>
      <c r="AO931" s="21" t="s">
        <v>1536</v>
      </c>
      <c r="BQ931" s="154"/>
    </row>
    <row r="932" spans="2:69" s="21" customFormat="1" ht="15.75">
      <c r="B932" s="141" t="s">
        <v>1961</v>
      </c>
      <c r="D932" s="47"/>
      <c r="E932" s="22"/>
      <c r="G932" s="23"/>
      <c r="AO932" s="21" t="s">
        <v>1536</v>
      </c>
      <c r="BQ932" s="154"/>
    </row>
    <row r="933" spans="2:69" s="21" customFormat="1" ht="27">
      <c r="B933" s="141" t="s">
        <v>1962</v>
      </c>
      <c r="D933" s="47"/>
      <c r="E933" s="22"/>
      <c r="G933" s="23"/>
      <c r="AO933" s="21" t="s">
        <v>1536</v>
      </c>
      <c r="BQ933" s="154"/>
    </row>
    <row r="934" spans="2:69" s="21" customFormat="1" ht="27">
      <c r="B934" s="141" t="s">
        <v>1963</v>
      </c>
      <c r="D934" s="47"/>
      <c r="E934" s="22"/>
      <c r="G934" s="23"/>
      <c r="AO934" s="21" t="s">
        <v>1536</v>
      </c>
      <c r="BQ934" s="154"/>
    </row>
    <row r="935" spans="2:69" s="29" customFormat="1" ht="16.5" thickBot="1">
      <c r="B935" s="141" t="s">
        <v>1964</v>
      </c>
      <c r="D935" s="48"/>
      <c r="E935" s="22"/>
      <c r="F935" s="30" t="s">
        <v>1177</v>
      </c>
      <c r="H935" s="30"/>
      <c r="M935" s="29">
        <v>329.94</v>
      </c>
      <c r="AO935" s="29" t="s">
        <v>1536</v>
      </c>
      <c r="BQ935" s="155"/>
    </row>
    <row r="936" spans="2:69" s="29" customFormat="1" ht="16.5" thickBot="1">
      <c r="B936" s="141" t="s">
        <v>1965</v>
      </c>
      <c r="D936" s="49"/>
      <c r="E936" s="22"/>
      <c r="F936" s="31" t="s">
        <v>1094</v>
      </c>
      <c r="H936" s="31"/>
      <c r="M936" s="29">
        <v>327.2</v>
      </c>
      <c r="AO936" s="29" t="s">
        <v>1536</v>
      </c>
      <c r="BQ936" s="155"/>
    </row>
    <row r="937" spans="2:69" s="29" customFormat="1" ht="32.25" thickBot="1">
      <c r="B937" s="141" t="s">
        <v>1966</v>
      </c>
      <c r="D937" s="49"/>
      <c r="E937" s="22"/>
      <c r="F937" s="31" t="s">
        <v>1178</v>
      </c>
      <c r="H937" s="31"/>
      <c r="M937" s="29">
        <v>329.9</v>
      </c>
      <c r="AO937" s="29" t="s">
        <v>1536</v>
      </c>
      <c r="BQ937" s="155"/>
    </row>
    <row r="938" spans="2:69" s="29" customFormat="1" ht="16.5" thickBot="1">
      <c r="B938" s="141" t="s">
        <v>1960</v>
      </c>
      <c r="D938" s="49"/>
      <c r="E938" s="22"/>
      <c r="F938" s="31" t="s">
        <v>1179</v>
      </c>
      <c r="H938" s="31"/>
      <c r="M938" s="29">
        <v>336.17</v>
      </c>
      <c r="AO938" s="29" t="s">
        <v>1536</v>
      </c>
      <c r="BQ938" s="155"/>
    </row>
    <row r="939" spans="2:69" s="29" customFormat="1" ht="16.5" thickBot="1">
      <c r="B939" s="141" t="s">
        <v>1944</v>
      </c>
      <c r="D939" s="49"/>
      <c r="E939" s="22"/>
      <c r="F939" s="31" t="s">
        <v>506</v>
      </c>
      <c r="H939" s="31"/>
      <c r="M939" s="29">
        <v>7.13</v>
      </c>
      <c r="AO939" s="29" t="s">
        <v>1536</v>
      </c>
      <c r="BQ939" s="155"/>
    </row>
    <row r="940" spans="2:69" s="29" customFormat="1" ht="16.5" thickBot="1">
      <c r="B940" s="141" t="s">
        <v>1967</v>
      </c>
      <c r="D940" s="49"/>
      <c r="E940" s="22"/>
      <c r="F940" s="31" t="s">
        <v>1180</v>
      </c>
      <c r="H940" s="31"/>
      <c r="M940" s="29">
        <v>336.57</v>
      </c>
      <c r="AO940" s="29" t="s">
        <v>1536</v>
      </c>
      <c r="BQ940" s="155"/>
    </row>
    <row r="941" spans="2:69" s="29" customFormat="1" ht="29.25" thickBot="1">
      <c r="B941" s="141" t="s">
        <v>1968</v>
      </c>
      <c r="D941" s="49"/>
      <c r="E941" s="22"/>
      <c r="F941" s="31" t="s">
        <v>606</v>
      </c>
      <c r="H941" s="31"/>
      <c r="M941" s="29">
        <v>366.15</v>
      </c>
      <c r="AO941" s="29" t="s">
        <v>1536</v>
      </c>
      <c r="BQ941" s="155"/>
    </row>
    <row r="942" spans="2:69" s="29" customFormat="1" ht="16.5" thickBot="1">
      <c r="B942" s="141" t="s">
        <v>1969</v>
      </c>
      <c r="D942" s="49"/>
      <c r="E942" s="22"/>
      <c r="F942" s="31" t="s">
        <v>607</v>
      </c>
      <c r="H942" s="31"/>
      <c r="M942" s="29">
        <v>327</v>
      </c>
      <c r="AO942" s="29" t="s">
        <v>1536</v>
      </c>
      <c r="BQ942" s="155"/>
    </row>
    <row r="943" spans="2:69" s="29" customFormat="1" ht="16.5" thickBot="1">
      <c r="B943" s="141" t="s">
        <v>1970</v>
      </c>
      <c r="D943" s="49"/>
      <c r="E943" s="22"/>
      <c r="F943" s="31" t="s">
        <v>1095</v>
      </c>
      <c r="H943" s="31"/>
      <c r="M943" s="29">
        <v>327.02999999999997</v>
      </c>
      <c r="AO943" s="29" t="s">
        <v>1536</v>
      </c>
      <c r="BQ943" s="155"/>
    </row>
    <row r="944" spans="2:69" s="29" customFormat="1" ht="27.75" thickBot="1">
      <c r="B944" s="141" t="s">
        <v>1971</v>
      </c>
      <c r="D944" s="49"/>
      <c r="E944" s="22"/>
      <c r="F944" s="31" t="s">
        <v>1096</v>
      </c>
      <c r="H944" s="31"/>
      <c r="M944" s="29">
        <v>7.609</v>
      </c>
      <c r="AO944" s="29" t="s">
        <v>1536</v>
      </c>
      <c r="BQ944" s="155"/>
    </row>
    <row r="945" spans="2:69" s="29" customFormat="1" ht="27.75" thickBot="1">
      <c r="B945" s="141" t="s">
        <v>1972</v>
      </c>
      <c r="D945" s="49"/>
      <c r="E945" s="22"/>
      <c r="F945" s="31" t="s">
        <v>272</v>
      </c>
      <c r="H945" s="31"/>
      <c r="M945" s="29">
        <v>694.6</v>
      </c>
      <c r="AO945" s="29" t="s">
        <v>1536</v>
      </c>
      <c r="BQ945" s="155"/>
    </row>
    <row r="946" spans="2:69" s="29" customFormat="1" ht="16.5" thickBot="1">
      <c r="B946" s="141" t="s">
        <v>1973</v>
      </c>
      <c r="D946" s="49"/>
      <c r="E946" s="22"/>
      <c r="F946" s="31" t="s">
        <v>1181</v>
      </c>
      <c r="H946" s="31"/>
      <c r="M946" s="29">
        <v>7.64</v>
      </c>
      <c r="AO946" s="29" t="s">
        <v>1536</v>
      </c>
      <c r="BQ946" s="155"/>
    </row>
    <row r="947" spans="2:69" s="29" customFormat="1" ht="27.75" thickBot="1">
      <c r="B947" s="141" t="s">
        <v>1951</v>
      </c>
      <c r="D947" s="49"/>
      <c r="E947" s="22"/>
      <c r="F947" s="31" t="s">
        <v>1182</v>
      </c>
      <c r="H947" s="31"/>
      <c r="M947" s="29">
        <v>675.3</v>
      </c>
      <c r="AO947" s="29" t="s">
        <v>1536</v>
      </c>
      <c r="BQ947" s="155"/>
    </row>
    <row r="948" spans="2:69" s="29" customFormat="1" ht="40.5">
      <c r="B948" s="141" t="s">
        <v>1974</v>
      </c>
      <c r="D948" s="49"/>
      <c r="E948" s="22"/>
      <c r="F948" s="31" t="s">
        <v>1104</v>
      </c>
      <c r="H948" s="31"/>
      <c r="M948" s="29">
        <v>366.14</v>
      </c>
      <c r="AO948" s="29" t="s">
        <v>1536</v>
      </c>
      <c r="BQ948" s="155"/>
    </row>
    <row r="949" spans="2:69" s="20" customFormat="1" ht="27">
      <c r="B949" s="141" t="s">
        <v>1975</v>
      </c>
      <c r="D949" s="50"/>
      <c r="E949" s="22"/>
      <c r="F949" s="20" t="s">
        <v>1085</v>
      </c>
      <c r="G949" s="23"/>
      <c r="M949" s="20">
        <v>547.48329999999999</v>
      </c>
      <c r="AO949" s="20" t="s">
        <v>1536</v>
      </c>
      <c r="BQ949" s="156"/>
    </row>
    <row r="950" spans="2:69" s="20" customFormat="1" ht="27">
      <c r="B950" s="141" t="s">
        <v>1976</v>
      </c>
      <c r="D950" s="50"/>
      <c r="E950" s="22"/>
      <c r="F950" s="20" t="s">
        <v>1087</v>
      </c>
      <c r="G950" s="23"/>
      <c r="M950" s="20">
        <v>7</v>
      </c>
      <c r="AO950" s="20" t="s">
        <v>1536</v>
      </c>
      <c r="BQ950" s="156"/>
    </row>
    <row r="951" spans="2:69" s="20" customFormat="1" ht="27">
      <c r="B951" s="141" t="s">
        <v>1855</v>
      </c>
      <c r="D951" s="50"/>
      <c r="E951" s="22"/>
      <c r="F951" s="20" t="s">
        <v>1088</v>
      </c>
      <c r="G951" s="23"/>
      <c r="M951" s="20">
        <v>547.48329999999999</v>
      </c>
      <c r="AO951" s="20" t="s">
        <v>1536</v>
      </c>
      <c r="BQ951" s="156"/>
    </row>
    <row r="952" spans="2:69" s="20" customFormat="1" ht="15.75">
      <c r="B952" s="141" t="s">
        <v>1850</v>
      </c>
      <c r="D952" s="50"/>
      <c r="E952" s="22"/>
      <c r="F952" s="20" t="s">
        <v>564</v>
      </c>
      <c r="G952" s="23"/>
      <c r="M952" s="20">
        <v>837</v>
      </c>
      <c r="AO952" s="20" t="s">
        <v>1536</v>
      </c>
      <c r="BQ952" s="156"/>
    </row>
    <row r="953" spans="2:69" s="20" customFormat="1" ht="40.5">
      <c r="B953" s="141" t="s">
        <v>1977</v>
      </c>
      <c r="D953" s="50"/>
      <c r="E953" s="22"/>
      <c r="F953" s="20" t="s">
        <v>812</v>
      </c>
      <c r="G953" s="23"/>
      <c r="M953" s="20">
        <v>338</v>
      </c>
      <c r="AO953" s="20" t="s">
        <v>1536</v>
      </c>
      <c r="BQ953" s="156"/>
    </row>
    <row r="954" spans="2:69" s="20" customFormat="1" ht="27">
      <c r="B954" s="141" t="s">
        <v>1978</v>
      </c>
      <c r="D954" s="50"/>
      <c r="E954" s="22"/>
      <c r="F954" s="20" t="s">
        <v>1091</v>
      </c>
      <c r="G954" s="23"/>
      <c r="M954" s="20">
        <v>7.609</v>
      </c>
      <c r="AO954" s="20" t="s">
        <v>1536</v>
      </c>
      <c r="BQ954" s="156"/>
    </row>
    <row r="955" spans="2:69" s="20" customFormat="1" ht="15.75">
      <c r="B955" s="141" t="s">
        <v>1849</v>
      </c>
      <c r="D955" s="50"/>
      <c r="E955" s="22"/>
      <c r="F955" s="20" t="s">
        <v>124</v>
      </c>
      <c r="G955" s="23"/>
      <c r="M955" s="20">
        <v>7.64</v>
      </c>
      <c r="AO955" s="20" t="s">
        <v>1536</v>
      </c>
      <c r="BQ955" s="156"/>
    </row>
    <row r="956" spans="2:69" s="20" customFormat="1" ht="15.75">
      <c r="B956" s="141" t="s">
        <v>1979</v>
      </c>
      <c r="D956" s="50"/>
      <c r="E956" s="22"/>
      <c r="F956" s="20" t="s">
        <v>1093</v>
      </c>
      <c r="G956" s="23"/>
      <c r="M956" s="20">
        <v>327.2</v>
      </c>
      <c r="AO956" s="20" t="s">
        <v>1536</v>
      </c>
      <c r="BQ956" s="156"/>
    </row>
    <row r="957" spans="2:69" s="20" customFormat="1" ht="27">
      <c r="B957" s="141" t="s">
        <v>1980</v>
      </c>
      <c r="D957" s="50"/>
      <c r="E957" s="22"/>
      <c r="F957" s="20" t="s">
        <v>1098</v>
      </c>
      <c r="G957" s="23"/>
      <c r="M957" s="20">
        <v>673.99</v>
      </c>
      <c r="AO957" s="20" t="s">
        <v>1536</v>
      </c>
      <c r="BQ957" s="156"/>
    </row>
    <row r="958" spans="2:69" s="20" customFormat="1" ht="27">
      <c r="B958" s="141" t="s">
        <v>1856</v>
      </c>
      <c r="D958" s="50"/>
      <c r="E958" s="22"/>
      <c r="F958" s="20" t="s">
        <v>1099</v>
      </c>
      <c r="G958" s="23"/>
      <c r="M958" s="20">
        <v>7.63</v>
      </c>
      <c r="AO958" s="20" t="s">
        <v>1536</v>
      </c>
      <c r="BQ958" s="156"/>
    </row>
    <row r="959" spans="2:69" s="20" customFormat="1" ht="27">
      <c r="B959" s="141" t="s">
        <v>1853</v>
      </c>
      <c r="D959" s="50"/>
      <c r="E959" s="22"/>
      <c r="F959" s="20" t="s">
        <v>1100</v>
      </c>
      <c r="G959" s="23"/>
      <c r="M959" s="20">
        <v>338.5</v>
      </c>
      <c r="AO959" s="20" t="s">
        <v>1536</v>
      </c>
      <c r="BQ959" s="156"/>
    </row>
    <row r="960" spans="2:69" s="20" customFormat="1" ht="15.75">
      <c r="B960" s="141" t="s">
        <v>1847</v>
      </c>
      <c r="D960" s="50"/>
      <c r="E960" s="22"/>
      <c r="F960" s="20" t="s">
        <v>1101</v>
      </c>
      <c r="G960" s="23"/>
      <c r="M960" s="20">
        <v>336.4</v>
      </c>
      <c r="AO960" s="20" t="s">
        <v>1536</v>
      </c>
      <c r="BQ960" s="156"/>
    </row>
    <row r="961" spans="2:69" s="20" customFormat="1" ht="27">
      <c r="B961" s="141" t="s">
        <v>1981</v>
      </c>
      <c r="D961" s="50"/>
      <c r="E961" s="22"/>
      <c r="F961" s="20" t="s">
        <v>1103</v>
      </c>
      <c r="G961" s="23"/>
      <c r="M961" s="20">
        <v>335</v>
      </c>
      <c r="AO961" s="20" t="s">
        <v>1536</v>
      </c>
      <c r="BQ961" s="156"/>
    </row>
    <row r="962" spans="2:69" s="20" customFormat="1" ht="15.75">
      <c r="B962" s="141" t="s">
        <v>1982</v>
      </c>
      <c r="D962" s="50"/>
      <c r="E962" s="22"/>
      <c r="F962" s="20" t="s">
        <v>1106</v>
      </c>
      <c r="G962" s="23"/>
      <c r="M962" s="20">
        <v>7.35</v>
      </c>
      <c r="AO962" s="20" t="s">
        <v>1536</v>
      </c>
      <c r="BQ962" s="156"/>
    </row>
    <row r="963" spans="2:69" s="21" customFormat="1" ht="27.75" thickBot="1">
      <c r="B963" s="141" t="s">
        <v>1983</v>
      </c>
      <c r="D963" s="48"/>
      <c r="E963" s="22"/>
      <c r="F963" s="30" t="s">
        <v>811</v>
      </c>
      <c r="G963" s="23"/>
      <c r="H963" s="25"/>
      <c r="M963" s="21">
        <v>338</v>
      </c>
      <c r="AO963" s="21" t="s">
        <v>1536</v>
      </c>
      <c r="BQ963" s="154"/>
    </row>
    <row r="964" spans="2:69" s="21" customFormat="1" ht="27.75" thickBot="1">
      <c r="B964" s="141" t="s">
        <v>1984</v>
      </c>
      <c r="D964" s="49"/>
      <c r="E964" s="22"/>
      <c r="F964" s="31" t="s">
        <v>812</v>
      </c>
      <c r="G964" s="23"/>
      <c r="M964" s="21">
        <v>547.48329999999999</v>
      </c>
      <c r="AO964" s="21" t="s">
        <v>1536</v>
      </c>
      <c r="BQ964" s="154"/>
    </row>
    <row r="965" spans="2:69" s="21" customFormat="1" ht="27.75" thickBot="1">
      <c r="B965" s="141" t="s">
        <v>1985</v>
      </c>
      <c r="D965" s="49"/>
      <c r="E965" s="22"/>
      <c r="F965" s="31" t="s">
        <v>813</v>
      </c>
      <c r="G965" s="23"/>
      <c r="M965" s="21">
        <v>7.35</v>
      </c>
      <c r="AO965" s="21" t="s">
        <v>1536</v>
      </c>
      <c r="BQ965" s="154"/>
    </row>
    <row r="966" spans="2:69" s="21" customFormat="1" ht="27.75" thickBot="1">
      <c r="B966" s="141" t="s">
        <v>1986</v>
      </c>
      <c r="D966" s="49"/>
      <c r="E966" s="22"/>
      <c r="F966" s="31" t="s">
        <v>839</v>
      </c>
      <c r="G966" s="23"/>
      <c r="M966" s="21">
        <v>681.6</v>
      </c>
      <c r="AO966" s="21" t="s">
        <v>1536</v>
      </c>
      <c r="BQ966" s="154"/>
    </row>
    <row r="967" spans="2:69" s="21" customFormat="1" ht="16.5" thickBot="1">
      <c r="B967" s="141" t="s">
        <v>1987</v>
      </c>
      <c r="D967" s="49"/>
      <c r="E967" s="22"/>
      <c r="F967" s="31" t="s">
        <v>814</v>
      </c>
      <c r="G967" s="23"/>
      <c r="M967" s="21">
        <v>7.35</v>
      </c>
      <c r="AO967" s="21" t="s">
        <v>1536</v>
      </c>
      <c r="BQ967" s="154"/>
    </row>
    <row r="968" spans="2:69" s="21" customFormat="1" ht="16.5" thickBot="1">
      <c r="B968" s="141" t="s">
        <v>1988</v>
      </c>
      <c r="D968" s="49"/>
      <c r="E968" s="22"/>
      <c r="F968" s="31" t="s">
        <v>691</v>
      </c>
      <c r="G968" s="23"/>
      <c r="M968" s="21">
        <v>7.6</v>
      </c>
      <c r="AO968" s="21" t="s">
        <v>1536</v>
      </c>
      <c r="BQ968" s="154"/>
    </row>
    <row r="969" spans="2:69" s="21" customFormat="1" ht="27.75" thickBot="1">
      <c r="B969" s="141" t="s">
        <v>1989</v>
      </c>
      <c r="D969" s="49"/>
      <c r="E969" s="22"/>
      <c r="F969" s="31" t="s">
        <v>698</v>
      </c>
      <c r="G969" s="23"/>
      <c r="M969" s="21">
        <v>7.13</v>
      </c>
      <c r="AO969" s="21" t="s">
        <v>1536</v>
      </c>
      <c r="BQ969" s="154"/>
    </row>
    <row r="970" spans="2:69" s="21" customFormat="1" ht="27.75" thickBot="1">
      <c r="B970" s="141" t="s">
        <v>1990</v>
      </c>
      <c r="D970" s="49"/>
      <c r="E970" s="22"/>
      <c r="F970" s="31" t="s">
        <v>699</v>
      </c>
      <c r="G970" s="23"/>
      <c r="M970" s="21">
        <v>673.93</v>
      </c>
      <c r="AO970" s="21" t="s">
        <v>1536</v>
      </c>
      <c r="BQ970" s="154"/>
    </row>
    <row r="971" spans="2:69" s="21" customFormat="1" ht="27.75" thickBot="1">
      <c r="B971" s="141" t="s">
        <v>1991</v>
      </c>
      <c r="D971" s="49"/>
      <c r="E971" s="22"/>
      <c r="F971" s="31" t="s">
        <v>697</v>
      </c>
      <c r="G971" s="23"/>
      <c r="M971" s="21">
        <v>547.48329999999999</v>
      </c>
      <c r="AO971" s="21" t="s">
        <v>1536</v>
      </c>
      <c r="BQ971" s="154"/>
    </row>
    <row r="972" spans="2:69" s="21" customFormat="1" ht="16.5" thickBot="1">
      <c r="B972" s="141" t="s">
        <v>1992</v>
      </c>
      <c r="D972" s="49"/>
      <c r="E972" s="22"/>
      <c r="F972" s="31" t="s">
        <v>815</v>
      </c>
      <c r="G972" s="23"/>
      <c r="M972" s="21">
        <v>7.63</v>
      </c>
      <c r="AO972" s="21" t="s">
        <v>1536</v>
      </c>
      <c r="BQ972" s="154"/>
    </row>
    <row r="973" spans="2:69" s="21" customFormat="1" ht="16.5" thickBot="1">
      <c r="B973" s="141" t="s">
        <v>1993</v>
      </c>
      <c r="D973" s="49"/>
      <c r="E973" s="22"/>
      <c r="F973" s="31" t="s">
        <v>816</v>
      </c>
      <c r="G973" s="23"/>
      <c r="M973" s="21">
        <v>7.6</v>
      </c>
      <c r="AO973" s="21" t="s">
        <v>1536</v>
      </c>
      <c r="BQ973" s="154"/>
    </row>
    <row r="974" spans="2:69" s="21" customFormat="1" ht="16.5" thickBot="1">
      <c r="B974" s="141" t="s">
        <v>1994</v>
      </c>
      <c r="D974" s="49"/>
      <c r="E974" s="22"/>
      <c r="F974" s="31" t="s">
        <v>817</v>
      </c>
      <c r="G974" s="23"/>
      <c r="M974" s="21">
        <v>7.6</v>
      </c>
      <c r="AO974" s="21" t="s">
        <v>1536</v>
      </c>
      <c r="BQ974" s="154"/>
    </row>
    <row r="975" spans="2:69" s="21" customFormat="1" ht="27.75" thickBot="1">
      <c r="B975" s="141" t="s">
        <v>1995</v>
      </c>
      <c r="D975" s="49"/>
      <c r="E975" s="22"/>
      <c r="F975" s="31" t="s">
        <v>506</v>
      </c>
      <c r="G975" s="23"/>
      <c r="M975" s="21">
        <v>7.13</v>
      </c>
      <c r="AO975" s="21" t="s">
        <v>1536</v>
      </c>
      <c r="BQ975" s="154"/>
    </row>
    <row r="976" spans="2:69" s="21" customFormat="1" ht="27.75" thickBot="1">
      <c r="B976" s="141" t="s">
        <v>1950</v>
      </c>
      <c r="D976" s="49"/>
      <c r="E976" s="22"/>
      <c r="F976" s="31" t="s">
        <v>708</v>
      </c>
      <c r="G976" s="23"/>
      <c r="M976" s="21">
        <v>673.7</v>
      </c>
      <c r="AO976" s="21" t="s">
        <v>1536</v>
      </c>
      <c r="BQ976" s="154"/>
    </row>
    <row r="977" spans="2:69" s="21" customFormat="1" ht="16.5" thickBot="1">
      <c r="B977" s="141" t="s">
        <v>1996</v>
      </c>
      <c r="D977" s="49"/>
      <c r="E977" s="22"/>
      <c r="F977" s="31" t="s">
        <v>707</v>
      </c>
      <c r="G977" s="23"/>
      <c r="M977" s="21">
        <v>7.64</v>
      </c>
      <c r="AO977" s="21" t="s">
        <v>1536</v>
      </c>
      <c r="BQ977" s="154"/>
    </row>
    <row r="978" spans="2:69" s="21" customFormat="1" ht="15.75">
      <c r="B978" s="141" t="s">
        <v>1997</v>
      </c>
      <c r="D978" s="49"/>
      <c r="E978" s="22"/>
      <c r="F978" s="31" t="s">
        <v>590</v>
      </c>
      <c r="G978" s="23"/>
      <c r="M978" s="21">
        <v>7.64</v>
      </c>
      <c r="AO978" s="21" t="s">
        <v>1536</v>
      </c>
      <c r="BQ978" s="154"/>
    </row>
    <row r="979" spans="2:69" s="21" customFormat="1" ht="15.75">
      <c r="B979" s="141" t="s">
        <v>1998</v>
      </c>
      <c r="D979" s="47"/>
      <c r="E979" s="22"/>
      <c r="F979" s="21" t="s">
        <v>693</v>
      </c>
      <c r="G979" s="23"/>
      <c r="H979" s="21" t="s">
        <v>672</v>
      </c>
      <c r="M979" s="21">
        <v>933.7</v>
      </c>
      <c r="AO979" s="21" t="s">
        <v>1536</v>
      </c>
      <c r="BQ979" s="154"/>
    </row>
    <row r="980" spans="2:69" s="21" customFormat="1" ht="27">
      <c r="B980" s="141" t="s">
        <v>1999</v>
      </c>
      <c r="D980" s="47"/>
      <c r="E980" s="22"/>
      <c r="F980" s="21" t="s">
        <v>175</v>
      </c>
      <c r="G980" s="23"/>
      <c r="H980" s="21" t="s">
        <v>672</v>
      </c>
      <c r="M980" s="21">
        <v>7.13</v>
      </c>
      <c r="AO980" s="21" t="s">
        <v>1536</v>
      </c>
      <c r="BQ980" s="154"/>
    </row>
    <row r="981" spans="2:69" s="21" customFormat="1" ht="15.75">
      <c r="B981" s="141" t="s">
        <v>2000</v>
      </c>
      <c r="D981" s="47"/>
      <c r="E981" s="22"/>
      <c r="F981" s="21" t="s">
        <v>696</v>
      </c>
      <c r="G981" s="23"/>
      <c r="H981" s="21" t="s">
        <v>672</v>
      </c>
      <c r="M981" s="21">
        <v>7.6</v>
      </c>
      <c r="AO981" s="21" t="s">
        <v>1536</v>
      </c>
      <c r="BQ981" s="154"/>
    </row>
    <row r="982" spans="2:69" s="21" customFormat="1" ht="15.75">
      <c r="B982" s="141" t="s">
        <v>2001</v>
      </c>
      <c r="D982" s="47"/>
      <c r="E982" s="22"/>
      <c r="F982" s="21" t="s">
        <v>701</v>
      </c>
      <c r="G982" s="23"/>
      <c r="H982" s="21" t="s">
        <v>672</v>
      </c>
      <c r="M982" s="21">
        <v>509.21</v>
      </c>
      <c r="AO982" s="21" t="s">
        <v>1536</v>
      </c>
      <c r="BQ982" s="154"/>
    </row>
    <row r="983" spans="2:69" s="21" customFormat="1" ht="15.75">
      <c r="B983" s="141" t="s">
        <v>2002</v>
      </c>
      <c r="D983" s="47"/>
      <c r="E983" s="22"/>
      <c r="F983" s="21" t="s">
        <v>609</v>
      </c>
      <c r="G983" s="23"/>
      <c r="H983" s="21" t="s">
        <v>672</v>
      </c>
      <c r="M983" s="21">
        <v>7.6340000000000003</v>
      </c>
      <c r="AO983" s="21" t="s">
        <v>1536</v>
      </c>
      <c r="BQ983" s="154"/>
    </row>
    <row r="984" spans="2:69" s="21" customFormat="1" ht="27">
      <c r="B984" s="141" t="s">
        <v>2003</v>
      </c>
      <c r="D984" s="47"/>
      <c r="E984" s="22"/>
      <c r="F984" s="21" t="s">
        <v>610</v>
      </c>
      <c r="G984" s="23"/>
      <c r="H984" s="21" t="s">
        <v>672</v>
      </c>
      <c r="M984" s="21">
        <v>366.67</v>
      </c>
      <c r="AO984" s="21" t="s">
        <v>1536</v>
      </c>
      <c r="BQ984" s="154"/>
    </row>
    <row r="985" spans="2:69" s="21" customFormat="1" ht="27">
      <c r="B985" s="141" t="s">
        <v>2004</v>
      </c>
      <c r="D985" s="47"/>
      <c r="E985" s="22"/>
      <c r="F985" s="21" t="s">
        <v>704</v>
      </c>
      <c r="G985" s="23"/>
      <c r="H985" s="21" t="s">
        <v>672</v>
      </c>
      <c r="M985" s="21">
        <v>7.63</v>
      </c>
      <c r="AO985" s="21" t="s">
        <v>1536</v>
      </c>
      <c r="BQ985" s="154"/>
    </row>
    <row r="986" spans="2:69" s="21" customFormat="1" ht="27">
      <c r="B986" s="141" t="s">
        <v>2005</v>
      </c>
      <c r="D986" s="47"/>
      <c r="E986" s="22"/>
      <c r="F986" s="21" t="s">
        <v>431</v>
      </c>
      <c r="G986" s="23"/>
      <c r="H986" s="21" t="s">
        <v>672</v>
      </c>
      <c r="M986" s="21">
        <v>336.9</v>
      </c>
      <c r="AO986" s="21" t="s">
        <v>1536</v>
      </c>
      <c r="BQ986" s="154"/>
    </row>
    <row r="987" spans="2:69" s="21" customFormat="1" ht="15.75">
      <c r="B987" s="141" t="s">
        <v>2006</v>
      </c>
      <c r="D987" s="47"/>
      <c r="E987" s="22"/>
      <c r="F987" s="21" t="s">
        <v>608</v>
      </c>
      <c r="G987" s="23"/>
      <c r="H987" s="21" t="s">
        <v>672</v>
      </c>
      <c r="M987" s="21">
        <v>7.6340000000000003</v>
      </c>
      <c r="AO987" s="21" t="s">
        <v>1536</v>
      </c>
      <c r="BQ987" s="154"/>
    </row>
    <row r="988" spans="2:69" s="21" customFormat="1" ht="15.75">
      <c r="B988" s="141" t="s">
        <v>2007</v>
      </c>
      <c r="D988" s="47"/>
      <c r="E988" s="22"/>
      <c r="F988" s="21" t="s">
        <v>711</v>
      </c>
      <c r="G988" s="23"/>
      <c r="H988" s="21" t="s">
        <v>672</v>
      </c>
      <c r="M988" s="21">
        <v>7.609</v>
      </c>
      <c r="AO988" s="21" t="s">
        <v>1536</v>
      </c>
      <c r="BQ988" s="154"/>
    </row>
    <row r="989" spans="2:69" s="21" customFormat="1" ht="27">
      <c r="B989" s="141" t="s">
        <v>2008</v>
      </c>
      <c r="D989" s="47"/>
      <c r="E989" s="22"/>
      <c r="F989" s="21" t="s">
        <v>592</v>
      </c>
      <c r="G989" s="23"/>
      <c r="H989" s="21" t="s">
        <v>672</v>
      </c>
      <c r="M989" s="21">
        <v>333.6</v>
      </c>
      <c r="AO989" s="21" t="s">
        <v>1536</v>
      </c>
      <c r="BQ989" s="154"/>
    </row>
    <row r="990" spans="2:69" s="21" customFormat="1" ht="27">
      <c r="B990" s="141" t="s">
        <v>2009</v>
      </c>
      <c r="D990" s="47"/>
      <c r="E990" s="22"/>
      <c r="F990" s="21" t="s">
        <v>593</v>
      </c>
      <c r="G990" s="23"/>
      <c r="H990" s="21" t="s">
        <v>672</v>
      </c>
      <c r="M990" s="21">
        <v>915.5</v>
      </c>
      <c r="AO990" s="21" t="s">
        <v>1536</v>
      </c>
      <c r="BQ990" s="154"/>
    </row>
    <row r="991" spans="2:69" s="21" customFormat="1" ht="16.5" thickBot="1">
      <c r="B991" s="141" t="s">
        <v>2010</v>
      </c>
      <c r="D991" s="47"/>
      <c r="E991" s="22"/>
      <c r="F991" s="21" t="s">
        <v>590</v>
      </c>
      <c r="G991" s="23"/>
      <c r="H991" s="21" t="s">
        <v>672</v>
      </c>
      <c r="M991" s="21">
        <v>7.64</v>
      </c>
      <c r="AO991" s="21" t="s">
        <v>1536</v>
      </c>
      <c r="BQ991" s="154"/>
    </row>
    <row r="992" spans="2:69" s="20" customFormat="1" ht="27.75" thickBot="1">
      <c r="B992" s="141" t="s">
        <v>2011</v>
      </c>
      <c r="D992" s="51"/>
      <c r="E992" s="22"/>
      <c r="F992" s="32" t="s">
        <v>619</v>
      </c>
      <c r="G992" s="23"/>
      <c r="H992" s="33"/>
      <c r="M992" s="20">
        <v>336</v>
      </c>
      <c r="AO992" s="20" t="s">
        <v>1536</v>
      </c>
      <c r="BQ992" s="156"/>
    </row>
    <row r="993" spans="2:69" s="20" customFormat="1" ht="16.5" thickBot="1">
      <c r="B993" s="141" t="s">
        <v>2012</v>
      </c>
      <c r="D993" s="51"/>
      <c r="E993" s="22"/>
      <c r="F993" s="32" t="s">
        <v>617</v>
      </c>
      <c r="G993" s="23"/>
      <c r="H993" s="33"/>
      <c r="M993" s="20">
        <v>336</v>
      </c>
      <c r="AO993" s="20" t="s">
        <v>1536</v>
      </c>
      <c r="BQ993" s="156"/>
    </row>
    <row r="994" spans="2:69" s="20" customFormat="1" ht="27.75" thickBot="1">
      <c r="B994" s="141" t="s">
        <v>2013</v>
      </c>
      <c r="D994" s="51"/>
      <c r="E994" s="22"/>
      <c r="F994" s="32" t="s">
        <v>615</v>
      </c>
      <c r="G994" s="23"/>
      <c r="H994" s="33"/>
      <c r="M994" s="20">
        <v>336</v>
      </c>
      <c r="AO994" s="20" t="s">
        <v>1536</v>
      </c>
      <c r="BQ994" s="156"/>
    </row>
    <row r="995" spans="2:69" s="20" customFormat="1" ht="16.5" thickBot="1">
      <c r="B995" s="141" t="s">
        <v>2014</v>
      </c>
      <c r="D995" s="51"/>
      <c r="E995" s="22"/>
      <c r="F995" s="32" t="s">
        <v>564</v>
      </c>
      <c r="G995" s="23"/>
      <c r="H995" s="33"/>
      <c r="M995" s="20">
        <v>837</v>
      </c>
      <c r="AO995" s="20" t="s">
        <v>1536</v>
      </c>
      <c r="BQ995" s="156"/>
    </row>
    <row r="996" spans="2:69" s="20" customFormat="1" ht="16.5" thickBot="1">
      <c r="B996" s="141" t="s">
        <v>2015</v>
      </c>
      <c r="D996" s="51"/>
      <c r="E996" s="22"/>
      <c r="F996" s="32" t="s">
        <v>612</v>
      </c>
      <c r="G996" s="23"/>
      <c r="H996" s="33"/>
      <c r="M996" s="20">
        <v>953.6</v>
      </c>
      <c r="AO996" s="20" t="s">
        <v>1536</v>
      </c>
      <c r="BQ996" s="156"/>
    </row>
    <row r="997" spans="2:69" s="20" customFormat="1" ht="27.75" thickBot="1">
      <c r="B997" s="141" t="s">
        <v>2016</v>
      </c>
      <c r="D997" s="51"/>
      <c r="E997" s="22"/>
      <c r="F997" s="32" t="s">
        <v>610</v>
      </c>
      <c r="G997" s="23"/>
      <c r="H997" s="33"/>
      <c r="M997" s="20">
        <v>366.67</v>
      </c>
      <c r="AO997" s="20" t="s">
        <v>1536</v>
      </c>
      <c r="BQ997" s="156"/>
    </row>
    <row r="998" spans="2:69" s="20" customFormat="1" ht="27.75" thickBot="1">
      <c r="B998" s="141" t="s">
        <v>2017</v>
      </c>
      <c r="D998" s="51"/>
      <c r="E998" s="22"/>
      <c r="F998" s="32" t="s">
        <v>558</v>
      </c>
      <c r="G998" s="23"/>
      <c r="H998" s="33"/>
      <c r="M998" s="20">
        <v>366.15</v>
      </c>
      <c r="AO998" s="20" t="s">
        <v>1536</v>
      </c>
      <c r="BQ998" s="156"/>
    </row>
    <row r="999" spans="2:69" s="20" customFormat="1" ht="16.5" thickBot="1">
      <c r="B999" s="141" t="s">
        <v>2018</v>
      </c>
      <c r="D999" s="51"/>
      <c r="E999" s="22"/>
      <c r="F999" s="32" t="s">
        <v>603</v>
      </c>
      <c r="G999" s="23"/>
      <c r="H999" s="33"/>
      <c r="M999" s="20">
        <v>7.64</v>
      </c>
      <c r="AO999" s="20" t="s">
        <v>1536</v>
      </c>
      <c r="BQ999" s="156"/>
    </row>
    <row r="1000" spans="2:69" s="20" customFormat="1" ht="41.25" thickBot="1">
      <c r="B1000" s="141" t="s">
        <v>2019</v>
      </c>
      <c r="D1000" s="51"/>
      <c r="E1000" s="22"/>
      <c r="F1000" s="32" t="s">
        <v>601</v>
      </c>
      <c r="G1000" s="23"/>
      <c r="H1000" s="33"/>
      <c r="M1000" s="20">
        <v>830.7</v>
      </c>
      <c r="AO1000" s="20" t="s">
        <v>1536</v>
      </c>
      <c r="BQ1000" s="156"/>
    </row>
    <row r="1001" spans="2:69" s="20" customFormat="1" ht="27.75" thickBot="1">
      <c r="B1001" s="141" t="s">
        <v>2020</v>
      </c>
      <c r="D1001" s="51"/>
      <c r="E1001" s="22"/>
      <c r="F1001" s="32" t="s">
        <v>599</v>
      </c>
      <c r="G1001" s="23"/>
      <c r="H1001" s="33"/>
      <c r="M1001" s="20">
        <v>694.6</v>
      </c>
      <c r="AO1001" s="20" t="s">
        <v>1536</v>
      </c>
      <c r="BQ1001" s="156"/>
    </row>
    <row r="1002" spans="2:69" s="20" customFormat="1" ht="16.5" thickBot="1">
      <c r="B1002" s="141" t="s">
        <v>2021</v>
      </c>
      <c r="D1002" s="51"/>
      <c r="E1002" s="22"/>
      <c r="F1002" s="32" t="s">
        <v>597</v>
      </c>
      <c r="G1002" s="23"/>
      <c r="H1002" s="33"/>
      <c r="M1002" s="20">
        <v>7.64</v>
      </c>
      <c r="AO1002" s="20" t="s">
        <v>1536</v>
      </c>
      <c r="BQ1002" s="156"/>
    </row>
    <row r="1003" spans="2:69" s="20" customFormat="1" ht="16.5" thickBot="1">
      <c r="B1003" s="141" t="s">
        <v>2022</v>
      </c>
      <c r="D1003" s="51"/>
      <c r="E1003" s="22"/>
      <c r="F1003" s="32" t="s">
        <v>595</v>
      </c>
      <c r="G1003" s="23"/>
      <c r="H1003" s="33"/>
      <c r="M1003" s="20">
        <v>366.14</v>
      </c>
      <c r="AO1003" s="20" t="s">
        <v>1536</v>
      </c>
      <c r="BQ1003" s="156"/>
    </row>
    <row r="1004" spans="2:69" s="20" customFormat="1" ht="16.5" thickBot="1">
      <c r="B1004" s="141" t="s">
        <v>2023</v>
      </c>
      <c r="D1004" s="51"/>
      <c r="E1004" s="22"/>
      <c r="F1004" s="32" t="s">
        <v>564</v>
      </c>
      <c r="G1004" s="23"/>
      <c r="H1004" s="33"/>
      <c r="M1004" s="20">
        <v>837</v>
      </c>
      <c r="AO1004" s="20" t="s">
        <v>1536</v>
      </c>
      <c r="BQ1004" s="156"/>
    </row>
    <row r="1005" spans="2:69" s="20" customFormat="1" ht="16.5" thickBot="1">
      <c r="B1005" s="141" t="s">
        <v>2024</v>
      </c>
      <c r="D1005" s="51"/>
      <c r="E1005" s="22"/>
      <c r="F1005" s="32" t="s">
        <v>590</v>
      </c>
      <c r="G1005" s="23"/>
      <c r="H1005" s="33"/>
      <c r="M1005" s="20">
        <v>7.64</v>
      </c>
      <c r="AO1005" s="20" t="s">
        <v>1536</v>
      </c>
      <c r="BQ1005" s="156"/>
    </row>
    <row r="1006" spans="2:69" s="20" customFormat="1" ht="16.5" thickBot="1">
      <c r="B1006" s="141" t="s">
        <v>2025</v>
      </c>
      <c r="D1006" s="51"/>
      <c r="E1006" s="22"/>
      <c r="F1006" s="32" t="s">
        <v>588</v>
      </c>
      <c r="G1006" s="23"/>
      <c r="H1006" s="33"/>
      <c r="M1006" s="20">
        <v>7.64</v>
      </c>
      <c r="AO1006" s="20" t="s">
        <v>1536</v>
      </c>
      <c r="BQ1006" s="156"/>
    </row>
    <row r="1007" spans="2:69" s="20" customFormat="1" ht="16.5" thickBot="1">
      <c r="B1007" s="141" t="s">
        <v>2026</v>
      </c>
      <c r="D1007" s="51"/>
      <c r="E1007" s="22"/>
      <c r="F1007" s="32" t="s">
        <v>564</v>
      </c>
      <c r="G1007" s="23"/>
      <c r="H1007" s="33"/>
      <c r="M1007" s="20">
        <v>837</v>
      </c>
      <c r="AO1007" s="20" t="s">
        <v>1536</v>
      </c>
      <c r="BQ1007" s="156"/>
    </row>
    <row r="1008" spans="2:69" s="20" customFormat="1" ht="16.5" thickBot="1">
      <c r="B1008" s="141" t="s">
        <v>2027</v>
      </c>
      <c r="D1008" s="51"/>
      <c r="E1008" s="22"/>
      <c r="F1008" s="32" t="s">
        <v>585</v>
      </c>
      <c r="G1008" s="23"/>
      <c r="H1008" s="33"/>
      <c r="M1008" s="20">
        <v>7.64</v>
      </c>
      <c r="AO1008" s="20" t="s">
        <v>1536</v>
      </c>
      <c r="BQ1008" s="156"/>
    </row>
    <row r="1009" spans="2:69" s="20" customFormat="1" ht="16.5" thickBot="1">
      <c r="B1009" s="141" t="s">
        <v>2028</v>
      </c>
      <c r="D1009" s="51"/>
      <c r="E1009" s="22"/>
      <c r="F1009" s="32" t="s">
        <v>583</v>
      </c>
      <c r="G1009" s="23"/>
      <c r="H1009" s="33"/>
      <c r="M1009" s="20">
        <v>7.64</v>
      </c>
      <c r="AO1009" s="20" t="s">
        <v>1536</v>
      </c>
      <c r="BQ1009" s="156"/>
    </row>
    <row r="1010" spans="2:69" s="20" customFormat="1" ht="16.5" thickBot="1">
      <c r="B1010" s="141" t="s">
        <v>2029</v>
      </c>
      <c r="D1010" s="51"/>
      <c r="E1010" s="22"/>
      <c r="F1010" s="32" t="s">
        <v>581</v>
      </c>
      <c r="G1010" s="23"/>
      <c r="H1010" s="33"/>
      <c r="M1010" s="20">
        <v>7.64</v>
      </c>
      <c r="AO1010" s="20" t="s">
        <v>1536</v>
      </c>
      <c r="BQ1010" s="156"/>
    </row>
    <row r="1011" spans="2:69" s="20" customFormat="1" ht="16.5" thickBot="1">
      <c r="B1011" s="141" t="s">
        <v>2030</v>
      </c>
      <c r="D1011" s="51"/>
      <c r="E1011" s="22"/>
      <c r="F1011" s="32" t="s">
        <v>579</v>
      </c>
      <c r="G1011" s="23"/>
      <c r="H1011" s="33"/>
      <c r="M1011" s="20">
        <v>335</v>
      </c>
      <c r="AO1011" s="20" t="s">
        <v>1536</v>
      </c>
      <c r="BQ1011" s="156"/>
    </row>
    <row r="1012" spans="2:69" s="20" customFormat="1" ht="16.5" thickBot="1">
      <c r="B1012" s="141" t="s">
        <v>2031</v>
      </c>
      <c r="D1012" s="51"/>
      <c r="E1012" s="22"/>
      <c r="F1012" s="32" t="s">
        <v>490</v>
      </c>
      <c r="G1012" s="23"/>
      <c r="H1012" s="33"/>
      <c r="M1012" s="20">
        <v>366.18</v>
      </c>
      <c r="AO1012" s="20" t="s">
        <v>1536</v>
      </c>
      <c r="BQ1012" s="156"/>
    </row>
    <row r="1013" spans="2:69" s="20" customFormat="1" ht="16.5" thickBot="1">
      <c r="B1013" s="141" t="s">
        <v>2032</v>
      </c>
      <c r="D1013" s="51"/>
      <c r="E1013" s="22"/>
      <c r="F1013" s="32" t="s">
        <v>576</v>
      </c>
      <c r="G1013" s="23"/>
      <c r="H1013" s="33"/>
      <c r="M1013" s="20">
        <v>336.17</v>
      </c>
      <c r="AO1013" s="20" t="s">
        <v>1536</v>
      </c>
      <c r="BQ1013" s="156"/>
    </row>
    <row r="1014" spans="2:69" s="20" customFormat="1" ht="27.75" thickBot="1">
      <c r="B1014" s="141" t="s">
        <v>2033</v>
      </c>
      <c r="D1014" s="51"/>
      <c r="E1014" s="22"/>
      <c r="F1014" s="32" t="s">
        <v>204</v>
      </c>
      <c r="G1014" s="23"/>
      <c r="H1014" s="33"/>
      <c r="M1014" s="20">
        <v>7.64</v>
      </c>
      <c r="AO1014" s="20" t="s">
        <v>1536</v>
      </c>
      <c r="BQ1014" s="156"/>
    </row>
    <row r="1015" spans="2:69" s="20" customFormat="1" ht="27.75" thickBot="1">
      <c r="B1015" s="141" t="s">
        <v>2034</v>
      </c>
      <c r="D1015" s="51"/>
      <c r="E1015" s="22"/>
      <c r="F1015" s="32" t="s">
        <v>573</v>
      </c>
      <c r="G1015" s="23"/>
      <c r="H1015" s="33"/>
      <c r="M1015" s="20">
        <v>547.48329999999999</v>
      </c>
      <c r="AO1015" s="20" t="s">
        <v>1536</v>
      </c>
      <c r="BQ1015" s="156"/>
    </row>
    <row r="1016" spans="2:69" s="20" customFormat="1" ht="16.5" thickBot="1">
      <c r="B1016" s="141" t="s">
        <v>2035</v>
      </c>
      <c r="D1016" s="51"/>
      <c r="E1016" s="22"/>
      <c r="F1016" s="32" t="s">
        <v>571</v>
      </c>
      <c r="G1016" s="23"/>
      <c r="H1016" s="33"/>
      <c r="M1016" s="20">
        <v>547.48329999999999</v>
      </c>
      <c r="AO1016" s="20" t="s">
        <v>1536</v>
      </c>
      <c r="BQ1016" s="156"/>
    </row>
    <row r="1017" spans="2:69" s="20" customFormat="1" ht="16.5" thickBot="1">
      <c r="B1017" s="141" t="s">
        <v>2036</v>
      </c>
      <c r="D1017" s="51"/>
      <c r="E1017" s="22"/>
      <c r="F1017" s="32" t="s">
        <v>569</v>
      </c>
      <c r="G1017" s="23"/>
      <c r="H1017" s="33"/>
      <c r="M1017" s="20">
        <v>304</v>
      </c>
      <c r="AO1017" s="20" t="s">
        <v>1536</v>
      </c>
      <c r="BQ1017" s="156"/>
    </row>
    <row r="1018" spans="2:69" s="20" customFormat="1" ht="16.5" thickBot="1">
      <c r="B1018" s="141" t="s">
        <v>2037</v>
      </c>
      <c r="D1018" s="51"/>
      <c r="E1018" s="22"/>
      <c r="F1018" s="32" t="s">
        <v>567</v>
      </c>
      <c r="G1018" s="23"/>
      <c r="H1018" s="33"/>
      <c r="M1018" s="20">
        <v>336.4</v>
      </c>
      <c r="AO1018" s="20" t="s">
        <v>1536</v>
      </c>
      <c r="BQ1018" s="156"/>
    </row>
    <row r="1019" spans="2:69" s="20" customFormat="1" ht="27.75" thickBot="1">
      <c r="B1019" s="141" t="s">
        <v>2038</v>
      </c>
      <c r="D1019" s="51"/>
      <c r="E1019" s="22"/>
      <c r="F1019" s="32" t="s">
        <v>206</v>
      </c>
      <c r="G1019" s="23"/>
      <c r="H1019" s="33"/>
      <c r="M1019" s="20">
        <v>7.609</v>
      </c>
      <c r="AO1019" s="20" t="s">
        <v>1536</v>
      </c>
      <c r="BQ1019" s="156"/>
    </row>
    <row r="1020" spans="2:69" s="20" customFormat="1" ht="16.5" thickBot="1">
      <c r="B1020" s="141" t="s">
        <v>2039</v>
      </c>
      <c r="D1020" s="51"/>
      <c r="E1020" s="22"/>
      <c r="F1020" s="32" t="s">
        <v>564</v>
      </c>
      <c r="G1020" s="23"/>
      <c r="H1020" s="33"/>
      <c r="M1020" s="20">
        <v>837</v>
      </c>
      <c r="AO1020" s="20" t="s">
        <v>1536</v>
      </c>
      <c r="BQ1020" s="156"/>
    </row>
    <row r="1021" spans="2:69" s="20" customFormat="1" ht="16.5" thickBot="1">
      <c r="B1021" s="141" t="s">
        <v>2040</v>
      </c>
      <c r="D1021" s="51"/>
      <c r="E1021" s="22"/>
      <c r="F1021" s="32" t="s">
        <v>562</v>
      </c>
      <c r="G1021" s="23"/>
      <c r="H1021" s="33"/>
      <c r="M1021" s="20">
        <v>366.18</v>
      </c>
      <c r="AO1021" s="20" t="s">
        <v>1536</v>
      </c>
      <c r="BQ1021" s="156"/>
    </row>
    <row r="1022" spans="2:69" s="20" customFormat="1" ht="27.75" thickBot="1">
      <c r="B1022" s="141" t="s">
        <v>2041</v>
      </c>
      <c r="D1022" s="51"/>
      <c r="E1022" s="22"/>
      <c r="F1022" s="32" t="s">
        <v>560</v>
      </c>
      <c r="G1022" s="23"/>
      <c r="H1022" s="33"/>
      <c r="M1022" s="20">
        <v>366.15</v>
      </c>
      <c r="AO1022" s="20" t="s">
        <v>1536</v>
      </c>
      <c r="BQ1022" s="156"/>
    </row>
    <row r="1023" spans="2:69" s="20" customFormat="1" ht="27.75" thickBot="1">
      <c r="B1023" s="141" t="s">
        <v>2042</v>
      </c>
      <c r="D1023" s="51"/>
      <c r="E1023" s="22"/>
      <c r="F1023" s="32" t="s">
        <v>558</v>
      </c>
      <c r="G1023" s="23"/>
      <c r="H1023" s="33"/>
      <c r="M1023" s="20">
        <v>366.15</v>
      </c>
      <c r="AO1023" s="20" t="s">
        <v>1536</v>
      </c>
      <c r="BQ1023" s="156"/>
    </row>
    <row r="1024" spans="2:69" s="20" customFormat="1" ht="16.5" thickBot="1">
      <c r="B1024" s="141" t="s">
        <v>2043</v>
      </c>
      <c r="D1024" s="51"/>
      <c r="E1024" s="22"/>
      <c r="F1024" s="32" t="s">
        <v>556</v>
      </c>
      <c r="G1024" s="23"/>
      <c r="H1024" s="33"/>
      <c r="M1024" s="20">
        <v>366.15</v>
      </c>
      <c r="AO1024" s="20" t="s">
        <v>1536</v>
      </c>
      <c r="BQ1024" s="156"/>
    </row>
    <row r="1025" spans="2:69" s="20" customFormat="1" ht="16.5" thickBot="1">
      <c r="B1025" s="141" t="s">
        <v>2044</v>
      </c>
      <c r="D1025" s="51"/>
      <c r="E1025" s="22"/>
      <c r="F1025" s="32" t="s">
        <v>554</v>
      </c>
      <c r="G1025" s="23"/>
      <c r="H1025" s="33"/>
      <c r="M1025" s="20">
        <v>336.17</v>
      </c>
      <c r="AO1025" s="20" t="s">
        <v>1536</v>
      </c>
      <c r="BQ1025" s="156"/>
    </row>
    <row r="1026" spans="2:69" s="20" customFormat="1" ht="16.5" thickBot="1">
      <c r="B1026" s="141" t="s">
        <v>2045</v>
      </c>
      <c r="D1026" s="51"/>
      <c r="E1026" s="22"/>
      <c r="F1026" s="32" t="s">
        <v>552</v>
      </c>
      <c r="G1026" s="23"/>
      <c r="H1026" s="33"/>
      <c r="M1026" s="20">
        <v>336.1</v>
      </c>
      <c r="AO1026" s="20" t="s">
        <v>1536</v>
      </c>
      <c r="BQ1026" s="156"/>
    </row>
    <row r="1027" spans="2:69" s="20" customFormat="1" ht="16.5" thickBot="1">
      <c r="B1027" s="141" t="s">
        <v>2046</v>
      </c>
      <c r="D1027" s="51"/>
      <c r="E1027" s="22"/>
      <c r="F1027" s="32" t="s">
        <v>550</v>
      </c>
      <c r="G1027" s="23"/>
      <c r="H1027" s="33"/>
      <c r="M1027" s="20">
        <v>375.19900000000001</v>
      </c>
      <c r="AO1027" s="20" t="s">
        <v>1536</v>
      </c>
      <c r="BQ1027" s="156"/>
    </row>
    <row r="1028" spans="2:69" s="20" customFormat="1" ht="16.5" thickBot="1">
      <c r="B1028" s="141" t="s">
        <v>2047</v>
      </c>
      <c r="D1028" s="51"/>
      <c r="E1028" s="22"/>
      <c r="F1028" s="32" t="s">
        <v>548</v>
      </c>
      <c r="G1028" s="23"/>
      <c r="H1028" s="33"/>
      <c r="M1028" s="20">
        <v>375.19900000000001</v>
      </c>
      <c r="AO1028" s="20" t="s">
        <v>1536</v>
      </c>
      <c r="BQ1028" s="156"/>
    </row>
    <row r="1029" spans="2:69" s="20" customFormat="1" ht="27.75" thickBot="1">
      <c r="B1029" s="141" t="s">
        <v>2048</v>
      </c>
      <c r="D1029" s="51"/>
      <c r="E1029" s="22"/>
      <c r="F1029" s="32" t="s">
        <v>546</v>
      </c>
      <c r="G1029" s="23"/>
      <c r="H1029" s="33"/>
      <c r="M1029" s="20">
        <v>7.63</v>
      </c>
      <c r="AO1029" s="20" t="s">
        <v>1536</v>
      </c>
      <c r="BQ1029" s="156"/>
    </row>
    <row r="1030" spans="2:69" s="20" customFormat="1" ht="27.75" thickBot="1">
      <c r="B1030" s="141" t="s">
        <v>2049</v>
      </c>
      <c r="D1030" s="51"/>
      <c r="E1030" s="22"/>
      <c r="F1030" s="32" t="s">
        <v>544</v>
      </c>
      <c r="G1030" s="23"/>
      <c r="H1030" s="33"/>
      <c r="M1030" s="20">
        <v>547.48329999999999</v>
      </c>
      <c r="AO1030" s="20" t="s">
        <v>1536</v>
      </c>
      <c r="BQ1030" s="156"/>
    </row>
    <row r="1031" spans="2:69" s="20" customFormat="1" ht="16.5" thickBot="1">
      <c r="B1031" s="141" t="s">
        <v>2050</v>
      </c>
      <c r="D1031" s="51"/>
      <c r="E1031" s="22"/>
      <c r="F1031" s="32" t="s">
        <v>542</v>
      </c>
      <c r="G1031" s="23"/>
      <c r="H1031" s="33"/>
      <c r="M1031" s="20">
        <v>336.57</v>
      </c>
      <c r="AO1031" s="20" t="s">
        <v>1536</v>
      </c>
      <c r="BQ1031" s="156"/>
    </row>
    <row r="1032" spans="2:69" s="20" customFormat="1" ht="16.5" thickBot="1">
      <c r="B1032" s="141" t="s">
        <v>2051</v>
      </c>
      <c r="D1032" s="51"/>
      <c r="E1032" s="22"/>
      <c r="F1032" s="32" t="s">
        <v>540</v>
      </c>
      <c r="G1032" s="23"/>
      <c r="H1032" s="33"/>
      <c r="M1032" s="20">
        <v>501</v>
      </c>
      <c r="AO1032" s="20" t="s">
        <v>1536</v>
      </c>
      <c r="BQ1032" s="156"/>
    </row>
    <row r="1033" spans="2:69" s="20" customFormat="1" ht="27.75" thickBot="1">
      <c r="B1033" s="141" t="s">
        <v>2052</v>
      </c>
      <c r="D1033" s="51"/>
      <c r="E1033" s="22"/>
      <c r="F1033" s="32" t="s">
        <v>538</v>
      </c>
      <c r="G1033" s="23"/>
      <c r="H1033" s="33"/>
      <c r="M1033" s="20">
        <v>7.63</v>
      </c>
      <c r="AO1033" s="20" t="s">
        <v>1536</v>
      </c>
      <c r="BQ1033" s="156"/>
    </row>
    <row r="1034" spans="2:69" s="20" customFormat="1" ht="16.5" thickBot="1">
      <c r="B1034" s="141" t="s">
        <v>2053</v>
      </c>
      <c r="D1034" s="51"/>
      <c r="E1034" s="22"/>
      <c r="F1034" s="32" t="s">
        <v>313</v>
      </c>
      <c r="G1034" s="23"/>
      <c r="H1034" s="33"/>
      <c r="M1034" s="20">
        <v>7.64</v>
      </c>
      <c r="AO1034" s="20" t="s">
        <v>1536</v>
      </c>
      <c r="BQ1034" s="156"/>
    </row>
    <row r="1035" spans="2:69" s="20" customFormat="1" ht="16.5" thickBot="1">
      <c r="B1035" s="141" t="s">
        <v>2054</v>
      </c>
      <c r="D1035" s="51"/>
      <c r="E1035" s="22"/>
      <c r="F1035" s="32" t="s">
        <v>534</v>
      </c>
      <c r="G1035" s="23"/>
      <c r="H1035" s="33"/>
      <c r="M1035" s="20">
        <v>336.57</v>
      </c>
      <c r="AO1035" s="20" t="s">
        <v>1536</v>
      </c>
      <c r="BQ1035" s="156"/>
    </row>
    <row r="1036" spans="2:69" s="20" customFormat="1" ht="27.75" thickBot="1">
      <c r="B1036" s="141" t="s">
        <v>2055</v>
      </c>
      <c r="D1036" s="51"/>
      <c r="E1036" s="22"/>
      <c r="F1036" s="32" t="s">
        <v>534</v>
      </c>
      <c r="G1036" s="23"/>
      <c r="H1036" s="33"/>
      <c r="M1036" s="20">
        <v>336.57</v>
      </c>
      <c r="AO1036" s="20" t="s">
        <v>1536</v>
      </c>
      <c r="BQ1036" s="156"/>
    </row>
    <row r="1037" spans="2:69" s="20" customFormat="1" ht="27.75" thickBot="1">
      <c r="B1037" s="141" t="s">
        <v>2056</v>
      </c>
      <c r="D1037" s="51"/>
      <c r="E1037" s="22"/>
      <c r="F1037" s="32" t="s">
        <v>532</v>
      </c>
      <c r="G1037" s="23"/>
      <c r="H1037" s="33"/>
      <c r="M1037" s="20">
        <v>7.61</v>
      </c>
      <c r="AO1037" s="20" t="s">
        <v>1536</v>
      </c>
      <c r="BQ1037" s="156"/>
    </row>
    <row r="1038" spans="2:69" s="20" customFormat="1" ht="16.5" thickBot="1">
      <c r="B1038" s="141" t="s">
        <v>2057</v>
      </c>
      <c r="D1038" s="51"/>
      <c r="E1038" s="22"/>
      <c r="F1038" s="32" t="s">
        <v>530</v>
      </c>
      <c r="G1038" s="23"/>
      <c r="H1038" s="33"/>
      <c r="M1038" s="20">
        <v>7.63</v>
      </c>
      <c r="AO1038" s="20" t="s">
        <v>1536</v>
      </c>
      <c r="BQ1038" s="156"/>
    </row>
    <row r="1039" spans="2:69" s="20" customFormat="1" ht="27.75" thickBot="1">
      <c r="B1039" s="141" t="s">
        <v>2058</v>
      </c>
      <c r="D1039" s="51"/>
      <c r="E1039" s="22"/>
      <c r="F1039" s="32" t="s">
        <v>279</v>
      </c>
      <c r="G1039" s="23"/>
      <c r="H1039" s="33"/>
      <c r="M1039" s="20">
        <v>547.48329999999999</v>
      </c>
      <c r="AO1039" s="20" t="s">
        <v>1536</v>
      </c>
      <c r="BQ1039" s="156"/>
    </row>
    <row r="1040" spans="2:69" s="20" customFormat="1" ht="27.75" thickBot="1">
      <c r="B1040" s="141" t="s">
        <v>2059</v>
      </c>
      <c r="D1040" s="51"/>
      <c r="E1040" s="22"/>
      <c r="F1040" s="32" t="s">
        <v>393</v>
      </c>
      <c r="G1040" s="23"/>
      <c r="H1040" s="33"/>
      <c r="M1040" s="20">
        <v>834</v>
      </c>
      <c r="AO1040" s="20" t="s">
        <v>1536</v>
      </c>
      <c r="BQ1040" s="156"/>
    </row>
    <row r="1041" spans="2:69" s="20" customFormat="1" ht="27.75" thickBot="1">
      <c r="B1041" s="141" t="s">
        <v>2060</v>
      </c>
      <c r="D1041" s="51"/>
      <c r="E1041" s="22"/>
      <c r="F1041" s="32" t="s">
        <v>526</v>
      </c>
      <c r="G1041" s="23"/>
      <c r="H1041" s="33"/>
      <c r="M1041" s="20">
        <v>809.2</v>
      </c>
      <c r="AO1041" s="20" t="s">
        <v>1536</v>
      </c>
      <c r="BQ1041" s="156"/>
    </row>
    <row r="1042" spans="2:69" s="20" customFormat="1" ht="27.75" thickBot="1">
      <c r="B1042" s="141" t="s">
        <v>2061</v>
      </c>
      <c r="D1042" s="51"/>
      <c r="E1042" s="22"/>
      <c r="F1042" s="32" t="s">
        <v>524</v>
      </c>
      <c r="G1042" s="23"/>
      <c r="H1042" s="33"/>
      <c r="M1042" s="20">
        <v>7.13</v>
      </c>
      <c r="AO1042" s="20" t="s">
        <v>1536</v>
      </c>
      <c r="BQ1042" s="156"/>
    </row>
    <row r="1043" spans="2:69" s="20" customFormat="1" ht="27.75" thickBot="1">
      <c r="B1043" s="141" t="s">
        <v>2062</v>
      </c>
      <c r="D1043" s="51"/>
      <c r="E1043" s="22"/>
      <c r="F1043" s="32" t="s">
        <v>279</v>
      </c>
      <c r="G1043" s="23"/>
      <c r="H1043" s="33"/>
      <c r="M1043" s="20">
        <v>547.48329999999999</v>
      </c>
      <c r="AO1043" s="20" t="s">
        <v>1536</v>
      </c>
      <c r="BQ1043" s="156"/>
    </row>
    <row r="1044" spans="2:69" s="20" customFormat="1" ht="16.5" thickBot="1">
      <c r="B1044" s="141" t="s">
        <v>2063</v>
      </c>
      <c r="D1044" s="51"/>
      <c r="E1044" s="22"/>
      <c r="F1044" s="32" t="s">
        <v>176</v>
      </c>
      <c r="G1044" s="23"/>
      <c r="H1044" s="33"/>
      <c r="M1044" s="20">
        <v>547.48329999999999</v>
      </c>
      <c r="AO1044" s="20" t="s">
        <v>1536</v>
      </c>
      <c r="BQ1044" s="156"/>
    </row>
    <row r="1045" spans="2:69" s="20" customFormat="1" ht="16.5" thickBot="1">
      <c r="B1045" s="141" t="s">
        <v>2064</v>
      </c>
      <c r="D1045" s="51"/>
      <c r="E1045" s="22"/>
      <c r="F1045" s="32"/>
      <c r="G1045" s="23"/>
      <c r="H1045" s="33"/>
      <c r="M1045" s="20">
        <v>547.48329999999999</v>
      </c>
      <c r="AO1045" s="20" t="s">
        <v>1536</v>
      </c>
      <c r="BQ1045" s="156"/>
    </row>
    <row r="1046" spans="2:69" s="20" customFormat="1" ht="16.5" thickBot="1">
      <c r="B1046" s="141" t="s">
        <v>2065</v>
      </c>
      <c r="D1046" s="51"/>
      <c r="E1046" s="22"/>
      <c r="F1046" s="32" t="s">
        <v>519</v>
      </c>
      <c r="G1046" s="23"/>
      <c r="H1046" s="33"/>
      <c r="M1046" s="20">
        <v>7.63</v>
      </c>
      <c r="AO1046" s="20" t="s">
        <v>1536</v>
      </c>
      <c r="BQ1046" s="156"/>
    </row>
    <row r="1047" spans="2:69" s="20" customFormat="1" ht="16.5" thickBot="1">
      <c r="B1047" s="141" t="s">
        <v>2066</v>
      </c>
      <c r="D1047" s="51"/>
      <c r="E1047" s="22"/>
      <c r="F1047" s="32" t="s">
        <v>517</v>
      </c>
      <c r="G1047" s="23"/>
      <c r="H1047" s="33"/>
      <c r="M1047" s="20">
        <v>7.35</v>
      </c>
      <c r="AO1047" s="20" t="s">
        <v>1536</v>
      </c>
      <c r="BQ1047" s="156"/>
    </row>
    <row r="1048" spans="2:69" s="20" customFormat="1" ht="27.75" thickBot="1">
      <c r="B1048" s="141" t="s">
        <v>2067</v>
      </c>
      <c r="D1048" s="51"/>
      <c r="E1048" s="22"/>
      <c r="F1048" s="32" t="s">
        <v>515</v>
      </c>
      <c r="G1048" s="23"/>
      <c r="H1048" s="33"/>
      <c r="M1048" s="20">
        <v>7.63</v>
      </c>
      <c r="AO1048" s="20" t="s">
        <v>1536</v>
      </c>
      <c r="BQ1048" s="156"/>
    </row>
    <row r="1049" spans="2:69" s="20" customFormat="1" ht="32.25" thickBot="1">
      <c r="B1049" s="141" t="s">
        <v>2068</v>
      </c>
      <c r="D1049" s="51"/>
      <c r="E1049" s="22"/>
      <c r="F1049" s="32" t="s">
        <v>513</v>
      </c>
      <c r="G1049" s="23"/>
      <c r="H1049" s="33"/>
      <c r="M1049" s="20">
        <v>336.3</v>
      </c>
      <c r="AO1049" s="20" t="s">
        <v>1536</v>
      </c>
      <c r="BQ1049" s="156"/>
    </row>
    <row r="1050" spans="2:69" s="20" customFormat="1" ht="16.5" thickBot="1">
      <c r="B1050" s="141" t="s">
        <v>2069</v>
      </c>
      <c r="D1050" s="51"/>
      <c r="E1050" s="22"/>
      <c r="F1050" s="32" t="s">
        <v>511</v>
      </c>
      <c r="G1050" s="23"/>
      <c r="H1050" s="33"/>
      <c r="M1050" s="20">
        <v>7.63</v>
      </c>
      <c r="AO1050" s="20" t="s">
        <v>1536</v>
      </c>
      <c r="BQ1050" s="156"/>
    </row>
    <row r="1051" spans="2:69" s="20" customFormat="1" ht="16.5" thickBot="1">
      <c r="B1051" s="141" t="s">
        <v>2070</v>
      </c>
      <c r="D1051" s="51"/>
      <c r="E1051" s="22"/>
      <c r="F1051" s="32" t="s">
        <v>471</v>
      </c>
      <c r="G1051" s="23"/>
      <c r="H1051" s="33"/>
      <c r="M1051" s="20">
        <v>336.49</v>
      </c>
      <c r="AO1051" s="20" t="s">
        <v>1536</v>
      </c>
      <c r="BQ1051" s="156"/>
    </row>
    <row r="1052" spans="2:69" s="20" customFormat="1" ht="27.75" thickBot="1">
      <c r="B1052" s="141" t="s">
        <v>2071</v>
      </c>
      <c r="D1052" s="51"/>
      <c r="E1052" s="22"/>
      <c r="F1052" s="32" t="s">
        <v>508</v>
      </c>
      <c r="G1052" s="23"/>
      <c r="H1052" s="33"/>
      <c r="M1052" s="20">
        <v>335.04</v>
      </c>
      <c r="AO1052" s="20" t="s">
        <v>1536</v>
      </c>
      <c r="BQ1052" s="156"/>
    </row>
    <row r="1053" spans="2:69" s="20" customFormat="1" ht="16.5" thickBot="1">
      <c r="B1053" s="141" t="s">
        <v>2072</v>
      </c>
      <c r="D1053" s="51"/>
      <c r="E1053" s="22"/>
      <c r="F1053" s="32" t="s">
        <v>506</v>
      </c>
      <c r="G1053" s="23"/>
      <c r="H1053" s="33"/>
      <c r="M1053" s="20">
        <v>7.609</v>
      </c>
      <c r="AO1053" s="20" t="s">
        <v>1536</v>
      </c>
      <c r="BQ1053" s="156"/>
    </row>
    <row r="1054" spans="2:69" s="20" customFormat="1" ht="16.5" thickBot="1">
      <c r="B1054" s="141" t="s">
        <v>2073</v>
      </c>
      <c r="D1054" s="51"/>
      <c r="E1054" s="22"/>
      <c r="F1054" s="32" t="s">
        <v>471</v>
      </c>
      <c r="G1054" s="23"/>
      <c r="H1054" s="33"/>
      <c r="M1054" s="20">
        <v>336.2</v>
      </c>
      <c r="AO1054" s="20" t="s">
        <v>1536</v>
      </c>
      <c r="BQ1054" s="156"/>
    </row>
    <row r="1055" spans="2:69" s="20" customFormat="1" ht="16.5" thickBot="1">
      <c r="B1055" s="141" t="s">
        <v>2074</v>
      </c>
      <c r="D1055" s="51"/>
      <c r="E1055" s="22"/>
      <c r="F1055" s="32" t="s">
        <v>503</v>
      </c>
      <c r="G1055" s="23"/>
      <c r="H1055" s="33"/>
      <c r="M1055" s="20">
        <v>837.8</v>
      </c>
      <c r="AO1055" s="20" t="s">
        <v>1536</v>
      </c>
      <c r="BQ1055" s="156"/>
    </row>
    <row r="1056" spans="2:69" s="20" customFormat="1" ht="16.5" thickBot="1">
      <c r="B1056" s="141" t="s">
        <v>2075</v>
      </c>
      <c r="D1056" s="51"/>
      <c r="E1056" s="22"/>
      <c r="F1056" s="32" t="s">
        <v>272</v>
      </c>
      <c r="G1056" s="23"/>
      <c r="H1056" s="33"/>
      <c r="M1056" s="20">
        <v>547.48329999999999</v>
      </c>
      <c r="AO1056" s="20" t="s">
        <v>1536</v>
      </c>
      <c r="BQ1056" s="156"/>
    </row>
    <row r="1057" spans="2:69" s="20" customFormat="1" ht="16.5" thickBot="1">
      <c r="B1057" s="141" t="s">
        <v>2076</v>
      </c>
      <c r="D1057" s="51"/>
      <c r="E1057" s="22"/>
      <c r="F1057" s="32" t="s">
        <v>471</v>
      </c>
      <c r="G1057" s="23"/>
      <c r="H1057" s="33"/>
      <c r="M1057" s="20">
        <v>336.4</v>
      </c>
      <c r="AO1057" s="20" t="s">
        <v>1536</v>
      </c>
      <c r="BQ1057" s="156"/>
    </row>
    <row r="1058" spans="2:69" s="20" customFormat="1" ht="16.5" thickBot="1">
      <c r="B1058" s="141" t="s">
        <v>2077</v>
      </c>
      <c r="D1058" s="51"/>
      <c r="E1058" s="22"/>
      <c r="F1058" s="32" t="s">
        <v>471</v>
      </c>
      <c r="G1058" s="23"/>
      <c r="H1058" s="33"/>
      <c r="M1058" s="20">
        <v>335.13</v>
      </c>
      <c r="AO1058" s="20" t="s">
        <v>1536</v>
      </c>
      <c r="BQ1058" s="156"/>
    </row>
    <row r="1059" spans="2:69" s="20" customFormat="1" ht="27.75" thickBot="1">
      <c r="B1059" s="141" t="s">
        <v>2078</v>
      </c>
      <c r="D1059" s="51"/>
      <c r="E1059" s="22"/>
      <c r="F1059" s="32" t="s">
        <v>498</v>
      </c>
      <c r="G1059" s="23"/>
      <c r="H1059" s="33"/>
      <c r="M1059" s="20">
        <v>331.19</v>
      </c>
      <c r="AO1059" s="20" t="s">
        <v>1536</v>
      </c>
      <c r="BQ1059" s="156"/>
    </row>
    <row r="1060" spans="2:69" s="20" customFormat="1" ht="16.5" thickBot="1">
      <c r="B1060" s="141" t="s">
        <v>2079</v>
      </c>
      <c r="D1060" s="51"/>
      <c r="E1060" s="22"/>
      <c r="F1060" s="32" t="s">
        <v>471</v>
      </c>
      <c r="G1060" s="23"/>
      <c r="H1060" s="33"/>
      <c r="M1060" s="20">
        <v>336.1</v>
      </c>
      <c r="AO1060" s="20" t="s">
        <v>1536</v>
      </c>
      <c r="BQ1060" s="156"/>
    </row>
    <row r="1061" spans="2:69" s="20" customFormat="1" ht="16.5" thickBot="1">
      <c r="B1061" s="141" t="s">
        <v>2080</v>
      </c>
      <c r="D1061" s="51"/>
      <c r="E1061" s="22"/>
      <c r="F1061" s="32" t="s">
        <v>495</v>
      </c>
      <c r="G1061" s="23"/>
      <c r="H1061" s="33"/>
      <c r="M1061" s="20">
        <v>336.57</v>
      </c>
      <c r="AO1061" s="20" t="s">
        <v>1536</v>
      </c>
      <c r="BQ1061" s="156"/>
    </row>
    <row r="1062" spans="2:69" s="20" customFormat="1" ht="16.5" thickBot="1">
      <c r="B1062" s="141" t="s">
        <v>2081</v>
      </c>
      <c r="D1062" s="51"/>
      <c r="E1062" s="22"/>
      <c r="F1062" s="32" t="s">
        <v>203</v>
      </c>
      <c r="G1062" s="23"/>
      <c r="H1062" s="33"/>
      <c r="M1062" s="20">
        <v>336.8</v>
      </c>
      <c r="AO1062" s="20" t="s">
        <v>1536</v>
      </c>
      <c r="BQ1062" s="156"/>
    </row>
    <row r="1063" spans="2:69" s="20" customFormat="1" ht="16.5" thickBot="1">
      <c r="B1063" s="141" t="s">
        <v>2082</v>
      </c>
      <c r="D1063" s="51"/>
      <c r="E1063" s="22"/>
      <c r="F1063" s="32" t="s">
        <v>398</v>
      </c>
      <c r="G1063" s="23"/>
      <c r="H1063" s="33"/>
      <c r="M1063" s="20">
        <v>336.2</v>
      </c>
      <c r="AO1063" s="20" t="s">
        <v>1536</v>
      </c>
      <c r="BQ1063" s="156"/>
    </row>
    <row r="1064" spans="2:69" s="20" customFormat="1" ht="16.5" thickBot="1">
      <c r="B1064" s="141" t="s">
        <v>2083</v>
      </c>
      <c r="D1064" s="51"/>
      <c r="E1064" s="22"/>
      <c r="F1064" s="32" t="s">
        <v>471</v>
      </c>
      <c r="G1064" s="23"/>
      <c r="H1064" s="33"/>
      <c r="M1064" s="20">
        <v>336.3</v>
      </c>
      <c r="AO1064" s="20" t="s">
        <v>1536</v>
      </c>
      <c r="BQ1064" s="156"/>
    </row>
    <row r="1065" spans="2:69" s="20" customFormat="1" ht="41.25" thickBot="1">
      <c r="B1065" s="141" t="s">
        <v>2084</v>
      </c>
      <c r="D1065" s="51"/>
      <c r="E1065" s="22"/>
      <c r="F1065" s="32" t="s">
        <v>490</v>
      </c>
      <c r="G1065" s="23"/>
      <c r="H1065" s="33"/>
      <c r="M1065" s="20">
        <v>336.4</v>
      </c>
      <c r="AO1065" s="20" t="s">
        <v>1536</v>
      </c>
      <c r="BQ1065" s="156"/>
    </row>
    <row r="1066" spans="2:69" s="20" customFormat="1" ht="27.75" thickBot="1">
      <c r="B1066" s="141" t="s">
        <v>2085</v>
      </c>
      <c r="D1066" s="51"/>
      <c r="E1066" s="22"/>
      <c r="F1066" s="32" t="s">
        <v>488</v>
      </c>
      <c r="G1066" s="23"/>
      <c r="H1066" s="33"/>
      <c r="M1066" s="20">
        <v>336.17</v>
      </c>
      <c r="AO1066" s="20" t="s">
        <v>1536</v>
      </c>
      <c r="BQ1066" s="156"/>
    </row>
    <row r="1067" spans="2:69" s="20" customFormat="1" ht="16.5" thickBot="1">
      <c r="B1067" s="141" t="s">
        <v>2086</v>
      </c>
      <c r="D1067" s="51"/>
      <c r="E1067" s="22"/>
      <c r="F1067" s="32" t="s">
        <v>410</v>
      </c>
      <c r="G1067" s="23"/>
      <c r="H1067" s="33"/>
      <c r="M1067" s="20">
        <v>336</v>
      </c>
      <c r="AO1067" s="20" t="s">
        <v>1536</v>
      </c>
      <c r="BQ1067" s="156"/>
    </row>
    <row r="1068" spans="2:69" s="20" customFormat="1" ht="16.5" thickBot="1">
      <c r="B1068" s="141" t="s">
        <v>2087</v>
      </c>
      <c r="D1068" s="51"/>
      <c r="E1068" s="22"/>
      <c r="F1068" s="32" t="s">
        <v>452</v>
      </c>
      <c r="G1068" s="23"/>
      <c r="H1068" s="33"/>
      <c r="M1068" s="20">
        <v>336</v>
      </c>
      <c r="AO1068" s="20" t="s">
        <v>1536</v>
      </c>
      <c r="BQ1068" s="156"/>
    </row>
    <row r="1069" spans="2:69" s="20" customFormat="1" ht="16.5" thickBot="1">
      <c r="B1069" s="141" t="s">
        <v>2088</v>
      </c>
      <c r="D1069" s="51"/>
      <c r="E1069" s="22"/>
      <c r="F1069" s="32" t="s">
        <v>484</v>
      </c>
      <c r="G1069" s="23"/>
      <c r="H1069" s="33"/>
      <c r="M1069" s="20">
        <v>547.48329999999999</v>
      </c>
      <c r="AO1069" s="20" t="s">
        <v>1536</v>
      </c>
      <c r="BQ1069" s="156"/>
    </row>
    <row r="1070" spans="2:69" s="20" customFormat="1" ht="16.5" thickBot="1">
      <c r="B1070" s="141" t="s">
        <v>2089</v>
      </c>
      <c r="D1070" s="51"/>
      <c r="E1070" s="22"/>
      <c r="F1070" s="32" t="s">
        <v>471</v>
      </c>
      <c r="G1070" s="23"/>
      <c r="H1070" s="33"/>
      <c r="M1070" s="20">
        <v>336.3</v>
      </c>
      <c r="AO1070" s="20" t="s">
        <v>1536</v>
      </c>
      <c r="BQ1070" s="156"/>
    </row>
    <row r="1071" spans="2:69" s="20" customFormat="1" ht="16.5" thickBot="1">
      <c r="B1071" s="141" t="s">
        <v>2090</v>
      </c>
      <c r="D1071" s="51"/>
      <c r="E1071" s="22"/>
      <c r="F1071" s="32" t="s">
        <v>481</v>
      </c>
      <c r="G1071" s="23"/>
      <c r="H1071" s="33"/>
      <c r="M1071" s="20">
        <v>7.63</v>
      </c>
      <c r="AO1071" s="20" t="s">
        <v>1536</v>
      </c>
      <c r="BQ1071" s="156"/>
    </row>
    <row r="1072" spans="2:69" s="20" customFormat="1" ht="16.5" thickBot="1">
      <c r="B1072" s="141" t="s">
        <v>2091</v>
      </c>
      <c r="D1072" s="51"/>
      <c r="E1072" s="22"/>
      <c r="F1072" s="32" t="s">
        <v>479</v>
      </c>
      <c r="G1072" s="23"/>
      <c r="H1072" s="33"/>
      <c r="M1072" s="20">
        <v>336.1</v>
      </c>
      <c r="AO1072" s="20" t="s">
        <v>1536</v>
      </c>
      <c r="BQ1072" s="156"/>
    </row>
    <row r="1073" spans="2:69" s="20" customFormat="1" ht="16.5" thickBot="1">
      <c r="B1073" s="141" t="s">
        <v>2092</v>
      </c>
      <c r="D1073" s="51"/>
      <c r="E1073" s="22"/>
      <c r="F1073" s="32" t="s">
        <v>471</v>
      </c>
      <c r="G1073" s="23"/>
      <c r="H1073" s="33"/>
      <c r="M1073" s="20">
        <v>336.17</v>
      </c>
      <c r="AO1073" s="20" t="s">
        <v>1536</v>
      </c>
      <c r="BQ1073" s="156"/>
    </row>
    <row r="1074" spans="2:69" s="20" customFormat="1" ht="27.75" thickBot="1">
      <c r="B1074" s="141" t="s">
        <v>2093</v>
      </c>
      <c r="D1074" s="51"/>
      <c r="E1074" s="22"/>
      <c r="F1074" s="32" t="s">
        <v>203</v>
      </c>
      <c r="G1074" s="23"/>
      <c r="H1074" s="33"/>
      <c r="M1074" s="20">
        <v>336</v>
      </c>
      <c r="AO1074" s="20" t="s">
        <v>1536</v>
      </c>
      <c r="BQ1074" s="156"/>
    </row>
    <row r="1075" spans="2:69" s="20" customFormat="1" ht="27.75" thickBot="1">
      <c r="B1075" s="141" t="s">
        <v>2094</v>
      </c>
      <c r="D1075" s="51"/>
      <c r="E1075" s="22"/>
      <c r="F1075" s="32" t="s">
        <v>475</v>
      </c>
      <c r="G1075" s="23"/>
      <c r="H1075" s="33"/>
      <c r="M1075" s="20">
        <v>810.7</v>
      </c>
      <c r="AO1075" s="20" t="s">
        <v>1536</v>
      </c>
      <c r="BQ1075" s="156"/>
    </row>
    <row r="1076" spans="2:69" s="20" customFormat="1" ht="27.75" thickBot="1">
      <c r="B1076" s="141" t="s">
        <v>2095</v>
      </c>
      <c r="D1076" s="51"/>
      <c r="E1076" s="22"/>
      <c r="F1076" s="32" t="s">
        <v>473</v>
      </c>
      <c r="G1076" s="23"/>
      <c r="H1076" s="33"/>
      <c r="M1076" s="20">
        <v>596</v>
      </c>
      <c r="AO1076" s="20" t="s">
        <v>1536</v>
      </c>
      <c r="BQ1076" s="156"/>
    </row>
    <row r="1077" spans="2:69" s="20" customFormat="1" ht="16.5" thickBot="1">
      <c r="B1077" s="141" t="s">
        <v>2096</v>
      </c>
      <c r="D1077" s="51"/>
      <c r="E1077" s="22"/>
      <c r="F1077" s="32" t="s">
        <v>471</v>
      </c>
      <c r="G1077" s="23"/>
      <c r="H1077" s="33"/>
      <c r="M1077" s="20">
        <v>336.1</v>
      </c>
      <c r="AO1077" s="20" t="s">
        <v>1536</v>
      </c>
      <c r="BQ1077" s="156"/>
    </row>
    <row r="1078" spans="2:69" s="20" customFormat="1" ht="41.25" thickBot="1">
      <c r="B1078" s="141" t="s">
        <v>2097</v>
      </c>
      <c r="D1078" s="51"/>
      <c r="E1078" s="22"/>
      <c r="F1078" s="32" t="s">
        <v>469</v>
      </c>
      <c r="G1078" s="23"/>
      <c r="H1078" s="33"/>
      <c r="M1078" s="20">
        <v>675</v>
      </c>
      <c r="AO1078" s="20" t="s">
        <v>1536</v>
      </c>
      <c r="BQ1078" s="156"/>
    </row>
    <row r="1079" spans="2:69" s="20" customFormat="1" ht="16.5" thickBot="1">
      <c r="B1079" s="141" t="s">
        <v>2098</v>
      </c>
      <c r="D1079" s="51"/>
      <c r="E1079" s="22"/>
      <c r="F1079" s="32" t="s">
        <v>467</v>
      </c>
      <c r="G1079" s="23"/>
      <c r="H1079" s="33"/>
      <c r="M1079" s="20">
        <v>820</v>
      </c>
      <c r="AO1079" s="20" t="s">
        <v>1536</v>
      </c>
      <c r="BQ1079" s="156"/>
    </row>
    <row r="1080" spans="2:69" s="20" customFormat="1" ht="16.5" thickBot="1">
      <c r="B1080" s="141" t="s">
        <v>2099</v>
      </c>
      <c r="D1080" s="51"/>
      <c r="E1080" s="22"/>
      <c r="F1080" s="32" t="s">
        <v>203</v>
      </c>
      <c r="G1080" s="23"/>
      <c r="H1080" s="33"/>
      <c r="M1080" s="20">
        <v>336.1</v>
      </c>
      <c r="AO1080" s="20" t="s">
        <v>1536</v>
      </c>
      <c r="BQ1080" s="156"/>
    </row>
    <row r="1081" spans="2:69" s="20" customFormat="1" ht="27.75" thickBot="1">
      <c r="B1081" s="141" t="s">
        <v>2100</v>
      </c>
      <c r="D1081" s="51"/>
      <c r="E1081" s="22"/>
      <c r="F1081" s="32" t="s">
        <v>398</v>
      </c>
      <c r="G1081" s="23"/>
      <c r="H1081" s="35"/>
      <c r="M1081" s="20">
        <v>336.1</v>
      </c>
      <c r="AO1081" s="20" t="s">
        <v>1536</v>
      </c>
      <c r="BQ1081" s="156"/>
    </row>
    <row r="1082" spans="2:69" s="20" customFormat="1" ht="27.75" thickBot="1">
      <c r="B1082" s="141" t="s">
        <v>2101</v>
      </c>
      <c r="D1082" s="51"/>
      <c r="E1082" s="22"/>
      <c r="F1082" s="32" t="s">
        <v>463</v>
      </c>
      <c r="G1082" s="23"/>
      <c r="H1082" s="35"/>
      <c r="M1082" s="20">
        <v>336.17</v>
      </c>
      <c r="AO1082" s="20" t="s">
        <v>1536</v>
      </c>
      <c r="BQ1082" s="156"/>
    </row>
    <row r="1083" spans="2:69" s="20" customFormat="1" ht="16.5" thickBot="1">
      <c r="B1083" s="141" t="s">
        <v>2102</v>
      </c>
      <c r="D1083" s="51"/>
      <c r="E1083" s="22"/>
      <c r="F1083" s="32" t="s">
        <v>461</v>
      </c>
      <c r="G1083" s="23"/>
      <c r="H1083" s="35"/>
      <c r="M1083" s="20">
        <v>7.35</v>
      </c>
      <c r="AO1083" s="20" t="s">
        <v>1536</v>
      </c>
      <c r="BQ1083" s="156"/>
    </row>
    <row r="1084" spans="2:69" s="20" customFormat="1" ht="16.5" thickBot="1">
      <c r="B1084" s="141" t="s">
        <v>2103</v>
      </c>
      <c r="D1084" s="51"/>
      <c r="E1084" s="22"/>
      <c r="F1084" s="32" t="s">
        <v>459</v>
      </c>
      <c r="G1084" s="23"/>
      <c r="H1084" s="35"/>
      <c r="M1084" s="20">
        <v>336.3</v>
      </c>
      <c r="AO1084" s="20" t="s">
        <v>1536</v>
      </c>
      <c r="BQ1084" s="156"/>
    </row>
    <row r="1085" spans="2:69" s="20" customFormat="1" ht="27.75" thickBot="1">
      <c r="B1085" s="141" t="s">
        <v>2104</v>
      </c>
      <c r="D1085" s="51"/>
      <c r="E1085" s="22"/>
      <c r="F1085" s="32" t="s">
        <v>410</v>
      </c>
      <c r="G1085" s="23"/>
      <c r="H1085" s="35"/>
      <c r="M1085" s="20">
        <v>336</v>
      </c>
      <c r="AO1085" s="20" t="s">
        <v>1536</v>
      </c>
      <c r="BQ1085" s="156"/>
    </row>
    <row r="1086" spans="2:69" s="20" customFormat="1" ht="16.5" thickBot="1">
      <c r="B1086" s="141" t="s">
        <v>2105</v>
      </c>
      <c r="D1086" s="51"/>
      <c r="E1086" s="22"/>
      <c r="F1086" s="32" t="s">
        <v>410</v>
      </c>
      <c r="G1086" s="23"/>
      <c r="H1086" s="35"/>
      <c r="M1086" s="20">
        <v>379.7</v>
      </c>
      <c r="AO1086" s="20" t="s">
        <v>1536</v>
      </c>
      <c r="BQ1086" s="156"/>
    </row>
    <row r="1087" spans="2:69" s="20" customFormat="1" ht="16.5" thickBot="1">
      <c r="B1087" s="141" t="s">
        <v>2106</v>
      </c>
      <c r="D1087" s="51"/>
      <c r="E1087" s="22"/>
      <c r="F1087" s="32" t="s">
        <v>398</v>
      </c>
      <c r="G1087" s="23"/>
      <c r="H1087" s="35"/>
      <c r="M1087" s="20">
        <v>336</v>
      </c>
      <c r="AO1087" s="20" t="s">
        <v>1536</v>
      </c>
      <c r="BQ1087" s="156"/>
    </row>
    <row r="1088" spans="2:69" s="20" customFormat="1" ht="16.5" thickBot="1">
      <c r="B1088" s="141" t="s">
        <v>2107</v>
      </c>
      <c r="D1088" s="51"/>
      <c r="E1088" s="22"/>
      <c r="F1088" s="32" t="s">
        <v>454</v>
      </c>
      <c r="G1088" s="23"/>
      <c r="H1088" s="35"/>
      <c r="M1088" s="20">
        <v>336.1</v>
      </c>
      <c r="AO1088" s="20" t="s">
        <v>1536</v>
      </c>
      <c r="BQ1088" s="156"/>
    </row>
    <row r="1089" spans="2:69" s="20" customFormat="1" ht="16.5" thickBot="1">
      <c r="B1089" s="141" t="s">
        <v>2108</v>
      </c>
      <c r="D1089" s="51"/>
      <c r="E1089" s="22"/>
      <c r="F1089" s="32" t="s">
        <v>452</v>
      </c>
      <c r="G1089" s="23"/>
      <c r="H1089" s="35"/>
      <c r="M1089" s="20">
        <v>336.55</v>
      </c>
      <c r="AO1089" s="20" t="s">
        <v>1536</v>
      </c>
      <c r="BQ1089" s="156"/>
    </row>
    <row r="1090" spans="2:69" s="20" customFormat="1" ht="16.5" thickBot="1">
      <c r="B1090" s="141" t="s">
        <v>2109</v>
      </c>
      <c r="D1090" s="51"/>
      <c r="E1090" s="22"/>
      <c r="F1090" s="32" t="s">
        <v>398</v>
      </c>
      <c r="G1090" s="23"/>
      <c r="H1090" s="35"/>
      <c r="M1090" s="20">
        <v>336.84</v>
      </c>
      <c r="AO1090" s="20" t="s">
        <v>1536</v>
      </c>
      <c r="BQ1090" s="156"/>
    </row>
    <row r="1091" spans="2:69" s="20" customFormat="1" ht="16.5" thickBot="1">
      <c r="B1091" s="141" t="s">
        <v>2110</v>
      </c>
      <c r="D1091" s="51"/>
      <c r="E1091" s="22"/>
      <c r="F1091" s="32" t="s">
        <v>398</v>
      </c>
      <c r="G1091" s="23"/>
      <c r="H1091" s="35"/>
      <c r="M1091" s="20">
        <v>336.83</v>
      </c>
      <c r="AO1091" s="20" t="s">
        <v>1536</v>
      </c>
      <c r="BQ1091" s="156"/>
    </row>
    <row r="1092" spans="2:69" s="20" customFormat="1" ht="16.5" thickBot="1">
      <c r="B1092" s="141" t="s">
        <v>2111</v>
      </c>
      <c r="D1092" s="51"/>
      <c r="E1092" s="22"/>
      <c r="F1092" s="32" t="s">
        <v>448</v>
      </c>
      <c r="G1092" s="23"/>
      <c r="H1092" s="35"/>
      <c r="M1092" s="20">
        <v>7.63</v>
      </c>
      <c r="AO1092" s="20" t="s">
        <v>1536</v>
      </c>
      <c r="BQ1092" s="156"/>
    </row>
    <row r="1093" spans="2:69" s="20" customFormat="1" ht="16.5" thickBot="1">
      <c r="B1093" s="141" t="s">
        <v>2112</v>
      </c>
      <c r="D1093" s="51"/>
      <c r="E1093" s="22"/>
      <c r="F1093" s="32" t="s">
        <v>410</v>
      </c>
      <c r="G1093" s="23"/>
      <c r="H1093" s="35"/>
      <c r="M1093" s="20">
        <v>336.1</v>
      </c>
      <c r="AO1093" s="20" t="s">
        <v>1536</v>
      </c>
      <c r="BQ1093" s="156"/>
    </row>
    <row r="1094" spans="2:69" s="20" customFormat="1" ht="27.75" thickBot="1">
      <c r="B1094" s="141" t="s">
        <v>2113</v>
      </c>
      <c r="D1094" s="51"/>
      <c r="E1094" s="22"/>
      <c r="F1094" s="32" t="s">
        <v>445</v>
      </c>
      <c r="G1094" s="23"/>
      <c r="H1094" s="35"/>
      <c r="M1094" s="20">
        <v>7.58</v>
      </c>
      <c r="AO1094" s="20" t="s">
        <v>1536</v>
      </c>
      <c r="BQ1094" s="156"/>
    </row>
    <row r="1095" spans="2:69" s="20" customFormat="1" ht="16.5" thickBot="1">
      <c r="B1095" s="141" t="s">
        <v>2114</v>
      </c>
      <c r="D1095" s="51"/>
      <c r="E1095" s="22"/>
      <c r="F1095" s="32" t="s">
        <v>375</v>
      </c>
      <c r="G1095" s="23"/>
      <c r="H1095" s="35"/>
      <c r="M1095" s="20">
        <v>375.9</v>
      </c>
      <c r="AO1095" s="20" t="s">
        <v>1536</v>
      </c>
      <c r="BQ1095" s="156"/>
    </row>
    <row r="1096" spans="2:69" s="20" customFormat="1" ht="16.5" thickBot="1">
      <c r="B1096" s="141" t="s">
        <v>2115</v>
      </c>
      <c r="D1096" s="51"/>
      <c r="E1096" s="22"/>
      <c r="F1096" s="32" t="s">
        <v>375</v>
      </c>
      <c r="G1096" s="23"/>
      <c r="H1096" s="35"/>
      <c r="M1096" s="20">
        <v>375.9</v>
      </c>
      <c r="AO1096" s="20" t="s">
        <v>1536</v>
      </c>
      <c r="BQ1096" s="156"/>
    </row>
    <row r="1097" spans="2:69" s="20" customFormat="1" ht="27.75" thickBot="1">
      <c r="B1097" s="141" t="s">
        <v>2116</v>
      </c>
      <c r="D1097" s="51"/>
      <c r="E1097" s="22"/>
      <c r="F1097" s="32" t="s">
        <v>203</v>
      </c>
      <c r="G1097" s="23"/>
      <c r="H1097" s="35"/>
      <c r="M1097" s="20">
        <v>336</v>
      </c>
      <c r="AO1097" s="20" t="s">
        <v>1536</v>
      </c>
      <c r="BQ1097" s="156"/>
    </row>
    <row r="1098" spans="2:69" s="20" customFormat="1" ht="16.5" thickBot="1">
      <c r="B1098" s="141" t="s">
        <v>2117</v>
      </c>
      <c r="D1098" s="51"/>
      <c r="E1098" s="22"/>
      <c r="F1098" s="32" t="s">
        <v>398</v>
      </c>
      <c r="G1098" s="23"/>
      <c r="H1098" s="35"/>
      <c r="M1098" s="20">
        <v>336.2</v>
      </c>
      <c r="AO1098" s="20" t="s">
        <v>1536</v>
      </c>
      <c r="BQ1098" s="156"/>
    </row>
    <row r="1099" spans="2:69" s="20" customFormat="1" ht="16.5" thickBot="1">
      <c r="B1099" s="141" t="s">
        <v>2118</v>
      </c>
      <c r="D1099" s="51"/>
      <c r="E1099" s="22"/>
      <c r="F1099" s="32" t="s">
        <v>439</v>
      </c>
      <c r="G1099" s="23"/>
      <c r="H1099" s="35"/>
      <c r="M1099" s="20">
        <v>830.79</v>
      </c>
      <c r="AO1099" s="20" t="s">
        <v>1536</v>
      </c>
      <c r="BQ1099" s="156"/>
    </row>
    <row r="1100" spans="2:69" s="20" customFormat="1" ht="27.75" thickBot="1">
      <c r="B1100" s="141" t="s">
        <v>2119</v>
      </c>
      <c r="D1100" s="51"/>
      <c r="E1100" s="22"/>
      <c r="F1100" s="32" t="s">
        <v>437</v>
      </c>
      <c r="G1100" s="23"/>
      <c r="H1100" s="35"/>
      <c r="M1100" s="20">
        <v>7.64</v>
      </c>
      <c r="AO1100" s="20" t="s">
        <v>1536</v>
      </c>
      <c r="BQ1100" s="156"/>
    </row>
    <row r="1101" spans="2:69" s="20" customFormat="1" ht="27.75" thickBot="1">
      <c r="B1101" s="141" t="s">
        <v>2120</v>
      </c>
      <c r="D1101" s="51"/>
      <c r="E1101" s="22"/>
      <c r="F1101" s="32" t="s">
        <v>398</v>
      </c>
      <c r="G1101" s="23"/>
      <c r="H1101" s="35"/>
      <c r="M1101" s="20">
        <v>336.49</v>
      </c>
      <c r="AO1101" s="20" t="s">
        <v>1536</v>
      </c>
      <c r="BQ1101" s="156"/>
    </row>
    <row r="1102" spans="2:69" s="20" customFormat="1" ht="16.5" thickBot="1">
      <c r="B1102" s="141" t="s">
        <v>2121</v>
      </c>
      <c r="D1102" s="51"/>
      <c r="E1102" s="22"/>
      <c r="F1102" s="32" t="s">
        <v>434</v>
      </c>
      <c r="G1102" s="23"/>
      <c r="H1102" s="35"/>
      <c r="M1102" s="20">
        <v>820</v>
      </c>
      <c r="AO1102" s="20" t="s">
        <v>1536</v>
      </c>
      <c r="BQ1102" s="156"/>
    </row>
    <row r="1103" spans="2:69" s="20" customFormat="1" ht="16.5" thickBot="1">
      <c r="B1103" s="141" t="s">
        <v>2122</v>
      </c>
      <c r="D1103" s="51"/>
      <c r="E1103" s="22"/>
      <c r="F1103" s="32" t="s">
        <v>432</v>
      </c>
      <c r="G1103" s="23"/>
      <c r="H1103" s="35"/>
      <c r="M1103" s="20">
        <v>810.7</v>
      </c>
      <c r="AO1103" s="20" t="s">
        <v>1536</v>
      </c>
      <c r="BQ1103" s="156"/>
    </row>
    <row r="1104" spans="2:69" s="20" customFormat="1" ht="27.75" thickBot="1">
      <c r="B1104" s="141" t="s">
        <v>2123</v>
      </c>
      <c r="D1104" s="51"/>
      <c r="E1104" s="22"/>
      <c r="F1104" s="32" t="s">
        <v>429</v>
      </c>
      <c r="G1104" s="23"/>
      <c r="H1104" s="35"/>
      <c r="M1104" s="20">
        <v>7.64</v>
      </c>
      <c r="AO1104" s="20" t="s">
        <v>1536</v>
      </c>
      <c r="BQ1104" s="156"/>
    </row>
    <row r="1105" spans="2:69" s="20" customFormat="1" ht="16.5" thickBot="1">
      <c r="B1105" s="141" t="s">
        <v>2124</v>
      </c>
      <c r="D1105" s="51"/>
      <c r="E1105" s="22"/>
      <c r="F1105" s="32" t="s">
        <v>398</v>
      </c>
      <c r="G1105" s="23"/>
      <c r="H1105" s="35"/>
      <c r="M1105" s="20">
        <v>336.3</v>
      </c>
      <c r="AO1105" s="20" t="s">
        <v>1536</v>
      </c>
      <c r="BQ1105" s="156"/>
    </row>
    <row r="1106" spans="2:69" s="20" customFormat="1" ht="27.75" thickBot="1">
      <c r="B1106" s="141" t="s">
        <v>2125</v>
      </c>
      <c r="D1106" s="51"/>
      <c r="E1106" s="22"/>
      <c r="F1106" s="32" t="s">
        <v>398</v>
      </c>
      <c r="G1106" s="23"/>
      <c r="H1106" s="35"/>
      <c r="M1106" s="20">
        <v>336.2</v>
      </c>
      <c r="AO1106" s="20" t="s">
        <v>1536</v>
      </c>
      <c r="BQ1106" s="156"/>
    </row>
    <row r="1107" spans="2:69" s="20" customFormat="1" ht="16.5" thickBot="1">
      <c r="B1107" s="141" t="s">
        <v>2126</v>
      </c>
      <c r="D1107" s="51"/>
      <c r="E1107" s="22"/>
      <c r="F1107" s="32" t="s">
        <v>174</v>
      </c>
      <c r="G1107" s="23"/>
      <c r="H1107" s="35"/>
      <c r="M1107" s="20">
        <v>7.6340000000000003</v>
      </c>
      <c r="AO1107" s="20" t="s">
        <v>1536</v>
      </c>
      <c r="BQ1107" s="156"/>
    </row>
    <row r="1108" spans="2:69" s="20" customFormat="1" ht="27.75" thickBot="1">
      <c r="B1108" s="141" t="s">
        <v>2127</v>
      </c>
      <c r="D1108" s="51"/>
      <c r="E1108" s="22"/>
      <c r="F1108" s="32" t="s">
        <v>203</v>
      </c>
      <c r="G1108" s="23"/>
      <c r="H1108" s="35"/>
      <c r="M1108" s="20">
        <v>336</v>
      </c>
      <c r="AO1108" s="20" t="s">
        <v>1536</v>
      </c>
      <c r="BQ1108" s="156"/>
    </row>
    <row r="1109" spans="2:69" s="20" customFormat="1" ht="16.5" thickBot="1">
      <c r="B1109" s="141" t="s">
        <v>2128</v>
      </c>
      <c r="D1109" s="51"/>
      <c r="E1109" s="22"/>
      <c r="F1109" s="32" t="s">
        <v>398</v>
      </c>
      <c r="G1109" s="23"/>
      <c r="H1109" s="35"/>
      <c r="M1109" s="20">
        <v>336</v>
      </c>
      <c r="AO1109" s="20" t="s">
        <v>1536</v>
      </c>
      <c r="BQ1109" s="156"/>
    </row>
    <row r="1110" spans="2:69" s="20" customFormat="1" ht="16.5" thickBot="1">
      <c r="B1110" s="141" t="s">
        <v>2129</v>
      </c>
      <c r="D1110" s="51"/>
      <c r="E1110" s="22"/>
      <c r="F1110" s="32" t="s">
        <v>177</v>
      </c>
      <c r="G1110" s="23"/>
      <c r="H1110" s="35"/>
      <c r="M1110" s="20">
        <v>7.609</v>
      </c>
      <c r="AO1110" s="20" t="s">
        <v>1536</v>
      </c>
      <c r="BQ1110" s="156"/>
    </row>
    <row r="1111" spans="2:69" s="20" customFormat="1" ht="16.5" thickBot="1">
      <c r="B1111" s="141" t="s">
        <v>2130</v>
      </c>
      <c r="D1111" s="51"/>
      <c r="E1111" s="22"/>
      <c r="F1111" s="32" t="s">
        <v>398</v>
      </c>
      <c r="G1111" s="23"/>
      <c r="H1111" s="35"/>
      <c r="M1111" s="20">
        <v>336.2</v>
      </c>
      <c r="AO1111" s="20" t="s">
        <v>1536</v>
      </c>
      <c r="BQ1111" s="156"/>
    </row>
    <row r="1112" spans="2:69" s="20" customFormat="1" ht="16.5" thickBot="1">
      <c r="B1112" s="141" t="s">
        <v>2131</v>
      </c>
      <c r="D1112" s="51"/>
      <c r="E1112" s="22"/>
      <c r="F1112" s="32" t="s">
        <v>420</v>
      </c>
      <c r="G1112" s="23"/>
      <c r="H1112" s="35"/>
      <c r="M1112" s="20">
        <v>7.64</v>
      </c>
      <c r="AO1112" s="20" t="s">
        <v>1536</v>
      </c>
      <c r="BQ1112" s="156"/>
    </row>
    <row r="1113" spans="2:69" s="20" customFormat="1" ht="27.75" thickBot="1">
      <c r="B1113" s="141" t="s">
        <v>2132</v>
      </c>
      <c r="D1113" s="51"/>
      <c r="E1113" s="22"/>
      <c r="F1113" s="32" t="s">
        <v>418</v>
      </c>
      <c r="G1113" s="23"/>
      <c r="H1113" s="35"/>
      <c r="M1113" s="20">
        <v>7.13</v>
      </c>
      <c r="AO1113" s="20" t="s">
        <v>1536</v>
      </c>
      <c r="BQ1113" s="156"/>
    </row>
    <row r="1114" spans="2:69" s="20" customFormat="1" ht="16.5" thickBot="1">
      <c r="B1114" s="141" t="s">
        <v>2133</v>
      </c>
      <c r="D1114" s="51"/>
      <c r="E1114" s="22"/>
      <c r="F1114" s="32" t="s">
        <v>398</v>
      </c>
      <c r="G1114" s="23"/>
      <c r="H1114" s="35"/>
      <c r="M1114" s="20">
        <v>336.1</v>
      </c>
      <c r="AO1114" s="20" t="s">
        <v>1536</v>
      </c>
      <c r="BQ1114" s="156"/>
    </row>
    <row r="1115" spans="2:69" s="20" customFormat="1" ht="16.5" thickBot="1">
      <c r="B1115" s="141" t="s">
        <v>2134</v>
      </c>
      <c r="D1115" s="51"/>
      <c r="E1115" s="22"/>
      <c r="F1115" s="32" t="s">
        <v>415</v>
      </c>
      <c r="G1115" s="23"/>
      <c r="H1115" s="35"/>
      <c r="M1115" s="20">
        <v>7.63</v>
      </c>
      <c r="AO1115" s="20" t="s">
        <v>1536</v>
      </c>
      <c r="BQ1115" s="156"/>
    </row>
    <row r="1116" spans="2:69" s="20" customFormat="1" ht="27.75" thickBot="1">
      <c r="B1116" s="141" t="s">
        <v>2135</v>
      </c>
      <c r="D1116" s="51"/>
      <c r="E1116" s="22"/>
      <c r="F1116" s="32" t="s">
        <v>413</v>
      </c>
      <c r="G1116" s="23"/>
      <c r="H1116" s="35"/>
      <c r="M1116" s="20">
        <v>7.13</v>
      </c>
      <c r="AO1116" s="20" t="s">
        <v>1536</v>
      </c>
      <c r="BQ1116" s="156"/>
    </row>
    <row r="1117" spans="2:69" s="20" customFormat="1" ht="16.5" thickBot="1">
      <c r="B1117" s="141" t="s">
        <v>2136</v>
      </c>
      <c r="D1117" s="51"/>
      <c r="E1117" s="22"/>
      <c r="F1117" s="32" t="s">
        <v>211</v>
      </c>
      <c r="G1117" s="23"/>
      <c r="H1117" s="35"/>
      <c r="M1117" s="20">
        <v>7.64</v>
      </c>
      <c r="AO1117" s="20" t="s">
        <v>1536</v>
      </c>
      <c r="BQ1117" s="156"/>
    </row>
    <row r="1118" spans="2:69" s="20" customFormat="1" ht="27.75" thickBot="1">
      <c r="B1118" s="141" t="s">
        <v>2137</v>
      </c>
      <c r="D1118" s="51"/>
      <c r="E1118" s="22"/>
      <c r="F1118" s="32" t="s">
        <v>410</v>
      </c>
      <c r="G1118" s="23"/>
      <c r="H1118" s="35"/>
      <c r="M1118" s="20">
        <v>336</v>
      </c>
      <c r="AO1118" s="20" t="s">
        <v>1536</v>
      </c>
      <c r="BQ1118" s="156"/>
    </row>
    <row r="1119" spans="2:69" s="20" customFormat="1" ht="27.75" thickBot="1">
      <c r="B1119" s="141" t="s">
        <v>2138</v>
      </c>
      <c r="D1119" s="51"/>
      <c r="E1119" s="22"/>
      <c r="F1119" s="32" t="s">
        <v>204</v>
      </c>
      <c r="G1119" s="23"/>
      <c r="H1119" s="35"/>
      <c r="M1119" s="20">
        <v>7.64</v>
      </c>
      <c r="AO1119" s="20" t="s">
        <v>1536</v>
      </c>
      <c r="BQ1119" s="156"/>
    </row>
    <row r="1120" spans="2:69" s="20" customFormat="1" ht="16.5" thickBot="1">
      <c r="B1120" s="141" t="s">
        <v>2139</v>
      </c>
      <c r="D1120" s="51"/>
      <c r="E1120" s="22"/>
      <c r="F1120" s="32" t="s">
        <v>375</v>
      </c>
      <c r="G1120" s="23"/>
      <c r="H1120" s="35"/>
      <c r="M1120" s="20">
        <v>375.9</v>
      </c>
      <c r="AO1120" s="20" t="s">
        <v>1536</v>
      </c>
      <c r="BQ1120" s="156"/>
    </row>
    <row r="1121" spans="2:69" s="20" customFormat="1" ht="16.5" thickBot="1">
      <c r="B1121" s="141" t="s">
        <v>2140</v>
      </c>
      <c r="D1121" s="51"/>
      <c r="E1121" s="22"/>
      <c r="F1121" s="32" t="s">
        <v>375</v>
      </c>
      <c r="G1121" s="23"/>
      <c r="H1121" s="35"/>
      <c r="M1121" s="20">
        <v>375.9</v>
      </c>
      <c r="AO1121" s="20" t="s">
        <v>1536</v>
      </c>
      <c r="BQ1121" s="156"/>
    </row>
    <row r="1122" spans="2:69" s="20" customFormat="1" ht="16.5" thickBot="1">
      <c r="B1122" s="141" t="s">
        <v>2141</v>
      </c>
      <c r="D1122" s="51"/>
      <c r="E1122" s="22"/>
      <c r="F1122" s="32" t="s">
        <v>405</v>
      </c>
      <c r="G1122" s="23"/>
      <c r="H1122" s="35"/>
      <c r="M1122" s="20">
        <v>7.35</v>
      </c>
      <c r="AO1122" s="20" t="s">
        <v>1536</v>
      </c>
      <c r="BQ1122" s="156"/>
    </row>
    <row r="1123" spans="2:69" s="20" customFormat="1" ht="27.75" thickBot="1">
      <c r="B1123" s="141" t="s">
        <v>2142</v>
      </c>
      <c r="D1123" s="51"/>
      <c r="E1123" s="22"/>
      <c r="F1123" s="32" t="s">
        <v>403</v>
      </c>
      <c r="G1123" s="23"/>
      <c r="H1123" s="35"/>
      <c r="M1123" s="20">
        <v>7.35</v>
      </c>
      <c r="AO1123" s="20" t="s">
        <v>1536</v>
      </c>
      <c r="BQ1123" s="156"/>
    </row>
    <row r="1124" spans="2:69" s="20" customFormat="1" ht="16.5" thickBot="1">
      <c r="B1124" s="141" t="s">
        <v>2143</v>
      </c>
      <c r="D1124" s="51"/>
      <c r="E1124" s="22"/>
      <c r="F1124" s="32" t="s">
        <v>401</v>
      </c>
      <c r="G1124" s="23"/>
      <c r="H1124" s="35"/>
      <c r="M1124" s="20">
        <v>7.64</v>
      </c>
      <c r="AO1124" s="20" t="s">
        <v>1536</v>
      </c>
      <c r="BQ1124" s="156"/>
    </row>
    <row r="1125" spans="2:69" s="20" customFormat="1" ht="16.5" thickBot="1">
      <c r="B1125" s="141" t="s">
        <v>2144</v>
      </c>
      <c r="D1125" s="51"/>
      <c r="E1125" s="22"/>
      <c r="F1125" s="32" t="s">
        <v>398</v>
      </c>
      <c r="G1125" s="23"/>
      <c r="H1125" s="35"/>
      <c r="M1125" s="20">
        <v>336.2</v>
      </c>
      <c r="AO1125" s="20" t="s">
        <v>1536</v>
      </c>
      <c r="BQ1125" s="156"/>
    </row>
    <row r="1126" spans="2:69" s="20" customFormat="1" ht="16.5" thickBot="1">
      <c r="B1126" s="141" t="s">
        <v>2145</v>
      </c>
      <c r="D1126" s="51"/>
      <c r="E1126" s="22"/>
      <c r="F1126" s="32" t="s">
        <v>398</v>
      </c>
      <c r="G1126" s="23"/>
      <c r="H1126" s="35"/>
      <c r="M1126" s="20">
        <v>336.1</v>
      </c>
      <c r="AO1126" s="20" t="s">
        <v>1536</v>
      </c>
      <c r="BQ1126" s="156"/>
    </row>
    <row r="1127" spans="2:69" s="20" customFormat="1" ht="27.75" thickBot="1">
      <c r="B1127" s="141" t="s">
        <v>2146</v>
      </c>
      <c r="D1127" s="51"/>
      <c r="E1127" s="22"/>
      <c r="F1127" s="32" t="s">
        <v>396</v>
      </c>
      <c r="G1127" s="23"/>
      <c r="H1127" s="35"/>
      <c r="M1127" s="20">
        <v>336.1</v>
      </c>
      <c r="AO1127" s="20" t="s">
        <v>1536</v>
      </c>
      <c r="BQ1127" s="156"/>
    </row>
    <row r="1128" spans="2:69" s="20" customFormat="1" ht="27.75" thickBot="1">
      <c r="B1128" s="141" t="s">
        <v>2147</v>
      </c>
      <c r="D1128" s="51"/>
      <c r="E1128" s="22"/>
      <c r="F1128" s="32" t="s">
        <v>389</v>
      </c>
      <c r="G1128" s="23"/>
      <c r="H1128" s="35"/>
      <c r="M1128" s="20">
        <v>834</v>
      </c>
      <c r="AO1128" s="20" t="s">
        <v>1536</v>
      </c>
      <c r="BQ1128" s="156"/>
    </row>
    <row r="1129" spans="2:69" s="20" customFormat="1" ht="27.75" thickBot="1">
      <c r="B1129" s="141" t="s">
        <v>2148</v>
      </c>
      <c r="D1129" s="51"/>
      <c r="E1129" s="22"/>
      <c r="F1129" s="32" t="s">
        <v>393</v>
      </c>
      <c r="G1129" s="23"/>
      <c r="H1129" s="35"/>
      <c r="M1129" s="20">
        <v>834</v>
      </c>
      <c r="AO1129" s="20" t="s">
        <v>1536</v>
      </c>
      <c r="BQ1129" s="156"/>
    </row>
    <row r="1130" spans="2:69" s="20" customFormat="1" ht="16.5" thickBot="1">
      <c r="B1130" s="141" t="s">
        <v>2149</v>
      </c>
      <c r="D1130" s="51"/>
      <c r="E1130" s="22"/>
      <c r="F1130" s="32" t="s">
        <v>391</v>
      </c>
      <c r="G1130" s="23"/>
      <c r="H1130" s="35"/>
      <c r="M1130" s="20">
        <v>336.4</v>
      </c>
      <c r="AO1130" s="20" t="s">
        <v>1536</v>
      </c>
      <c r="BQ1130" s="156"/>
    </row>
    <row r="1131" spans="2:69" s="20" customFormat="1" ht="27.75" thickBot="1">
      <c r="B1131" s="141" t="s">
        <v>2150</v>
      </c>
      <c r="D1131" s="51"/>
      <c r="E1131" s="22"/>
      <c r="F1131" s="32" t="s">
        <v>389</v>
      </c>
      <c r="G1131" s="23"/>
      <c r="H1131" s="35"/>
      <c r="M1131" s="20">
        <v>834</v>
      </c>
      <c r="AO1131" s="20" t="s">
        <v>1536</v>
      </c>
      <c r="BQ1131" s="156"/>
    </row>
    <row r="1132" spans="2:69" s="20" customFormat="1" ht="27.75" thickBot="1">
      <c r="B1132" s="141" t="s">
        <v>2151</v>
      </c>
      <c r="D1132" s="51"/>
      <c r="E1132" s="22"/>
      <c r="F1132" s="32" t="s">
        <v>387</v>
      </c>
      <c r="G1132" s="23"/>
      <c r="H1132" s="35"/>
      <c r="M1132" s="20">
        <v>336.1</v>
      </c>
      <c r="AO1132" s="20" t="s">
        <v>1536</v>
      </c>
      <c r="BQ1132" s="156"/>
    </row>
    <row r="1133" spans="2:69" s="20" customFormat="1" ht="16.5" thickBot="1">
      <c r="B1133" s="141" t="s">
        <v>2152</v>
      </c>
      <c r="D1133" s="51"/>
      <c r="E1133" s="22"/>
      <c r="F1133" s="32" t="s">
        <v>203</v>
      </c>
      <c r="G1133" s="23"/>
      <c r="H1133" s="35"/>
      <c r="M1133" s="20">
        <v>675</v>
      </c>
      <c r="AO1133" s="20" t="s">
        <v>1536</v>
      </c>
      <c r="BQ1133" s="156"/>
    </row>
    <row r="1134" spans="2:69" s="20" customFormat="1" ht="15.75">
      <c r="B1134" s="141" t="s">
        <v>2153</v>
      </c>
      <c r="D1134" s="51"/>
      <c r="E1134" s="22"/>
      <c r="F1134" s="32" t="s">
        <v>384</v>
      </c>
      <c r="G1134" s="23"/>
      <c r="H1134" s="35"/>
      <c r="M1134" s="20">
        <v>336.1</v>
      </c>
      <c r="AO1134" s="20" t="s">
        <v>1536</v>
      </c>
      <c r="BQ1134" s="156"/>
    </row>
    <row r="1135" spans="2:69" s="13" customFormat="1" ht="26.25" customHeight="1">
      <c r="B1135" s="141" t="s">
        <v>2154</v>
      </c>
      <c r="D1135" s="46"/>
      <c r="E1135" s="22"/>
      <c r="F1135" s="15" t="s">
        <v>382</v>
      </c>
      <c r="G1135" s="23"/>
      <c r="H1135" s="35"/>
      <c r="M1135" s="13">
        <v>830.7</v>
      </c>
      <c r="AO1135" s="13" t="s">
        <v>1536</v>
      </c>
      <c r="BQ1135" s="37"/>
    </row>
    <row r="1136" spans="2:69" s="13" customFormat="1" ht="26.25" customHeight="1">
      <c r="B1136" s="141" t="s">
        <v>2155</v>
      </c>
      <c r="D1136" s="46"/>
      <c r="E1136" s="22"/>
      <c r="F1136" s="15" t="s">
        <v>380</v>
      </c>
      <c r="G1136" s="23"/>
      <c r="H1136" s="35"/>
      <c r="M1136" s="13">
        <v>830</v>
      </c>
      <c r="AO1136" s="13" t="s">
        <v>1536</v>
      </c>
      <c r="BQ1136" s="37"/>
    </row>
    <row r="1137" spans="2:69" s="13" customFormat="1" ht="26.25" customHeight="1">
      <c r="B1137" s="141" t="s">
        <v>2156</v>
      </c>
      <c r="D1137" s="46"/>
      <c r="E1137" s="22"/>
      <c r="F1137" s="15" t="s">
        <v>378</v>
      </c>
      <c r="G1137" s="23"/>
      <c r="H1137" s="35"/>
      <c r="M1137" s="13">
        <v>670.93</v>
      </c>
      <c r="AO1137" s="13" t="s">
        <v>1536</v>
      </c>
      <c r="BQ1137" s="37"/>
    </row>
    <row r="1138" spans="2:69" s="13" customFormat="1" ht="26.25" customHeight="1">
      <c r="B1138" s="141" t="s">
        <v>2157</v>
      </c>
      <c r="D1138" s="46"/>
      <c r="E1138" s="22"/>
      <c r="F1138" s="15" t="s">
        <v>375</v>
      </c>
      <c r="G1138" s="23"/>
      <c r="H1138" s="35"/>
      <c r="M1138" s="13">
        <v>375.9</v>
      </c>
      <c r="AO1138" s="13" t="s">
        <v>1536</v>
      </c>
      <c r="BQ1138" s="37"/>
    </row>
    <row r="1139" spans="2:69" s="13" customFormat="1" ht="26.25" customHeight="1">
      <c r="B1139" s="141" t="s">
        <v>2158</v>
      </c>
      <c r="D1139" s="46"/>
      <c r="E1139" s="22"/>
      <c r="F1139" s="15" t="s">
        <v>375</v>
      </c>
      <c r="G1139" s="23"/>
      <c r="H1139" s="35"/>
      <c r="M1139" s="13">
        <v>375.9</v>
      </c>
      <c r="AO1139" s="13" t="s">
        <v>1536</v>
      </c>
      <c r="BQ1139" s="37"/>
    </row>
    <row r="1140" spans="2:69" s="13" customFormat="1" ht="26.25" customHeight="1">
      <c r="B1140" s="141" t="s">
        <v>2159</v>
      </c>
      <c r="D1140" s="46"/>
      <c r="E1140" s="22"/>
      <c r="F1140" s="15" t="s">
        <v>373</v>
      </c>
      <c r="G1140" s="23"/>
      <c r="H1140" s="35"/>
      <c r="M1140" s="13">
        <v>336.4</v>
      </c>
      <c r="AO1140" s="13" t="s">
        <v>1536</v>
      </c>
      <c r="BQ1140" s="37"/>
    </row>
    <row r="1141" spans="2:69" s="13" customFormat="1" ht="26.25" customHeight="1">
      <c r="B1141" s="141" t="s">
        <v>2160</v>
      </c>
      <c r="D1141" s="46"/>
      <c r="E1141" s="22"/>
      <c r="F1141" s="15" t="s">
        <v>350</v>
      </c>
      <c r="G1141" s="23"/>
      <c r="H1141" s="35"/>
      <c r="M1141" s="13">
        <v>336.1</v>
      </c>
      <c r="AO1141" s="13" t="s">
        <v>1536</v>
      </c>
      <c r="BQ1141" s="37"/>
    </row>
    <row r="1142" spans="2:69" s="13" customFormat="1" ht="26.25" customHeight="1">
      <c r="B1142" s="141" t="s">
        <v>2161</v>
      </c>
      <c r="D1142" s="46"/>
      <c r="E1142" s="22"/>
      <c r="F1142" s="15" t="s">
        <v>370</v>
      </c>
      <c r="G1142" s="23"/>
      <c r="H1142" s="35"/>
      <c r="M1142" s="13">
        <v>331.19</v>
      </c>
      <c r="AO1142" s="13" t="s">
        <v>1536</v>
      </c>
      <c r="BQ1142" s="37"/>
    </row>
    <row r="1143" spans="2:69" s="13" customFormat="1" ht="26.25" customHeight="1">
      <c r="B1143" s="141" t="s">
        <v>2162</v>
      </c>
      <c r="D1143" s="46"/>
      <c r="E1143" s="22"/>
      <c r="F1143" s="15" t="s">
        <v>210</v>
      </c>
      <c r="G1143" s="23"/>
      <c r="H1143" s="35"/>
      <c r="M1143" s="13">
        <v>860</v>
      </c>
      <c r="AO1143" s="13" t="s">
        <v>1536</v>
      </c>
      <c r="BQ1143" s="37"/>
    </row>
    <row r="1144" spans="2:69" s="13" customFormat="1" ht="26.25" customHeight="1">
      <c r="B1144" s="141" t="s">
        <v>2163</v>
      </c>
      <c r="D1144" s="46"/>
      <c r="E1144" s="22"/>
      <c r="F1144" s="15" t="s">
        <v>208</v>
      </c>
      <c r="G1144" s="23"/>
      <c r="H1144" s="35"/>
      <c r="M1144" s="13">
        <v>675.4</v>
      </c>
      <c r="AO1144" s="13" t="s">
        <v>1536</v>
      </c>
      <c r="BQ1144" s="37"/>
    </row>
    <row r="1145" spans="2:69" s="13" customFormat="1" ht="26.25" customHeight="1">
      <c r="B1145" s="141" t="s">
        <v>2164</v>
      </c>
      <c r="D1145" s="46"/>
      <c r="E1145" s="22"/>
      <c r="F1145" s="15" t="s">
        <v>366</v>
      </c>
      <c r="G1145" s="23"/>
      <c r="H1145" s="35"/>
      <c r="M1145" s="13">
        <v>675.4</v>
      </c>
      <c r="AO1145" s="13" t="s">
        <v>1536</v>
      </c>
      <c r="BQ1145" s="37"/>
    </row>
    <row r="1146" spans="2:69" s="13" customFormat="1" ht="26.25" customHeight="1">
      <c r="B1146" s="141" t="s">
        <v>2165</v>
      </c>
      <c r="D1146" s="46"/>
      <c r="E1146" s="22"/>
      <c r="F1146" s="15" t="s">
        <v>364</v>
      </c>
      <c r="G1146" s="23"/>
      <c r="H1146" s="35"/>
      <c r="M1146" s="13">
        <v>372.10700000000003</v>
      </c>
      <c r="AO1146" s="13" t="s">
        <v>1536</v>
      </c>
      <c r="BQ1146" s="37"/>
    </row>
    <row r="1147" spans="2:69" s="13" customFormat="1" ht="26.25" customHeight="1">
      <c r="B1147" s="141" t="s">
        <v>2166</v>
      </c>
      <c r="D1147" s="46"/>
      <c r="E1147" s="22"/>
      <c r="F1147" s="15" t="s">
        <v>362</v>
      </c>
      <c r="G1147" s="23"/>
      <c r="H1147" s="35"/>
      <c r="M1147" s="13">
        <v>850</v>
      </c>
      <c r="AO1147" s="13" t="s">
        <v>1536</v>
      </c>
      <c r="BQ1147" s="37"/>
    </row>
    <row r="1148" spans="2:69" s="13" customFormat="1" ht="26.25" customHeight="1">
      <c r="B1148" s="141" t="s">
        <v>2167</v>
      </c>
      <c r="D1148" s="46"/>
      <c r="E1148" s="22"/>
      <c r="F1148" s="15" t="s">
        <v>179</v>
      </c>
      <c r="G1148" s="23"/>
      <c r="H1148" s="35"/>
      <c r="M1148" s="13">
        <v>673.97199999999998</v>
      </c>
      <c r="AO1148" s="13" t="s">
        <v>1536</v>
      </c>
      <c r="BQ1148" s="37"/>
    </row>
    <row r="1149" spans="2:69" s="13" customFormat="1" ht="26.25" customHeight="1">
      <c r="B1149" s="141" t="s">
        <v>2168</v>
      </c>
      <c r="D1149" s="46"/>
      <c r="E1149" s="22"/>
      <c r="F1149" s="15" t="s">
        <v>359</v>
      </c>
      <c r="G1149" s="23"/>
      <c r="H1149" s="35"/>
      <c r="M1149" s="13">
        <v>7.6</v>
      </c>
      <c r="AO1149" s="13" t="s">
        <v>1536</v>
      </c>
      <c r="BQ1149" s="37"/>
    </row>
    <row r="1150" spans="2:69" s="13" customFormat="1" ht="26.25" customHeight="1">
      <c r="B1150" s="141" t="s">
        <v>2169</v>
      </c>
      <c r="D1150" s="46"/>
      <c r="E1150" s="22"/>
      <c r="F1150" s="15"/>
      <c r="G1150" s="23"/>
      <c r="H1150" s="35"/>
      <c r="M1150" s="13">
        <v>673.971</v>
      </c>
      <c r="AO1150" s="13" t="s">
        <v>1536</v>
      </c>
      <c r="BQ1150" s="37"/>
    </row>
    <row r="1151" spans="2:69" s="13" customFormat="1" ht="26.25" customHeight="1">
      <c r="B1151" s="141" t="s">
        <v>2170</v>
      </c>
      <c r="D1151" s="46"/>
      <c r="E1151" s="22"/>
      <c r="F1151" s="15" t="s">
        <v>356</v>
      </c>
      <c r="G1151" s="23"/>
      <c r="H1151" s="35"/>
      <c r="M1151" s="13">
        <v>708.7</v>
      </c>
      <c r="AO1151" s="13" t="s">
        <v>1536</v>
      </c>
      <c r="BQ1151" s="37"/>
    </row>
    <row r="1152" spans="2:69" s="13" customFormat="1" ht="26.25" customHeight="1">
      <c r="B1152" s="141" t="s">
        <v>2171</v>
      </c>
      <c r="D1152" s="46"/>
      <c r="E1152" s="22"/>
      <c r="F1152" s="15"/>
      <c r="G1152" s="23"/>
      <c r="H1152" s="35"/>
      <c r="M1152" s="13">
        <v>673.97</v>
      </c>
      <c r="AO1152" s="13" t="s">
        <v>1536</v>
      </c>
      <c r="BQ1152" s="37"/>
    </row>
    <row r="1153" spans="2:69" s="13" customFormat="1" ht="26.25" customHeight="1">
      <c r="B1153" s="141" t="s">
        <v>2172</v>
      </c>
      <c r="D1153" s="46"/>
      <c r="E1153" s="22"/>
      <c r="F1153" s="15" t="s">
        <v>209</v>
      </c>
      <c r="G1153" s="23"/>
      <c r="H1153" s="35"/>
      <c r="M1153" s="13">
        <v>7.63</v>
      </c>
      <c r="AO1153" s="13" t="s">
        <v>1536</v>
      </c>
      <c r="BQ1153" s="37"/>
    </row>
    <row r="1154" spans="2:69" s="13" customFormat="1" ht="26.25" customHeight="1">
      <c r="B1154" s="141" t="s">
        <v>2173</v>
      </c>
      <c r="D1154" s="46"/>
      <c r="E1154" s="22"/>
      <c r="F1154" s="15" t="s">
        <v>350</v>
      </c>
      <c r="G1154" s="23"/>
      <c r="H1154" s="35"/>
      <c r="M1154" s="13">
        <v>336.1</v>
      </c>
      <c r="AO1154" s="13" t="s">
        <v>1536</v>
      </c>
      <c r="BQ1154" s="37"/>
    </row>
    <row r="1155" spans="2:69" s="13" customFormat="1" ht="26.25" customHeight="1">
      <c r="B1155" s="141" t="s">
        <v>2174</v>
      </c>
      <c r="D1155" s="46"/>
      <c r="E1155" s="22"/>
      <c r="F1155" s="15" t="s">
        <v>207</v>
      </c>
      <c r="G1155" s="23"/>
      <c r="H1155" s="35"/>
      <c r="M1155" s="13">
        <v>547.48329999999999</v>
      </c>
      <c r="AO1155" s="13" t="s">
        <v>1536</v>
      </c>
      <c r="BQ1155" s="37"/>
    </row>
    <row r="1156" spans="2:69" s="13" customFormat="1" ht="26.25" customHeight="1">
      <c r="B1156" s="141" t="s">
        <v>2175</v>
      </c>
      <c r="D1156" s="46"/>
      <c r="E1156" s="22"/>
      <c r="F1156" s="15" t="s">
        <v>350</v>
      </c>
      <c r="G1156" s="23"/>
      <c r="H1156" s="35"/>
      <c r="M1156" s="13">
        <v>336.1</v>
      </c>
      <c r="AO1156" s="13" t="s">
        <v>1536</v>
      </c>
      <c r="BQ1156" s="37"/>
    </row>
    <row r="1157" spans="2:69" s="13" customFormat="1" ht="26.25" customHeight="1">
      <c r="B1157" s="141" t="s">
        <v>2176</v>
      </c>
      <c r="D1157" s="46"/>
      <c r="E1157" s="22"/>
      <c r="F1157" s="15" t="s">
        <v>205</v>
      </c>
      <c r="G1157" s="23"/>
      <c r="H1157" s="35"/>
      <c r="M1157" s="13">
        <v>596</v>
      </c>
      <c r="AO1157" s="13" t="s">
        <v>1536</v>
      </c>
      <c r="BQ1157" s="37"/>
    </row>
    <row r="1158" spans="2:69" s="13" customFormat="1" ht="26.25" customHeight="1">
      <c r="B1158" s="141" t="s">
        <v>2177</v>
      </c>
      <c r="D1158" s="46"/>
      <c r="E1158" s="22"/>
      <c r="F1158" s="15" t="s">
        <v>179</v>
      </c>
      <c r="G1158" s="23"/>
      <c r="H1158" s="35"/>
      <c r="M1158" s="13">
        <v>673.97199999999998</v>
      </c>
      <c r="AO1158" s="13" t="s">
        <v>1536</v>
      </c>
      <c r="BQ1158" s="37"/>
    </row>
    <row r="1159" spans="2:69" s="13" customFormat="1" ht="26.25" customHeight="1">
      <c r="B1159" s="141" t="s">
        <v>2178</v>
      </c>
      <c r="D1159" s="46"/>
      <c r="E1159" s="22"/>
      <c r="F1159" s="15" t="s">
        <v>347</v>
      </c>
      <c r="G1159" s="23"/>
      <c r="H1159" s="35"/>
      <c r="M1159" s="13">
        <v>7.64</v>
      </c>
      <c r="AO1159" s="13" t="s">
        <v>1536</v>
      </c>
      <c r="BQ1159" s="37"/>
    </row>
    <row r="1160" spans="2:69" s="13" customFormat="1" ht="26.25" customHeight="1">
      <c r="B1160" s="141" t="s">
        <v>2179</v>
      </c>
      <c r="D1160" s="46"/>
      <c r="E1160" s="22"/>
      <c r="F1160" s="15" t="s">
        <v>345</v>
      </c>
      <c r="G1160" s="23"/>
      <c r="H1160" s="35"/>
      <c r="M1160" s="13">
        <v>547.48</v>
      </c>
      <c r="AO1160" s="13" t="s">
        <v>1536</v>
      </c>
      <c r="BQ1160" s="37"/>
    </row>
    <row r="1161" spans="2:69" s="13" customFormat="1" ht="26.25" customHeight="1">
      <c r="B1161" s="141" t="s">
        <v>2180</v>
      </c>
      <c r="D1161" s="46"/>
      <c r="E1161" s="22"/>
      <c r="F1161" s="15" t="s">
        <v>343</v>
      </c>
      <c r="G1161" s="23"/>
      <c r="H1161" s="35"/>
      <c r="M1161" s="13">
        <v>673.97</v>
      </c>
      <c r="AO1161" s="13" t="s">
        <v>1536</v>
      </c>
      <c r="BQ1161" s="37"/>
    </row>
    <row r="1162" spans="2:69" s="13" customFormat="1" ht="26.25" customHeight="1">
      <c r="B1162" s="141" t="s">
        <v>2181</v>
      </c>
      <c r="D1162" s="46"/>
      <c r="E1162" s="22"/>
      <c r="F1162" s="15" t="s">
        <v>341</v>
      </c>
      <c r="G1162" s="23"/>
      <c r="H1162" s="35"/>
      <c r="M1162" s="13">
        <v>7.13</v>
      </c>
      <c r="AO1162" s="13" t="s">
        <v>1536</v>
      </c>
      <c r="BQ1162" s="37"/>
    </row>
    <row r="1163" spans="2:69" s="13" customFormat="1" ht="26.25" customHeight="1">
      <c r="B1163" s="141" t="s">
        <v>2182</v>
      </c>
      <c r="D1163" s="46"/>
      <c r="E1163" s="22"/>
      <c r="F1163" s="15" t="s">
        <v>340</v>
      </c>
      <c r="G1163" s="23"/>
      <c r="H1163" s="35"/>
      <c r="M1163" s="13">
        <v>7.64</v>
      </c>
      <c r="AO1163" s="13" t="s">
        <v>1536</v>
      </c>
      <c r="BQ1163" s="37"/>
    </row>
    <row r="1164" spans="2:69" s="13" customFormat="1" ht="26.25" customHeight="1">
      <c r="B1164" s="141" t="s">
        <v>2183</v>
      </c>
      <c r="D1164" s="46"/>
      <c r="E1164" s="22"/>
      <c r="F1164" s="15" t="s">
        <v>180</v>
      </c>
      <c r="G1164" s="23"/>
      <c r="H1164" s="35"/>
      <c r="M1164" s="13">
        <v>596.29999999999995</v>
      </c>
      <c r="AO1164" s="13" t="s">
        <v>1536</v>
      </c>
      <c r="BQ1164" s="37"/>
    </row>
    <row r="1165" spans="2:69" s="13" customFormat="1" ht="26.25" customHeight="1">
      <c r="B1165" s="141" t="s">
        <v>2184</v>
      </c>
      <c r="D1165" s="46"/>
      <c r="E1165" s="22"/>
      <c r="F1165" s="15" t="s">
        <v>249</v>
      </c>
      <c r="G1165" s="23"/>
      <c r="H1165" s="35"/>
      <c r="M1165" s="13">
        <v>547.48</v>
      </c>
      <c r="AO1165" s="13" t="s">
        <v>1536</v>
      </c>
      <c r="BQ1165" s="37"/>
    </row>
    <row r="1166" spans="2:69" s="13" customFormat="1" ht="26.25" customHeight="1">
      <c r="B1166" s="141" t="s">
        <v>2185</v>
      </c>
      <c r="D1166" s="46"/>
      <c r="E1166" s="22"/>
      <c r="F1166" s="15" t="s">
        <v>337</v>
      </c>
      <c r="G1166" s="23"/>
      <c r="H1166" s="35"/>
      <c r="M1166" s="13">
        <v>7.64</v>
      </c>
      <c r="AO1166" s="13" t="s">
        <v>1536</v>
      </c>
      <c r="BQ1166" s="37"/>
    </row>
    <row r="1167" spans="2:69" s="13" customFormat="1" ht="26.25" customHeight="1">
      <c r="B1167" s="141" t="s">
        <v>2186</v>
      </c>
      <c r="D1167" s="46"/>
      <c r="E1167" s="22"/>
      <c r="F1167" s="15" t="s">
        <v>336</v>
      </c>
      <c r="G1167" s="23"/>
      <c r="H1167" s="35"/>
      <c r="M1167" s="13">
        <v>7.64</v>
      </c>
      <c r="AO1167" s="13" t="s">
        <v>1536</v>
      </c>
      <c r="BQ1167" s="37"/>
    </row>
    <row r="1168" spans="2:69" s="13" customFormat="1" ht="26.25" customHeight="1">
      <c r="B1168" s="141" t="s">
        <v>2187</v>
      </c>
      <c r="D1168" s="46"/>
      <c r="E1168" s="22"/>
      <c r="F1168" s="15" t="s">
        <v>334</v>
      </c>
      <c r="G1168" s="23"/>
      <c r="H1168" s="35"/>
      <c r="M1168" s="13">
        <v>336</v>
      </c>
      <c r="AO1168" s="13" t="s">
        <v>1536</v>
      </c>
      <c r="BQ1168" s="37"/>
    </row>
    <row r="1169" spans="2:69" s="13" customFormat="1" ht="26.25" customHeight="1">
      <c r="B1169" s="141" t="s">
        <v>2188</v>
      </c>
      <c r="D1169" s="46"/>
      <c r="E1169" s="22"/>
      <c r="F1169" s="15" t="s">
        <v>333</v>
      </c>
      <c r="G1169" s="23"/>
      <c r="H1169" s="35"/>
      <c r="M1169" s="13">
        <v>673.86</v>
      </c>
      <c r="AO1169" s="13" t="s">
        <v>1536</v>
      </c>
      <c r="BQ1169" s="37"/>
    </row>
    <row r="1170" spans="2:69" s="13" customFormat="1" ht="26.25" customHeight="1">
      <c r="B1170" s="141" t="s">
        <v>2189</v>
      </c>
      <c r="D1170" s="46"/>
      <c r="E1170" s="22"/>
      <c r="F1170" s="15" t="s">
        <v>192</v>
      </c>
      <c r="G1170" s="23"/>
      <c r="H1170" s="35"/>
      <c r="M1170" s="13">
        <v>673.86</v>
      </c>
      <c r="AO1170" s="13" t="s">
        <v>1536</v>
      </c>
      <c r="BQ1170" s="37"/>
    </row>
    <row r="1171" spans="2:69" s="13" customFormat="1" ht="26.25" customHeight="1">
      <c r="B1171" s="141" t="s">
        <v>2190</v>
      </c>
      <c r="D1171" s="46"/>
      <c r="E1171" s="22"/>
      <c r="F1171" s="15" t="s">
        <v>332</v>
      </c>
      <c r="G1171" s="23"/>
      <c r="H1171" s="35"/>
      <c r="M1171" s="13">
        <v>335.3</v>
      </c>
      <c r="AO1171" s="13" t="s">
        <v>1536</v>
      </c>
      <c r="BQ1171" s="37"/>
    </row>
    <row r="1172" spans="2:69" s="13" customFormat="1" ht="26.25" customHeight="1">
      <c r="B1172" s="141" t="s">
        <v>2191</v>
      </c>
      <c r="D1172" s="46"/>
      <c r="E1172" s="22"/>
      <c r="F1172" s="15" t="s">
        <v>331</v>
      </c>
      <c r="G1172" s="23"/>
      <c r="H1172" s="35"/>
      <c r="M1172" s="13">
        <v>673.86</v>
      </c>
      <c r="AO1172" s="13" t="s">
        <v>1536</v>
      </c>
      <c r="BQ1172" s="37"/>
    </row>
    <row r="1173" spans="2:69" s="13" customFormat="1" ht="26.25" customHeight="1">
      <c r="B1173" s="141" t="s">
        <v>2192</v>
      </c>
      <c r="D1173" s="46"/>
      <c r="E1173" s="22"/>
      <c r="F1173" s="15" t="s">
        <v>330</v>
      </c>
      <c r="G1173" s="23"/>
      <c r="H1173" s="37"/>
      <c r="M1173" s="13">
        <v>596.38</v>
      </c>
      <c r="AO1173" s="13" t="s">
        <v>1536</v>
      </c>
      <c r="BQ1173" s="37"/>
    </row>
    <row r="1174" spans="2:69" s="13" customFormat="1" ht="26.25" customHeight="1">
      <c r="B1174" s="141" t="s">
        <v>2193</v>
      </c>
      <c r="D1174" s="46"/>
      <c r="E1174" s="22"/>
      <c r="F1174" s="15" t="s">
        <v>329</v>
      </c>
      <c r="G1174" s="23"/>
      <c r="H1174" s="37"/>
      <c r="M1174" s="13">
        <v>547.48</v>
      </c>
      <c r="AO1174" s="13" t="s">
        <v>1536</v>
      </c>
      <c r="BQ1174" s="37"/>
    </row>
    <row r="1175" spans="2:69" s="13" customFormat="1" ht="26.25" customHeight="1">
      <c r="B1175" s="141" t="s">
        <v>2194</v>
      </c>
      <c r="D1175" s="46"/>
      <c r="E1175" s="22"/>
      <c r="F1175" s="15" t="s">
        <v>183</v>
      </c>
      <c r="G1175" s="23"/>
      <c r="H1175" s="37"/>
      <c r="M1175" s="13">
        <v>547.48</v>
      </c>
      <c r="AO1175" s="13" t="s">
        <v>1536</v>
      </c>
      <c r="BQ1175" s="37"/>
    </row>
    <row r="1176" spans="2:69" s="13" customFormat="1" ht="26.25" customHeight="1">
      <c r="B1176" s="141" t="s">
        <v>2195</v>
      </c>
      <c r="D1176" s="46"/>
      <c r="E1176" s="22"/>
      <c r="F1176" s="15" t="s">
        <v>326</v>
      </c>
      <c r="G1176" s="23"/>
      <c r="H1176" s="37"/>
      <c r="M1176" s="13">
        <v>596.22</v>
      </c>
      <c r="AO1176" s="13" t="s">
        <v>1536</v>
      </c>
      <c r="BQ1176" s="37"/>
    </row>
    <row r="1177" spans="2:69" s="13" customFormat="1" ht="26.25" customHeight="1">
      <c r="B1177" s="141" t="s">
        <v>2196</v>
      </c>
      <c r="D1177" s="46"/>
      <c r="E1177" s="22"/>
      <c r="F1177" s="15" t="s">
        <v>324</v>
      </c>
      <c r="G1177" s="23"/>
      <c r="H1177" s="37"/>
      <c r="M1177" s="13">
        <v>596.22</v>
      </c>
      <c r="AO1177" s="13" t="s">
        <v>1536</v>
      </c>
      <c r="BQ1177" s="37"/>
    </row>
    <row r="1178" spans="2:69" s="13" customFormat="1" ht="26.25" customHeight="1">
      <c r="B1178" s="141" t="s">
        <v>2197</v>
      </c>
      <c r="D1178" s="46"/>
      <c r="E1178" s="22"/>
      <c r="F1178" s="15" t="s">
        <v>322</v>
      </c>
      <c r="G1178" s="23"/>
      <c r="H1178" s="35"/>
      <c r="M1178" s="13">
        <v>596.22</v>
      </c>
      <c r="AO1178" s="13" t="s">
        <v>1536</v>
      </c>
      <c r="BQ1178" s="37"/>
    </row>
    <row r="1179" spans="2:69" s="13" customFormat="1" ht="26.25" customHeight="1">
      <c r="B1179" s="141" t="s">
        <v>2198</v>
      </c>
      <c r="D1179" s="46"/>
      <c r="E1179" s="22"/>
      <c r="F1179" s="15" t="s">
        <v>320</v>
      </c>
      <c r="G1179" s="23"/>
      <c r="H1179" s="35"/>
      <c r="M1179" s="13">
        <v>596</v>
      </c>
      <c r="AO1179" s="13" t="s">
        <v>1536</v>
      </c>
      <c r="BQ1179" s="37"/>
    </row>
    <row r="1180" spans="2:69" s="13" customFormat="1" ht="26.25" customHeight="1">
      <c r="B1180" s="141" t="s">
        <v>2199</v>
      </c>
      <c r="D1180" s="46"/>
      <c r="E1180" s="22"/>
      <c r="F1180" s="15" t="s">
        <v>318</v>
      </c>
      <c r="G1180" s="23"/>
      <c r="H1180" s="35"/>
      <c r="M1180" s="13">
        <v>673.3</v>
      </c>
      <c r="AO1180" s="13" t="s">
        <v>1536</v>
      </c>
      <c r="BQ1180" s="37"/>
    </row>
    <row r="1181" spans="2:69" s="13" customFormat="1" ht="26.25" customHeight="1">
      <c r="B1181" s="141" t="s">
        <v>2200</v>
      </c>
      <c r="D1181" s="46"/>
      <c r="E1181" s="22"/>
      <c r="F1181" s="15" t="s">
        <v>175</v>
      </c>
      <c r="G1181" s="23"/>
      <c r="H1181" s="35"/>
      <c r="M1181" s="13">
        <v>547.48</v>
      </c>
      <c r="AO1181" s="13" t="s">
        <v>1536</v>
      </c>
      <c r="BQ1181" s="37"/>
    </row>
    <row r="1182" spans="2:69" s="13" customFormat="1" ht="26.25" customHeight="1">
      <c r="B1182" s="141" t="s">
        <v>2201</v>
      </c>
      <c r="D1182" s="46"/>
      <c r="E1182" s="22"/>
      <c r="F1182" s="15" t="s">
        <v>315</v>
      </c>
      <c r="G1182" s="23"/>
      <c r="H1182" s="35"/>
      <c r="M1182" s="13">
        <v>336.49</v>
      </c>
      <c r="AO1182" s="13" t="s">
        <v>1536</v>
      </c>
      <c r="BQ1182" s="37"/>
    </row>
    <row r="1183" spans="2:69" s="13" customFormat="1" ht="26.25" customHeight="1">
      <c r="B1183" s="141" t="s">
        <v>2202</v>
      </c>
      <c r="D1183" s="46"/>
      <c r="E1183" s="22"/>
      <c r="F1183" s="15" t="s">
        <v>313</v>
      </c>
      <c r="G1183" s="23"/>
      <c r="H1183" s="35"/>
      <c r="M1183" s="13">
        <v>7.64</v>
      </c>
      <c r="AO1183" s="13" t="s">
        <v>1536</v>
      </c>
      <c r="BQ1183" s="37"/>
    </row>
    <row r="1184" spans="2:69" s="13" customFormat="1" ht="26.25" customHeight="1">
      <c r="B1184" s="141" t="s">
        <v>2203</v>
      </c>
      <c r="D1184" s="46"/>
      <c r="E1184" s="22"/>
      <c r="F1184" s="15" t="s">
        <v>311</v>
      </c>
      <c r="G1184" s="23"/>
      <c r="H1184" s="35"/>
      <c r="M1184" s="13">
        <v>7.6</v>
      </c>
      <c r="AO1184" s="13" t="s">
        <v>1536</v>
      </c>
      <c r="BQ1184" s="37"/>
    </row>
    <row r="1185" spans="2:69" s="13" customFormat="1" ht="26.25" customHeight="1">
      <c r="B1185" s="141" t="s">
        <v>2204</v>
      </c>
      <c r="D1185" s="46"/>
      <c r="E1185" s="22"/>
      <c r="F1185" s="15" t="s">
        <v>171</v>
      </c>
      <c r="G1185" s="23"/>
      <c r="H1185" s="35"/>
      <c r="M1185" s="13">
        <v>7.63</v>
      </c>
      <c r="AO1185" s="13" t="s">
        <v>1536</v>
      </c>
      <c r="BQ1185" s="37"/>
    </row>
    <row r="1186" spans="2:69" s="13" customFormat="1" ht="26.25" customHeight="1">
      <c r="B1186" s="141" t="s">
        <v>2205</v>
      </c>
      <c r="D1186" s="46"/>
      <c r="E1186" s="22"/>
      <c r="F1186" s="15" t="s">
        <v>308</v>
      </c>
      <c r="G1186" s="23"/>
      <c r="H1186" s="35"/>
      <c r="M1186" s="13">
        <v>7.63</v>
      </c>
      <c r="AO1186" s="13" t="s">
        <v>1536</v>
      </c>
      <c r="BQ1186" s="37"/>
    </row>
    <row r="1187" spans="2:69" s="13" customFormat="1" ht="26.25" customHeight="1">
      <c r="B1187" s="141" t="s">
        <v>2206</v>
      </c>
      <c r="D1187" s="46"/>
      <c r="E1187" s="22"/>
      <c r="F1187" s="15" t="s">
        <v>279</v>
      </c>
      <c r="G1187" s="23"/>
      <c r="H1187" s="35"/>
      <c r="M1187" s="13">
        <v>547.48</v>
      </c>
      <c r="AO1187" s="13" t="s">
        <v>1536</v>
      </c>
      <c r="BQ1187" s="37"/>
    </row>
    <row r="1188" spans="2:69" s="13" customFormat="1" ht="26.25" customHeight="1">
      <c r="B1188" s="141" t="s">
        <v>2207</v>
      </c>
      <c r="D1188" s="46"/>
      <c r="E1188" s="22"/>
      <c r="F1188" s="15" t="s">
        <v>168</v>
      </c>
      <c r="G1188" s="23"/>
      <c r="H1188" s="35"/>
      <c r="M1188" s="13">
        <v>7.6</v>
      </c>
      <c r="AO1188" s="13" t="s">
        <v>1536</v>
      </c>
      <c r="BQ1188" s="37"/>
    </row>
    <row r="1189" spans="2:69" s="13" customFormat="1" ht="26.25" customHeight="1">
      <c r="B1189" s="141" t="s">
        <v>2208</v>
      </c>
      <c r="D1189" s="46"/>
      <c r="E1189" s="22"/>
      <c r="F1189" s="15" t="s">
        <v>167</v>
      </c>
      <c r="G1189" s="23"/>
      <c r="H1189" s="35"/>
      <c r="M1189" s="13">
        <v>336.1</v>
      </c>
      <c r="AO1189" s="13" t="s">
        <v>1536</v>
      </c>
      <c r="BQ1189" s="37"/>
    </row>
    <row r="1190" spans="2:69" s="13" customFormat="1" ht="26.25" customHeight="1">
      <c r="B1190" s="141" t="s">
        <v>2209</v>
      </c>
      <c r="D1190" s="46"/>
      <c r="E1190" s="22"/>
      <c r="F1190" s="15" t="s">
        <v>303</v>
      </c>
      <c r="G1190" s="23"/>
      <c r="H1190" s="35"/>
      <c r="M1190" s="13">
        <v>329.94</v>
      </c>
      <c r="AO1190" s="13" t="s">
        <v>1536</v>
      </c>
      <c r="BQ1190" s="37"/>
    </row>
    <row r="1191" spans="2:69" s="13" customFormat="1" ht="26.25" customHeight="1">
      <c r="B1191" s="141" t="s">
        <v>2210</v>
      </c>
      <c r="D1191" s="46"/>
      <c r="E1191" s="22"/>
      <c r="F1191" s="15" t="s">
        <v>165</v>
      </c>
      <c r="G1191" s="23"/>
      <c r="H1191" s="35"/>
      <c r="M1191" s="13">
        <v>810.4</v>
      </c>
      <c r="AO1191" s="13" t="s">
        <v>1536</v>
      </c>
      <c r="BQ1191" s="37"/>
    </row>
    <row r="1192" spans="2:69" s="13" customFormat="1" ht="26.25" customHeight="1">
      <c r="B1192" s="141" t="s">
        <v>2211</v>
      </c>
      <c r="D1192" s="46"/>
      <c r="E1192" s="22"/>
      <c r="F1192" s="15" t="s">
        <v>157</v>
      </c>
      <c r="G1192" s="23"/>
      <c r="H1192" s="35"/>
      <c r="M1192" s="13">
        <v>547.48</v>
      </c>
      <c r="AO1192" s="13" t="s">
        <v>1536</v>
      </c>
      <c r="BQ1192" s="37"/>
    </row>
    <row r="1193" spans="2:69" s="13" customFormat="1" ht="26.25" customHeight="1">
      <c r="B1193" s="141" t="s">
        <v>2212</v>
      </c>
      <c r="D1193" s="46"/>
      <c r="E1193" s="22"/>
      <c r="F1193" s="15" t="s">
        <v>299</v>
      </c>
      <c r="G1193" s="23"/>
      <c r="H1193" s="35"/>
      <c r="M1193" s="13">
        <v>7.63</v>
      </c>
      <c r="AO1193" s="13" t="s">
        <v>1536</v>
      </c>
      <c r="BQ1193" s="37"/>
    </row>
    <row r="1194" spans="2:69" s="13" customFormat="1" ht="26.25" customHeight="1">
      <c r="B1194" s="141" t="s">
        <v>2213</v>
      </c>
      <c r="D1194" s="46"/>
      <c r="E1194" s="22"/>
      <c r="F1194" s="15" t="s">
        <v>162</v>
      </c>
      <c r="G1194" s="23"/>
      <c r="H1194" s="35"/>
      <c r="M1194" s="13">
        <v>673.36</v>
      </c>
      <c r="AO1194" s="13" t="s">
        <v>1536</v>
      </c>
      <c r="BQ1194" s="37"/>
    </row>
    <row r="1195" spans="2:69" s="13" customFormat="1" ht="26.25" customHeight="1">
      <c r="B1195" s="141" t="s">
        <v>2214</v>
      </c>
      <c r="D1195" s="46"/>
      <c r="E1195" s="22"/>
      <c r="F1195" s="15" t="s">
        <v>296</v>
      </c>
      <c r="G1195" s="23"/>
      <c r="H1195" s="35"/>
      <c r="M1195" s="13">
        <v>7.6</v>
      </c>
      <c r="AO1195" s="13" t="s">
        <v>1536</v>
      </c>
      <c r="BQ1195" s="37"/>
    </row>
    <row r="1196" spans="2:69" s="13" customFormat="1" ht="26.25" customHeight="1">
      <c r="B1196" s="141" t="s">
        <v>2215</v>
      </c>
      <c r="D1196" s="46"/>
      <c r="E1196" s="22"/>
      <c r="F1196" s="15" t="s">
        <v>294</v>
      </c>
      <c r="G1196" s="23"/>
      <c r="H1196" s="35"/>
      <c r="M1196" s="13">
        <v>336.17</v>
      </c>
      <c r="AO1196" s="13" t="s">
        <v>1536</v>
      </c>
      <c r="BQ1196" s="37"/>
    </row>
    <row r="1197" spans="2:69" s="13" customFormat="1" ht="26.25" customHeight="1">
      <c r="B1197" s="141" t="s">
        <v>2216</v>
      </c>
      <c r="D1197" s="46"/>
      <c r="E1197" s="22"/>
      <c r="F1197" s="15" t="s">
        <v>292</v>
      </c>
      <c r="G1197" s="23"/>
      <c r="H1197" s="35"/>
      <c r="M1197" s="13">
        <v>829.37</v>
      </c>
      <c r="AO1197" s="13" t="s">
        <v>1536</v>
      </c>
      <c r="BQ1197" s="37"/>
    </row>
    <row r="1198" spans="2:69" s="13" customFormat="1" ht="26.25" customHeight="1">
      <c r="B1198" s="141" t="s">
        <v>2217</v>
      </c>
      <c r="D1198" s="46"/>
      <c r="E1198" s="22"/>
      <c r="F1198" s="15" t="s">
        <v>290</v>
      </c>
      <c r="G1198" s="23"/>
      <c r="H1198" s="35"/>
      <c r="M1198" s="13">
        <v>7.63</v>
      </c>
      <c r="AO1198" s="13" t="s">
        <v>1536</v>
      </c>
      <c r="BQ1198" s="37"/>
    </row>
    <row r="1199" spans="2:69" s="13" customFormat="1" ht="26.25" customHeight="1">
      <c r="B1199" s="141" t="s">
        <v>2218</v>
      </c>
      <c r="D1199" s="46"/>
      <c r="E1199" s="22"/>
      <c r="F1199" s="15" t="s">
        <v>149</v>
      </c>
      <c r="G1199" s="23"/>
      <c r="H1199" s="35"/>
      <c r="M1199" s="13">
        <v>835</v>
      </c>
      <c r="AO1199" s="13" t="s">
        <v>1536</v>
      </c>
      <c r="BQ1199" s="37"/>
    </row>
    <row r="1200" spans="2:69" s="13" customFormat="1" ht="26.25" customHeight="1">
      <c r="B1200" s="141" t="s">
        <v>2219</v>
      </c>
      <c r="D1200" s="46"/>
      <c r="E1200" s="22"/>
      <c r="F1200" s="15" t="s">
        <v>146</v>
      </c>
      <c r="G1200" s="23"/>
      <c r="H1200" s="35"/>
      <c r="M1200" s="13">
        <v>7.13</v>
      </c>
      <c r="AO1200" s="13" t="s">
        <v>1536</v>
      </c>
      <c r="BQ1200" s="37"/>
    </row>
    <row r="1201" spans="2:69" s="13" customFormat="1" ht="26.25" customHeight="1">
      <c r="B1201" s="141" t="s">
        <v>2220</v>
      </c>
      <c r="D1201" s="46"/>
      <c r="E1201" s="22"/>
      <c r="F1201" s="15" t="s">
        <v>288</v>
      </c>
      <c r="G1201" s="23"/>
      <c r="H1201" s="35"/>
      <c r="M1201" s="13">
        <v>336.17</v>
      </c>
      <c r="AO1201" s="13" t="s">
        <v>1536</v>
      </c>
      <c r="BQ1201" s="37"/>
    </row>
    <row r="1202" spans="2:69" s="39" customFormat="1" ht="26.25" customHeight="1">
      <c r="B1202" s="141" t="s">
        <v>2221</v>
      </c>
      <c r="D1202" s="46"/>
      <c r="E1202" s="22"/>
      <c r="F1202" s="15" t="s">
        <v>286</v>
      </c>
      <c r="G1202" s="23"/>
      <c r="H1202" s="35"/>
      <c r="M1202" s="39">
        <v>673.99</v>
      </c>
      <c r="AO1202" s="39" t="s">
        <v>1536</v>
      </c>
      <c r="BQ1202" s="37"/>
    </row>
    <row r="1203" spans="2:69" s="13" customFormat="1" ht="26.25" customHeight="1">
      <c r="B1203" s="141" t="s">
        <v>2222</v>
      </c>
      <c r="D1203" s="46"/>
      <c r="E1203" s="22"/>
      <c r="F1203" s="15" t="s">
        <v>284</v>
      </c>
      <c r="G1203" s="23"/>
      <c r="H1203" s="35"/>
      <c r="M1203" s="13">
        <v>336.57</v>
      </c>
      <c r="AO1203" s="13" t="s">
        <v>1536</v>
      </c>
      <c r="BQ1203" s="37"/>
    </row>
    <row r="1204" spans="2:69" s="13" customFormat="1" ht="26.25" customHeight="1">
      <c r="B1204" s="141" t="s">
        <v>2223</v>
      </c>
      <c r="D1204" s="46"/>
      <c r="E1204" s="22"/>
      <c r="F1204" s="15"/>
      <c r="G1204" s="23"/>
      <c r="H1204" s="35"/>
      <c r="M1204" s="13">
        <v>675</v>
      </c>
      <c r="AO1204" s="13" t="s">
        <v>1536</v>
      </c>
      <c r="BQ1204" s="37"/>
    </row>
    <row r="1205" spans="2:69" s="13" customFormat="1" ht="26.25" customHeight="1">
      <c r="B1205" s="141" t="s">
        <v>2224</v>
      </c>
      <c r="D1205" s="46"/>
      <c r="E1205" s="22"/>
      <c r="F1205" s="15" t="s">
        <v>281</v>
      </c>
      <c r="G1205" s="23"/>
      <c r="H1205" s="35"/>
      <c r="M1205" s="13">
        <v>336.57</v>
      </c>
      <c r="AO1205" s="13" t="s">
        <v>1536</v>
      </c>
      <c r="BQ1205" s="37"/>
    </row>
    <row r="1206" spans="2:69" s="13" customFormat="1" ht="26.25" customHeight="1">
      <c r="B1206" s="141" t="s">
        <v>2225</v>
      </c>
      <c r="D1206" s="46"/>
      <c r="E1206" s="22"/>
      <c r="F1206" s="15" t="s">
        <v>154</v>
      </c>
      <c r="G1206" s="23"/>
      <c r="H1206" s="35"/>
      <c r="M1206" s="13">
        <v>7.63</v>
      </c>
      <c r="AO1206" s="13" t="s">
        <v>1536</v>
      </c>
      <c r="BQ1206" s="37"/>
    </row>
    <row r="1207" spans="2:69" s="13" customFormat="1" ht="26.25" customHeight="1">
      <c r="B1207" s="141" t="s">
        <v>2226</v>
      </c>
      <c r="D1207" s="46"/>
      <c r="E1207" s="22"/>
      <c r="F1207" s="15" t="s">
        <v>279</v>
      </c>
      <c r="G1207" s="23"/>
      <c r="H1207" s="35"/>
      <c r="M1207" s="13">
        <v>547.48</v>
      </c>
      <c r="AO1207" s="13" t="s">
        <v>1536</v>
      </c>
      <c r="BQ1207" s="37"/>
    </row>
    <row r="1208" spans="2:69" s="13" customFormat="1" ht="26.25" customHeight="1">
      <c r="B1208" s="141" t="s">
        <v>2227</v>
      </c>
      <c r="D1208" s="46"/>
      <c r="E1208" s="22"/>
      <c r="F1208" s="15" t="s">
        <v>277</v>
      </c>
      <c r="G1208" s="23"/>
      <c r="H1208" s="35"/>
      <c r="M1208" s="13">
        <v>830</v>
      </c>
      <c r="AO1208" s="13" t="s">
        <v>1536</v>
      </c>
      <c r="BQ1208" s="37"/>
    </row>
    <row r="1209" spans="2:69" s="13" customFormat="1" ht="26.25" customHeight="1">
      <c r="B1209" s="141" t="s">
        <v>2228</v>
      </c>
      <c r="D1209" s="46"/>
      <c r="E1209" s="22"/>
      <c r="F1209" s="15" t="s">
        <v>275</v>
      </c>
      <c r="G1209" s="23"/>
      <c r="H1209" s="35"/>
      <c r="M1209" s="13">
        <v>336.57</v>
      </c>
      <c r="AO1209" s="13" t="s">
        <v>1536</v>
      </c>
      <c r="BQ1209" s="37"/>
    </row>
    <row r="1210" spans="2:69" s="13" customFormat="1" ht="26.25" customHeight="1">
      <c r="B1210" s="141" t="s">
        <v>2229</v>
      </c>
      <c r="D1210" s="46"/>
      <c r="E1210" s="22"/>
      <c r="F1210" s="15" t="s">
        <v>150</v>
      </c>
      <c r="G1210" s="23"/>
      <c r="H1210" s="35"/>
      <c r="M1210" s="13">
        <v>336.57</v>
      </c>
      <c r="AO1210" s="13" t="s">
        <v>1536</v>
      </c>
      <c r="BQ1210" s="37"/>
    </row>
    <row r="1211" spans="2:69" s="13" customFormat="1" ht="26.25" customHeight="1">
      <c r="B1211" s="141" t="s">
        <v>2230</v>
      </c>
      <c r="D1211" s="46"/>
      <c r="E1211" s="22"/>
      <c r="F1211" s="15" t="s">
        <v>260</v>
      </c>
      <c r="G1211" s="23"/>
      <c r="H1211" s="35"/>
      <c r="M1211" s="13">
        <v>331</v>
      </c>
      <c r="AO1211" s="13" t="s">
        <v>1536</v>
      </c>
      <c r="BQ1211" s="37"/>
    </row>
    <row r="1212" spans="2:69" s="13" customFormat="1" ht="26.25" customHeight="1">
      <c r="B1212" s="141" t="s">
        <v>2231</v>
      </c>
      <c r="D1212" s="46"/>
      <c r="E1212" s="22"/>
      <c r="F1212" s="15" t="s">
        <v>272</v>
      </c>
      <c r="G1212" s="23"/>
      <c r="H1212" s="35"/>
      <c r="M1212" s="13">
        <v>547.48</v>
      </c>
      <c r="AO1212" s="13" t="s">
        <v>1536</v>
      </c>
      <c r="BQ1212" s="37"/>
    </row>
    <row r="1213" spans="2:69" s="13" customFormat="1" ht="26.25" customHeight="1">
      <c r="B1213" s="141" t="s">
        <v>2232</v>
      </c>
      <c r="D1213" s="46"/>
      <c r="E1213" s="22"/>
      <c r="F1213" s="15" t="s">
        <v>271</v>
      </c>
      <c r="G1213" s="23"/>
      <c r="H1213" s="35"/>
      <c r="M1213" s="13">
        <v>7.61</v>
      </c>
      <c r="AO1213" s="13" t="s">
        <v>1536</v>
      </c>
      <c r="BQ1213" s="37"/>
    </row>
    <row r="1214" spans="2:69" s="13" customFormat="1" ht="26.25" customHeight="1">
      <c r="B1214" s="141" t="s">
        <v>2233</v>
      </c>
      <c r="D1214" s="46"/>
      <c r="E1214" s="22"/>
      <c r="F1214" s="15" t="s">
        <v>269</v>
      </c>
      <c r="G1214" s="23"/>
      <c r="H1214" s="35"/>
      <c r="M1214" s="13">
        <v>547.48</v>
      </c>
      <c r="AO1214" s="13" t="s">
        <v>1536</v>
      </c>
      <c r="BQ1214" s="37"/>
    </row>
    <row r="1215" spans="2:69" s="13" customFormat="1" ht="26.25" customHeight="1">
      <c r="B1215" s="141" t="s">
        <v>2234</v>
      </c>
      <c r="D1215" s="46"/>
      <c r="E1215" s="22"/>
      <c r="F1215" s="15" t="s">
        <v>267</v>
      </c>
      <c r="G1215" s="23"/>
      <c r="H1215" s="35"/>
      <c r="M1215" s="13">
        <v>7.61</v>
      </c>
      <c r="AO1215" s="13" t="s">
        <v>1536</v>
      </c>
      <c r="BQ1215" s="37"/>
    </row>
    <row r="1216" spans="2:69" s="13" customFormat="1" ht="26.25" customHeight="1">
      <c r="B1216" s="141" t="s">
        <v>2235</v>
      </c>
      <c r="D1216" s="46"/>
      <c r="E1216" s="22"/>
      <c r="F1216" s="15" t="s">
        <v>265</v>
      </c>
      <c r="G1216" s="23"/>
      <c r="H1216" s="35"/>
      <c r="M1216" s="13">
        <v>336.07</v>
      </c>
      <c r="AO1216" s="13" t="s">
        <v>1536</v>
      </c>
      <c r="BQ1216" s="37"/>
    </row>
    <row r="1217" spans="2:69" s="13" customFormat="1" ht="26.25" customHeight="1">
      <c r="B1217" s="141" t="s">
        <v>2236</v>
      </c>
      <c r="D1217" s="46"/>
      <c r="E1217" s="22"/>
      <c r="F1217" s="15" t="s">
        <v>264</v>
      </c>
      <c r="G1217" s="23"/>
      <c r="H1217" s="35"/>
      <c r="M1217" s="13">
        <v>366.14</v>
      </c>
      <c r="AO1217" s="13" t="s">
        <v>1536</v>
      </c>
      <c r="BQ1217" s="37"/>
    </row>
    <row r="1218" spans="2:69" s="13" customFormat="1" ht="26.25" customHeight="1">
      <c r="B1218" s="141" t="s">
        <v>2237</v>
      </c>
      <c r="D1218" s="46"/>
      <c r="E1218" s="22"/>
      <c r="F1218" s="15" t="s">
        <v>140</v>
      </c>
      <c r="G1218" s="23"/>
      <c r="H1218" s="35"/>
      <c r="M1218" s="13">
        <v>364.3</v>
      </c>
      <c r="AO1218" s="13" t="s">
        <v>1536</v>
      </c>
      <c r="BQ1218" s="37"/>
    </row>
    <row r="1219" spans="2:69" s="13" customFormat="1" ht="26.25" customHeight="1">
      <c r="B1219" s="141" t="s">
        <v>2238</v>
      </c>
      <c r="D1219" s="46"/>
      <c r="E1219" s="22"/>
      <c r="F1219" s="15" t="s">
        <v>137</v>
      </c>
      <c r="G1219" s="23"/>
      <c r="H1219" s="35"/>
      <c r="M1219" s="13">
        <v>336.57</v>
      </c>
      <c r="AO1219" s="13" t="s">
        <v>1536</v>
      </c>
      <c r="BQ1219" s="37"/>
    </row>
    <row r="1220" spans="2:69" s="13" customFormat="1" ht="26.25" customHeight="1">
      <c r="B1220" s="141" t="s">
        <v>2239</v>
      </c>
      <c r="D1220" s="46"/>
      <c r="E1220" s="22"/>
      <c r="F1220" s="15" t="s">
        <v>134</v>
      </c>
      <c r="G1220" s="23"/>
      <c r="H1220" s="35"/>
      <c r="M1220" s="13">
        <v>335.35</v>
      </c>
      <c r="AO1220" s="13" t="s">
        <v>1536</v>
      </c>
      <c r="BQ1220" s="37"/>
    </row>
    <row r="1221" spans="2:69" s="13" customFormat="1" ht="26.25" customHeight="1">
      <c r="B1221" s="141" t="s">
        <v>2240</v>
      </c>
      <c r="D1221" s="46"/>
      <c r="E1221" s="22"/>
      <c r="F1221" s="15" t="s">
        <v>260</v>
      </c>
      <c r="G1221" s="23"/>
      <c r="H1221" s="35"/>
      <c r="M1221" s="13">
        <v>331</v>
      </c>
      <c r="AO1221" s="13" t="s">
        <v>1536</v>
      </c>
      <c r="BQ1221" s="37"/>
    </row>
    <row r="1222" spans="2:69" s="13" customFormat="1" ht="26.25" customHeight="1">
      <c r="B1222" s="141" t="s">
        <v>2241</v>
      </c>
      <c r="D1222" s="46"/>
      <c r="E1222" s="22"/>
      <c r="F1222" s="15" t="s">
        <v>130</v>
      </c>
      <c r="G1222" s="23"/>
      <c r="H1222" s="35"/>
      <c r="M1222" s="13">
        <v>336</v>
      </c>
      <c r="AO1222" s="13" t="s">
        <v>1536</v>
      </c>
      <c r="BQ1222" s="37"/>
    </row>
    <row r="1223" spans="2:69" s="13" customFormat="1" ht="26.25" customHeight="1">
      <c r="B1223" s="141" t="s">
        <v>2242</v>
      </c>
      <c r="D1223" s="46"/>
      <c r="E1223" s="22"/>
      <c r="F1223" s="15" t="s">
        <v>128</v>
      </c>
      <c r="G1223" s="23"/>
      <c r="H1223" s="35"/>
      <c r="M1223" s="13">
        <v>366.29</v>
      </c>
      <c r="AO1223" s="13" t="s">
        <v>1536</v>
      </c>
      <c r="BQ1223" s="37"/>
    </row>
    <row r="1224" spans="2:69" s="13" customFormat="1" ht="26.25" customHeight="1">
      <c r="B1224" s="141" t="s">
        <v>2243</v>
      </c>
      <c r="D1224" s="46"/>
      <c r="E1224" s="22"/>
      <c r="F1224" s="15" t="s">
        <v>256</v>
      </c>
      <c r="G1224" s="23"/>
      <c r="H1224" s="35"/>
      <c r="M1224" s="13">
        <v>336.91</v>
      </c>
      <c r="AO1224" s="13" t="s">
        <v>1536</v>
      </c>
      <c r="BQ1224" s="37"/>
    </row>
    <row r="1225" spans="2:69" s="13" customFormat="1" ht="26.25" customHeight="1">
      <c r="B1225" s="141" t="s">
        <v>2244</v>
      </c>
      <c r="D1225" s="46"/>
      <c r="E1225" s="22"/>
      <c r="F1225" s="15" t="s">
        <v>255</v>
      </c>
      <c r="G1225" s="23"/>
      <c r="H1225" s="35"/>
      <c r="M1225" s="13">
        <v>336</v>
      </c>
      <c r="AO1225" s="13" t="s">
        <v>1536</v>
      </c>
      <c r="BQ1225" s="37"/>
    </row>
    <row r="1226" spans="2:69" s="13" customFormat="1" ht="26.25" customHeight="1">
      <c r="B1226" s="141" t="s">
        <v>2245</v>
      </c>
      <c r="D1226" s="46"/>
      <c r="E1226" s="22"/>
      <c r="F1226" s="15" t="s">
        <v>124</v>
      </c>
      <c r="G1226" s="23"/>
      <c r="H1226" s="35"/>
      <c r="M1226" s="13">
        <v>7.64</v>
      </c>
      <c r="AO1226" s="13" t="s">
        <v>1536</v>
      </c>
      <c r="BQ1226" s="37"/>
    </row>
    <row r="1227" spans="2:69" s="13" customFormat="1" ht="26.25" customHeight="1">
      <c r="B1227" s="141" t="s">
        <v>2246</v>
      </c>
      <c r="D1227" s="46"/>
      <c r="E1227" s="22"/>
      <c r="F1227" s="15" t="s">
        <v>252</v>
      </c>
      <c r="G1227" s="23"/>
      <c r="H1227" s="35"/>
      <c r="M1227" s="13">
        <v>335.35</v>
      </c>
      <c r="AO1227" s="13" t="s">
        <v>1536</v>
      </c>
      <c r="BQ1227" s="37"/>
    </row>
    <row r="1228" spans="2:69" s="13" customFormat="1" ht="26.25" customHeight="1">
      <c r="B1228" s="141" t="s">
        <v>2247</v>
      </c>
      <c r="D1228" s="46"/>
      <c r="E1228" s="22"/>
      <c r="F1228" s="15" t="s">
        <v>251</v>
      </c>
      <c r="G1228" s="23"/>
      <c r="H1228" s="35"/>
      <c r="M1228" s="13">
        <v>7.61</v>
      </c>
      <c r="AO1228" s="13" t="s">
        <v>1536</v>
      </c>
      <c r="BQ1228" s="37"/>
    </row>
    <row r="1229" spans="2:69" s="13" customFormat="1" ht="26.25" customHeight="1">
      <c r="B1229" s="141" t="s">
        <v>2248</v>
      </c>
      <c r="D1229" s="46"/>
      <c r="E1229" s="22"/>
      <c r="F1229" s="15" t="s">
        <v>249</v>
      </c>
      <c r="G1229" s="23"/>
      <c r="H1229" s="35"/>
      <c r="M1229" s="13">
        <v>547.48</v>
      </c>
      <c r="AO1229" s="13" t="s">
        <v>1536</v>
      </c>
      <c r="BQ1229" s="37"/>
    </row>
    <row r="1230" spans="2:69" s="13" customFormat="1" ht="26.25" customHeight="1">
      <c r="B1230" s="141" t="s">
        <v>2249</v>
      </c>
      <c r="D1230" s="46"/>
      <c r="E1230" s="22"/>
      <c r="F1230" s="15" t="s">
        <v>120</v>
      </c>
      <c r="G1230" s="23"/>
      <c r="H1230" s="35"/>
      <c r="M1230" s="13">
        <v>336.1</v>
      </c>
      <c r="AO1230" s="13" t="s">
        <v>1536</v>
      </c>
      <c r="BQ1230" s="37"/>
    </row>
    <row r="1231" spans="2:69" s="13" customFormat="1" ht="26.25" customHeight="1">
      <c r="B1231" s="141" t="s">
        <v>2250</v>
      </c>
      <c r="D1231" s="46"/>
      <c r="E1231" s="22"/>
      <c r="F1231" s="15" t="s">
        <v>118</v>
      </c>
      <c r="G1231" s="23"/>
      <c r="H1231" s="35"/>
      <c r="M1231" s="13">
        <v>673.3</v>
      </c>
      <c r="AO1231" s="13" t="s">
        <v>1536</v>
      </c>
      <c r="BQ1231" s="37"/>
    </row>
    <row r="1232" spans="2:69" s="13" customFormat="1" ht="26.25" customHeight="1">
      <c r="B1232" s="141" t="s">
        <v>2251</v>
      </c>
      <c r="D1232" s="46"/>
      <c r="E1232" s="22"/>
      <c r="F1232" s="15" t="s">
        <v>112</v>
      </c>
      <c r="G1232" s="23"/>
      <c r="H1232" s="35"/>
      <c r="M1232" s="13">
        <v>336.55</v>
      </c>
      <c r="AO1232" s="13" t="s">
        <v>1536</v>
      </c>
      <c r="BQ1232" s="37"/>
    </row>
    <row r="1233" spans="2:69" s="13" customFormat="1" ht="26.25" customHeight="1">
      <c r="B1233" s="141" t="s">
        <v>2252</v>
      </c>
      <c r="D1233" s="46"/>
      <c r="E1233" s="22"/>
      <c r="F1233" s="15" t="s">
        <v>107</v>
      </c>
      <c r="G1233" s="23"/>
      <c r="H1233" s="35"/>
      <c r="M1233" s="13">
        <v>336.17</v>
      </c>
      <c r="AO1233" s="13" t="s">
        <v>1536</v>
      </c>
      <c r="BQ1233" s="37"/>
    </row>
    <row r="1234" spans="2:69" s="13" customFormat="1" ht="26.25" customHeight="1">
      <c r="B1234" s="141" t="s">
        <v>2253</v>
      </c>
      <c r="D1234" s="46"/>
      <c r="E1234" s="22"/>
      <c r="F1234" s="15" t="s">
        <v>245</v>
      </c>
      <c r="G1234" s="23"/>
      <c r="H1234" s="35"/>
      <c r="M1234" s="13">
        <v>336</v>
      </c>
      <c r="AO1234" s="13" t="s">
        <v>1536</v>
      </c>
      <c r="BQ1234" s="37"/>
    </row>
    <row r="1235" spans="2:69" s="13" customFormat="1" ht="26.25" customHeight="1">
      <c r="B1235" s="141" t="s">
        <v>2254</v>
      </c>
      <c r="D1235" s="46"/>
      <c r="E1235" s="22"/>
      <c r="F1235" s="15" t="s">
        <v>233</v>
      </c>
      <c r="G1235" s="23"/>
      <c r="H1235" s="35"/>
      <c r="M1235" s="13">
        <v>547.48</v>
      </c>
      <c r="AO1235" s="13" t="s">
        <v>1536</v>
      </c>
      <c r="BQ1235" s="37"/>
    </row>
    <row r="1236" spans="2:69" s="13" customFormat="1" ht="26.25" customHeight="1">
      <c r="B1236" s="141" t="s">
        <v>2255</v>
      </c>
      <c r="D1236" s="46"/>
      <c r="E1236" s="22"/>
      <c r="F1236" s="15" t="s">
        <v>243</v>
      </c>
      <c r="G1236" s="23"/>
      <c r="H1236" s="35"/>
      <c r="M1236" s="13">
        <v>336.17</v>
      </c>
      <c r="AO1236" s="13" t="s">
        <v>1536</v>
      </c>
      <c r="BQ1236" s="37"/>
    </row>
    <row r="1237" spans="2:69" s="13" customFormat="1" ht="26.25" customHeight="1">
      <c r="B1237" s="141" t="s">
        <v>2256</v>
      </c>
      <c r="D1237" s="46"/>
      <c r="E1237" s="22"/>
      <c r="F1237" s="15" t="s">
        <v>112</v>
      </c>
      <c r="G1237" s="23"/>
      <c r="H1237" s="35"/>
      <c r="M1237" s="13">
        <v>336.55</v>
      </c>
      <c r="AO1237" s="13" t="s">
        <v>1536</v>
      </c>
      <c r="BQ1237" s="37"/>
    </row>
    <row r="1238" spans="2:69" s="13" customFormat="1" ht="26.25" customHeight="1">
      <c r="B1238" s="141" t="s">
        <v>2257</v>
      </c>
      <c r="D1238" s="46"/>
      <c r="E1238" s="22"/>
      <c r="F1238" s="15" t="s">
        <v>241</v>
      </c>
      <c r="G1238" s="23"/>
      <c r="H1238" s="35"/>
      <c r="M1238" s="13">
        <v>670.93</v>
      </c>
      <c r="AO1238" s="13" t="s">
        <v>1536</v>
      </c>
      <c r="BQ1238" s="37"/>
    </row>
    <row r="1239" spans="2:69" s="13" customFormat="1" ht="26.25" customHeight="1">
      <c r="B1239" s="141" t="s">
        <v>2258</v>
      </c>
      <c r="D1239" s="46"/>
      <c r="E1239" s="22"/>
      <c r="F1239" s="15" t="s">
        <v>240</v>
      </c>
      <c r="G1239" s="23"/>
      <c r="H1239" s="35"/>
      <c r="M1239" s="13">
        <v>670.93</v>
      </c>
      <c r="AO1239" s="13" t="s">
        <v>1536</v>
      </c>
      <c r="BQ1239" s="37"/>
    </row>
    <row r="1240" spans="2:69" s="13" customFormat="1" ht="26.25" customHeight="1">
      <c r="B1240" s="141" t="s">
        <v>2259</v>
      </c>
      <c r="D1240" s="46"/>
      <c r="E1240" s="22"/>
      <c r="F1240" s="15" t="s">
        <v>238</v>
      </c>
      <c r="G1240" s="23"/>
      <c r="H1240" s="35"/>
      <c r="M1240" s="13">
        <v>336.55</v>
      </c>
      <c r="AO1240" s="13" t="s">
        <v>1536</v>
      </c>
      <c r="BQ1240" s="37"/>
    </row>
    <row r="1241" spans="2:69" s="13" customFormat="1" ht="26.25" customHeight="1">
      <c r="B1241" s="141" t="s">
        <v>2260</v>
      </c>
      <c r="D1241" s="46"/>
      <c r="E1241" s="22"/>
      <c r="F1241" s="15" t="s">
        <v>237</v>
      </c>
      <c r="G1241" s="23"/>
      <c r="H1241" s="35"/>
      <c r="M1241" s="13">
        <v>829.37</v>
      </c>
      <c r="AO1241" s="13" t="s">
        <v>1536</v>
      </c>
      <c r="BQ1241" s="37"/>
    </row>
    <row r="1242" spans="2:69" s="13" customFormat="1" ht="26.25" customHeight="1">
      <c r="B1242" s="141" t="s">
        <v>2261</v>
      </c>
      <c r="D1242" s="46"/>
      <c r="E1242" s="22"/>
      <c r="F1242" s="15" t="s">
        <v>235</v>
      </c>
      <c r="G1242" s="23"/>
      <c r="H1242" s="35"/>
      <c r="M1242" s="13">
        <v>829.37</v>
      </c>
      <c r="AO1242" s="13" t="s">
        <v>1536</v>
      </c>
      <c r="BQ1242" s="37"/>
    </row>
    <row r="1243" spans="2:69" s="13" customFormat="1" ht="26.25" customHeight="1">
      <c r="B1243" s="141" t="s">
        <v>2262</v>
      </c>
      <c r="D1243" s="46"/>
      <c r="E1243" s="22"/>
      <c r="F1243" s="15" t="s">
        <v>233</v>
      </c>
      <c r="G1243" s="23"/>
      <c r="H1243" s="35"/>
      <c r="M1243" s="13">
        <v>7.64</v>
      </c>
      <c r="AO1243" s="13" t="s">
        <v>1536</v>
      </c>
      <c r="BQ1243" s="37"/>
    </row>
    <row r="1244" spans="2:69" s="13" customFormat="1" ht="26.25" customHeight="1">
      <c r="B1244" s="141"/>
      <c r="C1244" s="15"/>
      <c r="D1244" s="35"/>
      <c r="E1244" s="46"/>
      <c r="F1244" s="22"/>
      <c r="G1244" s="23"/>
      <c r="H1244" s="23"/>
      <c r="BQ1244" s="37"/>
    </row>
    <row r="1245" spans="2:69" s="13" customFormat="1" ht="26.25" customHeight="1">
      <c r="B1245" s="141"/>
      <c r="C1245" s="15"/>
      <c r="D1245" s="35"/>
      <c r="E1245" s="46"/>
      <c r="F1245" s="22"/>
      <c r="G1245" s="23"/>
      <c r="H1245" s="23"/>
      <c r="BQ1245" s="37"/>
    </row>
    <row r="1246" spans="2:69" s="13" customFormat="1" ht="26.25" customHeight="1">
      <c r="B1246" s="141"/>
      <c r="C1246" s="15"/>
      <c r="D1246" s="35"/>
      <c r="E1246" s="46"/>
      <c r="F1246" s="22"/>
      <c r="G1246" s="23"/>
      <c r="H1246" s="23"/>
      <c r="BQ1246" s="37"/>
    </row>
    <row r="1247" spans="2:69" s="13" customFormat="1" ht="26.25" customHeight="1">
      <c r="B1247" s="141"/>
      <c r="C1247" s="15"/>
      <c r="D1247" s="35"/>
      <c r="E1247" s="46"/>
      <c r="F1247" s="22"/>
      <c r="G1247" s="23"/>
      <c r="H1247" s="23"/>
      <c r="BQ1247" s="37"/>
    </row>
    <row r="1248" spans="2:69" s="13" customFormat="1" ht="26.25" customHeight="1">
      <c r="B1248" s="141"/>
      <c r="C1248" s="15"/>
      <c r="D1248" s="35"/>
      <c r="E1248" s="46"/>
      <c r="F1248" s="22"/>
      <c r="G1248" s="23"/>
      <c r="H1248" s="23"/>
      <c r="BQ1248" s="37"/>
    </row>
    <row r="1249" spans="2:76" s="13" customFormat="1" ht="26.25" customHeight="1">
      <c r="B1249" s="141"/>
      <c r="C1249" s="15"/>
      <c r="D1249" s="35"/>
      <c r="E1249" s="46"/>
      <c r="F1249" s="22"/>
      <c r="G1249" s="23"/>
      <c r="H1249" s="23"/>
      <c r="BQ1249" s="37"/>
    </row>
    <row r="1250" spans="2:76" s="67" customFormat="1" ht="16.5">
      <c r="B1250" s="141" t="s">
        <v>2263</v>
      </c>
      <c r="C1250" s="69"/>
      <c r="D1250" s="64" t="s">
        <v>105</v>
      </c>
      <c r="E1250" s="68"/>
      <c r="F1250" s="69"/>
      <c r="G1250" s="69"/>
      <c r="H1250" s="69"/>
      <c r="J1250" s="69"/>
      <c r="K1250" s="64"/>
      <c r="L1250" s="64"/>
      <c r="M1250" s="64"/>
      <c r="N1250" s="64" t="s">
        <v>106</v>
      </c>
      <c r="O1250" s="64"/>
      <c r="P1250" s="64" t="s">
        <v>103</v>
      </c>
      <c r="R1250" s="70"/>
      <c r="T1250" s="70"/>
      <c r="U1250" s="70"/>
      <c r="V1250" s="70"/>
      <c r="W1250" s="70"/>
      <c r="X1250" s="70"/>
      <c r="Y1250" s="70"/>
      <c r="Z1250" s="70"/>
      <c r="AA1250" s="70"/>
      <c r="AB1250" s="70"/>
      <c r="AC1250" s="70"/>
      <c r="AD1250" s="70"/>
      <c r="AE1250" s="70"/>
      <c r="AF1250" s="70"/>
      <c r="AG1250" s="70"/>
      <c r="AH1250" s="70"/>
      <c r="AI1250" s="64"/>
      <c r="AJ1250" s="64"/>
      <c r="AK1250" s="64"/>
      <c r="AL1250" s="64"/>
      <c r="AM1250" s="64"/>
      <c r="AN1250" s="64"/>
      <c r="AO1250" s="64"/>
      <c r="AP1250" s="64"/>
      <c r="AQ1250" s="64"/>
      <c r="AR1250" s="64"/>
      <c r="AS1250" s="64"/>
      <c r="AT1250" s="64"/>
      <c r="AU1250" s="64"/>
      <c r="AV1250" s="64"/>
      <c r="AW1250" s="64"/>
      <c r="AX1250" s="64"/>
      <c r="AY1250" s="120" t="str">
        <f t="shared" si="4"/>
        <v>札幌殺人事件上-内田康夫(第版）</v>
      </c>
      <c r="AZ1250" s="64">
        <v>1</v>
      </c>
      <c r="BA1250" s="64" t="s">
        <v>89</v>
      </c>
      <c r="BC1250" s="70"/>
      <c r="BD1250" s="64" t="s">
        <v>104</v>
      </c>
      <c r="BE1250" s="71"/>
      <c r="BF1250" s="71"/>
      <c r="BH1250" s="64" t="s">
        <v>101</v>
      </c>
      <c r="BI1250" s="64"/>
      <c r="BK1250" s="70"/>
      <c r="BL1250" s="70"/>
      <c r="BM1250" s="70"/>
      <c r="BN1250" s="70"/>
      <c r="BO1250" s="70"/>
      <c r="BP1250" s="70"/>
      <c r="BQ1250" s="157"/>
      <c r="BR1250" s="70"/>
      <c r="BS1250" s="70"/>
      <c r="BT1250" s="70"/>
      <c r="BU1250" s="70"/>
      <c r="BV1250" s="70"/>
      <c r="BW1250" s="70"/>
      <c r="BX1250" s="70"/>
    </row>
    <row r="1251" spans="2:76" s="67" customFormat="1" ht="16.5">
      <c r="B1251" s="141" t="s">
        <v>2264</v>
      </c>
      <c r="C1251" s="69"/>
      <c r="D1251" s="64" t="s">
        <v>92</v>
      </c>
      <c r="E1251" s="68"/>
      <c r="F1251" s="69"/>
      <c r="G1251" s="69"/>
      <c r="H1251" s="69"/>
      <c r="J1251" s="69"/>
      <c r="K1251" s="64"/>
      <c r="L1251" s="64"/>
      <c r="M1251" s="64"/>
      <c r="N1251" s="64" t="s">
        <v>97</v>
      </c>
      <c r="O1251" s="64"/>
      <c r="P1251" s="64" t="s">
        <v>103</v>
      </c>
      <c r="R1251" s="70"/>
      <c r="T1251" s="70"/>
      <c r="U1251" s="70"/>
      <c r="V1251" s="70"/>
      <c r="W1251" s="70"/>
      <c r="X1251" s="70"/>
      <c r="Y1251" s="70"/>
      <c r="Z1251" s="70"/>
      <c r="AA1251" s="70"/>
      <c r="AB1251" s="70"/>
      <c r="AC1251" s="70"/>
      <c r="AD1251" s="70"/>
      <c r="AE1251" s="70"/>
      <c r="AF1251" s="70"/>
      <c r="AG1251" s="70"/>
      <c r="AH1251" s="70"/>
      <c r="AI1251" s="64"/>
      <c r="AJ1251" s="64"/>
      <c r="AK1251" s="64"/>
      <c r="AL1251" s="64"/>
      <c r="AM1251" s="64"/>
      <c r="AN1251" s="64"/>
      <c r="AO1251" s="64"/>
      <c r="AP1251" s="64"/>
      <c r="AQ1251" s="64"/>
      <c r="AR1251" s="64"/>
      <c r="AS1251" s="64"/>
      <c r="AT1251" s="64"/>
      <c r="AU1251" s="64"/>
      <c r="AV1251" s="64"/>
      <c r="AW1251" s="64"/>
      <c r="AX1251" s="64"/>
      <c r="AY1251" s="120" t="str">
        <f t="shared" si="4"/>
        <v>札幌殺人事件下-内田康夫(第版）</v>
      </c>
      <c r="AZ1251" s="64">
        <v>1</v>
      </c>
      <c r="BA1251" s="64" t="s">
        <v>89</v>
      </c>
      <c r="BC1251" s="70"/>
      <c r="BD1251" s="64" t="s">
        <v>95</v>
      </c>
      <c r="BE1251" s="71"/>
      <c r="BF1251" s="71"/>
      <c r="BH1251" s="64" t="s">
        <v>101</v>
      </c>
      <c r="BI1251" s="64"/>
      <c r="BK1251" s="70"/>
      <c r="BL1251" s="70"/>
      <c r="BM1251" s="70"/>
      <c r="BN1251" s="70"/>
      <c r="BO1251" s="70"/>
      <c r="BP1251" s="70"/>
      <c r="BQ1251" s="157"/>
      <c r="BR1251" s="70"/>
      <c r="BS1251" s="70"/>
      <c r="BT1251" s="70"/>
      <c r="BU1251" s="70"/>
      <c r="BV1251" s="70"/>
      <c r="BW1251" s="70"/>
      <c r="BX1251" s="70"/>
    </row>
    <row r="1252" spans="2:76" s="67" customFormat="1" ht="16.5">
      <c r="B1252" s="141" t="s">
        <v>2265</v>
      </c>
      <c r="C1252" s="69"/>
      <c r="D1252" s="64" t="s">
        <v>92</v>
      </c>
      <c r="E1252" s="68"/>
      <c r="F1252" s="69"/>
      <c r="G1252" s="69"/>
      <c r="H1252" s="69"/>
      <c r="J1252" s="69"/>
      <c r="K1252" s="64"/>
      <c r="L1252" s="64"/>
      <c r="M1252" s="64"/>
      <c r="N1252" s="64" t="s">
        <v>97</v>
      </c>
      <c r="O1252" s="64"/>
      <c r="P1252" s="64" t="s">
        <v>96</v>
      </c>
      <c r="R1252" s="70"/>
      <c r="T1252" s="70"/>
      <c r="U1252" s="70"/>
      <c r="V1252" s="70"/>
      <c r="W1252" s="70"/>
      <c r="X1252" s="70"/>
      <c r="Y1252" s="70"/>
      <c r="Z1252" s="70"/>
      <c r="AA1252" s="70"/>
      <c r="AB1252" s="70"/>
      <c r="AC1252" s="70"/>
      <c r="AD1252" s="70"/>
      <c r="AE1252" s="70"/>
      <c r="AF1252" s="70"/>
      <c r="AG1252" s="70"/>
      <c r="AH1252" s="70"/>
      <c r="AI1252" s="64"/>
      <c r="AJ1252" s="64"/>
      <c r="AK1252" s="64"/>
      <c r="AL1252" s="64"/>
      <c r="AM1252" s="64"/>
      <c r="AN1252" s="64"/>
      <c r="AO1252" s="64"/>
      <c r="AP1252" s="64"/>
      <c r="AQ1252" s="64"/>
      <c r="AR1252" s="64"/>
      <c r="AS1252" s="64"/>
      <c r="AT1252" s="64"/>
      <c r="AU1252" s="64"/>
      <c r="AV1252" s="64"/>
      <c r="AW1252" s="64"/>
      <c r="AX1252" s="64"/>
      <c r="AY1252" s="120" t="str">
        <f t="shared" si="4"/>
        <v>金沢殺人事件-内田康夫(第版）</v>
      </c>
      <c r="AZ1252" s="64">
        <v>1</v>
      </c>
      <c r="BA1252" s="64" t="s">
        <v>89</v>
      </c>
      <c r="BC1252" s="70"/>
      <c r="BD1252" s="64" t="s">
        <v>95</v>
      </c>
      <c r="BE1252" s="71"/>
      <c r="BF1252" s="71"/>
      <c r="BH1252" s="64" t="s">
        <v>101</v>
      </c>
      <c r="BI1252" s="64"/>
      <c r="BK1252" s="70"/>
      <c r="BL1252" s="70"/>
      <c r="BM1252" s="70"/>
      <c r="BN1252" s="70"/>
      <c r="BO1252" s="70"/>
      <c r="BP1252" s="70"/>
      <c r="BQ1252" s="157"/>
      <c r="BR1252" s="70"/>
      <c r="BS1252" s="70"/>
      <c r="BT1252" s="70"/>
      <c r="BU1252" s="70"/>
      <c r="BV1252" s="70"/>
      <c r="BW1252" s="70"/>
      <c r="BX1252" s="70"/>
    </row>
    <row r="1253" spans="2:76" s="67" customFormat="1" ht="16.5">
      <c r="B1253" s="141" t="s">
        <v>2266</v>
      </c>
      <c r="C1253" s="69"/>
      <c r="D1253" s="64" t="s">
        <v>92</v>
      </c>
      <c r="E1253" s="68"/>
      <c r="F1253" s="69"/>
      <c r="G1253" s="69"/>
      <c r="H1253" s="69"/>
      <c r="J1253" s="69"/>
      <c r="K1253" s="64"/>
      <c r="L1253" s="64"/>
      <c r="M1253" s="64"/>
      <c r="N1253" s="64" t="s">
        <v>97</v>
      </c>
      <c r="O1253" s="64"/>
      <c r="P1253" s="64" t="s">
        <v>96</v>
      </c>
      <c r="R1253" s="70"/>
      <c r="T1253" s="70"/>
      <c r="U1253" s="70"/>
      <c r="V1253" s="70"/>
      <c r="W1253" s="70"/>
      <c r="X1253" s="70"/>
      <c r="Y1253" s="70"/>
      <c r="Z1253" s="70"/>
      <c r="AA1253" s="70"/>
      <c r="AB1253" s="70"/>
      <c r="AC1253" s="70"/>
      <c r="AD1253" s="70"/>
      <c r="AE1253" s="70"/>
      <c r="AF1253" s="70"/>
      <c r="AG1253" s="70"/>
      <c r="AH1253" s="70"/>
      <c r="AI1253" s="64"/>
      <c r="AJ1253" s="64"/>
      <c r="AK1253" s="64"/>
      <c r="AL1253" s="64"/>
      <c r="AM1253" s="64"/>
      <c r="AN1253" s="64"/>
      <c r="AO1253" s="64"/>
      <c r="AP1253" s="64"/>
      <c r="AQ1253" s="64"/>
      <c r="AR1253" s="64"/>
      <c r="AS1253" s="64"/>
      <c r="AT1253" s="64"/>
      <c r="AU1253" s="64"/>
      <c r="AV1253" s="64"/>
      <c r="AW1253" s="64"/>
      <c r="AX1253" s="64"/>
      <c r="AY1253" s="64"/>
      <c r="AZ1253" s="72">
        <v>1</v>
      </c>
      <c r="BA1253" s="64" t="s">
        <v>89</v>
      </c>
      <c r="BC1253" s="70"/>
      <c r="BD1253" s="72"/>
      <c r="BE1253" s="71"/>
      <c r="BF1253" s="71"/>
      <c r="BH1253" s="64" t="s">
        <v>101</v>
      </c>
      <c r="BI1253" s="64"/>
      <c r="BK1253" s="70"/>
      <c r="BL1253" s="70"/>
      <c r="BM1253" s="70"/>
      <c r="BN1253" s="70"/>
      <c r="BO1253" s="70"/>
      <c r="BP1253" s="70"/>
      <c r="BQ1253" s="157"/>
      <c r="BR1253" s="70"/>
      <c r="BS1253" s="70"/>
      <c r="BT1253" s="70"/>
      <c r="BU1253" s="70"/>
      <c r="BV1253" s="70"/>
      <c r="BW1253" s="70"/>
      <c r="BX1253" s="70"/>
    </row>
    <row r="1254" spans="2:76" s="67" customFormat="1" ht="16.5">
      <c r="B1254" s="141"/>
      <c r="C1254" s="74"/>
      <c r="D1254" s="64" t="s">
        <v>92</v>
      </c>
      <c r="E1254" s="73"/>
      <c r="F1254" s="74"/>
      <c r="G1254" s="74"/>
      <c r="H1254" s="74"/>
      <c r="J1254" s="74"/>
      <c r="K1254" s="64"/>
      <c r="L1254" s="64"/>
      <c r="M1254" s="64"/>
      <c r="N1254" s="64" t="s">
        <v>97</v>
      </c>
      <c r="O1254" s="64"/>
      <c r="P1254" s="72"/>
      <c r="R1254" s="70"/>
      <c r="T1254" s="70"/>
      <c r="U1254" s="70"/>
      <c r="V1254" s="70"/>
      <c r="W1254" s="70"/>
      <c r="X1254" s="70"/>
      <c r="Y1254" s="70"/>
      <c r="Z1254" s="70"/>
      <c r="AA1254" s="70"/>
      <c r="AB1254" s="70"/>
      <c r="AC1254" s="70"/>
      <c r="AD1254" s="70"/>
      <c r="AE1254" s="70"/>
      <c r="AF1254" s="70"/>
      <c r="AG1254" s="70"/>
      <c r="AH1254" s="70"/>
      <c r="AI1254" s="64"/>
      <c r="AJ1254" s="64"/>
      <c r="AK1254" s="64"/>
      <c r="AL1254" s="64"/>
      <c r="AM1254" s="64"/>
      <c r="AN1254" s="64"/>
      <c r="AO1254" s="64"/>
      <c r="AP1254" s="64"/>
      <c r="AQ1254" s="64"/>
      <c r="AR1254" s="64"/>
      <c r="AS1254" s="64"/>
      <c r="AT1254" s="64"/>
      <c r="AU1254" s="64"/>
      <c r="AV1254" s="64"/>
      <c r="AW1254" s="64"/>
      <c r="AX1254" s="64"/>
      <c r="AY1254" s="64"/>
      <c r="AZ1254" s="72"/>
      <c r="BA1254" s="72"/>
      <c r="BC1254" s="70"/>
      <c r="BD1254" s="72"/>
      <c r="BE1254" s="71"/>
      <c r="BF1254" s="71"/>
      <c r="BH1254" s="72"/>
      <c r="BI1254" s="72"/>
      <c r="BK1254" s="70"/>
      <c r="BL1254" s="70"/>
      <c r="BM1254" s="70"/>
      <c r="BN1254" s="70"/>
      <c r="BO1254" s="70"/>
      <c r="BP1254" s="70"/>
      <c r="BQ1254" s="157"/>
      <c r="BR1254" s="70"/>
      <c r="BS1254" s="70"/>
      <c r="BT1254" s="70"/>
      <c r="BU1254" s="70"/>
      <c r="BV1254" s="70"/>
      <c r="BW1254" s="70"/>
      <c r="BX1254" s="70"/>
    </row>
    <row r="1255" spans="2:76" s="67" customFormat="1" ht="16.5">
      <c r="B1255" s="141" t="s">
        <v>2267</v>
      </c>
      <c r="C1255" s="69"/>
      <c r="D1255" s="64" t="s">
        <v>92</v>
      </c>
      <c r="E1255" s="68"/>
      <c r="F1255" s="69"/>
      <c r="G1255" s="69"/>
      <c r="H1255" s="69"/>
      <c r="J1255" s="69"/>
      <c r="K1255" s="64"/>
      <c r="L1255" s="64"/>
      <c r="M1255" s="64"/>
      <c r="N1255" s="64" t="s">
        <v>102</v>
      </c>
      <c r="O1255" s="64"/>
      <c r="P1255" s="64" t="s">
        <v>96</v>
      </c>
      <c r="R1255" s="70"/>
      <c r="T1255" s="70"/>
      <c r="U1255" s="70"/>
      <c r="V1255" s="70"/>
      <c r="W1255" s="70"/>
      <c r="X1255" s="70"/>
      <c r="Y1255" s="70"/>
      <c r="Z1255" s="70"/>
      <c r="AA1255" s="70"/>
      <c r="AB1255" s="70"/>
      <c r="AC1255" s="70"/>
      <c r="AD1255" s="70"/>
      <c r="AE1255" s="70"/>
      <c r="AF1255" s="70"/>
      <c r="AG1255" s="70"/>
      <c r="AH1255" s="70"/>
      <c r="AI1255" s="64"/>
      <c r="AJ1255" s="64"/>
      <c r="AK1255" s="64"/>
      <c r="AL1255" s="64"/>
      <c r="AM1255" s="64"/>
      <c r="AN1255" s="64"/>
      <c r="AO1255" s="64"/>
      <c r="AP1255" s="64"/>
      <c r="AQ1255" s="64"/>
      <c r="AR1255" s="64"/>
      <c r="AS1255" s="64"/>
      <c r="AT1255" s="64"/>
      <c r="AU1255" s="64"/>
      <c r="AV1255" s="64"/>
      <c r="AW1255" s="64"/>
      <c r="AX1255" s="64"/>
      <c r="AY1255" s="64"/>
      <c r="AZ1255" s="72">
        <v>1</v>
      </c>
      <c r="BA1255" s="64" t="s">
        <v>99</v>
      </c>
      <c r="BC1255" s="70"/>
      <c r="BD1255" s="72"/>
      <c r="BE1255" s="71"/>
      <c r="BF1255" s="71">
        <v>50</v>
      </c>
      <c r="BH1255" s="72"/>
      <c r="BI1255" s="72"/>
      <c r="BK1255" s="70"/>
      <c r="BL1255" s="70"/>
      <c r="BM1255" s="70"/>
      <c r="BN1255" s="70"/>
      <c r="BO1255" s="70"/>
      <c r="BP1255" s="75" t="s">
        <v>98</v>
      </c>
      <c r="BQ1255" s="157"/>
      <c r="BR1255" s="70"/>
      <c r="BS1255" s="70"/>
      <c r="BT1255" s="70"/>
      <c r="BU1255" s="70"/>
      <c r="BV1255" s="70"/>
      <c r="BW1255" s="70"/>
      <c r="BX1255" s="70"/>
    </row>
    <row r="1256" spans="2:76" s="67" customFormat="1" ht="16.5">
      <c r="B1256" s="141"/>
      <c r="C1256" s="74"/>
      <c r="D1256" s="64" t="s">
        <v>92</v>
      </c>
      <c r="E1256" s="73"/>
      <c r="F1256" s="74"/>
      <c r="G1256" s="74"/>
      <c r="H1256" s="74"/>
      <c r="J1256" s="74"/>
      <c r="K1256" s="64"/>
      <c r="L1256" s="64"/>
      <c r="M1256" s="64"/>
      <c r="N1256" s="72"/>
      <c r="O1256" s="64"/>
      <c r="P1256" s="72"/>
      <c r="R1256" s="70"/>
      <c r="T1256" s="70"/>
      <c r="U1256" s="70"/>
      <c r="V1256" s="70"/>
      <c r="W1256" s="70"/>
      <c r="X1256" s="70"/>
      <c r="Y1256" s="70"/>
      <c r="Z1256" s="70"/>
      <c r="AA1256" s="70"/>
      <c r="AB1256" s="70"/>
      <c r="AC1256" s="70"/>
      <c r="AD1256" s="70"/>
      <c r="AE1256" s="70"/>
      <c r="AF1256" s="70"/>
      <c r="AG1256" s="70"/>
      <c r="AH1256" s="70"/>
      <c r="AI1256" s="64"/>
      <c r="AJ1256" s="64"/>
      <c r="AK1256" s="64"/>
      <c r="AL1256" s="64"/>
      <c r="AM1256" s="64"/>
      <c r="AN1256" s="64"/>
      <c r="AO1256" s="64"/>
      <c r="AP1256" s="64"/>
      <c r="AQ1256" s="64"/>
      <c r="AR1256" s="64"/>
      <c r="AS1256" s="64"/>
      <c r="AT1256" s="64"/>
      <c r="AU1256" s="64"/>
      <c r="AV1256" s="64"/>
      <c r="AW1256" s="64"/>
      <c r="AX1256" s="64"/>
      <c r="AY1256" s="64"/>
      <c r="AZ1256" s="72"/>
      <c r="BA1256" s="72"/>
      <c r="BC1256" s="70"/>
      <c r="BD1256" s="72"/>
      <c r="BE1256" s="71"/>
      <c r="BF1256" s="71"/>
      <c r="BH1256" s="72"/>
      <c r="BI1256" s="72"/>
      <c r="BK1256" s="70"/>
      <c r="BL1256" s="70"/>
      <c r="BM1256" s="70"/>
      <c r="BN1256" s="70"/>
      <c r="BO1256" s="70"/>
      <c r="BP1256" s="70"/>
      <c r="BQ1256" s="157"/>
      <c r="BR1256" s="70"/>
      <c r="BS1256" s="70"/>
      <c r="BT1256" s="70"/>
      <c r="BU1256" s="70"/>
      <c r="BV1256" s="70"/>
      <c r="BW1256" s="70"/>
      <c r="BX1256" s="70"/>
    </row>
    <row r="1257" spans="2:76" s="67" customFormat="1" ht="16.5">
      <c r="B1257" s="141" t="s">
        <v>2268</v>
      </c>
      <c r="C1257" s="69"/>
      <c r="D1257" s="64" t="s">
        <v>92</v>
      </c>
      <c r="E1257" s="68"/>
      <c r="F1257" s="69"/>
      <c r="G1257" s="69"/>
      <c r="H1257" s="69"/>
      <c r="J1257" s="69"/>
      <c r="K1257" s="64"/>
      <c r="L1257" s="64"/>
      <c r="M1257" s="64"/>
      <c r="N1257" s="64" t="s">
        <v>100</v>
      </c>
      <c r="O1257" s="64"/>
      <c r="P1257" s="64" t="s">
        <v>96</v>
      </c>
      <c r="R1257" s="70"/>
      <c r="T1257" s="70"/>
      <c r="U1257" s="70"/>
      <c r="V1257" s="70"/>
      <c r="W1257" s="70"/>
      <c r="X1257" s="70"/>
      <c r="Y1257" s="70"/>
      <c r="Z1257" s="70"/>
      <c r="AA1257" s="70"/>
      <c r="AB1257" s="70"/>
      <c r="AC1257" s="70"/>
      <c r="AD1257" s="70"/>
      <c r="AE1257" s="70"/>
      <c r="AF1257" s="70"/>
      <c r="AG1257" s="70"/>
      <c r="AH1257" s="70"/>
      <c r="AI1257" s="64"/>
      <c r="AJ1257" s="64"/>
      <c r="AK1257" s="64"/>
      <c r="AL1257" s="64"/>
      <c r="AM1257" s="64"/>
      <c r="AN1257" s="64"/>
      <c r="AO1257" s="64"/>
      <c r="AP1257" s="64"/>
      <c r="AQ1257" s="64"/>
      <c r="AR1257" s="64"/>
      <c r="AS1257" s="64"/>
      <c r="AT1257" s="64"/>
      <c r="AU1257" s="64"/>
      <c r="AV1257" s="64"/>
      <c r="AW1257" s="64"/>
      <c r="AX1257" s="64"/>
      <c r="AY1257" s="64"/>
      <c r="AZ1257" s="64">
        <v>1</v>
      </c>
      <c r="BA1257" s="64" t="s">
        <v>89</v>
      </c>
      <c r="BC1257" s="70"/>
      <c r="BD1257" s="64" t="s">
        <v>95</v>
      </c>
      <c r="BE1257" s="76">
        <v>1300</v>
      </c>
      <c r="BF1257" s="71">
        <v>50</v>
      </c>
      <c r="BH1257" s="64" t="s">
        <v>101</v>
      </c>
      <c r="BI1257" s="64"/>
      <c r="BK1257" s="70"/>
      <c r="BL1257" s="70"/>
      <c r="BM1257" s="70"/>
      <c r="BN1257" s="70"/>
      <c r="BO1257" s="70"/>
      <c r="BP1257" s="70"/>
      <c r="BQ1257" s="157"/>
      <c r="BR1257" s="70"/>
      <c r="BS1257" s="70"/>
      <c r="BT1257" s="70"/>
      <c r="BU1257" s="70"/>
      <c r="BV1257" s="70"/>
      <c r="BW1257" s="70"/>
      <c r="BX1257" s="70"/>
    </row>
    <row r="1258" spans="2:76" s="67" customFormat="1" ht="16.5">
      <c r="B1258" s="141" t="s">
        <v>2269</v>
      </c>
      <c r="C1258" s="69"/>
      <c r="D1258" s="64" t="s">
        <v>92</v>
      </c>
      <c r="E1258" s="68"/>
      <c r="F1258" s="69"/>
      <c r="G1258" s="69"/>
      <c r="H1258" s="69"/>
      <c r="J1258" s="69"/>
      <c r="K1258" s="64"/>
      <c r="L1258" s="64"/>
      <c r="M1258" s="64"/>
      <c r="N1258" s="64" t="s">
        <v>100</v>
      </c>
      <c r="O1258" s="64"/>
      <c r="P1258" s="64" t="s">
        <v>96</v>
      </c>
      <c r="R1258" s="70"/>
      <c r="T1258" s="70"/>
      <c r="U1258" s="70"/>
      <c r="V1258" s="70"/>
      <c r="W1258" s="70"/>
      <c r="X1258" s="70"/>
      <c r="Y1258" s="70"/>
      <c r="Z1258" s="70"/>
      <c r="AA1258" s="70"/>
      <c r="AB1258" s="70"/>
      <c r="AC1258" s="70"/>
      <c r="AD1258" s="70"/>
      <c r="AE1258" s="70"/>
      <c r="AF1258" s="70"/>
      <c r="AG1258" s="70"/>
      <c r="AH1258" s="70"/>
      <c r="AI1258" s="64"/>
      <c r="AJ1258" s="64"/>
      <c r="AK1258" s="64"/>
      <c r="AL1258" s="64"/>
      <c r="AM1258" s="64"/>
      <c r="AN1258" s="64"/>
      <c r="AO1258" s="64"/>
      <c r="AP1258" s="64"/>
      <c r="AQ1258" s="64"/>
      <c r="AR1258" s="64"/>
      <c r="AS1258" s="64"/>
      <c r="AT1258" s="64"/>
      <c r="AU1258" s="64"/>
      <c r="AV1258" s="64"/>
      <c r="AW1258" s="64"/>
      <c r="AX1258" s="64"/>
      <c r="AY1258" s="64"/>
      <c r="AZ1258" s="64">
        <v>1</v>
      </c>
      <c r="BA1258" s="64" t="s">
        <v>99</v>
      </c>
      <c r="BC1258" s="70"/>
      <c r="BD1258" s="64" t="s">
        <v>95</v>
      </c>
      <c r="BE1258" s="71">
        <v>1500</v>
      </c>
      <c r="BF1258" s="71">
        <v>50</v>
      </c>
      <c r="BH1258" s="64" t="s">
        <v>101</v>
      </c>
      <c r="BI1258" s="64"/>
      <c r="BK1258" s="70"/>
      <c r="BL1258" s="70"/>
      <c r="BM1258" s="70"/>
      <c r="BN1258" s="70"/>
      <c r="BO1258" s="70"/>
      <c r="BP1258" s="75" t="s">
        <v>98</v>
      </c>
      <c r="BQ1258" s="157"/>
      <c r="BR1258" s="70"/>
      <c r="BS1258" s="70"/>
      <c r="BT1258" s="70"/>
      <c r="BU1258" s="70"/>
      <c r="BV1258" s="70"/>
      <c r="BW1258" s="70"/>
      <c r="BX1258" s="70"/>
    </row>
    <row r="1259" spans="2:76" s="67" customFormat="1" ht="16.5">
      <c r="B1259" s="141" t="s">
        <v>2270</v>
      </c>
      <c r="C1259" s="69"/>
      <c r="D1259" s="64" t="s">
        <v>92</v>
      </c>
      <c r="E1259" s="68"/>
      <c r="F1259" s="69"/>
      <c r="G1259" s="69"/>
      <c r="H1259" s="69"/>
      <c r="J1259" s="69"/>
      <c r="K1259" s="64"/>
      <c r="L1259" s="64"/>
      <c r="M1259" s="64"/>
      <c r="N1259" s="64" t="s">
        <v>100</v>
      </c>
      <c r="O1259" s="64"/>
      <c r="P1259" s="64" t="s">
        <v>96</v>
      </c>
      <c r="R1259" s="70"/>
      <c r="T1259" s="70"/>
      <c r="U1259" s="70"/>
      <c r="V1259" s="70"/>
      <c r="W1259" s="70"/>
      <c r="X1259" s="70"/>
      <c r="Y1259" s="70"/>
      <c r="Z1259" s="70"/>
      <c r="AA1259" s="70"/>
      <c r="AB1259" s="70"/>
      <c r="AC1259" s="70"/>
      <c r="AD1259" s="70"/>
      <c r="AE1259" s="70"/>
      <c r="AF1259" s="70"/>
      <c r="AG1259" s="70"/>
      <c r="AH1259" s="70"/>
      <c r="AI1259" s="64"/>
      <c r="AJ1259" s="64"/>
      <c r="AK1259" s="64"/>
      <c r="AL1259" s="64"/>
      <c r="AM1259" s="64"/>
      <c r="AN1259" s="64"/>
      <c r="AO1259" s="64"/>
      <c r="AP1259" s="64"/>
      <c r="AQ1259" s="64"/>
      <c r="AR1259" s="64"/>
      <c r="AS1259" s="64"/>
      <c r="AT1259" s="64"/>
      <c r="AU1259" s="64"/>
      <c r="AV1259" s="64"/>
      <c r="AW1259" s="64"/>
      <c r="AX1259" s="64"/>
      <c r="AY1259" s="64"/>
      <c r="AZ1259" s="64">
        <v>1</v>
      </c>
      <c r="BA1259" s="64" t="s">
        <v>99</v>
      </c>
      <c r="BC1259" s="70"/>
      <c r="BD1259" s="64" t="s">
        <v>95</v>
      </c>
      <c r="BE1259" s="71">
        <v>1500</v>
      </c>
      <c r="BF1259" s="71">
        <v>50</v>
      </c>
      <c r="BH1259" s="72"/>
      <c r="BI1259" s="72"/>
      <c r="BK1259" s="70"/>
      <c r="BL1259" s="70"/>
      <c r="BM1259" s="70"/>
      <c r="BN1259" s="70"/>
      <c r="BO1259" s="70"/>
      <c r="BP1259" s="75" t="s">
        <v>98</v>
      </c>
      <c r="BQ1259" s="157"/>
      <c r="BR1259" s="70"/>
      <c r="BS1259" s="70"/>
      <c r="BT1259" s="70"/>
      <c r="BU1259" s="70"/>
      <c r="BV1259" s="70"/>
      <c r="BW1259" s="70"/>
      <c r="BX1259" s="70"/>
    </row>
    <row r="1260" spans="2:76" s="67" customFormat="1" ht="16.5">
      <c r="B1260" s="141" t="s">
        <v>2271</v>
      </c>
      <c r="C1260" s="69"/>
      <c r="D1260" s="64" t="s">
        <v>92</v>
      </c>
      <c r="E1260" s="68"/>
      <c r="F1260" s="69"/>
      <c r="G1260" s="69"/>
      <c r="H1260" s="69"/>
      <c r="J1260" s="69"/>
      <c r="K1260" s="64"/>
      <c r="L1260" s="64"/>
      <c r="M1260" s="64"/>
      <c r="N1260" s="64" t="s">
        <v>97</v>
      </c>
      <c r="O1260" s="64"/>
      <c r="P1260" s="64" t="s">
        <v>96</v>
      </c>
      <c r="R1260" s="70"/>
      <c r="T1260" s="70"/>
      <c r="U1260" s="70"/>
      <c r="V1260" s="70"/>
      <c r="W1260" s="70"/>
      <c r="X1260" s="70"/>
      <c r="Y1260" s="70"/>
      <c r="Z1260" s="70"/>
      <c r="AA1260" s="70"/>
      <c r="AB1260" s="70"/>
      <c r="AC1260" s="70"/>
      <c r="AD1260" s="70"/>
      <c r="AE1260" s="70"/>
      <c r="AF1260" s="70"/>
      <c r="AG1260" s="70"/>
      <c r="AH1260" s="70"/>
      <c r="AI1260" s="64"/>
      <c r="AJ1260" s="64"/>
      <c r="AK1260" s="64"/>
      <c r="AL1260" s="64"/>
      <c r="AM1260" s="64"/>
      <c r="AN1260" s="64"/>
      <c r="AO1260" s="64"/>
      <c r="AP1260" s="64"/>
      <c r="AQ1260" s="64"/>
      <c r="AR1260" s="64"/>
      <c r="AS1260" s="64"/>
      <c r="AT1260" s="64"/>
      <c r="AU1260" s="64"/>
      <c r="AV1260" s="64"/>
      <c r="AW1260" s="64"/>
      <c r="AX1260" s="64"/>
      <c r="AY1260" s="64"/>
      <c r="AZ1260" s="64">
        <v>1</v>
      </c>
      <c r="BA1260" s="64" t="s">
        <v>89</v>
      </c>
      <c r="BC1260" s="70"/>
      <c r="BD1260" s="64" t="s">
        <v>95</v>
      </c>
      <c r="BE1260" s="71">
        <v>1600</v>
      </c>
      <c r="BF1260" s="71">
        <v>50</v>
      </c>
      <c r="BH1260" s="72"/>
      <c r="BI1260" s="72"/>
      <c r="BK1260" s="70"/>
      <c r="BL1260" s="70"/>
      <c r="BM1260" s="70"/>
      <c r="BN1260" s="70"/>
      <c r="BO1260" s="70"/>
      <c r="BP1260" s="70"/>
      <c r="BQ1260" s="157"/>
      <c r="BR1260" s="70"/>
      <c r="BS1260" s="70"/>
      <c r="BT1260" s="70"/>
      <c r="BU1260" s="70"/>
      <c r="BV1260" s="70"/>
      <c r="BW1260" s="70"/>
      <c r="BX1260" s="70"/>
    </row>
    <row r="1261" spans="2:76" s="67" customFormat="1" ht="16.5">
      <c r="B1261" s="141" t="s">
        <v>2272</v>
      </c>
      <c r="C1261" s="69"/>
      <c r="D1261" s="64" t="s">
        <v>92</v>
      </c>
      <c r="E1261" s="68"/>
      <c r="F1261" s="69"/>
      <c r="G1261" s="69"/>
      <c r="H1261" s="69"/>
      <c r="J1261" s="69"/>
      <c r="K1261" s="64"/>
      <c r="L1261" s="64"/>
      <c r="M1261" s="64"/>
      <c r="N1261" s="64" t="s">
        <v>97</v>
      </c>
      <c r="O1261" s="64"/>
      <c r="P1261" s="64" t="s">
        <v>96</v>
      </c>
      <c r="R1261" s="70"/>
      <c r="T1261" s="70"/>
      <c r="U1261" s="70"/>
      <c r="V1261" s="70"/>
      <c r="W1261" s="70"/>
      <c r="X1261" s="70"/>
      <c r="Y1261" s="70"/>
      <c r="Z1261" s="70"/>
      <c r="AA1261" s="70"/>
      <c r="AB1261" s="70"/>
      <c r="AC1261" s="70"/>
      <c r="AD1261" s="70"/>
      <c r="AE1261" s="70"/>
      <c r="AF1261" s="70"/>
      <c r="AG1261" s="70"/>
      <c r="AH1261" s="70"/>
      <c r="AI1261" s="64"/>
      <c r="AJ1261" s="64"/>
      <c r="AK1261" s="64"/>
      <c r="AL1261" s="64"/>
      <c r="AM1261" s="64"/>
      <c r="AN1261" s="64"/>
      <c r="AO1261" s="64"/>
      <c r="AP1261" s="64"/>
      <c r="AQ1261" s="64"/>
      <c r="AR1261" s="64"/>
      <c r="AS1261" s="64"/>
      <c r="AT1261" s="64"/>
      <c r="AU1261" s="64"/>
      <c r="AV1261" s="64"/>
      <c r="AW1261" s="64"/>
      <c r="AX1261" s="64"/>
      <c r="AY1261" s="64"/>
      <c r="AZ1261" s="64">
        <v>1</v>
      </c>
      <c r="BA1261" s="64" t="s">
        <v>89</v>
      </c>
      <c r="BC1261" s="70"/>
      <c r="BD1261" s="64" t="s">
        <v>95</v>
      </c>
      <c r="BE1261" s="71">
        <v>1600</v>
      </c>
      <c r="BF1261" s="71">
        <v>50</v>
      </c>
      <c r="BH1261" s="72"/>
      <c r="BI1261" s="72"/>
      <c r="BK1261" s="70"/>
      <c r="BL1261" s="70"/>
      <c r="BM1261" s="70"/>
      <c r="BN1261" s="70"/>
      <c r="BO1261" s="70"/>
      <c r="BP1261" s="70"/>
      <c r="BQ1261" s="157"/>
      <c r="BR1261" s="70"/>
      <c r="BS1261" s="70"/>
      <c r="BT1261" s="70"/>
      <c r="BU1261" s="70"/>
      <c r="BV1261" s="70"/>
      <c r="BW1261" s="70"/>
      <c r="BX1261" s="70"/>
    </row>
    <row r="1262" spans="2:76" s="67" customFormat="1" ht="16.5">
      <c r="B1262" s="141" t="s">
        <v>2273</v>
      </c>
      <c r="C1262" s="69"/>
      <c r="D1262" s="64" t="s">
        <v>92</v>
      </c>
      <c r="E1262" s="68"/>
      <c r="F1262" s="69"/>
      <c r="G1262" s="69"/>
      <c r="H1262" s="69"/>
      <c r="J1262" s="69"/>
      <c r="K1262" s="64"/>
      <c r="L1262" s="64"/>
      <c r="M1262" s="64"/>
      <c r="N1262" s="64" t="s">
        <v>97</v>
      </c>
      <c r="O1262" s="64"/>
      <c r="P1262" s="64" t="s">
        <v>96</v>
      </c>
      <c r="R1262" s="70"/>
      <c r="T1262" s="70"/>
      <c r="U1262" s="70"/>
      <c r="V1262" s="70"/>
      <c r="W1262" s="70"/>
      <c r="X1262" s="70"/>
      <c r="Y1262" s="70"/>
      <c r="Z1262" s="70"/>
      <c r="AA1262" s="70"/>
      <c r="AB1262" s="70"/>
      <c r="AC1262" s="70"/>
      <c r="AD1262" s="70"/>
      <c r="AE1262" s="70"/>
      <c r="AF1262" s="70"/>
      <c r="AG1262" s="70"/>
      <c r="AH1262" s="70"/>
      <c r="AI1262" s="64"/>
      <c r="AJ1262" s="64"/>
      <c r="AK1262" s="64"/>
      <c r="AL1262" s="64"/>
      <c r="AM1262" s="64"/>
      <c r="AN1262" s="64"/>
      <c r="AO1262" s="64"/>
      <c r="AP1262" s="64"/>
      <c r="AQ1262" s="64"/>
      <c r="AR1262" s="64"/>
      <c r="AS1262" s="64"/>
      <c r="AT1262" s="64"/>
      <c r="AU1262" s="64"/>
      <c r="AV1262" s="64"/>
      <c r="AW1262" s="64"/>
      <c r="AX1262" s="64"/>
      <c r="AY1262" s="64"/>
      <c r="AZ1262" s="64">
        <v>1</v>
      </c>
      <c r="BA1262" s="64" t="s">
        <v>89</v>
      </c>
      <c r="BC1262" s="70"/>
      <c r="BD1262" s="64" t="s">
        <v>95</v>
      </c>
      <c r="BE1262" s="71">
        <v>1700</v>
      </c>
      <c r="BF1262" s="71">
        <v>50</v>
      </c>
      <c r="BH1262" s="72"/>
      <c r="BI1262" s="72"/>
      <c r="BK1262" s="70"/>
      <c r="BL1262" s="70"/>
      <c r="BM1262" s="70"/>
      <c r="BN1262" s="70"/>
      <c r="BO1262" s="70"/>
      <c r="BP1262" s="70"/>
      <c r="BQ1262" s="157"/>
      <c r="BR1262" s="70"/>
      <c r="BS1262" s="70"/>
      <c r="BT1262" s="70"/>
      <c r="BU1262" s="70"/>
      <c r="BV1262" s="70"/>
      <c r="BW1262" s="70"/>
      <c r="BX1262" s="70"/>
    </row>
    <row r="1263" spans="2:76" s="67" customFormat="1" ht="16.5">
      <c r="B1263" s="141" t="s">
        <v>2274</v>
      </c>
      <c r="C1263" s="69"/>
      <c r="D1263" s="64" t="s">
        <v>92</v>
      </c>
      <c r="E1263" s="68"/>
      <c r="F1263" s="69"/>
      <c r="G1263" s="69"/>
      <c r="H1263" s="69"/>
      <c r="J1263" s="69"/>
      <c r="K1263" s="64"/>
      <c r="L1263" s="64"/>
      <c r="M1263" s="64"/>
      <c r="N1263" s="64" t="s">
        <v>97</v>
      </c>
      <c r="O1263" s="64"/>
      <c r="P1263" s="64" t="s">
        <v>96</v>
      </c>
      <c r="R1263" s="70"/>
      <c r="T1263" s="70"/>
      <c r="U1263" s="70"/>
      <c r="V1263" s="70"/>
      <c r="W1263" s="70"/>
      <c r="X1263" s="70"/>
      <c r="Y1263" s="70"/>
      <c r="Z1263" s="70"/>
      <c r="AA1263" s="70"/>
      <c r="AB1263" s="70"/>
      <c r="AC1263" s="70"/>
      <c r="AD1263" s="70"/>
      <c r="AE1263" s="70"/>
      <c r="AF1263" s="70"/>
      <c r="AG1263" s="70"/>
      <c r="AH1263" s="70"/>
      <c r="AI1263" s="64"/>
      <c r="AJ1263" s="64"/>
      <c r="AK1263" s="64"/>
      <c r="AL1263" s="64"/>
      <c r="AM1263" s="64"/>
      <c r="AN1263" s="64"/>
      <c r="AO1263" s="64"/>
      <c r="AP1263" s="64"/>
      <c r="AQ1263" s="64"/>
      <c r="AR1263" s="64"/>
      <c r="AS1263" s="64"/>
      <c r="AT1263" s="64"/>
      <c r="AU1263" s="64"/>
      <c r="AV1263" s="64"/>
      <c r="AW1263" s="64"/>
      <c r="AX1263" s="64"/>
      <c r="AY1263" s="64"/>
      <c r="AZ1263" s="64">
        <v>1</v>
      </c>
      <c r="BA1263" s="64" t="s">
        <v>89</v>
      </c>
      <c r="BC1263" s="70"/>
      <c r="BD1263" s="64" t="s">
        <v>95</v>
      </c>
      <c r="BE1263" s="71">
        <v>1600</v>
      </c>
      <c r="BF1263" s="71">
        <v>50</v>
      </c>
      <c r="BH1263" s="72"/>
      <c r="BI1263" s="72"/>
      <c r="BK1263" s="70"/>
      <c r="BL1263" s="70"/>
      <c r="BM1263" s="70"/>
      <c r="BN1263" s="70"/>
      <c r="BO1263" s="70"/>
      <c r="BP1263" s="70"/>
      <c r="BQ1263" s="157"/>
      <c r="BR1263" s="70"/>
      <c r="BS1263" s="70"/>
      <c r="BT1263" s="70"/>
      <c r="BU1263" s="70"/>
      <c r="BV1263" s="70"/>
      <c r="BW1263" s="70"/>
      <c r="BX1263" s="70"/>
    </row>
    <row r="1264" spans="2:76" s="67" customFormat="1" ht="33">
      <c r="B1264" s="141" t="s">
        <v>2275</v>
      </c>
      <c r="C1264" s="69"/>
      <c r="D1264" s="64" t="s">
        <v>92</v>
      </c>
      <c r="E1264" s="68"/>
      <c r="F1264" s="69"/>
      <c r="G1264" s="69"/>
      <c r="H1264" s="69"/>
      <c r="J1264" s="69"/>
      <c r="K1264" s="64"/>
      <c r="L1264" s="64"/>
      <c r="M1264" s="64"/>
      <c r="N1264" s="72" t="s">
        <v>93</v>
      </c>
      <c r="O1264" s="64"/>
      <c r="P1264" s="64" t="s">
        <v>94</v>
      </c>
      <c r="R1264" s="70"/>
      <c r="T1264" s="70"/>
      <c r="U1264" s="70"/>
      <c r="V1264" s="70"/>
      <c r="W1264" s="70"/>
      <c r="X1264" s="70"/>
      <c r="Y1264" s="70"/>
      <c r="Z1264" s="70"/>
      <c r="AA1264" s="70"/>
      <c r="AB1264" s="70"/>
      <c r="AC1264" s="70"/>
      <c r="AD1264" s="70"/>
      <c r="AE1264" s="70"/>
      <c r="AF1264" s="70"/>
      <c r="AG1264" s="70"/>
      <c r="AH1264" s="70"/>
      <c r="AI1264" s="64"/>
      <c r="AJ1264" s="64"/>
      <c r="AK1264" s="64"/>
      <c r="AL1264" s="64"/>
      <c r="AM1264" s="64"/>
      <c r="AN1264" s="64"/>
      <c r="AO1264" s="64"/>
      <c r="AP1264" s="64"/>
      <c r="AQ1264" s="64"/>
      <c r="AR1264" s="64"/>
      <c r="AS1264" s="64"/>
      <c r="AT1264" s="64"/>
      <c r="AU1264" s="64"/>
      <c r="AV1264" s="64"/>
      <c r="AW1264" s="64"/>
      <c r="AX1264" s="64"/>
      <c r="AY1264" s="64"/>
      <c r="AZ1264" s="72">
        <v>4</v>
      </c>
      <c r="BA1264" s="64" t="s">
        <v>89</v>
      </c>
      <c r="BC1264" s="70"/>
      <c r="BD1264" s="72"/>
      <c r="BE1264" s="71"/>
      <c r="BF1264" s="71">
        <v>50</v>
      </c>
      <c r="BH1264" s="72"/>
      <c r="BI1264" s="72"/>
      <c r="BK1264" s="70"/>
      <c r="BL1264" s="70"/>
      <c r="BM1264" s="70"/>
      <c r="BN1264" s="70"/>
      <c r="BO1264" s="70"/>
      <c r="BP1264" s="70"/>
      <c r="BQ1264" s="157"/>
      <c r="BR1264" s="70"/>
      <c r="BS1264" s="70"/>
      <c r="BT1264" s="70"/>
      <c r="BU1264" s="70"/>
      <c r="BV1264" s="70"/>
      <c r="BW1264" s="70"/>
      <c r="BX1264" s="70"/>
    </row>
    <row r="1265" spans="2:76" s="67" customFormat="1" ht="16.5">
      <c r="B1265" s="141" t="s">
        <v>2276</v>
      </c>
      <c r="C1265" s="69"/>
      <c r="D1265" s="64" t="s">
        <v>92</v>
      </c>
      <c r="E1265" s="68"/>
      <c r="F1265" s="69"/>
      <c r="G1265" s="69"/>
      <c r="H1265" s="69"/>
      <c r="J1265" s="69"/>
      <c r="K1265" s="64"/>
      <c r="L1265" s="64"/>
      <c r="M1265" s="64"/>
      <c r="N1265" s="72" t="s">
        <v>93</v>
      </c>
      <c r="O1265" s="64"/>
      <c r="P1265" s="64" t="s">
        <v>94</v>
      </c>
      <c r="R1265" s="70"/>
      <c r="T1265" s="70"/>
      <c r="U1265" s="70"/>
      <c r="V1265" s="70"/>
      <c r="W1265" s="70"/>
      <c r="X1265" s="70"/>
      <c r="Y1265" s="70"/>
      <c r="Z1265" s="70"/>
      <c r="AA1265" s="70"/>
      <c r="AB1265" s="70"/>
      <c r="AC1265" s="70"/>
      <c r="AD1265" s="70"/>
      <c r="AE1265" s="70"/>
      <c r="AF1265" s="70"/>
      <c r="AG1265" s="70"/>
      <c r="AH1265" s="70"/>
      <c r="AI1265" s="64"/>
      <c r="AJ1265" s="64"/>
      <c r="AK1265" s="64"/>
      <c r="AL1265" s="64"/>
      <c r="AM1265" s="64"/>
      <c r="AN1265" s="64"/>
      <c r="AO1265" s="64"/>
      <c r="AP1265" s="64"/>
      <c r="AQ1265" s="64"/>
      <c r="AR1265" s="64"/>
      <c r="AS1265" s="64"/>
      <c r="AT1265" s="64"/>
      <c r="AU1265" s="64"/>
      <c r="AV1265" s="64"/>
      <c r="AW1265" s="64"/>
      <c r="AX1265" s="64"/>
      <c r="AY1265" s="64"/>
      <c r="AZ1265" s="72">
        <v>1</v>
      </c>
      <c r="BA1265" s="64" t="s">
        <v>89</v>
      </c>
      <c r="BC1265" s="70"/>
      <c r="BD1265" s="72"/>
      <c r="BE1265" s="71"/>
      <c r="BF1265" s="71">
        <v>50</v>
      </c>
      <c r="BH1265" s="72"/>
      <c r="BI1265" s="72"/>
      <c r="BK1265" s="70"/>
      <c r="BL1265" s="70"/>
      <c r="BM1265" s="70"/>
      <c r="BN1265" s="70"/>
      <c r="BO1265" s="70"/>
      <c r="BP1265" s="70"/>
      <c r="BQ1265" s="157"/>
      <c r="BR1265" s="70"/>
      <c r="BS1265" s="70"/>
      <c r="BT1265" s="70"/>
      <c r="BU1265" s="70"/>
      <c r="BV1265" s="70"/>
      <c r="BW1265" s="70"/>
      <c r="BX1265" s="70"/>
    </row>
    <row r="1266" spans="2:76" s="67" customFormat="1" ht="16.5">
      <c r="B1266" s="141" t="s">
        <v>2277</v>
      </c>
      <c r="C1266" s="69"/>
      <c r="D1266" s="72"/>
      <c r="E1266" s="68"/>
      <c r="F1266" s="69"/>
      <c r="G1266" s="69"/>
      <c r="H1266" s="69"/>
      <c r="J1266" s="69"/>
      <c r="K1266" s="72"/>
      <c r="L1266" s="72"/>
      <c r="M1266" s="72"/>
      <c r="N1266" s="72"/>
      <c r="O1266" s="72"/>
      <c r="P1266" s="72"/>
      <c r="R1266" s="70"/>
      <c r="T1266" s="70"/>
      <c r="U1266" s="70"/>
      <c r="V1266" s="70"/>
      <c r="W1266" s="70"/>
      <c r="X1266" s="70"/>
      <c r="Y1266" s="70"/>
      <c r="Z1266" s="70"/>
      <c r="AA1266" s="70"/>
      <c r="AB1266" s="70"/>
      <c r="AC1266" s="70"/>
      <c r="AD1266" s="70"/>
      <c r="AE1266" s="70"/>
      <c r="AF1266" s="70"/>
      <c r="AG1266" s="70"/>
      <c r="AH1266" s="70"/>
      <c r="AI1266" s="72"/>
      <c r="AJ1266" s="72"/>
      <c r="AK1266" s="72"/>
      <c r="AL1266" s="72"/>
      <c r="AM1266" s="72"/>
      <c r="AN1266" s="72"/>
      <c r="AO1266" s="72"/>
      <c r="AP1266" s="72"/>
      <c r="AQ1266" s="72"/>
      <c r="AR1266" s="72"/>
      <c r="AS1266" s="72"/>
      <c r="AT1266" s="72"/>
      <c r="AU1266" s="72"/>
      <c r="AV1266" s="72"/>
      <c r="AW1266" s="72"/>
      <c r="AX1266" s="72"/>
      <c r="AY1266" s="72"/>
      <c r="AZ1266" s="72"/>
      <c r="BA1266" s="72"/>
      <c r="BC1266" s="70"/>
      <c r="BD1266" s="72"/>
      <c r="BE1266" s="71"/>
      <c r="BF1266" s="71"/>
      <c r="BH1266" s="72"/>
      <c r="BI1266" s="72"/>
      <c r="BK1266" s="70"/>
      <c r="BL1266" s="70"/>
      <c r="BM1266" s="70"/>
      <c r="BN1266" s="70"/>
      <c r="BO1266" s="70"/>
      <c r="BP1266" s="70"/>
      <c r="BQ1266" s="157"/>
      <c r="BR1266" s="70"/>
      <c r="BS1266" s="70"/>
      <c r="BT1266" s="70"/>
      <c r="BU1266" s="70"/>
      <c r="BV1266" s="70"/>
      <c r="BW1266" s="70"/>
      <c r="BX1266" s="70"/>
    </row>
    <row r="1267" spans="2:76" s="67" customFormat="1" ht="16.5">
      <c r="B1267" s="141" t="s">
        <v>2278</v>
      </c>
      <c r="C1267" s="69"/>
      <c r="D1267" s="64" t="s">
        <v>92</v>
      </c>
      <c r="E1267" s="68"/>
      <c r="F1267" s="69"/>
      <c r="G1267" s="69"/>
      <c r="H1267" s="69"/>
      <c r="J1267" s="69"/>
      <c r="K1267" s="64"/>
      <c r="L1267" s="64"/>
      <c r="M1267" s="64"/>
      <c r="N1267" s="72" t="s">
        <v>93</v>
      </c>
      <c r="O1267" s="64"/>
      <c r="P1267" s="64" t="s">
        <v>94</v>
      </c>
      <c r="R1267" s="70"/>
      <c r="T1267" s="70"/>
      <c r="U1267" s="70"/>
      <c r="V1267" s="70"/>
      <c r="W1267" s="70"/>
      <c r="X1267" s="70"/>
      <c r="Y1267" s="70"/>
      <c r="Z1267" s="70"/>
      <c r="AA1267" s="70"/>
      <c r="AB1267" s="70"/>
      <c r="AC1267" s="70"/>
      <c r="AD1267" s="70"/>
      <c r="AE1267" s="70"/>
      <c r="AF1267" s="70"/>
      <c r="AG1267" s="70"/>
      <c r="AH1267" s="70"/>
      <c r="AI1267" s="64"/>
      <c r="AJ1267" s="64"/>
      <c r="AK1267" s="64"/>
      <c r="AL1267" s="64"/>
      <c r="AM1267" s="64"/>
      <c r="AN1267" s="64"/>
      <c r="AO1267" s="64"/>
      <c r="AP1267" s="64"/>
      <c r="AQ1267" s="64"/>
      <c r="AR1267" s="64"/>
      <c r="AS1267" s="64"/>
      <c r="AT1267" s="64"/>
      <c r="AU1267" s="64"/>
      <c r="AV1267" s="64"/>
      <c r="AW1267" s="64"/>
      <c r="AX1267" s="64"/>
      <c r="AY1267" s="64"/>
      <c r="AZ1267" s="72">
        <v>1</v>
      </c>
      <c r="BA1267" s="64" t="s">
        <v>89</v>
      </c>
      <c r="BC1267" s="70"/>
      <c r="BD1267" s="72"/>
      <c r="BE1267" s="71"/>
      <c r="BF1267" s="71">
        <v>50</v>
      </c>
      <c r="BH1267" s="72"/>
      <c r="BI1267" s="72"/>
      <c r="BK1267" s="70"/>
      <c r="BL1267" s="70"/>
      <c r="BM1267" s="70"/>
      <c r="BN1267" s="70"/>
      <c r="BO1267" s="70"/>
      <c r="BP1267" s="70"/>
      <c r="BQ1267" s="157"/>
      <c r="BR1267" s="70"/>
      <c r="BS1267" s="70"/>
      <c r="BT1267" s="70"/>
      <c r="BU1267" s="70"/>
      <c r="BV1267" s="70"/>
      <c r="BW1267" s="70"/>
      <c r="BX1267" s="70"/>
    </row>
    <row r="1268" spans="2:76" s="67" customFormat="1" ht="16.5">
      <c r="B1268" s="141" t="s">
        <v>2279</v>
      </c>
      <c r="C1268" s="69"/>
      <c r="D1268" s="64" t="s">
        <v>92</v>
      </c>
      <c r="E1268" s="68"/>
      <c r="F1268" s="69"/>
      <c r="G1268" s="69"/>
      <c r="H1268" s="69"/>
      <c r="J1268" s="69"/>
      <c r="K1268" s="64"/>
      <c r="L1268" s="64"/>
      <c r="M1268" s="64"/>
      <c r="N1268" s="72" t="s">
        <v>93</v>
      </c>
      <c r="O1268" s="64"/>
      <c r="P1268" s="64" t="s">
        <v>94</v>
      </c>
      <c r="R1268" s="70"/>
      <c r="T1268" s="70"/>
      <c r="U1268" s="70"/>
      <c r="V1268" s="70"/>
      <c r="W1268" s="70"/>
      <c r="X1268" s="70"/>
      <c r="Y1268" s="70"/>
      <c r="Z1268" s="70"/>
      <c r="AA1268" s="70"/>
      <c r="AB1268" s="70"/>
      <c r="AC1268" s="70"/>
      <c r="AD1268" s="70"/>
      <c r="AE1268" s="70"/>
      <c r="AF1268" s="70"/>
      <c r="AG1268" s="70"/>
      <c r="AH1268" s="70"/>
      <c r="AI1268" s="64"/>
      <c r="AJ1268" s="64"/>
      <c r="AK1268" s="64"/>
      <c r="AL1268" s="64"/>
      <c r="AM1268" s="64"/>
      <c r="AN1268" s="64"/>
      <c r="AO1268" s="64"/>
      <c r="AP1268" s="64"/>
      <c r="AQ1268" s="64"/>
      <c r="AR1268" s="64"/>
      <c r="AS1268" s="64"/>
      <c r="AT1268" s="64"/>
      <c r="AU1268" s="64"/>
      <c r="AV1268" s="64"/>
      <c r="AW1268" s="64"/>
      <c r="AX1268" s="64"/>
      <c r="AY1268" s="64"/>
      <c r="AZ1268" s="72">
        <v>1</v>
      </c>
      <c r="BA1268" s="64" t="s">
        <v>89</v>
      </c>
      <c r="BC1268" s="70"/>
      <c r="BD1268" s="72"/>
      <c r="BE1268" s="71"/>
      <c r="BF1268" s="71">
        <v>50</v>
      </c>
      <c r="BH1268" s="72"/>
      <c r="BI1268" s="72"/>
      <c r="BK1268" s="70"/>
      <c r="BL1268" s="70"/>
      <c r="BM1268" s="70"/>
      <c r="BN1268" s="70"/>
      <c r="BO1268" s="70"/>
      <c r="BP1268" s="70"/>
      <c r="BQ1268" s="157"/>
      <c r="BR1268" s="70"/>
      <c r="BS1268" s="70"/>
      <c r="BT1268" s="70"/>
      <c r="BU1268" s="70"/>
      <c r="BV1268" s="70"/>
      <c r="BW1268" s="70"/>
      <c r="BX1268" s="70"/>
    </row>
    <row r="1269" spans="2:76" s="67" customFormat="1" ht="16.5">
      <c r="B1269" s="141" t="s">
        <v>2280</v>
      </c>
      <c r="C1269" s="69"/>
      <c r="D1269" s="64" t="s">
        <v>92</v>
      </c>
      <c r="E1269" s="68"/>
      <c r="F1269" s="69"/>
      <c r="G1269" s="69"/>
      <c r="H1269" s="69"/>
      <c r="J1269" s="69"/>
      <c r="K1269" s="64"/>
      <c r="L1269" s="64"/>
      <c r="M1269" s="64"/>
      <c r="N1269" s="72" t="s">
        <v>93</v>
      </c>
      <c r="O1269" s="64"/>
      <c r="P1269" s="64" t="s">
        <v>94</v>
      </c>
      <c r="R1269" s="70"/>
      <c r="T1269" s="70"/>
      <c r="U1269" s="70"/>
      <c r="V1269" s="70"/>
      <c r="W1269" s="70"/>
      <c r="X1269" s="70"/>
      <c r="Y1269" s="70"/>
      <c r="Z1269" s="70"/>
      <c r="AA1269" s="70"/>
      <c r="AB1269" s="70"/>
      <c r="AC1269" s="70"/>
      <c r="AD1269" s="70"/>
      <c r="AE1269" s="70"/>
      <c r="AF1269" s="70"/>
      <c r="AG1269" s="70"/>
      <c r="AH1269" s="70"/>
      <c r="AI1269" s="64"/>
      <c r="AJ1269" s="64"/>
      <c r="AK1269" s="64"/>
      <c r="AL1269" s="64"/>
      <c r="AM1269" s="64"/>
      <c r="AN1269" s="64"/>
      <c r="AO1269" s="64"/>
      <c r="AP1269" s="64"/>
      <c r="AQ1269" s="64"/>
      <c r="AR1269" s="64"/>
      <c r="AS1269" s="64"/>
      <c r="AT1269" s="64"/>
      <c r="AU1269" s="64"/>
      <c r="AV1269" s="64"/>
      <c r="AW1269" s="64"/>
      <c r="AX1269" s="64"/>
      <c r="AY1269" s="64"/>
      <c r="AZ1269" s="72">
        <v>1</v>
      </c>
      <c r="BA1269" s="64" t="s">
        <v>89</v>
      </c>
      <c r="BC1269" s="70"/>
      <c r="BD1269" s="72"/>
      <c r="BE1269" s="71"/>
      <c r="BF1269" s="71">
        <v>50</v>
      </c>
      <c r="BH1269" s="72"/>
      <c r="BI1269" s="72"/>
      <c r="BK1269" s="70"/>
      <c r="BL1269" s="70"/>
      <c r="BM1269" s="70"/>
      <c r="BN1269" s="70"/>
      <c r="BO1269" s="70"/>
      <c r="BP1269" s="70"/>
      <c r="BQ1269" s="157"/>
      <c r="BR1269" s="70"/>
      <c r="BS1269" s="70"/>
      <c r="BT1269" s="70"/>
      <c r="BU1269" s="70"/>
      <c r="BV1269" s="70"/>
      <c r="BW1269" s="70"/>
      <c r="BX1269" s="70"/>
    </row>
    <row r="1270" spans="2:76" s="67" customFormat="1" ht="16.5">
      <c r="B1270" s="141" t="s">
        <v>2281</v>
      </c>
      <c r="C1270" s="69"/>
      <c r="D1270" s="64" t="s">
        <v>92</v>
      </c>
      <c r="E1270" s="68"/>
      <c r="F1270" s="69"/>
      <c r="G1270" s="69"/>
      <c r="H1270" s="69"/>
      <c r="J1270" s="69"/>
      <c r="K1270" s="64"/>
      <c r="L1270" s="64"/>
      <c r="M1270" s="64"/>
      <c r="N1270" s="72" t="s">
        <v>93</v>
      </c>
      <c r="O1270" s="64"/>
      <c r="P1270" s="64" t="s">
        <v>94</v>
      </c>
      <c r="R1270" s="70"/>
      <c r="T1270" s="70"/>
      <c r="U1270" s="70"/>
      <c r="V1270" s="70"/>
      <c r="W1270" s="70"/>
      <c r="X1270" s="70"/>
      <c r="Y1270" s="70"/>
      <c r="Z1270" s="70"/>
      <c r="AA1270" s="70"/>
      <c r="AB1270" s="70"/>
      <c r="AC1270" s="70"/>
      <c r="AD1270" s="70"/>
      <c r="AE1270" s="70"/>
      <c r="AF1270" s="70"/>
      <c r="AG1270" s="70"/>
      <c r="AH1270" s="70"/>
      <c r="AI1270" s="64"/>
      <c r="AJ1270" s="64"/>
      <c r="AK1270" s="64"/>
      <c r="AL1270" s="64"/>
      <c r="AM1270" s="64"/>
      <c r="AN1270" s="64"/>
      <c r="AO1270" s="64"/>
      <c r="AP1270" s="64"/>
      <c r="AQ1270" s="64"/>
      <c r="AR1270" s="64"/>
      <c r="AS1270" s="64"/>
      <c r="AT1270" s="64"/>
      <c r="AU1270" s="64"/>
      <c r="AV1270" s="64"/>
      <c r="AW1270" s="64"/>
      <c r="AX1270" s="64"/>
      <c r="AY1270" s="64"/>
      <c r="AZ1270" s="72">
        <v>1</v>
      </c>
      <c r="BA1270" s="64" t="s">
        <v>89</v>
      </c>
      <c r="BC1270" s="70"/>
      <c r="BD1270" s="72"/>
      <c r="BE1270" s="71"/>
      <c r="BF1270" s="71">
        <v>50</v>
      </c>
      <c r="BH1270" s="72"/>
      <c r="BI1270" s="72"/>
      <c r="BK1270" s="70"/>
      <c r="BL1270" s="70"/>
      <c r="BM1270" s="70"/>
      <c r="BN1270" s="70"/>
      <c r="BO1270" s="70"/>
      <c r="BP1270" s="70"/>
      <c r="BQ1270" s="157"/>
      <c r="BR1270" s="70"/>
      <c r="BS1270" s="70"/>
      <c r="BT1270" s="70"/>
      <c r="BU1270" s="70"/>
      <c r="BV1270" s="70"/>
      <c r="BW1270" s="70"/>
      <c r="BX1270" s="70"/>
    </row>
    <row r="1271" spans="2:76" s="67" customFormat="1" ht="16.5">
      <c r="B1271" s="141"/>
      <c r="C1271" s="74"/>
      <c r="D1271" s="70"/>
      <c r="E1271" s="73"/>
      <c r="F1271" s="74"/>
      <c r="G1271" s="74"/>
      <c r="H1271" s="74"/>
      <c r="J1271" s="74"/>
      <c r="K1271" s="70"/>
      <c r="L1271" s="70"/>
      <c r="M1271" s="70"/>
      <c r="N1271" s="70"/>
      <c r="O1271" s="70"/>
      <c r="P1271" s="70"/>
      <c r="R1271" s="70"/>
      <c r="T1271" s="70"/>
      <c r="U1271" s="70"/>
      <c r="V1271" s="70"/>
      <c r="W1271" s="70"/>
      <c r="X1271" s="70"/>
      <c r="Y1271" s="70"/>
      <c r="Z1271" s="70"/>
      <c r="AA1271" s="70"/>
      <c r="AB1271" s="70"/>
      <c r="AC1271" s="70"/>
      <c r="AD1271" s="70"/>
      <c r="AE1271" s="70"/>
      <c r="AF1271" s="70"/>
      <c r="AG1271" s="70"/>
      <c r="AH1271" s="70"/>
      <c r="AI1271" s="70"/>
      <c r="AJ1271" s="70"/>
      <c r="AK1271" s="70"/>
      <c r="AL1271" s="70"/>
      <c r="AM1271" s="70"/>
      <c r="AN1271" s="70"/>
      <c r="AO1271" s="70"/>
      <c r="AP1271" s="70"/>
      <c r="AQ1271" s="70"/>
      <c r="AR1271" s="70"/>
      <c r="AS1271" s="70"/>
      <c r="AT1271" s="70"/>
      <c r="AU1271" s="70"/>
      <c r="AV1271" s="70"/>
      <c r="AW1271" s="70"/>
      <c r="AX1271" s="70"/>
      <c r="AY1271" s="70"/>
      <c r="AZ1271" s="70"/>
      <c r="BA1271" s="70"/>
      <c r="BC1271" s="70"/>
      <c r="BD1271" s="70"/>
      <c r="BE1271" s="70"/>
      <c r="BF1271" s="70"/>
      <c r="BH1271" s="70"/>
      <c r="BI1271" s="70"/>
      <c r="BK1271" s="70"/>
      <c r="BL1271" s="70"/>
      <c r="BM1271" s="70"/>
      <c r="BN1271" s="70"/>
      <c r="BO1271" s="70"/>
      <c r="BP1271" s="70"/>
      <c r="BQ1271" s="157"/>
      <c r="BR1271" s="70"/>
      <c r="BS1271" s="70"/>
      <c r="BT1271" s="70"/>
      <c r="BU1271" s="70"/>
      <c r="BV1271" s="70"/>
      <c r="BW1271" s="70"/>
      <c r="BX1271" s="70"/>
    </row>
    <row r="1272" spans="2:76" s="67" customFormat="1" ht="16.5">
      <c r="B1272" s="141" t="s">
        <v>2282</v>
      </c>
      <c r="C1272" s="69"/>
      <c r="D1272" s="70"/>
      <c r="E1272" s="68"/>
      <c r="F1272" s="69"/>
      <c r="G1272" s="69"/>
      <c r="H1272" s="69"/>
      <c r="J1272" s="69"/>
      <c r="K1272" s="70"/>
      <c r="L1272" s="70"/>
      <c r="M1272" s="70"/>
      <c r="N1272" s="70"/>
      <c r="O1272" s="70"/>
      <c r="P1272" s="70"/>
      <c r="R1272" s="70"/>
      <c r="T1272" s="70"/>
      <c r="U1272" s="70"/>
      <c r="V1272" s="70"/>
      <c r="W1272" s="70"/>
      <c r="X1272" s="70"/>
      <c r="Y1272" s="70"/>
      <c r="Z1272" s="70"/>
      <c r="AA1272" s="70"/>
      <c r="AB1272" s="70"/>
      <c r="AC1272" s="70"/>
      <c r="AD1272" s="70"/>
      <c r="AE1272" s="70"/>
      <c r="AF1272" s="70"/>
      <c r="AG1272" s="70"/>
      <c r="AH1272" s="70"/>
      <c r="AI1272" s="70"/>
      <c r="AJ1272" s="70"/>
      <c r="AK1272" s="70"/>
      <c r="AL1272" s="70"/>
      <c r="AM1272" s="70"/>
      <c r="AN1272" s="70"/>
      <c r="AO1272" s="70"/>
      <c r="AP1272" s="70"/>
      <c r="AQ1272" s="70"/>
      <c r="AR1272" s="70"/>
      <c r="AS1272" s="70"/>
      <c r="AT1272" s="70"/>
      <c r="AU1272" s="70"/>
      <c r="AV1272" s="70"/>
      <c r="AW1272" s="70"/>
      <c r="AX1272" s="70"/>
      <c r="AY1272" s="70"/>
      <c r="AZ1272" s="70"/>
      <c r="BA1272" s="70"/>
      <c r="BC1272" s="70"/>
      <c r="BD1272" s="70"/>
      <c r="BE1272" s="70"/>
      <c r="BF1272" s="70"/>
      <c r="BH1272" s="70"/>
      <c r="BI1272" s="70"/>
      <c r="BK1272" s="70"/>
      <c r="BL1272" s="70"/>
      <c r="BM1272" s="70"/>
      <c r="BN1272" s="70"/>
      <c r="BO1272" s="70"/>
      <c r="BP1272" s="70"/>
      <c r="BQ1272" s="157"/>
      <c r="BR1272" s="70"/>
      <c r="BS1272" s="70"/>
      <c r="BT1272" s="70"/>
      <c r="BU1272" s="70"/>
      <c r="BV1272" s="70"/>
      <c r="BW1272" s="70"/>
      <c r="BX1272" s="70"/>
    </row>
    <row r="1273" spans="2:76" s="67" customFormat="1" ht="16.5">
      <c r="B1273" s="141"/>
      <c r="C1273" s="74"/>
      <c r="D1273" s="70"/>
      <c r="E1273" s="73"/>
      <c r="F1273" s="74"/>
      <c r="G1273" s="74"/>
      <c r="H1273" s="74"/>
      <c r="J1273" s="74"/>
      <c r="K1273" s="70"/>
      <c r="L1273" s="70"/>
      <c r="M1273" s="70"/>
      <c r="N1273" s="70"/>
      <c r="O1273" s="70"/>
      <c r="P1273" s="70"/>
      <c r="R1273" s="70"/>
      <c r="T1273" s="70"/>
      <c r="U1273" s="70"/>
      <c r="V1273" s="70"/>
      <c r="W1273" s="70"/>
      <c r="X1273" s="70"/>
      <c r="Y1273" s="70"/>
      <c r="Z1273" s="70"/>
      <c r="AA1273" s="70"/>
      <c r="AB1273" s="70"/>
      <c r="AC1273" s="70"/>
      <c r="AD1273" s="70"/>
      <c r="AE1273" s="70"/>
      <c r="AF1273" s="70"/>
      <c r="AG1273" s="70"/>
      <c r="AH1273" s="70"/>
      <c r="AI1273" s="70"/>
      <c r="AJ1273" s="70"/>
      <c r="AK1273" s="70"/>
      <c r="AL1273" s="70"/>
      <c r="AM1273" s="70"/>
      <c r="AN1273" s="70"/>
      <c r="AO1273" s="70"/>
      <c r="AP1273" s="70"/>
      <c r="AQ1273" s="70"/>
      <c r="AR1273" s="70"/>
      <c r="AS1273" s="70"/>
      <c r="AT1273" s="70"/>
      <c r="AU1273" s="70"/>
      <c r="AV1273" s="70"/>
      <c r="AW1273" s="70"/>
      <c r="AX1273" s="70"/>
      <c r="AY1273" s="70"/>
      <c r="AZ1273" s="70"/>
      <c r="BA1273" s="70"/>
      <c r="BC1273" s="70"/>
      <c r="BD1273" s="70"/>
      <c r="BE1273" s="70"/>
      <c r="BF1273" s="70"/>
      <c r="BH1273" s="70"/>
      <c r="BI1273" s="70"/>
      <c r="BK1273" s="70"/>
      <c r="BL1273" s="70"/>
      <c r="BM1273" s="70"/>
      <c r="BN1273" s="70"/>
      <c r="BO1273" s="70"/>
      <c r="BP1273" s="70"/>
      <c r="BQ1273" s="157"/>
      <c r="BR1273" s="70"/>
      <c r="BS1273" s="70"/>
      <c r="BT1273" s="70"/>
      <c r="BU1273" s="70"/>
      <c r="BV1273" s="70"/>
      <c r="BW1273" s="70"/>
      <c r="BX1273" s="70"/>
    </row>
    <row r="1274" spans="2:76" s="67" customFormat="1" ht="16.5">
      <c r="B1274" s="141" t="s">
        <v>2283</v>
      </c>
      <c r="C1274" s="69"/>
      <c r="D1274" s="64" t="s">
        <v>92</v>
      </c>
      <c r="E1274" s="68"/>
      <c r="F1274" s="69"/>
      <c r="G1274" s="69"/>
      <c r="H1274" s="69"/>
      <c r="J1274" s="69"/>
      <c r="K1274" s="64"/>
      <c r="L1274" s="64"/>
      <c r="M1274" s="64"/>
      <c r="N1274" s="72" t="s">
        <v>93</v>
      </c>
      <c r="O1274" s="64"/>
      <c r="P1274" s="64" t="s">
        <v>94</v>
      </c>
      <c r="R1274" s="70"/>
      <c r="T1274" s="70"/>
      <c r="U1274" s="70"/>
      <c r="V1274" s="70"/>
      <c r="W1274" s="70"/>
      <c r="X1274" s="70"/>
      <c r="Y1274" s="70"/>
      <c r="Z1274" s="70"/>
      <c r="AA1274" s="70"/>
      <c r="AB1274" s="70"/>
      <c r="AC1274" s="70"/>
      <c r="AD1274" s="70"/>
      <c r="AE1274" s="70"/>
      <c r="AF1274" s="70"/>
      <c r="AG1274" s="70"/>
      <c r="AH1274" s="70"/>
      <c r="AI1274" s="64"/>
      <c r="AJ1274" s="64"/>
      <c r="AK1274" s="64"/>
      <c r="AL1274" s="64"/>
      <c r="AM1274" s="64"/>
      <c r="AN1274" s="64"/>
      <c r="AO1274" s="64"/>
      <c r="AP1274" s="64"/>
      <c r="AQ1274" s="64"/>
      <c r="AR1274" s="64"/>
      <c r="AS1274" s="64"/>
      <c r="AT1274" s="64"/>
      <c r="AU1274" s="64"/>
      <c r="AV1274" s="64"/>
      <c r="AW1274" s="64"/>
      <c r="AX1274" s="64"/>
      <c r="AY1274" s="64"/>
      <c r="AZ1274" s="72">
        <v>1</v>
      </c>
      <c r="BA1274" s="64" t="s">
        <v>89</v>
      </c>
      <c r="BC1274" s="70"/>
      <c r="BD1274" s="72"/>
      <c r="BE1274" s="71"/>
      <c r="BF1274" s="71">
        <v>50</v>
      </c>
      <c r="BH1274" s="72"/>
      <c r="BI1274" s="72"/>
      <c r="BK1274" s="70"/>
      <c r="BL1274" s="70"/>
      <c r="BM1274" s="70"/>
      <c r="BN1274" s="70"/>
      <c r="BO1274" s="70"/>
      <c r="BP1274" s="70"/>
      <c r="BQ1274" s="157"/>
      <c r="BR1274" s="70"/>
      <c r="BS1274" s="70"/>
      <c r="BT1274" s="70"/>
      <c r="BU1274" s="70"/>
      <c r="BV1274" s="70"/>
      <c r="BW1274" s="70"/>
      <c r="BX1274" s="70"/>
    </row>
    <row r="1275" spans="2:76" s="67" customFormat="1" ht="16.5">
      <c r="B1275" s="141" t="s">
        <v>2284</v>
      </c>
      <c r="C1275" s="69"/>
      <c r="D1275" s="64" t="s">
        <v>92</v>
      </c>
      <c r="E1275" s="68"/>
      <c r="F1275" s="69"/>
      <c r="G1275" s="69"/>
      <c r="H1275" s="69"/>
      <c r="J1275" s="69"/>
      <c r="K1275" s="64"/>
      <c r="L1275" s="64"/>
      <c r="M1275" s="64"/>
      <c r="N1275" s="72" t="s">
        <v>93</v>
      </c>
      <c r="O1275" s="64"/>
      <c r="P1275" s="64" t="s">
        <v>94</v>
      </c>
      <c r="R1275" s="70"/>
      <c r="T1275" s="70"/>
      <c r="U1275" s="70"/>
      <c r="V1275" s="70"/>
      <c r="W1275" s="70"/>
      <c r="X1275" s="70"/>
      <c r="Y1275" s="70"/>
      <c r="Z1275" s="70"/>
      <c r="AA1275" s="70"/>
      <c r="AB1275" s="70"/>
      <c r="AC1275" s="70"/>
      <c r="AD1275" s="70"/>
      <c r="AE1275" s="70"/>
      <c r="AF1275" s="70"/>
      <c r="AG1275" s="70"/>
      <c r="AH1275" s="70"/>
      <c r="AI1275" s="64"/>
      <c r="AJ1275" s="64"/>
      <c r="AK1275" s="64"/>
      <c r="AL1275" s="64"/>
      <c r="AM1275" s="64"/>
      <c r="AN1275" s="64"/>
      <c r="AO1275" s="64"/>
      <c r="AP1275" s="64"/>
      <c r="AQ1275" s="64"/>
      <c r="AR1275" s="64"/>
      <c r="AS1275" s="64"/>
      <c r="AT1275" s="64"/>
      <c r="AU1275" s="64"/>
      <c r="AV1275" s="64"/>
      <c r="AW1275" s="64"/>
      <c r="AX1275" s="64"/>
      <c r="AY1275" s="64"/>
      <c r="AZ1275" s="72">
        <v>1</v>
      </c>
      <c r="BA1275" s="70"/>
      <c r="BC1275" s="70"/>
      <c r="BD1275" s="72"/>
      <c r="BE1275" s="71"/>
      <c r="BF1275" s="71">
        <v>50</v>
      </c>
      <c r="BH1275" s="72"/>
      <c r="BI1275" s="72"/>
      <c r="BK1275" s="70"/>
      <c r="BL1275" s="70"/>
      <c r="BM1275" s="70"/>
      <c r="BN1275" s="70"/>
      <c r="BO1275" s="70"/>
      <c r="BP1275" s="70"/>
      <c r="BQ1275" s="157"/>
      <c r="BR1275" s="70"/>
      <c r="BS1275" s="70"/>
      <c r="BT1275" s="70"/>
      <c r="BU1275" s="70"/>
      <c r="BV1275" s="70"/>
      <c r="BW1275" s="70"/>
      <c r="BX1275" s="70"/>
    </row>
    <row r="1276" spans="2:76" s="67" customFormat="1" ht="16.5">
      <c r="B1276" s="141" t="s">
        <v>2285</v>
      </c>
      <c r="C1276" s="69"/>
      <c r="D1276" s="70"/>
      <c r="E1276" s="68"/>
      <c r="F1276" s="69"/>
      <c r="G1276" s="69"/>
      <c r="H1276" s="69"/>
      <c r="J1276" s="69"/>
      <c r="K1276" s="70"/>
      <c r="L1276" s="70"/>
      <c r="M1276" s="70"/>
      <c r="N1276" s="70"/>
      <c r="O1276" s="70"/>
      <c r="R1276" s="70"/>
      <c r="T1276" s="70"/>
      <c r="U1276" s="70"/>
      <c r="V1276" s="70"/>
      <c r="W1276" s="70"/>
      <c r="X1276" s="70"/>
      <c r="Y1276" s="70"/>
      <c r="Z1276" s="70"/>
      <c r="AA1276" s="70"/>
      <c r="AB1276" s="70"/>
      <c r="AC1276" s="70"/>
      <c r="AD1276" s="70"/>
      <c r="AE1276" s="70"/>
      <c r="AF1276" s="70"/>
      <c r="AG1276" s="70"/>
      <c r="AH1276" s="70"/>
      <c r="AI1276" s="70"/>
      <c r="AJ1276" s="70"/>
      <c r="AK1276" s="70"/>
      <c r="AL1276" s="70"/>
      <c r="AM1276" s="70"/>
      <c r="AN1276" s="70"/>
      <c r="AO1276" s="70"/>
      <c r="AP1276" s="70"/>
      <c r="AQ1276" s="70"/>
      <c r="AR1276" s="70"/>
      <c r="AS1276" s="70"/>
      <c r="AT1276" s="70"/>
      <c r="AU1276" s="70"/>
      <c r="AV1276" s="70"/>
      <c r="AW1276" s="70"/>
      <c r="AX1276" s="70"/>
      <c r="AY1276" s="70"/>
      <c r="AZ1276" s="70"/>
      <c r="BA1276" s="70"/>
      <c r="BB1276" s="70"/>
      <c r="BC1276" s="70"/>
      <c r="BD1276" s="70"/>
      <c r="BE1276" s="70"/>
      <c r="BF1276" s="70"/>
      <c r="BH1276" s="70"/>
      <c r="BI1276" s="70"/>
      <c r="BK1276" s="70"/>
      <c r="BL1276" s="70"/>
      <c r="BM1276" s="70"/>
      <c r="BN1276" s="70"/>
      <c r="BO1276" s="70"/>
      <c r="BP1276" s="70"/>
      <c r="BQ1276" s="157"/>
      <c r="BR1276" s="70"/>
      <c r="BS1276" s="70"/>
      <c r="BT1276" s="70"/>
      <c r="BU1276" s="70"/>
      <c r="BV1276" s="70"/>
      <c r="BW1276" s="70"/>
      <c r="BX1276" s="70"/>
    </row>
    <row r="1277" spans="2:76" s="67" customFormat="1" ht="16.5">
      <c r="B1277" s="141"/>
      <c r="C1277" s="74"/>
      <c r="D1277" s="70"/>
      <c r="E1277" s="73"/>
      <c r="F1277" s="74"/>
      <c r="G1277" s="74"/>
      <c r="H1277" s="74"/>
      <c r="J1277" s="74"/>
      <c r="K1277" s="70"/>
      <c r="L1277" s="70"/>
      <c r="M1277" s="70"/>
      <c r="N1277" s="70"/>
      <c r="O1277" s="70"/>
      <c r="R1277" s="70"/>
      <c r="T1277" s="70"/>
      <c r="U1277" s="70"/>
      <c r="V1277" s="70"/>
      <c r="W1277" s="70"/>
      <c r="X1277" s="70"/>
      <c r="Y1277" s="70"/>
      <c r="Z1277" s="70"/>
      <c r="AA1277" s="70"/>
      <c r="AB1277" s="70"/>
      <c r="AC1277" s="70"/>
      <c r="AD1277" s="70"/>
      <c r="AE1277" s="70"/>
      <c r="AF1277" s="70"/>
      <c r="AG1277" s="70"/>
      <c r="AH1277" s="70"/>
      <c r="AI1277" s="70"/>
      <c r="AJ1277" s="70"/>
      <c r="AK1277" s="70"/>
      <c r="AL1277" s="70"/>
      <c r="AM1277" s="70"/>
      <c r="AN1277" s="70"/>
      <c r="AO1277" s="70"/>
      <c r="AP1277" s="70"/>
      <c r="AQ1277" s="70"/>
      <c r="AR1277" s="70"/>
      <c r="AS1277" s="70"/>
      <c r="AT1277" s="70"/>
      <c r="AU1277" s="70"/>
      <c r="AV1277" s="70"/>
      <c r="AW1277" s="70"/>
      <c r="AX1277" s="70"/>
      <c r="AY1277" s="70"/>
      <c r="AZ1277" s="70"/>
      <c r="BA1277" s="70"/>
      <c r="BB1277" s="70"/>
      <c r="BC1277" s="70"/>
      <c r="BD1277" s="70"/>
      <c r="BE1277" s="70"/>
      <c r="BF1277" s="70"/>
      <c r="BH1277" s="70"/>
      <c r="BI1277" s="70"/>
      <c r="BK1277" s="70"/>
      <c r="BL1277" s="70"/>
      <c r="BM1277" s="70"/>
      <c r="BN1277" s="70"/>
      <c r="BO1277" s="70"/>
      <c r="BP1277" s="70"/>
      <c r="BQ1277" s="157"/>
      <c r="BR1277" s="70"/>
      <c r="BS1277" s="70"/>
      <c r="BT1277" s="70"/>
      <c r="BU1277" s="70"/>
      <c r="BV1277" s="70"/>
      <c r="BW1277" s="70"/>
      <c r="BX1277" s="70"/>
    </row>
    <row r="1278" spans="2:76" s="67" customFormat="1" ht="16.5">
      <c r="B1278" s="141" t="s">
        <v>2286</v>
      </c>
      <c r="C1278" s="74"/>
      <c r="D1278" s="64" t="s">
        <v>92</v>
      </c>
      <c r="E1278" s="73"/>
      <c r="F1278" s="74"/>
      <c r="G1278" s="74"/>
      <c r="H1278" s="74"/>
      <c r="J1278" s="74"/>
      <c r="K1278" s="64"/>
      <c r="L1278" s="70"/>
      <c r="M1278" s="70"/>
      <c r="N1278" s="72" t="s">
        <v>93</v>
      </c>
      <c r="O1278" s="70"/>
      <c r="R1278" s="70"/>
      <c r="T1278" s="70"/>
      <c r="U1278" s="70"/>
      <c r="V1278" s="70"/>
      <c r="W1278" s="70"/>
      <c r="X1278" s="70"/>
      <c r="Y1278" s="70"/>
      <c r="Z1278" s="70"/>
      <c r="AA1278" s="70"/>
      <c r="AB1278" s="70"/>
      <c r="AC1278" s="70"/>
      <c r="AD1278" s="70"/>
      <c r="AE1278" s="70"/>
      <c r="AF1278" s="70"/>
      <c r="AG1278" s="70"/>
      <c r="AH1278" s="70"/>
      <c r="AI1278" s="70"/>
      <c r="AJ1278" s="70"/>
      <c r="AK1278" s="70"/>
      <c r="AL1278" s="70"/>
      <c r="AM1278" s="70"/>
      <c r="AN1278" s="70"/>
      <c r="AO1278" s="70"/>
      <c r="AP1278" s="70"/>
      <c r="AQ1278" s="70"/>
      <c r="AR1278" s="70"/>
      <c r="AS1278" s="70"/>
      <c r="AT1278" s="70"/>
      <c r="AU1278" s="70"/>
      <c r="AV1278" s="70"/>
      <c r="AW1278" s="70"/>
      <c r="AX1278" s="70"/>
      <c r="AY1278" s="70"/>
      <c r="AZ1278" s="70"/>
      <c r="BA1278" s="70"/>
      <c r="BB1278" s="70"/>
      <c r="BC1278" s="70"/>
      <c r="BD1278" s="70"/>
      <c r="BE1278" s="70"/>
      <c r="BF1278" s="70"/>
      <c r="BH1278" s="70"/>
      <c r="BI1278" s="70"/>
      <c r="BK1278" s="70"/>
      <c r="BL1278" s="70"/>
      <c r="BM1278" s="70"/>
      <c r="BN1278" s="70"/>
      <c r="BO1278" s="70"/>
      <c r="BP1278" s="70"/>
      <c r="BQ1278" s="157"/>
      <c r="BR1278" s="70"/>
      <c r="BS1278" s="70"/>
      <c r="BT1278" s="70"/>
      <c r="BU1278" s="70"/>
      <c r="BV1278" s="70"/>
      <c r="BW1278" s="70"/>
      <c r="BX1278" s="70"/>
    </row>
    <row r="1279" spans="2:76" s="67" customFormat="1" ht="16.5">
      <c r="B1279" s="141"/>
      <c r="C1279" s="74"/>
      <c r="D1279" s="70"/>
      <c r="E1279" s="73"/>
      <c r="F1279" s="74"/>
      <c r="G1279" s="74"/>
      <c r="H1279" s="74"/>
      <c r="J1279" s="74"/>
      <c r="K1279" s="70"/>
      <c r="L1279" s="70"/>
      <c r="M1279" s="70"/>
      <c r="N1279" s="70"/>
      <c r="O1279" s="70"/>
      <c r="R1279" s="70"/>
      <c r="T1279" s="70"/>
      <c r="U1279" s="70"/>
      <c r="V1279" s="70"/>
      <c r="W1279" s="70"/>
      <c r="X1279" s="70"/>
      <c r="Y1279" s="70"/>
      <c r="Z1279" s="70"/>
      <c r="AA1279" s="70"/>
      <c r="AB1279" s="70"/>
      <c r="AC1279" s="70"/>
      <c r="AD1279" s="70"/>
      <c r="AE1279" s="70"/>
      <c r="AF1279" s="70"/>
      <c r="AG1279" s="70"/>
      <c r="AH1279" s="70"/>
      <c r="AI1279" s="70"/>
      <c r="AJ1279" s="70"/>
      <c r="AK1279" s="70"/>
      <c r="AL1279" s="70"/>
      <c r="AM1279" s="70"/>
      <c r="AN1279" s="70"/>
      <c r="AO1279" s="70"/>
      <c r="AP1279" s="70"/>
      <c r="AQ1279" s="70"/>
      <c r="AR1279" s="70"/>
      <c r="AS1279" s="70"/>
      <c r="AT1279" s="70"/>
      <c r="AU1279" s="70"/>
      <c r="AV1279" s="70"/>
      <c r="AW1279" s="70"/>
      <c r="AX1279" s="70"/>
      <c r="AY1279" s="70"/>
      <c r="AZ1279" s="70"/>
      <c r="BA1279" s="70"/>
      <c r="BB1279" s="70"/>
      <c r="BC1279" s="70"/>
      <c r="BD1279" s="70"/>
      <c r="BE1279" s="70"/>
      <c r="BF1279" s="70"/>
      <c r="BH1279" s="70"/>
      <c r="BI1279" s="70"/>
      <c r="BK1279" s="70"/>
      <c r="BL1279" s="70"/>
      <c r="BM1279" s="70"/>
      <c r="BN1279" s="70"/>
      <c r="BO1279" s="70"/>
      <c r="BP1279" s="70"/>
      <c r="BQ1279" s="157"/>
      <c r="BR1279" s="70"/>
      <c r="BS1279" s="70"/>
      <c r="BT1279" s="70"/>
      <c r="BU1279" s="70"/>
      <c r="BV1279" s="70"/>
      <c r="BW1279" s="70"/>
      <c r="BX1279" s="70"/>
    </row>
    <row r="1280" spans="2:76" s="67" customFormat="1" ht="16.5">
      <c r="B1280" s="141"/>
      <c r="C1280" s="74"/>
      <c r="D1280" s="70"/>
      <c r="E1280" s="73"/>
      <c r="F1280" s="74"/>
      <c r="G1280" s="74"/>
      <c r="H1280" s="74"/>
      <c r="J1280" s="74"/>
      <c r="K1280" s="70"/>
      <c r="L1280" s="70"/>
      <c r="M1280" s="70"/>
      <c r="N1280" s="70"/>
      <c r="O1280" s="70"/>
      <c r="R1280" s="70"/>
      <c r="T1280" s="70"/>
      <c r="U1280" s="70"/>
      <c r="V1280" s="70"/>
      <c r="W1280" s="70"/>
      <c r="X1280" s="70"/>
      <c r="Y1280" s="70"/>
      <c r="Z1280" s="70"/>
      <c r="AA1280" s="70"/>
      <c r="AB1280" s="70"/>
      <c r="AC1280" s="70"/>
      <c r="AD1280" s="70"/>
      <c r="AE1280" s="70"/>
      <c r="AF1280" s="70"/>
      <c r="AG1280" s="70"/>
      <c r="AH1280" s="70"/>
      <c r="AI1280" s="70"/>
      <c r="AJ1280" s="70"/>
      <c r="AK1280" s="70"/>
      <c r="AL1280" s="70"/>
      <c r="AM1280" s="70"/>
      <c r="AN1280" s="70"/>
      <c r="AO1280" s="70"/>
      <c r="AP1280" s="70"/>
      <c r="AQ1280" s="70"/>
      <c r="AR1280" s="70"/>
      <c r="AS1280" s="70"/>
      <c r="AT1280" s="70"/>
      <c r="AU1280" s="70"/>
      <c r="AV1280" s="70"/>
      <c r="AW1280" s="70"/>
      <c r="AX1280" s="70"/>
      <c r="AY1280" s="70"/>
      <c r="AZ1280" s="70"/>
      <c r="BA1280" s="70"/>
      <c r="BB1280" s="70"/>
      <c r="BC1280" s="70"/>
      <c r="BD1280" s="70"/>
      <c r="BE1280" s="70"/>
      <c r="BF1280" s="70"/>
      <c r="BH1280" s="70"/>
      <c r="BI1280" s="70"/>
      <c r="BK1280" s="70"/>
      <c r="BL1280" s="70"/>
      <c r="BM1280" s="70"/>
      <c r="BN1280" s="70"/>
      <c r="BO1280" s="70"/>
      <c r="BP1280" s="70"/>
      <c r="BQ1280" s="157"/>
      <c r="BR1280" s="70"/>
      <c r="BS1280" s="70"/>
      <c r="BT1280" s="70"/>
      <c r="BU1280" s="70"/>
      <c r="BV1280" s="70"/>
      <c r="BW1280" s="70"/>
      <c r="BX1280" s="70"/>
    </row>
    <row r="1281" spans="2:76" s="67" customFormat="1" ht="16.5">
      <c r="B1281" s="141"/>
      <c r="C1281" s="74"/>
      <c r="D1281" s="70"/>
      <c r="E1281" s="73"/>
      <c r="F1281" s="74"/>
      <c r="G1281" s="74"/>
      <c r="H1281" s="74"/>
      <c r="J1281" s="74"/>
      <c r="K1281" s="70"/>
      <c r="L1281" s="70"/>
      <c r="M1281" s="70"/>
      <c r="N1281" s="70"/>
      <c r="O1281" s="70"/>
      <c r="R1281" s="70"/>
      <c r="T1281" s="70"/>
      <c r="U1281" s="70"/>
      <c r="V1281" s="70"/>
      <c r="W1281" s="70"/>
      <c r="X1281" s="70"/>
      <c r="Y1281" s="70"/>
      <c r="Z1281" s="70"/>
      <c r="AA1281" s="70"/>
      <c r="AB1281" s="70"/>
      <c r="AC1281" s="70"/>
      <c r="AD1281" s="70"/>
      <c r="AE1281" s="70"/>
      <c r="AF1281" s="70"/>
      <c r="AG1281" s="70"/>
      <c r="AH1281" s="70"/>
      <c r="AI1281" s="70"/>
      <c r="AJ1281" s="70"/>
      <c r="AK1281" s="70"/>
      <c r="AL1281" s="70"/>
      <c r="AM1281" s="70"/>
      <c r="AN1281" s="70"/>
      <c r="AO1281" s="70"/>
      <c r="AP1281" s="70"/>
      <c r="AQ1281" s="70"/>
      <c r="AR1281" s="70"/>
      <c r="AS1281" s="70"/>
      <c r="AT1281" s="70"/>
      <c r="AU1281" s="70"/>
      <c r="AV1281" s="70"/>
      <c r="AW1281" s="70"/>
      <c r="AX1281" s="70"/>
      <c r="AY1281" s="70"/>
      <c r="AZ1281" s="70"/>
      <c r="BA1281" s="70"/>
      <c r="BB1281" s="70"/>
      <c r="BC1281" s="70"/>
      <c r="BD1281" s="70"/>
      <c r="BE1281" s="70"/>
      <c r="BF1281" s="70"/>
      <c r="BH1281" s="70"/>
      <c r="BI1281" s="70"/>
      <c r="BK1281" s="70"/>
      <c r="BL1281" s="70"/>
      <c r="BM1281" s="70"/>
      <c r="BN1281" s="70"/>
      <c r="BO1281" s="70"/>
      <c r="BP1281" s="70"/>
      <c r="BQ1281" s="157"/>
      <c r="BR1281" s="70"/>
      <c r="BS1281" s="70"/>
      <c r="BT1281" s="70"/>
      <c r="BU1281" s="70"/>
      <c r="BV1281" s="70"/>
      <c r="BW1281" s="70"/>
      <c r="BX1281" s="70"/>
    </row>
    <row r="1282" spans="2:76" s="67" customFormat="1" ht="16.5">
      <c r="B1282" s="141" t="s">
        <v>2287</v>
      </c>
      <c r="C1282" s="69"/>
      <c r="D1282" s="75" t="s">
        <v>91</v>
      </c>
      <c r="E1282" s="68"/>
      <c r="F1282" s="69"/>
      <c r="G1282" s="69"/>
      <c r="H1282" s="69"/>
      <c r="J1282" s="69"/>
      <c r="K1282" s="75"/>
      <c r="L1282" s="75"/>
      <c r="M1282" s="75"/>
      <c r="N1282" s="70"/>
      <c r="O1282" s="75"/>
      <c r="R1282" s="70"/>
      <c r="T1282" s="70"/>
      <c r="U1282" s="70"/>
      <c r="V1282" s="70"/>
      <c r="W1282" s="70"/>
      <c r="X1282" s="70"/>
      <c r="Y1282" s="70"/>
      <c r="Z1282" s="70"/>
      <c r="AA1282" s="70"/>
      <c r="AB1282" s="70"/>
      <c r="AC1282" s="70"/>
      <c r="AD1282" s="70"/>
      <c r="AE1282" s="70"/>
      <c r="AF1282" s="70"/>
      <c r="AG1282" s="70"/>
      <c r="AH1282" s="70"/>
      <c r="AI1282" s="75"/>
      <c r="AJ1282" s="75"/>
      <c r="AK1282" s="75"/>
      <c r="AL1282" s="75"/>
      <c r="AM1282" s="75"/>
      <c r="AN1282" s="75"/>
      <c r="AO1282" s="75"/>
      <c r="AP1282" s="75"/>
      <c r="AQ1282" s="75"/>
      <c r="AR1282" s="75"/>
      <c r="AS1282" s="75"/>
      <c r="AT1282" s="75"/>
      <c r="AU1282" s="75"/>
      <c r="AV1282" s="75"/>
      <c r="AW1282" s="75"/>
      <c r="AX1282" s="75"/>
      <c r="AY1282" s="75"/>
      <c r="AZ1282" s="70"/>
      <c r="BA1282" s="64" t="s">
        <v>89</v>
      </c>
      <c r="BB1282" s="70"/>
      <c r="BC1282" s="70"/>
      <c r="BD1282" s="70"/>
      <c r="BE1282" s="70"/>
      <c r="BF1282" s="77">
        <v>30</v>
      </c>
      <c r="BH1282" s="70"/>
      <c r="BI1282" s="70"/>
      <c r="BK1282" s="70"/>
      <c r="BL1282" s="70"/>
      <c r="BM1282" s="70"/>
      <c r="BN1282" s="70"/>
      <c r="BO1282" s="70"/>
      <c r="BP1282" s="70"/>
      <c r="BQ1282" s="157"/>
      <c r="BR1282" s="70"/>
      <c r="BS1282" s="70"/>
      <c r="BT1282" s="70"/>
      <c r="BU1282" s="70"/>
      <c r="BV1282" s="70"/>
      <c r="BW1282" s="70"/>
      <c r="BX1282" s="70"/>
    </row>
    <row r="1283" spans="2:76" s="67" customFormat="1" ht="33">
      <c r="B1283" s="141" t="s">
        <v>2288</v>
      </c>
      <c r="C1283" s="69"/>
      <c r="D1283" s="70"/>
      <c r="E1283" s="68"/>
      <c r="F1283" s="69"/>
      <c r="G1283" s="69"/>
      <c r="H1283" s="69"/>
      <c r="J1283" s="69"/>
      <c r="K1283" s="70"/>
      <c r="L1283" s="70"/>
      <c r="M1283" s="70"/>
      <c r="N1283" s="70"/>
      <c r="O1283" s="70"/>
      <c r="R1283" s="70"/>
      <c r="T1283" s="70"/>
      <c r="U1283" s="70"/>
      <c r="V1283" s="70"/>
      <c r="W1283" s="70"/>
      <c r="X1283" s="70"/>
      <c r="Y1283" s="70"/>
      <c r="Z1283" s="70"/>
      <c r="AA1283" s="70"/>
      <c r="AB1283" s="70"/>
      <c r="AC1283" s="70"/>
      <c r="AD1283" s="70"/>
      <c r="AE1283" s="70"/>
      <c r="AF1283" s="70"/>
      <c r="AG1283" s="70"/>
      <c r="AH1283" s="70"/>
      <c r="AI1283" s="70"/>
      <c r="AJ1283" s="70"/>
      <c r="AK1283" s="70"/>
      <c r="AL1283" s="70"/>
      <c r="AM1283" s="70"/>
      <c r="AN1283" s="70"/>
      <c r="AO1283" s="70"/>
      <c r="AP1283" s="70"/>
      <c r="AQ1283" s="70"/>
      <c r="AR1283" s="70"/>
      <c r="AS1283" s="70"/>
      <c r="AT1283" s="70"/>
      <c r="AU1283" s="70"/>
      <c r="AV1283" s="70"/>
      <c r="AW1283" s="70"/>
      <c r="AX1283" s="70"/>
      <c r="AY1283" s="70"/>
      <c r="AZ1283" s="70"/>
      <c r="BA1283" s="64" t="s">
        <v>89</v>
      </c>
      <c r="BB1283" s="70"/>
      <c r="BC1283" s="70"/>
      <c r="BD1283" s="70"/>
      <c r="BE1283" s="70"/>
      <c r="BF1283" s="77">
        <v>35</v>
      </c>
      <c r="BH1283" s="70"/>
      <c r="BI1283" s="70"/>
      <c r="BK1283" s="70"/>
      <c r="BL1283" s="70"/>
      <c r="BM1283" s="70"/>
      <c r="BN1283" s="70"/>
      <c r="BO1283" s="70"/>
      <c r="BP1283" s="70"/>
      <c r="BQ1283" s="157"/>
      <c r="BR1283" s="70"/>
      <c r="BS1283" s="70"/>
      <c r="BT1283" s="70"/>
      <c r="BU1283" s="70"/>
      <c r="BV1283" s="70"/>
      <c r="BW1283" s="70"/>
      <c r="BX1283" s="70"/>
    </row>
    <row r="1284" spans="2:76" s="67" customFormat="1" ht="16.5">
      <c r="B1284" s="141" t="s">
        <v>2289</v>
      </c>
      <c r="C1284" s="69"/>
      <c r="D1284" s="70"/>
      <c r="E1284" s="68"/>
      <c r="F1284" s="69"/>
      <c r="G1284" s="69"/>
      <c r="H1284" s="69"/>
      <c r="J1284" s="69"/>
      <c r="K1284" s="70"/>
      <c r="L1284" s="70"/>
      <c r="M1284" s="70"/>
      <c r="N1284" s="70"/>
      <c r="O1284" s="70"/>
      <c r="R1284" s="70"/>
      <c r="T1284" s="70"/>
      <c r="U1284" s="70"/>
      <c r="V1284" s="70"/>
      <c r="W1284" s="70"/>
      <c r="X1284" s="70"/>
      <c r="Y1284" s="70"/>
      <c r="Z1284" s="70"/>
      <c r="AA1284" s="70"/>
      <c r="AB1284" s="70"/>
      <c r="AC1284" s="70"/>
      <c r="AD1284" s="70"/>
      <c r="AE1284" s="70"/>
      <c r="AF1284" s="70"/>
      <c r="AG1284" s="70"/>
      <c r="AH1284" s="70"/>
      <c r="AI1284" s="70"/>
      <c r="AJ1284" s="70"/>
      <c r="AK1284" s="70"/>
      <c r="AL1284" s="70"/>
      <c r="AM1284" s="70"/>
      <c r="AN1284" s="70"/>
      <c r="AO1284" s="70"/>
      <c r="AP1284" s="70"/>
      <c r="AQ1284" s="70"/>
      <c r="AR1284" s="70"/>
      <c r="AS1284" s="70"/>
      <c r="AT1284" s="70"/>
      <c r="AU1284" s="70"/>
      <c r="AV1284" s="70"/>
      <c r="AW1284" s="70"/>
      <c r="AX1284" s="70"/>
      <c r="AY1284" s="70"/>
      <c r="AZ1284" s="70"/>
      <c r="BA1284" s="70"/>
      <c r="BB1284" s="70"/>
      <c r="BC1284" s="70"/>
      <c r="BD1284" s="70"/>
      <c r="BE1284" s="70"/>
      <c r="BF1284" s="77"/>
      <c r="BH1284" s="70"/>
      <c r="BI1284" s="70"/>
      <c r="BK1284" s="70"/>
      <c r="BL1284" s="70"/>
      <c r="BM1284" s="70"/>
      <c r="BN1284" s="70"/>
      <c r="BO1284" s="70"/>
      <c r="BP1284" s="70"/>
      <c r="BQ1284" s="157"/>
      <c r="BR1284" s="70"/>
      <c r="BS1284" s="70"/>
      <c r="BT1284" s="70"/>
      <c r="BU1284" s="70"/>
      <c r="BV1284" s="70"/>
      <c r="BW1284" s="70"/>
      <c r="BX1284" s="70"/>
    </row>
    <row r="1285" spans="2:76" s="67" customFormat="1" ht="16.5">
      <c r="B1285" s="141"/>
      <c r="C1285" s="74"/>
      <c r="D1285" s="70"/>
      <c r="E1285" s="73"/>
      <c r="F1285" s="74"/>
      <c r="G1285" s="74"/>
      <c r="H1285" s="74"/>
      <c r="J1285" s="74"/>
      <c r="K1285" s="70"/>
      <c r="L1285" s="70"/>
      <c r="M1285" s="70"/>
      <c r="N1285" s="70"/>
      <c r="O1285" s="70"/>
      <c r="R1285" s="70"/>
      <c r="T1285" s="70"/>
      <c r="U1285" s="70"/>
      <c r="V1285" s="70"/>
      <c r="W1285" s="70"/>
      <c r="X1285" s="70"/>
      <c r="Y1285" s="70"/>
      <c r="Z1285" s="70"/>
      <c r="AA1285" s="70"/>
      <c r="AB1285" s="70"/>
      <c r="AC1285" s="70"/>
      <c r="AD1285" s="70"/>
      <c r="AE1285" s="70"/>
      <c r="AF1285" s="70"/>
      <c r="AG1285" s="70"/>
      <c r="AH1285" s="70"/>
      <c r="AI1285" s="70"/>
      <c r="AJ1285" s="70"/>
      <c r="AK1285" s="70"/>
      <c r="AL1285" s="70"/>
      <c r="AM1285" s="70"/>
      <c r="AN1285" s="70"/>
      <c r="AO1285" s="70"/>
      <c r="AP1285" s="70"/>
      <c r="AQ1285" s="70"/>
      <c r="AR1285" s="70"/>
      <c r="AS1285" s="70"/>
      <c r="AT1285" s="70"/>
      <c r="AU1285" s="70"/>
      <c r="AV1285" s="70"/>
      <c r="AW1285" s="70"/>
      <c r="AX1285" s="70"/>
      <c r="AY1285" s="70"/>
      <c r="AZ1285" s="70"/>
      <c r="BA1285" s="70"/>
      <c r="BB1285" s="70"/>
      <c r="BC1285" s="70"/>
      <c r="BD1285" s="70"/>
      <c r="BE1285" s="70"/>
      <c r="BF1285" s="77"/>
      <c r="BH1285" s="70"/>
      <c r="BI1285" s="70"/>
      <c r="BK1285" s="70"/>
      <c r="BL1285" s="70"/>
      <c r="BM1285" s="70"/>
      <c r="BN1285" s="70"/>
      <c r="BO1285" s="70"/>
      <c r="BP1285" s="70"/>
      <c r="BQ1285" s="157"/>
      <c r="BR1285" s="70"/>
      <c r="BS1285" s="70"/>
      <c r="BT1285" s="70"/>
      <c r="BU1285" s="70"/>
      <c r="BV1285" s="70"/>
      <c r="BW1285" s="70"/>
      <c r="BX1285" s="70"/>
    </row>
    <row r="1286" spans="2:76" s="67" customFormat="1" ht="16.5">
      <c r="B1286" s="141" t="s">
        <v>2290</v>
      </c>
      <c r="C1286" s="69"/>
      <c r="D1286" s="75" t="s">
        <v>90</v>
      </c>
      <c r="E1286" s="68"/>
      <c r="F1286" s="69"/>
      <c r="G1286" s="69"/>
      <c r="H1286" s="69"/>
      <c r="J1286" s="69"/>
      <c r="K1286" s="75"/>
      <c r="L1286" s="75"/>
      <c r="M1286" s="75"/>
      <c r="N1286" s="70"/>
      <c r="O1286" s="75"/>
      <c r="R1286" s="70"/>
      <c r="T1286" s="70"/>
      <c r="U1286" s="70"/>
      <c r="V1286" s="70"/>
      <c r="W1286" s="70"/>
      <c r="X1286" s="70"/>
      <c r="Y1286" s="70"/>
      <c r="Z1286" s="70"/>
      <c r="AA1286" s="70"/>
      <c r="AB1286" s="70"/>
      <c r="AC1286" s="70"/>
      <c r="AD1286" s="70"/>
      <c r="AE1286" s="70"/>
      <c r="AF1286" s="70"/>
      <c r="AG1286" s="70"/>
      <c r="AH1286" s="70"/>
      <c r="AI1286" s="75"/>
      <c r="AJ1286" s="75"/>
      <c r="AK1286" s="75"/>
      <c r="AL1286" s="75"/>
      <c r="AM1286" s="75"/>
      <c r="AN1286" s="75"/>
      <c r="AO1286" s="75"/>
      <c r="AP1286" s="75"/>
      <c r="AQ1286" s="75"/>
      <c r="AR1286" s="75"/>
      <c r="AS1286" s="75"/>
      <c r="AT1286" s="75"/>
      <c r="AU1286" s="75"/>
      <c r="AV1286" s="75"/>
      <c r="AW1286" s="75"/>
      <c r="AX1286" s="75"/>
      <c r="AY1286" s="75"/>
      <c r="AZ1286" s="70"/>
      <c r="BA1286" s="64" t="s">
        <v>89</v>
      </c>
      <c r="BB1286" s="70"/>
      <c r="BC1286" s="70"/>
      <c r="BD1286" s="70"/>
      <c r="BE1286" s="70"/>
      <c r="BF1286" s="77">
        <v>50</v>
      </c>
      <c r="BH1286" s="70"/>
      <c r="BI1286" s="70"/>
      <c r="BK1286" s="70"/>
      <c r="BL1286" s="70"/>
      <c r="BM1286" s="70"/>
      <c r="BN1286" s="70"/>
      <c r="BO1286" s="70"/>
      <c r="BP1286" s="70"/>
      <c r="BQ1286" s="157"/>
      <c r="BR1286" s="70"/>
      <c r="BS1286" s="70"/>
      <c r="BT1286" s="70"/>
      <c r="BU1286" s="70"/>
      <c r="BV1286" s="70"/>
      <c r="BW1286" s="70"/>
      <c r="BX1286" s="70"/>
    </row>
    <row r="1287" spans="2:76" s="67" customFormat="1" ht="16.5">
      <c r="B1287" s="141" t="s">
        <v>2291</v>
      </c>
      <c r="C1287" s="69"/>
      <c r="D1287" s="75" t="s">
        <v>90</v>
      </c>
      <c r="E1287" s="68"/>
      <c r="F1287" s="69"/>
      <c r="G1287" s="69"/>
      <c r="H1287" s="69"/>
      <c r="J1287" s="69"/>
      <c r="K1287" s="75"/>
      <c r="L1287" s="75"/>
      <c r="M1287" s="75"/>
      <c r="N1287" s="70"/>
      <c r="O1287" s="75"/>
      <c r="R1287" s="70"/>
      <c r="T1287" s="70"/>
      <c r="U1287" s="70"/>
      <c r="V1287" s="70"/>
      <c r="W1287" s="70"/>
      <c r="X1287" s="70"/>
      <c r="Y1287" s="70"/>
      <c r="Z1287" s="70"/>
      <c r="AA1287" s="70"/>
      <c r="AB1287" s="70"/>
      <c r="AC1287" s="70"/>
      <c r="AD1287" s="70"/>
      <c r="AE1287" s="70"/>
      <c r="AF1287" s="70"/>
      <c r="AG1287" s="70"/>
      <c r="AH1287" s="70"/>
      <c r="AI1287" s="75"/>
      <c r="AJ1287" s="75"/>
      <c r="AK1287" s="75"/>
      <c r="AL1287" s="75"/>
      <c r="AM1287" s="75"/>
      <c r="AN1287" s="75"/>
      <c r="AO1287" s="75"/>
      <c r="AP1287" s="75"/>
      <c r="AQ1287" s="75"/>
      <c r="AR1287" s="75"/>
      <c r="AS1287" s="75"/>
      <c r="AT1287" s="75"/>
      <c r="AU1287" s="75"/>
      <c r="AV1287" s="75"/>
      <c r="AW1287" s="75"/>
      <c r="AX1287" s="75"/>
      <c r="AY1287" s="75"/>
      <c r="AZ1287" s="70"/>
      <c r="BA1287" s="64" t="s">
        <v>89</v>
      </c>
      <c r="BB1287" s="70"/>
      <c r="BC1287" s="70"/>
      <c r="BD1287" s="70"/>
      <c r="BE1287" s="70"/>
      <c r="BF1287" s="77">
        <v>50</v>
      </c>
      <c r="BH1287" s="70"/>
      <c r="BI1287" s="70"/>
      <c r="BK1287" s="70"/>
      <c r="BL1287" s="70"/>
      <c r="BM1287" s="70"/>
      <c r="BN1287" s="70"/>
      <c r="BO1287" s="70"/>
      <c r="BP1287" s="70"/>
      <c r="BQ1287" s="157"/>
      <c r="BR1287" s="70"/>
      <c r="BS1287" s="70"/>
      <c r="BT1287" s="70"/>
      <c r="BU1287" s="70"/>
      <c r="BV1287" s="70"/>
      <c r="BW1287" s="70"/>
      <c r="BX1287" s="70"/>
    </row>
    <row r="1288" spans="2:76" s="67" customFormat="1" ht="16.5">
      <c r="B1288" s="141" t="s">
        <v>2292</v>
      </c>
      <c r="C1288" s="69"/>
      <c r="D1288" s="75" t="s">
        <v>90</v>
      </c>
      <c r="E1288" s="68"/>
      <c r="F1288" s="69"/>
      <c r="G1288" s="69"/>
      <c r="H1288" s="69"/>
      <c r="J1288" s="69"/>
      <c r="K1288" s="75"/>
      <c r="L1288" s="75"/>
      <c r="M1288" s="75"/>
      <c r="N1288" s="70"/>
      <c r="O1288" s="75"/>
      <c r="R1288" s="70"/>
      <c r="T1288" s="70"/>
      <c r="U1288" s="70"/>
      <c r="V1288" s="70"/>
      <c r="W1288" s="70"/>
      <c r="X1288" s="70"/>
      <c r="Y1288" s="70"/>
      <c r="Z1288" s="70"/>
      <c r="AA1288" s="70"/>
      <c r="AB1288" s="70"/>
      <c r="AC1288" s="70"/>
      <c r="AD1288" s="70"/>
      <c r="AE1288" s="70"/>
      <c r="AF1288" s="70"/>
      <c r="AG1288" s="70"/>
      <c r="AH1288" s="70"/>
      <c r="AI1288" s="75"/>
      <c r="AJ1288" s="75"/>
      <c r="AK1288" s="75"/>
      <c r="AL1288" s="75"/>
      <c r="AM1288" s="75"/>
      <c r="AN1288" s="75"/>
      <c r="AO1288" s="75"/>
      <c r="AP1288" s="75"/>
      <c r="AQ1288" s="75"/>
      <c r="AR1288" s="75"/>
      <c r="AS1288" s="75"/>
      <c r="AT1288" s="75"/>
      <c r="AU1288" s="75"/>
      <c r="AV1288" s="75"/>
      <c r="AW1288" s="75"/>
      <c r="AX1288" s="75"/>
      <c r="AY1288" s="75"/>
      <c r="AZ1288" s="70"/>
      <c r="BA1288" s="64" t="s">
        <v>89</v>
      </c>
      <c r="BB1288" s="70"/>
      <c r="BC1288" s="70"/>
      <c r="BD1288" s="70"/>
      <c r="BE1288" s="70"/>
      <c r="BF1288" s="77">
        <v>50</v>
      </c>
      <c r="BH1288" s="70"/>
      <c r="BI1288" s="70"/>
      <c r="BK1288" s="70"/>
      <c r="BL1288" s="70"/>
      <c r="BM1288" s="70"/>
      <c r="BN1288" s="70"/>
      <c r="BO1288" s="70"/>
      <c r="BP1288" s="70"/>
      <c r="BQ1288" s="157"/>
      <c r="BR1288" s="70"/>
      <c r="BS1288" s="70"/>
      <c r="BT1288" s="70"/>
      <c r="BU1288" s="70"/>
      <c r="BV1288" s="70"/>
      <c r="BW1288" s="70"/>
      <c r="BX1288" s="70"/>
    </row>
    <row r="1289" spans="2:76" s="67" customFormat="1" ht="16.5">
      <c r="B1289" s="141" t="s">
        <v>2293</v>
      </c>
      <c r="C1289" s="69"/>
      <c r="D1289" s="75" t="s">
        <v>90</v>
      </c>
      <c r="E1289" s="68"/>
      <c r="F1289" s="69"/>
      <c r="G1289" s="69"/>
      <c r="H1289" s="69"/>
      <c r="J1289" s="69"/>
      <c r="K1289" s="75"/>
      <c r="L1289" s="75"/>
      <c r="M1289" s="75"/>
      <c r="N1289" s="70"/>
      <c r="O1289" s="75"/>
      <c r="R1289" s="70"/>
      <c r="T1289" s="70"/>
      <c r="U1289" s="70"/>
      <c r="V1289" s="70"/>
      <c r="W1289" s="70"/>
      <c r="X1289" s="70"/>
      <c r="Y1289" s="70"/>
      <c r="Z1289" s="70"/>
      <c r="AA1289" s="70"/>
      <c r="AB1289" s="70"/>
      <c r="AC1289" s="70"/>
      <c r="AD1289" s="70"/>
      <c r="AE1289" s="70"/>
      <c r="AF1289" s="70"/>
      <c r="AG1289" s="70"/>
      <c r="AH1289" s="70"/>
      <c r="AI1289" s="75"/>
      <c r="AJ1289" s="75"/>
      <c r="AK1289" s="75"/>
      <c r="AL1289" s="75"/>
      <c r="AM1289" s="75"/>
      <c r="AN1289" s="75"/>
      <c r="AO1289" s="75"/>
      <c r="AP1289" s="75"/>
      <c r="AQ1289" s="75"/>
      <c r="AR1289" s="75"/>
      <c r="AS1289" s="75"/>
      <c r="AT1289" s="75"/>
      <c r="AU1289" s="75"/>
      <c r="AV1289" s="75"/>
      <c r="AW1289" s="75"/>
      <c r="AX1289" s="75"/>
      <c r="AY1289" s="75"/>
      <c r="AZ1289" s="70"/>
      <c r="BA1289" s="64" t="s">
        <v>89</v>
      </c>
      <c r="BB1289" s="70"/>
      <c r="BC1289" s="70"/>
      <c r="BD1289" s="70"/>
      <c r="BE1289" s="70"/>
      <c r="BF1289" s="77">
        <v>50</v>
      </c>
      <c r="BH1289" s="70"/>
      <c r="BI1289" s="70"/>
      <c r="BK1289" s="70"/>
      <c r="BL1289" s="70"/>
      <c r="BM1289" s="70"/>
      <c r="BN1289" s="70"/>
      <c r="BO1289" s="70"/>
      <c r="BP1289" s="70"/>
      <c r="BQ1289" s="157"/>
      <c r="BR1289" s="70"/>
      <c r="BS1289" s="70"/>
      <c r="BT1289" s="70"/>
      <c r="BU1289" s="70"/>
      <c r="BV1289" s="70"/>
      <c r="BW1289" s="70"/>
      <c r="BX1289" s="70"/>
    </row>
    <row r="1290" spans="2:76" s="67" customFormat="1" ht="16.5">
      <c r="B1290" s="141" t="s">
        <v>2294</v>
      </c>
      <c r="C1290" s="69"/>
      <c r="D1290" s="75" t="s">
        <v>90</v>
      </c>
      <c r="E1290" s="68"/>
      <c r="F1290" s="69"/>
      <c r="G1290" s="69"/>
      <c r="H1290" s="69"/>
      <c r="J1290" s="69"/>
      <c r="K1290" s="75"/>
      <c r="L1290" s="75"/>
      <c r="M1290" s="75"/>
      <c r="N1290" s="70"/>
      <c r="O1290" s="75"/>
      <c r="R1290" s="70"/>
      <c r="T1290" s="70"/>
      <c r="U1290" s="70"/>
      <c r="V1290" s="70"/>
      <c r="W1290" s="70"/>
      <c r="X1290" s="70"/>
      <c r="Y1290" s="70"/>
      <c r="Z1290" s="70"/>
      <c r="AA1290" s="70"/>
      <c r="AB1290" s="70"/>
      <c r="AC1290" s="70"/>
      <c r="AD1290" s="70"/>
      <c r="AE1290" s="70"/>
      <c r="AF1290" s="70"/>
      <c r="AG1290" s="70"/>
      <c r="AH1290" s="70"/>
      <c r="AI1290" s="75"/>
      <c r="AJ1290" s="75"/>
      <c r="AK1290" s="75"/>
      <c r="AL1290" s="75"/>
      <c r="AM1290" s="75"/>
      <c r="AN1290" s="75"/>
      <c r="AO1290" s="75"/>
      <c r="AP1290" s="75"/>
      <c r="AQ1290" s="75"/>
      <c r="AR1290" s="75"/>
      <c r="AS1290" s="75"/>
      <c r="AT1290" s="75"/>
      <c r="AU1290" s="75"/>
      <c r="AV1290" s="75"/>
      <c r="AW1290" s="75"/>
      <c r="AX1290" s="75"/>
      <c r="AY1290" s="75"/>
      <c r="AZ1290" s="70"/>
      <c r="BA1290" s="64" t="s">
        <v>89</v>
      </c>
      <c r="BB1290" s="70"/>
      <c r="BC1290" s="70"/>
      <c r="BD1290" s="70"/>
      <c r="BE1290" s="70"/>
      <c r="BF1290" s="77">
        <v>50</v>
      </c>
      <c r="BH1290" s="70"/>
      <c r="BI1290" s="70"/>
      <c r="BK1290" s="70"/>
      <c r="BL1290" s="70"/>
      <c r="BM1290" s="70"/>
      <c r="BN1290" s="70"/>
      <c r="BO1290" s="70"/>
      <c r="BP1290" s="70"/>
      <c r="BQ1290" s="157"/>
      <c r="BR1290" s="70"/>
      <c r="BS1290" s="70"/>
      <c r="BT1290" s="70"/>
      <c r="BU1290" s="70"/>
      <c r="BV1290" s="70"/>
      <c r="BW1290" s="70"/>
      <c r="BX1290" s="70"/>
    </row>
    <row r="1291" spans="2:76" s="67" customFormat="1" ht="16.5">
      <c r="B1291" s="141" t="s">
        <v>2295</v>
      </c>
      <c r="C1291" s="69"/>
      <c r="D1291" s="75" t="s">
        <v>90</v>
      </c>
      <c r="E1291" s="68"/>
      <c r="F1291" s="69"/>
      <c r="G1291" s="69"/>
      <c r="H1291" s="69"/>
      <c r="J1291" s="69"/>
      <c r="K1291" s="75"/>
      <c r="L1291" s="75"/>
      <c r="M1291" s="75"/>
      <c r="N1291" s="70"/>
      <c r="O1291" s="75"/>
      <c r="R1291" s="70"/>
      <c r="T1291" s="70"/>
      <c r="U1291" s="70"/>
      <c r="V1291" s="70"/>
      <c r="W1291" s="70"/>
      <c r="X1291" s="70"/>
      <c r="Y1291" s="70"/>
      <c r="Z1291" s="70"/>
      <c r="AA1291" s="70"/>
      <c r="AB1291" s="70"/>
      <c r="AC1291" s="70"/>
      <c r="AD1291" s="70"/>
      <c r="AE1291" s="70"/>
      <c r="AF1291" s="70"/>
      <c r="AG1291" s="70"/>
      <c r="AH1291" s="70"/>
      <c r="AI1291" s="75"/>
      <c r="AJ1291" s="75"/>
      <c r="AK1291" s="75"/>
      <c r="AL1291" s="75"/>
      <c r="AM1291" s="75"/>
      <c r="AN1291" s="75"/>
      <c r="AO1291" s="75"/>
      <c r="AP1291" s="75"/>
      <c r="AQ1291" s="75"/>
      <c r="AR1291" s="75"/>
      <c r="AS1291" s="75"/>
      <c r="AT1291" s="75"/>
      <c r="AU1291" s="75"/>
      <c r="AV1291" s="75"/>
      <c r="AW1291" s="75"/>
      <c r="AX1291" s="75"/>
      <c r="AY1291" s="75"/>
      <c r="AZ1291" s="70"/>
      <c r="BA1291" s="64" t="s">
        <v>89</v>
      </c>
      <c r="BB1291" s="70"/>
      <c r="BC1291" s="70"/>
      <c r="BD1291" s="70"/>
      <c r="BE1291" s="70"/>
      <c r="BF1291" s="77">
        <v>50</v>
      </c>
      <c r="BH1291" s="70"/>
      <c r="BI1291" s="70"/>
      <c r="BK1291" s="70"/>
      <c r="BL1291" s="70"/>
      <c r="BM1291" s="70"/>
      <c r="BN1291" s="70"/>
      <c r="BO1291" s="70"/>
      <c r="BP1291" s="70"/>
      <c r="BQ1291" s="157"/>
      <c r="BR1291" s="70"/>
      <c r="BS1291" s="70"/>
      <c r="BT1291" s="70"/>
      <c r="BU1291" s="70"/>
      <c r="BV1291" s="70"/>
      <c r="BW1291" s="70"/>
      <c r="BX1291" s="70"/>
    </row>
    <row r="1292" spans="2:76" s="67" customFormat="1" ht="16.5">
      <c r="B1292" s="141"/>
      <c r="C1292" s="74"/>
      <c r="D1292" s="73"/>
      <c r="E1292" s="73"/>
      <c r="F1292" s="74"/>
      <c r="G1292" s="74"/>
      <c r="H1292" s="74"/>
      <c r="I1292" s="70"/>
      <c r="J1292" s="74"/>
      <c r="K1292" s="73"/>
      <c r="L1292" s="73"/>
      <c r="M1292" s="73"/>
      <c r="N1292" s="73"/>
      <c r="O1292" s="73"/>
      <c r="Q1292" s="70"/>
      <c r="R1292" s="70"/>
      <c r="S1292" s="70"/>
      <c r="T1292" s="70"/>
      <c r="U1292" s="70"/>
      <c r="V1292" s="70"/>
      <c r="W1292" s="70"/>
      <c r="X1292" s="70"/>
      <c r="Y1292" s="70"/>
      <c r="Z1292" s="70"/>
      <c r="AA1292" s="70"/>
      <c r="AB1292" s="70"/>
      <c r="AC1292" s="70"/>
      <c r="AD1292" s="70"/>
      <c r="AE1292" s="70"/>
      <c r="AF1292" s="70"/>
      <c r="AG1292" s="70"/>
      <c r="AH1292" s="70"/>
      <c r="AI1292" s="73"/>
      <c r="AJ1292" s="73"/>
      <c r="AK1292" s="73"/>
      <c r="AL1292" s="73"/>
      <c r="AM1292" s="73"/>
      <c r="AN1292" s="73"/>
      <c r="AO1292" s="73"/>
      <c r="AP1292" s="73"/>
      <c r="AQ1292" s="73"/>
      <c r="AR1292" s="73"/>
      <c r="AS1292" s="73"/>
      <c r="AT1292" s="73"/>
      <c r="AU1292" s="73"/>
      <c r="AV1292" s="73"/>
      <c r="AW1292" s="73"/>
      <c r="AX1292" s="73"/>
      <c r="AY1292" s="73"/>
      <c r="AZ1292" s="73"/>
      <c r="BA1292" s="70"/>
      <c r="BB1292" s="73"/>
      <c r="BC1292" s="70"/>
      <c r="BD1292" s="73"/>
      <c r="BE1292" s="70"/>
      <c r="BF1292" s="77"/>
      <c r="BG1292" s="70"/>
      <c r="BH1292" s="70"/>
      <c r="BI1292" s="70"/>
      <c r="BK1292" s="70"/>
      <c r="BL1292" s="70"/>
      <c r="BM1292" s="70"/>
      <c r="BN1292" s="70"/>
      <c r="BO1292" s="70"/>
      <c r="BP1292" s="70"/>
      <c r="BQ1292" s="157"/>
      <c r="BR1292" s="70"/>
      <c r="BS1292" s="70"/>
      <c r="BT1292" s="70"/>
      <c r="BU1292" s="70"/>
      <c r="BV1292" s="70"/>
      <c r="BW1292" s="70"/>
      <c r="BX1292" s="70"/>
    </row>
    <row r="1293" spans="2:76" s="67" customFormat="1" ht="16.5">
      <c r="B1293" s="141"/>
      <c r="C1293" s="74"/>
      <c r="D1293" s="73"/>
      <c r="E1293" s="73"/>
      <c r="F1293" s="74"/>
      <c r="G1293" s="74"/>
      <c r="H1293" s="74"/>
      <c r="I1293" s="70"/>
      <c r="J1293" s="74"/>
      <c r="K1293" s="73"/>
      <c r="L1293" s="73"/>
      <c r="M1293" s="73"/>
      <c r="N1293" s="73"/>
      <c r="O1293" s="73"/>
      <c r="Q1293" s="70"/>
      <c r="R1293" s="70"/>
      <c r="S1293" s="70"/>
      <c r="T1293" s="70"/>
      <c r="U1293" s="70"/>
      <c r="V1293" s="70"/>
      <c r="W1293" s="70"/>
      <c r="X1293" s="70"/>
      <c r="Y1293" s="70"/>
      <c r="Z1293" s="70"/>
      <c r="AA1293" s="70"/>
      <c r="AB1293" s="70"/>
      <c r="AC1293" s="70"/>
      <c r="AD1293" s="70"/>
      <c r="AE1293" s="70"/>
      <c r="AF1293" s="70"/>
      <c r="AG1293" s="70"/>
      <c r="AH1293" s="70"/>
      <c r="AI1293" s="73"/>
      <c r="AJ1293" s="73"/>
      <c r="AK1293" s="73"/>
      <c r="AL1293" s="73"/>
      <c r="AM1293" s="73"/>
      <c r="AN1293" s="73"/>
      <c r="AO1293" s="73"/>
      <c r="AP1293" s="73"/>
      <c r="AQ1293" s="73"/>
      <c r="AR1293" s="73"/>
      <c r="AS1293" s="73"/>
      <c r="AT1293" s="73"/>
      <c r="AU1293" s="73"/>
      <c r="AV1293" s="73"/>
      <c r="AW1293" s="73"/>
      <c r="AX1293" s="73"/>
      <c r="AY1293" s="73"/>
      <c r="AZ1293" s="73"/>
      <c r="BA1293" s="70"/>
      <c r="BB1293" s="73"/>
      <c r="BC1293" s="70"/>
      <c r="BD1293" s="73"/>
      <c r="BE1293" s="70"/>
      <c r="BF1293" s="77"/>
      <c r="BG1293" s="70"/>
      <c r="BJ1293" s="70"/>
      <c r="BK1293" s="70"/>
      <c r="BL1293" s="70"/>
      <c r="BM1293" s="70"/>
      <c r="BN1293" s="70"/>
      <c r="BO1293" s="70"/>
      <c r="BP1293" s="70"/>
      <c r="BQ1293" s="157"/>
      <c r="BR1293" s="70"/>
      <c r="BS1293" s="70"/>
      <c r="BT1293" s="70"/>
      <c r="BU1293" s="70"/>
      <c r="BV1293" s="70"/>
      <c r="BW1293" s="70"/>
      <c r="BX1293" s="70"/>
    </row>
    <row r="1294" spans="2:76" s="67" customFormat="1" ht="16.5">
      <c r="B1294" s="141"/>
      <c r="C1294" s="74"/>
      <c r="D1294" s="73"/>
      <c r="E1294" s="73"/>
      <c r="F1294" s="74"/>
      <c r="G1294" s="74"/>
      <c r="H1294" s="74"/>
      <c r="I1294" s="70"/>
      <c r="J1294" s="74"/>
      <c r="K1294" s="73"/>
      <c r="L1294" s="73"/>
      <c r="M1294" s="73"/>
      <c r="N1294" s="73"/>
      <c r="O1294" s="73"/>
      <c r="Q1294" s="70"/>
      <c r="R1294" s="70"/>
      <c r="S1294" s="70"/>
      <c r="T1294" s="70"/>
      <c r="U1294" s="70"/>
      <c r="V1294" s="70"/>
      <c r="W1294" s="70"/>
      <c r="X1294" s="70"/>
      <c r="Y1294" s="70"/>
      <c r="Z1294" s="70"/>
      <c r="AA1294" s="70"/>
      <c r="AB1294" s="70"/>
      <c r="AC1294" s="70"/>
      <c r="AD1294" s="70"/>
      <c r="AE1294" s="70"/>
      <c r="AF1294" s="70"/>
      <c r="AG1294" s="70"/>
      <c r="AH1294" s="70"/>
      <c r="AI1294" s="73"/>
      <c r="AJ1294" s="73"/>
      <c r="AK1294" s="73"/>
      <c r="AL1294" s="73"/>
      <c r="AM1294" s="73"/>
      <c r="AN1294" s="73"/>
      <c r="AO1294" s="73"/>
      <c r="AP1294" s="73"/>
      <c r="AQ1294" s="73"/>
      <c r="AR1294" s="73"/>
      <c r="AS1294" s="73"/>
      <c r="AT1294" s="73"/>
      <c r="AU1294" s="73"/>
      <c r="AV1294" s="73"/>
      <c r="AW1294" s="73"/>
      <c r="AX1294" s="73"/>
      <c r="AY1294" s="73"/>
      <c r="AZ1294" s="73"/>
      <c r="BA1294" s="70"/>
      <c r="BB1294" s="73"/>
      <c r="BC1294" s="70"/>
      <c r="BD1294" s="73"/>
      <c r="BE1294" s="70"/>
      <c r="BF1294" s="77"/>
      <c r="BG1294" s="70"/>
      <c r="BJ1294" s="70"/>
      <c r="BK1294" s="70"/>
      <c r="BL1294" s="70"/>
      <c r="BM1294" s="70"/>
      <c r="BN1294" s="70"/>
      <c r="BO1294" s="70"/>
      <c r="BP1294" s="70"/>
      <c r="BQ1294" s="157"/>
      <c r="BR1294" s="70"/>
      <c r="BS1294" s="70"/>
      <c r="BT1294" s="70"/>
      <c r="BU1294" s="70"/>
      <c r="BV1294" s="70"/>
      <c r="BW1294" s="70"/>
      <c r="BX1294" s="70"/>
    </row>
    <row r="1295" spans="2:76" s="67" customFormat="1" ht="16.5">
      <c r="B1295" s="141"/>
      <c r="C1295" s="74"/>
      <c r="D1295" s="73"/>
      <c r="E1295" s="73"/>
      <c r="F1295" s="74"/>
      <c r="G1295" s="74"/>
      <c r="H1295" s="74"/>
      <c r="I1295" s="70"/>
      <c r="J1295" s="74"/>
      <c r="K1295" s="73"/>
      <c r="L1295" s="73"/>
      <c r="M1295" s="73"/>
      <c r="N1295" s="73"/>
      <c r="O1295" s="73"/>
      <c r="Q1295" s="70"/>
      <c r="R1295" s="70"/>
      <c r="S1295" s="70"/>
      <c r="T1295" s="70"/>
      <c r="U1295" s="70"/>
      <c r="V1295" s="70"/>
      <c r="W1295" s="70"/>
      <c r="X1295" s="70"/>
      <c r="Y1295" s="70"/>
      <c r="Z1295" s="70"/>
      <c r="AA1295" s="70"/>
      <c r="AB1295" s="70"/>
      <c r="AC1295" s="70"/>
      <c r="AD1295" s="70"/>
      <c r="AE1295" s="70"/>
      <c r="AF1295" s="70"/>
      <c r="AG1295" s="70"/>
      <c r="AH1295" s="70"/>
      <c r="AI1295" s="73"/>
      <c r="AJ1295" s="73"/>
      <c r="AK1295" s="73"/>
      <c r="AL1295" s="73"/>
      <c r="AM1295" s="73"/>
      <c r="AN1295" s="73"/>
      <c r="AO1295" s="73"/>
      <c r="AP1295" s="73"/>
      <c r="AQ1295" s="73"/>
      <c r="AR1295" s="73"/>
      <c r="AS1295" s="73"/>
      <c r="AT1295" s="73"/>
      <c r="AU1295" s="73"/>
      <c r="AV1295" s="73"/>
      <c r="AW1295" s="73"/>
      <c r="AX1295" s="73"/>
      <c r="AY1295" s="73"/>
      <c r="AZ1295" s="73"/>
      <c r="BA1295" s="70"/>
      <c r="BB1295" s="73"/>
      <c r="BC1295" s="70"/>
      <c r="BD1295" s="73"/>
      <c r="BE1295" s="70"/>
      <c r="BF1295" s="77"/>
      <c r="BG1295" s="70"/>
      <c r="BJ1295" s="70"/>
      <c r="BK1295" s="70"/>
      <c r="BL1295" s="70"/>
      <c r="BM1295" s="70"/>
      <c r="BN1295" s="70"/>
      <c r="BO1295" s="70"/>
      <c r="BP1295" s="70"/>
      <c r="BQ1295" s="157"/>
      <c r="BR1295" s="70"/>
      <c r="BS1295" s="70"/>
      <c r="BT1295" s="70"/>
      <c r="BU1295" s="70"/>
      <c r="BV1295" s="70"/>
      <c r="BW1295" s="70"/>
      <c r="BX1295" s="70"/>
    </row>
    <row r="1296" spans="2:76" s="67" customFormat="1" ht="16.5">
      <c r="B1296" s="141"/>
      <c r="C1296" s="74"/>
      <c r="D1296" s="73"/>
      <c r="E1296" s="73"/>
      <c r="F1296" s="74"/>
      <c r="G1296" s="74"/>
      <c r="H1296" s="74"/>
      <c r="I1296" s="70"/>
      <c r="J1296" s="74"/>
      <c r="K1296" s="73"/>
      <c r="L1296" s="73"/>
      <c r="M1296" s="73"/>
      <c r="N1296" s="73"/>
      <c r="O1296" s="73"/>
      <c r="Q1296" s="70"/>
      <c r="R1296" s="70"/>
      <c r="S1296" s="70"/>
      <c r="T1296" s="70"/>
      <c r="U1296" s="70"/>
      <c r="V1296" s="70"/>
      <c r="W1296" s="70"/>
      <c r="X1296" s="70"/>
      <c r="Y1296" s="70"/>
      <c r="Z1296" s="70"/>
      <c r="AA1296" s="70"/>
      <c r="AB1296" s="70"/>
      <c r="AC1296" s="70"/>
      <c r="AD1296" s="70"/>
      <c r="AE1296" s="70"/>
      <c r="AF1296" s="70"/>
      <c r="AG1296" s="70"/>
      <c r="AH1296" s="70"/>
      <c r="AI1296" s="73"/>
      <c r="AJ1296" s="73"/>
      <c r="AK1296" s="73"/>
      <c r="AL1296" s="73"/>
      <c r="AM1296" s="73"/>
      <c r="AN1296" s="73"/>
      <c r="AO1296" s="73"/>
      <c r="AP1296" s="73"/>
      <c r="AQ1296" s="73"/>
      <c r="AR1296" s="73"/>
      <c r="AS1296" s="73"/>
      <c r="AT1296" s="73"/>
      <c r="AU1296" s="73"/>
      <c r="AV1296" s="73"/>
      <c r="AW1296" s="73"/>
      <c r="AX1296" s="73"/>
      <c r="AY1296" s="73"/>
      <c r="AZ1296" s="73"/>
      <c r="BA1296" s="70"/>
      <c r="BB1296" s="73"/>
      <c r="BC1296" s="70"/>
      <c r="BD1296" s="73"/>
      <c r="BE1296" s="70"/>
      <c r="BF1296" s="77"/>
      <c r="BG1296" s="70"/>
      <c r="BJ1296" s="70"/>
      <c r="BK1296" s="70"/>
      <c r="BL1296" s="70"/>
      <c r="BM1296" s="70"/>
      <c r="BN1296" s="70"/>
      <c r="BO1296" s="70"/>
      <c r="BP1296" s="70"/>
      <c r="BQ1296" s="157"/>
      <c r="BR1296" s="70"/>
      <c r="BS1296" s="70"/>
      <c r="BT1296" s="70"/>
      <c r="BU1296" s="70"/>
      <c r="BV1296" s="70"/>
      <c r="BW1296" s="70"/>
      <c r="BX1296" s="70"/>
    </row>
    <row r="1297" spans="2:76" s="67" customFormat="1" ht="16.5">
      <c r="B1297" s="141"/>
      <c r="C1297" s="74"/>
      <c r="D1297" s="73"/>
      <c r="E1297" s="73"/>
      <c r="F1297" s="74"/>
      <c r="G1297" s="74"/>
      <c r="H1297" s="74"/>
      <c r="I1297" s="70"/>
      <c r="J1297" s="74"/>
      <c r="K1297" s="73"/>
      <c r="L1297" s="73"/>
      <c r="M1297" s="73"/>
      <c r="N1297" s="73"/>
      <c r="O1297" s="73"/>
      <c r="Q1297" s="70"/>
      <c r="R1297" s="70"/>
      <c r="S1297" s="70"/>
      <c r="T1297" s="70"/>
      <c r="U1297" s="70"/>
      <c r="V1297" s="70"/>
      <c r="W1297" s="70"/>
      <c r="X1297" s="70"/>
      <c r="Y1297" s="70"/>
      <c r="Z1297" s="70"/>
      <c r="AA1297" s="70"/>
      <c r="AB1297" s="70"/>
      <c r="AC1297" s="70"/>
      <c r="AD1297" s="70"/>
      <c r="AE1297" s="70"/>
      <c r="AF1297" s="70"/>
      <c r="AG1297" s="70"/>
      <c r="AH1297" s="70"/>
      <c r="AI1297" s="73"/>
      <c r="AJ1297" s="73"/>
      <c r="AK1297" s="73"/>
      <c r="AL1297" s="73"/>
      <c r="AM1297" s="73"/>
      <c r="AN1297" s="73"/>
      <c r="AO1297" s="73"/>
      <c r="AP1297" s="73"/>
      <c r="AQ1297" s="73"/>
      <c r="AR1297" s="73"/>
      <c r="AS1297" s="73"/>
      <c r="AT1297" s="73"/>
      <c r="AU1297" s="73"/>
      <c r="AV1297" s="73"/>
      <c r="AW1297" s="73"/>
      <c r="AX1297" s="73"/>
      <c r="AY1297" s="73"/>
      <c r="AZ1297" s="73"/>
      <c r="BA1297" s="70"/>
      <c r="BB1297" s="73"/>
      <c r="BC1297" s="70"/>
      <c r="BD1297" s="73"/>
      <c r="BE1297" s="70"/>
      <c r="BF1297" s="77"/>
      <c r="BG1297" s="70"/>
      <c r="BJ1297" s="70"/>
      <c r="BK1297" s="70"/>
      <c r="BL1297" s="70"/>
      <c r="BM1297" s="70"/>
      <c r="BN1297" s="70"/>
      <c r="BO1297" s="70"/>
      <c r="BP1297" s="70"/>
      <c r="BQ1297" s="157"/>
      <c r="BR1297" s="70"/>
      <c r="BS1297" s="70"/>
      <c r="BT1297" s="70"/>
      <c r="BU1297" s="70"/>
      <c r="BV1297" s="70"/>
      <c r="BW1297" s="70"/>
      <c r="BX1297" s="70"/>
    </row>
    <row r="1298" spans="2:76" s="67" customFormat="1" ht="16.5">
      <c r="B1298" s="141"/>
      <c r="C1298" s="74"/>
      <c r="D1298" s="73"/>
      <c r="E1298" s="73"/>
      <c r="F1298" s="74"/>
      <c r="G1298" s="74"/>
      <c r="H1298" s="74"/>
      <c r="I1298" s="70"/>
      <c r="J1298" s="74"/>
      <c r="K1298" s="73"/>
      <c r="L1298" s="73"/>
      <c r="M1298" s="73"/>
      <c r="N1298" s="73"/>
      <c r="O1298" s="73"/>
      <c r="Q1298" s="70"/>
      <c r="R1298" s="70"/>
      <c r="S1298" s="70"/>
      <c r="T1298" s="70"/>
      <c r="U1298" s="70"/>
      <c r="V1298" s="70"/>
      <c r="W1298" s="70"/>
      <c r="X1298" s="70"/>
      <c r="Y1298" s="70"/>
      <c r="Z1298" s="70"/>
      <c r="AA1298" s="70"/>
      <c r="AB1298" s="70"/>
      <c r="AC1298" s="70"/>
      <c r="AD1298" s="70"/>
      <c r="AE1298" s="70"/>
      <c r="AF1298" s="70"/>
      <c r="AG1298" s="70"/>
      <c r="AH1298" s="70"/>
      <c r="AI1298" s="73"/>
      <c r="AJ1298" s="73"/>
      <c r="AK1298" s="73"/>
      <c r="AL1298" s="73"/>
      <c r="AM1298" s="73"/>
      <c r="AN1298" s="73"/>
      <c r="AO1298" s="73"/>
      <c r="AP1298" s="73"/>
      <c r="AQ1298" s="73"/>
      <c r="AR1298" s="73"/>
      <c r="AS1298" s="73"/>
      <c r="AT1298" s="73"/>
      <c r="AU1298" s="73"/>
      <c r="AV1298" s="73"/>
      <c r="AW1298" s="73"/>
      <c r="AX1298" s="73"/>
      <c r="AY1298" s="73"/>
      <c r="AZ1298" s="73"/>
      <c r="BA1298" s="70"/>
      <c r="BB1298" s="73"/>
      <c r="BC1298" s="70"/>
      <c r="BD1298" s="73"/>
      <c r="BE1298" s="70"/>
      <c r="BF1298" s="77"/>
      <c r="BG1298" s="70"/>
      <c r="BJ1298" s="70"/>
      <c r="BK1298" s="70"/>
      <c r="BL1298" s="70"/>
      <c r="BM1298" s="70"/>
      <c r="BN1298" s="70"/>
      <c r="BO1298" s="70"/>
      <c r="BP1298" s="70"/>
      <c r="BQ1298" s="157"/>
      <c r="BR1298" s="70"/>
      <c r="BS1298" s="70"/>
      <c r="BT1298" s="70"/>
      <c r="BU1298" s="70"/>
      <c r="BV1298" s="70"/>
      <c r="BW1298" s="70"/>
      <c r="BX1298" s="70"/>
    </row>
    <row r="1299" spans="2:76" s="67" customFormat="1" ht="16.5">
      <c r="B1299" s="141"/>
      <c r="C1299" s="74"/>
      <c r="D1299" s="73"/>
      <c r="E1299" s="73"/>
      <c r="F1299" s="74"/>
      <c r="G1299" s="74"/>
      <c r="H1299" s="74"/>
      <c r="I1299" s="70"/>
      <c r="J1299" s="74"/>
      <c r="K1299" s="73"/>
      <c r="L1299" s="73"/>
      <c r="M1299" s="73"/>
      <c r="N1299" s="73"/>
      <c r="O1299" s="73"/>
      <c r="Q1299" s="70"/>
      <c r="R1299" s="70"/>
      <c r="S1299" s="70"/>
      <c r="T1299" s="70"/>
      <c r="U1299" s="70"/>
      <c r="V1299" s="70"/>
      <c r="W1299" s="70"/>
      <c r="X1299" s="70"/>
      <c r="Y1299" s="70"/>
      <c r="Z1299" s="70"/>
      <c r="AA1299" s="70"/>
      <c r="AB1299" s="70"/>
      <c r="AC1299" s="70"/>
      <c r="AD1299" s="70"/>
      <c r="AE1299" s="70"/>
      <c r="AF1299" s="70"/>
      <c r="AG1299" s="70"/>
      <c r="AH1299" s="70"/>
      <c r="AI1299" s="73"/>
      <c r="AJ1299" s="73"/>
      <c r="AK1299" s="73"/>
      <c r="AL1299" s="73"/>
      <c r="AM1299" s="73"/>
      <c r="AN1299" s="73"/>
      <c r="AO1299" s="73"/>
      <c r="AP1299" s="73"/>
      <c r="AQ1299" s="73"/>
      <c r="AR1299" s="73"/>
      <c r="AS1299" s="73"/>
      <c r="AT1299" s="73"/>
      <c r="AU1299" s="73"/>
      <c r="AV1299" s="73"/>
      <c r="AW1299" s="73"/>
      <c r="AX1299" s="73"/>
      <c r="AY1299" s="73"/>
      <c r="AZ1299" s="73"/>
      <c r="BA1299" s="70"/>
      <c r="BB1299" s="73"/>
      <c r="BC1299" s="70"/>
      <c r="BD1299" s="73"/>
      <c r="BE1299" s="70"/>
      <c r="BF1299" s="77"/>
      <c r="BG1299" s="70"/>
      <c r="BJ1299" s="70"/>
      <c r="BK1299" s="70"/>
      <c r="BL1299" s="70"/>
      <c r="BM1299" s="70"/>
      <c r="BN1299" s="70"/>
      <c r="BO1299" s="70"/>
      <c r="BP1299" s="70"/>
      <c r="BQ1299" s="157"/>
      <c r="BR1299" s="70"/>
      <c r="BS1299" s="70"/>
      <c r="BT1299" s="70"/>
      <c r="BU1299" s="70"/>
      <c r="BV1299" s="70"/>
      <c r="BW1299" s="70"/>
      <c r="BX1299" s="70"/>
    </row>
    <row r="1300" spans="2:76" s="67" customFormat="1" ht="16.5">
      <c r="B1300" s="141"/>
      <c r="C1300" s="74"/>
      <c r="D1300" s="74"/>
      <c r="E1300" s="74"/>
      <c r="F1300" s="74"/>
      <c r="G1300" s="74"/>
      <c r="H1300" s="74"/>
      <c r="I1300" s="70"/>
      <c r="J1300" s="74"/>
      <c r="K1300" s="74"/>
      <c r="L1300" s="74"/>
      <c r="M1300" s="74"/>
      <c r="N1300" s="74"/>
      <c r="O1300" s="74"/>
      <c r="P1300" s="70"/>
      <c r="Q1300" s="70"/>
      <c r="R1300" s="70"/>
      <c r="S1300" s="70"/>
      <c r="T1300" s="70"/>
      <c r="U1300" s="70"/>
      <c r="V1300" s="70"/>
      <c r="W1300" s="70"/>
      <c r="X1300" s="70"/>
      <c r="Y1300" s="70"/>
      <c r="Z1300" s="70"/>
      <c r="AA1300" s="70"/>
      <c r="AB1300" s="70"/>
      <c r="AC1300" s="70"/>
      <c r="AD1300" s="70"/>
      <c r="AE1300" s="70"/>
      <c r="AF1300" s="70"/>
      <c r="AG1300" s="70"/>
      <c r="AH1300" s="70"/>
      <c r="AI1300" s="74"/>
      <c r="AJ1300" s="74"/>
      <c r="AK1300" s="74"/>
      <c r="AL1300" s="74"/>
      <c r="AM1300" s="74"/>
      <c r="AN1300" s="74"/>
      <c r="AO1300" s="74"/>
      <c r="AP1300" s="74"/>
      <c r="AQ1300" s="74"/>
      <c r="AR1300" s="74"/>
      <c r="AS1300" s="74"/>
      <c r="AT1300" s="74"/>
      <c r="AU1300" s="74"/>
      <c r="AV1300" s="74"/>
      <c r="AW1300" s="74"/>
      <c r="AX1300" s="74"/>
      <c r="AY1300" s="74"/>
      <c r="AZ1300" s="74"/>
      <c r="BB1300" s="74"/>
      <c r="BC1300" s="70"/>
      <c r="BD1300" s="74"/>
      <c r="BE1300" s="70"/>
      <c r="BF1300" s="70"/>
      <c r="BG1300" s="70"/>
      <c r="BJ1300" s="70"/>
      <c r="BK1300" s="70"/>
      <c r="BL1300" s="70"/>
      <c r="BM1300" s="70"/>
      <c r="BN1300" s="70"/>
      <c r="BO1300" s="70"/>
      <c r="BQ1300" s="157"/>
      <c r="BR1300" s="70"/>
      <c r="BS1300" s="70"/>
      <c r="BT1300" s="70"/>
      <c r="BU1300" s="70"/>
      <c r="BV1300" s="70"/>
      <c r="BW1300" s="70"/>
      <c r="BX1300" s="70"/>
    </row>
    <row r="1301" spans="2:76">
      <c r="B1301" s="141" t="s">
        <v>2296</v>
      </c>
      <c r="D1301" s="79" t="s">
        <v>74</v>
      </c>
      <c r="F1301" s="80" t="s">
        <v>78</v>
      </c>
      <c r="K1301" s="79"/>
      <c r="L1301" s="79"/>
      <c r="M1301" s="79"/>
      <c r="O1301" s="79"/>
      <c r="P1301" s="61" t="s">
        <v>76</v>
      </c>
      <c r="AI1301" s="79"/>
      <c r="AJ1301" s="79"/>
      <c r="AK1301" s="79"/>
      <c r="AL1301" s="79"/>
      <c r="AM1301" s="79"/>
      <c r="AN1301" s="79"/>
      <c r="AO1301" s="79"/>
      <c r="AP1301" s="79"/>
      <c r="AQ1301" s="79"/>
      <c r="AR1301" s="79"/>
      <c r="AS1301" s="79"/>
      <c r="AT1301" s="79"/>
      <c r="AU1301" s="79"/>
      <c r="AV1301" s="79"/>
      <c r="AW1301" s="79"/>
      <c r="AX1301" s="79"/>
      <c r="AY1301" s="79"/>
      <c r="BA1301" s="79"/>
      <c r="BH1301" s="79"/>
      <c r="BI1301" s="79"/>
      <c r="BJ1301" s="79"/>
      <c r="BP1301" s="79"/>
    </row>
    <row r="1302" spans="2:76">
      <c r="B1302" s="141" t="s">
        <v>2297</v>
      </c>
      <c r="D1302" s="61" t="s">
        <v>73</v>
      </c>
      <c r="I1302" s="80">
        <v>2004</v>
      </c>
      <c r="K1302" s="61"/>
      <c r="L1302" s="61"/>
      <c r="M1302" s="61"/>
      <c r="O1302" s="61"/>
      <c r="P1302" s="61" t="s">
        <v>75</v>
      </c>
      <c r="Q1302" s="61" t="s">
        <v>72</v>
      </c>
      <c r="AI1302" s="61"/>
      <c r="AJ1302" s="61"/>
      <c r="AK1302" s="61"/>
      <c r="AL1302" s="61"/>
      <c r="AM1302" s="61"/>
      <c r="AN1302" s="61"/>
      <c r="AO1302" s="61"/>
      <c r="AP1302" s="61"/>
      <c r="AQ1302" s="61"/>
      <c r="AR1302" s="61"/>
      <c r="AS1302" s="61"/>
      <c r="AT1302" s="61"/>
      <c r="AU1302" s="61"/>
      <c r="AV1302" s="61"/>
      <c r="AW1302" s="61"/>
      <c r="AX1302" s="61"/>
      <c r="AY1302" s="61"/>
    </row>
    <row r="1303" spans="2:76">
      <c r="B1303" s="141" t="s">
        <v>2298</v>
      </c>
      <c r="D1303" s="61" t="s">
        <v>73</v>
      </c>
      <c r="I1303" s="80">
        <v>2</v>
      </c>
      <c r="K1303" s="61"/>
      <c r="L1303" s="61"/>
      <c r="M1303" s="61"/>
      <c r="O1303" s="61"/>
      <c r="P1303" s="61" t="s">
        <v>75</v>
      </c>
      <c r="AI1303" s="61"/>
      <c r="AJ1303" s="61"/>
      <c r="AK1303" s="61"/>
      <c r="AL1303" s="61"/>
      <c r="AM1303" s="61"/>
      <c r="AN1303" s="61"/>
      <c r="AO1303" s="61"/>
      <c r="AP1303" s="61"/>
      <c r="AQ1303" s="61"/>
      <c r="AR1303" s="61"/>
      <c r="AS1303" s="61"/>
      <c r="AT1303" s="61"/>
      <c r="AU1303" s="61"/>
      <c r="AV1303" s="61"/>
      <c r="AW1303" s="61"/>
      <c r="AX1303" s="61"/>
      <c r="AY1303" s="61"/>
    </row>
    <row r="1304" spans="2:76">
      <c r="B1304" s="141" t="s">
        <v>2299</v>
      </c>
      <c r="D1304" s="61" t="s">
        <v>73</v>
      </c>
      <c r="I1304" s="80">
        <v>2005</v>
      </c>
      <c r="K1304" s="61"/>
      <c r="L1304" s="61"/>
      <c r="M1304" s="61"/>
      <c r="O1304" s="61"/>
      <c r="P1304" s="61" t="s">
        <v>75</v>
      </c>
      <c r="AI1304" s="61"/>
      <c r="AJ1304" s="61"/>
      <c r="AK1304" s="61"/>
      <c r="AL1304" s="61"/>
      <c r="AM1304" s="61"/>
      <c r="AN1304" s="61"/>
      <c r="AO1304" s="61"/>
      <c r="AP1304" s="61"/>
      <c r="AQ1304" s="61"/>
      <c r="AR1304" s="61"/>
      <c r="AS1304" s="61"/>
      <c r="AT1304" s="61"/>
      <c r="AU1304" s="61"/>
      <c r="AV1304" s="61"/>
      <c r="AW1304" s="61"/>
      <c r="AX1304" s="61"/>
      <c r="AY1304" s="61"/>
    </row>
    <row r="1305" spans="2:76">
      <c r="B1305" s="141" t="s">
        <v>2300</v>
      </c>
      <c r="D1305" s="61" t="s">
        <v>73</v>
      </c>
      <c r="K1305" s="61"/>
      <c r="L1305" s="61"/>
      <c r="M1305" s="61"/>
      <c r="O1305" s="61"/>
      <c r="P1305" s="61" t="s">
        <v>75</v>
      </c>
      <c r="AI1305" s="61"/>
      <c r="AJ1305" s="61"/>
      <c r="AK1305" s="61"/>
      <c r="AL1305" s="61"/>
      <c r="AM1305" s="61"/>
      <c r="AN1305" s="61"/>
      <c r="AO1305" s="61"/>
      <c r="AP1305" s="61"/>
      <c r="AQ1305" s="61"/>
      <c r="AR1305" s="61"/>
      <c r="AS1305" s="61"/>
      <c r="AT1305" s="61"/>
      <c r="AU1305" s="61"/>
      <c r="AV1305" s="61"/>
      <c r="AW1305" s="61"/>
      <c r="AX1305" s="61"/>
      <c r="AY1305" s="61"/>
    </row>
    <row r="1306" spans="2:76">
      <c r="B1306" s="141" t="s">
        <v>2301</v>
      </c>
      <c r="D1306" s="61" t="s">
        <v>73</v>
      </c>
      <c r="I1306" s="80">
        <v>2009</v>
      </c>
      <c r="K1306" s="61"/>
      <c r="L1306" s="61"/>
      <c r="M1306" s="61"/>
      <c r="O1306" s="61"/>
      <c r="P1306" s="61" t="s">
        <v>75</v>
      </c>
      <c r="AI1306" s="61"/>
      <c r="AJ1306" s="61"/>
      <c r="AK1306" s="61"/>
      <c r="AL1306" s="61"/>
      <c r="AM1306" s="61"/>
      <c r="AN1306" s="61"/>
      <c r="AO1306" s="61"/>
      <c r="AP1306" s="61"/>
      <c r="AQ1306" s="61"/>
      <c r="AR1306" s="61"/>
      <c r="AS1306" s="61"/>
      <c r="AT1306" s="61"/>
      <c r="AU1306" s="61"/>
      <c r="AV1306" s="61"/>
      <c r="AW1306" s="61"/>
      <c r="AX1306" s="61"/>
      <c r="AY1306" s="61"/>
    </row>
    <row r="1307" spans="2:76" ht="27">
      <c r="B1307" s="141" t="s">
        <v>2302</v>
      </c>
      <c r="D1307" s="61" t="s">
        <v>73</v>
      </c>
      <c r="I1307" s="80">
        <v>2006</v>
      </c>
      <c r="K1307" s="61"/>
      <c r="L1307" s="61"/>
      <c r="M1307" s="61"/>
      <c r="O1307" s="61"/>
      <c r="P1307" s="61" t="s">
        <v>75</v>
      </c>
      <c r="AI1307" s="61"/>
      <c r="AJ1307" s="61"/>
      <c r="AK1307" s="61"/>
      <c r="AL1307" s="61"/>
      <c r="AM1307" s="61"/>
      <c r="AN1307" s="61"/>
      <c r="AO1307" s="61"/>
      <c r="AP1307" s="61"/>
      <c r="AQ1307" s="61"/>
      <c r="AR1307" s="61"/>
      <c r="AS1307" s="61"/>
      <c r="AT1307" s="61"/>
      <c r="AU1307" s="61"/>
      <c r="AV1307" s="61"/>
      <c r="AW1307" s="61"/>
      <c r="AX1307" s="61"/>
      <c r="AY1307" s="61"/>
    </row>
    <row r="1308" spans="2:76">
      <c r="B1308" s="141" t="s">
        <v>2303</v>
      </c>
      <c r="D1308" s="61" t="s">
        <v>73</v>
      </c>
      <c r="K1308" s="61"/>
      <c r="L1308" s="61"/>
      <c r="M1308" s="61"/>
      <c r="O1308" s="61"/>
      <c r="P1308" s="61" t="s">
        <v>75</v>
      </c>
      <c r="AI1308" s="61"/>
      <c r="AJ1308" s="61"/>
      <c r="AK1308" s="61"/>
      <c r="AL1308" s="61"/>
      <c r="AM1308" s="61"/>
      <c r="AN1308" s="61"/>
      <c r="AO1308" s="61"/>
      <c r="AP1308" s="61"/>
      <c r="AQ1308" s="61"/>
      <c r="AR1308" s="61"/>
      <c r="AS1308" s="61"/>
      <c r="AT1308" s="61"/>
      <c r="AU1308" s="61"/>
      <c r="AV1308" s="61"/>
      <c r="AW1308" s="61"/>
      <c r="AX1308" s="61"/>
      <c r="AY1308" s="61"/>
    </row>
    <row r="1309" spans="2:76">
      <c r="B1309" s="141" t="s">
        <v>2304</v>
      </c>
      <c r="D1309" s="61" t="s">
        <v>73</v>
      </c>
      <c r="K1309" s="61"/>
      <c r="L1309" s="61"/>
      <c r="M1309" s="61"/>
      <c r="O1309" s="61"/>
      <c r="P1309" s="61" t="s">
        <v>75</v>
      </c>
      <c r="AI1309" s="61"/>
      <c r="AJ1309" s="61"/>
      <c r="AK1309" s="61"/>
      <c r="AL1309" s="61"/>
      <c r="AM1309" s="61"/>
      <c r="AN1309" s="61"/>
      <c r="AO1309" s="61"/>
      <c r="AP1309" s="61"/>
      <c r="AQ1309" s="61"/>
      <c r="AR1309" s="61"/>
      <c r="AS1309" s="61"/>
      <c r="AT1309" s="61"/>
      <c r="AU1309" s="61"/>
      <c r="AV1309" s="61"/>
      <c r="AW1309" s="61"/>
      <c r="AX1309" s="61"/>
      <c r="AY1309" s="61"/>
    </row>
    <row r="1310" spans="2:76">
      <c r="B1310" s="141" t="s">
        <v>2305</v>
      </c>
      <c r="D1310" s="61" t="s">
        <v>73</v>
      </c>
      <c r="I1310" s="80">
        <v>2009</v>
      </c>
      <c r="K1310" s="61"/>
      <c r="L1310" s="61"/>
      <c r="M1310" s="61"/>
      <c r="O1310" s="61"/>
      <c r="P1310" s="61" t="s">
        <v>75</v>
      </c>
      <c r="AI1310" s="61"/>
      <c r="AJ1310" s="61"/>
      <c r="AK1310" s="61"/>
      <c r="AL1310" s="61"/>
      <c r="AM1310" s="61"/>
      <c r="AN1310" s="61"/>
      <c r="AO1310" s="61"/>
      <c r="AP1310" s="61"/>
      <c r="AQ1310" s="61"/>
      <c r="AR1310" s="61"/>
      <c r="AS1310" s="61"/>
      <c r="AT1310" s="61"/>
      <c r="AU1310" s="61"/>
      <c r="AV1310" s="61"/>
      <c r="AW1310" s="61"/>
      <c r="AX1310" s="61"/>
      <c r="AY1310" s="61"/>
    </row>
    <row r="1311" spans="2:76" ht="27">
      <c r="B1311" s="141" t="s">
        <v>2306</v>
      </c>
      <c r="D1311" s="61" t="s">
        <v>73</v>
      </c>
      <c r="I1311" s="80">
        <v>2004</v>
      </c>
      <c r="K1311" s="61"/>
      <c r="L1311" s="61"/>
      <c r="M1311" s="61"/>
      <c r="O1311" s="61"/>
      <c r="P1311" s="61" t="s">
        <v>75</v>
      </c>
      <c r="AI1311" s="61"/>
      <c r="AJ1311" s="61"/>
      <c r="AK1311" s="61"/>
      <c r="AL1311" s="61"/>
      <c r="AM1311" s="61"/>
      <c r="AN1311" s="61"/>
      <c r="AO1311" s="61"/>
      <c r="AP1311" s="61"/>
      <c r="AQ1311" s="61"/>
      <c r="AR1311" s="61"/>
      <c r="AS1311" s="61"/>
      <c r="AT1311" s="61"/>
      <c r="AU1311" s="61"/>
      <c r="AV1311" s="61"/>
      <c r="AW1311" s="61"/>
      <c r="AX1311" s="61"/>
      <c r="AY1311" s="61"/>
    </row>
    <row r="1312" spans="2:76" ht="27">
      <c r="B1312" s="141" t="s">
        <v>2307</v>
      </c>
      <c r="D1312" s="61" t="s">
        <v>73</v>
      </c>
      <c r="I1312" s="80">
        <v>2005</v>
      </c>
      <c r="K1312" s="61"/>
      <c r="L1312" s="61"/>
      <c r="M1312" s="61"/>
      <c r="O1312" s="61"/>
      <c r="P1312" s="61" t="s">
        <v>75</v>
      </c>
      <c r="AI1312" s="61"/>
      <c r="AJ1312" s="61"/>
      <c r="AK1312" s="61"/>
      <c r="AL1312" s="61"/>
      <c r="AM1312" s="61"/>
      <c r="AN1312" s="61"/>
      <c r="AO1312" s="61"/>
      <c r="AP1312" s="61"/>
      <c r="AQ1312" s="61"/>
      <c r="AR1312" s="61"/>
      <c r="AS1312" s="61"/>
      <c r="AT1312" s="61"/>
      <c r="AU1312" s="61"/>
      <c r="AV1312" s="61"/>
      <c r="AW1312" s="61"/>
      <c r="AX1312" s="61"/>
      <c r="AY1312" s="61"/>
    </row>
    <row r="1313" spans="2:68" ht="27">
      <c r="B1313" s="141" t="s">
        <v>2308</v>
      </c>
      <c r="D1313" s="61" t="s">
        <v>73</v>
      </c>
      <c r="I1313" s="80">
        <v>2005</v>
      </c>
      <c r="K1313" s="61"/>
      <c r="L1313" s="61"/>
      <c r="M1313" s="61"/>
      <c r="O1313" s="61"/>
      <c r="P1313" s="61" t="s">
        <v>75</v>
      </c>
      <c r="AI1313" s="61"/>
      <c r="AJ1313" s="61"/>
      <c r="AK1313" s="61"/>
      <c r="AL1313" s="61"/>
      <c r="AM1313" s="61"/>
      <c r="AN1313" s="61"/>
      <c r="AO1313" s="61"/>
      <c r="AP1313" s="61"/>
      <c r="AQ1313" s="61"/>
      <c r="AR1313" s="61"/>
      <c r="AS1313" s="61"/>
      <c r="AT1313" s="61"/>
      <c r="AU1313" s="61"/>
      <c r="AV1313" s="61"/>
      <c r="AW1313" s="61"/>
      <c r="AX1313" s="61"/>
      <c r="AY1313" s="61"/>
    </row>
    <row r="1314" spans="2:68">
      <c r="B1314" s="141" t="s">
        <v>2309</v>
      </c>
      <c r="D1314" s="61" t="s">
        <v>73</v>
      </c>
      <c r="K1314" s="61"/>
      <c r="L1314" s="61"/>
      <c r="M1314" s="61"/>
      <c r="O1314" s="61"/>
      <c r="P1314" s="61" t="s">
        <v>75</v>
      </c>
      <c r="AI1314" s="61"/>
      <c r="AJ1314" s="61"/>
      <c r="AK1314" s="61"/>
      <c r="AL1314" s="61"/>
      <c r="AM1314" s="61"/>
      <c r="AN1314" s="61"/>
      <c r="AO1314" s="61"/>
      <c r="AP1314" s="61"/>
      <c r="AQ1314" s="61"/>
      <c r="AR1314" s="61"/>
      <c r="AS1314" s="61"/>
      <c r="AT1314" s="61"/>
      <c r="AU1314" s="61"/>
      <c r="AV1314" s="61"/>
      <c r="AW1314" s="61"/>
      <c r="AX1314" s="61"/>
      <c r="AY1314" s="61"/>
    </row>
    <row r="1315" spans="2:68">
      <c r="B1315" s="141" t="s">
        <v>2310</v>
      </c>
      <c r="D1315" s="79" t="s">
        <v>74</v>
      </c>
      <c r="K1315" s="79"/>
      <c r="L1315" s="79"/>
      <c r="M1315" s="79"/>
      <c r="O1315" s="79"/>
      <c r="P1315" s="61" t="s">
        <v>76</v>
      </c>
      <c r="Q1315" s="61" t="s">
        <v>72</v>
      </c>
      <c r="AI1315" s="79"/>
      <c r="AJ1315" s="79"/>
      <c r="AK1315" s="79"/>
      <c r="AL1315" s="79"/>
      <c r="AM1315" s="79"/>
      <c r="AN1315" s="79"/>
      <c r="AO1315" s="79"/>
      <c r="AP1315" s="79"/>
      <c r="AQ1315" s="79"/>
      <c r="AR1315" s="79"/>
      <c r="AS1315" s="79"/>
      <c r="AT1315" s="79"/>
      <c r="AU1315" s="79"/>
      <c r="AV1315" s="79"/>
      <c r="AW1315" s="79"/>
      <c r="AX1315" s="79"/>
      <c r="AY1315" s="79"/>
      <c r="BA1315" s="79"/>
      <c r="BH1315" s="79"/>
      <c r="BI1315" s="79"/>
      <c r="BJ1315" s="79"/>
      <c r="BP1315" s="79"/>
    </row>
    <row r="1316" spans="2:68">
      <c r="B1316" s="141" t="s">
        <v>2311</v>
      </c>
      <c r="D1316" s="79" t="s">
        <v>74</v>
      </c>
      <c r="K1316" s="79"/>
      <c r="L1316" s="79"/>
      <c r="M1316" s="79"/>
      <c r="O1316" s="79"/>
      <c r="P1316" s="61" t="s">
        <v>76</v>
      </c>
      <c r="Q1316" s="61" t="s">
        <v>72</v>
      </c>
      <c r="AI1316" s="79"/>
      <c r="AJ1316" s="79"/>
      <c r="AK1316" s="79"/>
      <c r="AL1316" s="79"/>
      <c r="AM1316" s="79"/>
      <c r="AN1316" s="79"/>
      <c r="AO1316" s="79"/>
      <c r="AP1316" s="79"/>
      <c r="AQ1316" s="79"/>
      <c r="AR1316" s="79"/>
      <c r="AS1316" s="79"/>
      <c r="AT1316" s="79"/>
      <c r="AU1316" s="79"/>
      <c r="AV1316" s="79"/>
      <c r="AW1316" s="79"/>
      <c r="AX1316" s="79"/>
      <c r="AY1316" s="79"/>
      <c r="BA1316" s="79"/>
      <c r="BH1316" s="79"/>
      <c r="BI1316" s="79"/>
      <c r="BJ1316" s="79"/>
      <c r="BP1316" s="79"/>
    </row>
    <row r="1317" spans="2:68">
      <c r="B1317" s="141" t="s">
        <v>2312</v>
      </c>
      <c r="D1317" s="61" t="s">
        <v>73</v>
      </c>
      <c r="F1317" s="80" t="s">
        <v>77</v>
      </c>
      <c r="K1317" s="61"/>
      <c r="L1317" s="61"/>
      <c r="M1317" s="61"/>
      <c r="O1317" s="61"/>
      <c r="AI1317" s="61"/>
      <c r="AJ1317" s="61"/>
      <c r="AK1317" s="61"/>
      <c r="AL1317" s="61"/>
      <c r="AM1317" s="61"/>
      <c r="AN1317" s="61"/>
      <c r="AO1317" s="61"/>
      <c r="AP1317" s="61"/>
      <c r="AQ1317" s="61"/>
      <c r="AR1317" s="61"/>
      <c r="AS1317" s="61"/>
      <c r="AT1317" s="61"/>
      <c r="AU1317" s="61"/>
      <c r="AV1317" s="61"/>
      <c r="AW1317" s="61"/>
      <c r="AX1317" s="61"/>
      <c r="AY1317" s="61"/>
      <c r="BC1317" s="61" t="s">
        <v>76</v>
      </c>
    </row>
    <row r="1318" spans="2:68">
      <c r="B1318" s="141" t="s">
        <v>2313</v>
      </c>
      <c r="D1318" s="61" t="s">
        <v>73</v>
      </c>
      <c r="F1318" s="80" t="s">
        <v>77</v>
      </c>
      <c r="K1318" s="61"/>
      <c r="L1318" s="61"/>
      <c r="M1318" s="61"/>
      <c r="O1318" s="61"/>
      <c r="AI1318" s="61"/>
      <c r="AJ1318" s="61"/>
      <c r="AK1318" s="61"/>
      <c r="AL1318" s="61"/>
      <c r="AM1318" s="61"/>
      <c r="AN1318" s="61"/>
      <c r="AO1318" s="61"/>
      <c r="AP1318" s="61"/>
      <c r="AQ1318" s="61"/>
      <c r="AR1318" s="61"/>
      <c r="AS1318" s="61"/>
      <c r="AT1318" s="61"/>
      <c r="AU1318" s="61"/>
      <c r="AV1318" s="61"/>
      <c r="AW1318" s="61"/>
      <c r="AX1318" s="61"/>
      <c r="AY1318" s="61"/>
      <c r="BC1318" s="61" t="s">
        <v>76</v>
      </c>
    </row>
    <row r="1319" spans="2:68">
      <c r="B1319" s="141" t="s">
        <v>2314</v>
      </c>
      <c r="D1319" s="61" t="s">
        <v>73</v>
      </c>
      <c r="F1319" s="80" t="s">
        <v>77</v>
      </c>
      <c r="K1319" s="61"/>
      <c r="L1319" s="61"/>
      <c r="M1319" s="61"/>
      <c r="O1319" s="61"/>
      <c r="AI1319" s="61"/>
      <c r="AJ1319" s="61"/>
      <c r="AK1319" s="61"/>
      <c r="AL1319" s="61"/>
      <c r="AM1319" s="61"/>
      <c r="AN1319" s="61"/>
      <c r="AO1319" s="61"/>
      <c r="AP1319" s="61"/>
      <c r="AQ1319" s="61"/>
      <c r="AR1319" s="61"/>
      <c r="AS1319" s="61"/>
      <c r="AT1319" s="61"/>
      <c r="AU1319" s="61"/>
      <c r="AV1319" s="61"/>
      <c r="AW1319" s="61"/>
      <c r="AX1319" s="61"/>
      <c r="AY1319" s="61"/>
      <c r="BC1319" s="61" t="s">
        <v>76</v>
      </c>
    </row>
    <row r="1320" spans="2:68">
      <c r="B1320" s="141" t="s">
        <v>2315</v>
      </c>
      <c r="D1320" s="61" t="s">
        <v>73</v>
      </c>
      <c r="F1320" s="80" t="s">
        <v>77</v>
      </c>
      <c r="K1320" s="61"/>
      <c r="L1320" s="61"/>
      <c r="M1320" s="61"/>
      <c r="O1320" s="61"/>
      <c r="AI1320" s="61"/>
      <c r="AJ1320" s="61"/>
      <c r="AK1320" s="61"/>
      <c r="AL1320" s="61"/>
      <c r="AM1320" s="61"/>
      <c r="AN1320" s="61"/>
      <c r="AO1320" s="61"/>
      <c r="AP1320" s="61"/>
      <c r="AQ1320" s="61"/>
      <c r="AR1320" s="61"/>
      <c r="AS1320" s="61"/>
      <c r="AT1320" s="61"/>
      <c r="AU1320" s="61"/>
      <c r="AV1320" s="61"/>
      <c r="AW1320" s="61"/>
      <c r="AX1320" s="61"/>
      <c r="AY1320" s="61"/>
      <c r="BC1320" s="61" t="s">
        <v>76</v>
      </c>
    </row>
    <row r="1321" spans="2:68">
      <c r="B1321" s="141" t="s">
        <v>2316</v>
      </c>
      <c r="D1321" s="61" t="s">
        <v>73</v>
      </c>
      <c r="F1321" s="80" t="s">
        <v>77</v>
      </c>
      <c r="K1321" s="61"/>
      <c r="L1321" s="61"/>
      <c r="M1321" s="61"/>
      <c r="O1321" s="61"/>
      <c r="AI1321" s="61"/>
      <c r="AJ1321" s="61"/>
      <c r="AK1321" s="61"/>
      <c r="AL1321" s="61"/>
      <c r="AM1321" s="61"/>
      <c r="AN1321" s="61"/>
      <c r="AO1321" s="61"/>
      <c r="AP1321" s="61"/>
      <c r="AQ1321" s="61"/>
      <c r="AR1321" s="61"/>
      <c r="AS1321" s="61"/>
      <c r="AT1321" s="61"/>
      <c r="AU1321" s="61"/>
      <c r="AV1321" s="61"/>
      <c r="AW1321" s="61"/>
      <c r="AX1321" s="61"/>
      <c r="AY1321" s="61"/>
      <c r="BC1321" s="61" t="s">
        <v>76</v>
      </c>
    </row>
    <row r="1322" spans="2:68">
      <c r="B1322" s="141" t="s">
        <v>2317</v>
      </c>
      <c r="D1322" s="79" t="s">
        <v>74</v>
      </c>
      <c r="K1322" s="79"/>
      <c r="L1322" s="79"/>
      <c r="M1322" s="79"/>
      <c r="O1322" s="79"/>
      <c r="P1322" s="61" t="s">
        <v>76</v>
      </c>
      <c r="Q1322" s="61" t="s">
        <v>72</v>
      </c>
      <c r="AI1322" s="79"/>
      <c r="AJ1322" s="79"/>
      <c r="AK1322" s="79"/>
      <c r="AL1322" s="79"/>
      <c r="AM1322" s="79"/>
      <c r="AN1322" s="79"/>
      <c r="AO1322" s="79"/>
      <c r="AP1322" s="79"/>
      <c r="AQ1322" s="79"/>
      <c r="AR1322" s="79"/>
      <c r="AS1322" s="79"/>
      <c r="AT1322" s="79"/>
      <c r="AU1322" s="79"/>
      <c r="AV1322" s="79"/>
      <c r="AW1322" s="79"/>
      <c r="AX1322" s="79"/>
      <c r="AY1322" s="79"/>
      <c r="BA1322" s="79"/>
      <c r="BH1322" s="79"/>
      <c r="BI1322" s="79"/>
      <c r="BJ1322" s="79"/>
      <c r="BP1322" s="79"/>
    </row>
    <row r="1323" spans="2:68">
      <c r="B1323" s="141" t="s">
        <v>2318</v>
      </c>
      <c r="D1323" s="61" t="s">
        <v>73</v>
      </c>
      <c r="K1323" s="61"/>
      <c r="L1323" s="61"/>
      <c r="M1323" s="61"/>
      <c r="O1323" s="61"/>
      <c r="P1323" s="61" t="s">
        <v>75</v>
      </c>
      <c r="AI1323" s="61"/>
      <c r="AJ1323" s="61"/>
      <c r="AK1323" s="61"/>
      <c r="AL1323" s="61"/>
      <c r="AM1323" s="61"/>
      <c r="AN1323" s="61"/>
      <c r="AO1323" s="61"/>
      <c r="AP1323" s="61"/>
      <c r="AQ1323" s="61"/>
      <c r="AR1323" s="61"/>
      <c r="AS1323" s="61"/>
      <c r="AT1323" s="61"/>
      <c r="AU1323" s="61"/>
      <c r="AV1323" s="61"/>
      <c r="AW1323" s="61"/>
      <c r="AX1323" s="61"/>
      <c r="AY1323" s="61"/>
    </row>
    <row r="1324" spans="2:68">
      <c r="B1324" s="141" t="s">
        <v>2319</v>
      </c>
      <c r="D1324" s="61" t="s">
        <v>73</v>
      </c>
      <c r="K1324" s="61"/>
      <c r="L1324" s="61"/>
      <c r="M1324" s="61"/>
      <c r="O1324" s="61"/>
      <c r="Q1324" s="61" t="s">
        <v>72</v>
      </c>
      <c r="AI1324" s="61"/>
      <c r="AJ1324" s="61"/>
      <c r="AK1324" s="61"/>
      <c r="AL1324" s="61"/>
      <c r="AM1324" s="61"/>
      <c r="AN1324" s="61"/>
      <c r="AO1324" s="61"/>
      <c r="AP1324" s="61"/>
      <c r="AQ1324" s="61"/>
      <c r="AR1324" s="61"/>
      <c r="AS1324" s="61"/>
      <c r="AT1324" s="61"/>
      <c r="AU1324" s="61"/>
      <c r="AV1324" s="61"/>
      <c r="AW1324" s="61"/>
      <c r="AX1324" s="61"/>
      <c r="AY1324" s="61"/>
    </row>
    <row r="1325" spans="2:68">
      <c r="B1325" s="141" t="s">
        <v>2320</v>
      </c>
      <c r="D1325" s="61" t="s">
        <v>73</v>
      </c>
      <c r="K1325" s="61"/>
      <c r="L1325" s="61"/>
      <c r="M1325" s="61"/>
      <c r="O1325" s="61"/>
      <c r="Q1325" s="61" t="s">
        <v>72</v>
      </c>
      <c r="AI1325" s="61"/>
      <c r="AJ1325" s="61"/>
      <c r="AK1325" s="61"/>
      <c r="AL1325" s="61"/>
      <c r="AM1325" s="61"/>
      <c r="AN1325" s="61"/>
      <c r="AO1325" s="61"/>
      <c r="AP1325" s="61"/>
      <c r="AQ1325" s="61"/>
      <c r="AR1325" s="61"/>
      <c r="AS1325" s="61"/>
      <c r="AT1325" s="61"/>
      <c r="AU1325" s="61"/>
      <c r="AV1325" s="61"/>
      <c r="AW1325" s="61"/>
      <c r="AX1325" s="61"/>
      <c r="AY1325" s="61"/>
    </row>
    <row r="1326" spans="2:68">
      <c r="B1326" s="141" t="s">
        <v>2321</v>
      </c>
      <c r="D1326" s="61" t="s">
        <v>73</v>
      </c>
      <c r="K1326" s="61"/>
      <c r="L1326" s="61"/>
      <c r="M1326" s="61"/>
      <c r="O1326" s="61"/>
      <c r="Q1326" s="61" t="s">
        <v>72</v>
      </c>
      <c r="AI1326" s="61"/>
      <c r="AJ1326" s="61"/>
      <c r="AK1326" s="61"/>
      <c r="AL1326" s="61"/>
      <c r="AM1326" s="61"/>
      <c r="AN1326" s="61"/>
      <c r="AO1326" s="61"/>
      <c r="AP1326" s="61"/>
      <c r="AQ1326" s="61"/>
      <c r="AR1326" s="61"/>
      <c r="AS1326" s="61"/>
      <c r="AT1326" s="61"/>
      <c r="AU1326" s="61"/>
      <c r="AV1326" s="61"/>
      <c r="AW1326" s="61"/>
      <c r="AX1326" s="61"/>
      <c r="AY1326" s="61"/>
    </row>
    <row r="1327" spans="2:68">
      <c r="B1327" s="141" t="s">
        <v>2322</v>
      </c>
      <c r="D1327" s="61" t="s">
        <v>73</v>
      </c>
      <c r="K1327" s="61"/>
      <c r="L1327" s="61"/>
      <c r="M1327" s="61"/>
      <c r="O1327" s="61"/>
      <c r="Q1327" s="61" t="s">
        <v>72</v>
      </c>
      <c r="AI1327" s="61"/>
      <c r="AJ1327" s="61"/>
      <c r="AK1327" s="61"/>
      <c r="AL1327" s="61"/>
      <c r="AM1327" s="61"/>
      <c r="AN1327" s="61"/>
      <c r="AO1327" s="61"/>
      <c r="AP1327" s="61"/>
      <c r="AQ1327" s="61"/>
      <c r="AR1327" s="61"/>
      <c r="AS1327" s="61"/>
      <c r="AT1327" s="61"/>
      <c r="AU1327" s="61"/>
      <c r="AV1327" s="61"/>
      <c r="AW1327" s="61"/>
      <c r="AX1327" s="61"/>
      <c r="AY1327" s="61"/>
    </row>
    <row r="1328" spans="2:68">
      <c r="B1328" s="141" t="s">
        <v>2323</v>
      </c>
      <c r="D1328" s="61" t="s">
        <v>73</v>
      </c>
      <c r="K1328" s="61"/>
      <c r="L1328" s="61"/>
      <c r="M1328" s="61"/>
      <c r="O1328" s="61"/>
      <c r="Q1328" s="61" t="s">
        <v>72</v>
      </c>
      <c r="AI1328" s="61"/>
      <c r="AJ1328" s="61"/>
      <c r="AK1328" s="61"/>
      <c r="AL1328" s="61"/>
      <c r="AM1328" s="61"/>
      <c r="AN1328" s="61"/>
      <c r="AO1328" s="61"/>
      <c r="AP1328" s="61"/>
      <c r="AQ1328" s="61"/>
      <c r="AR1328" s="61"/>
      <c r="AS1328" s="61"/>
      <c r="AT1328" s="61"/>
      <c r="AU1328" s="61"/>
      <c r="AV1328" s="61"/>
      <c r="AW1328" s="61"/>
      <c r="AX1328" s="61"/>
      <c r="AY1328" s="61"/>
    </row>
    <row r="1329" spans="2:68" ht="27">
      <c r="B1329" s="141" t="s">
        <v>2324</v>
      </c>
      <c r="D1329" s="61" t="s">
        <v>73</v>
      </c>
      <c r="K1329" s="61"/>
      <c r="L1329" s="61"/>
      <c r="M1329" s="61"/>
      <c r="O1329" s="61"/>
      <c r="Q1329" s="61" t="s">
        <v>72</v>
      </c>
      <c r="AI1329" s="61"/>
      <c r="AJ1329" s="61"/>
      <c r="AK1329" s="61"/>
      <c r="AL1329" s="61"/>
      <c r="AM1329" s="61"/>
      <c r="AN1329" s="61"/>
      <c r="AO1329" s="61"/>
      <c r="AP1329" s="61"/>
      <c r="AQ1329" s="61"/>
      <c r="AR1329" s="61"/>
      <c r="AS1329" s="61"/>
      <c r="AT1329" s="61"/>
      <c r="AU1329" s="61"/>
      <c r="AV1329" s="61"/>
      <c r="AW1329" s="61"/>
      <c r="AX1329" s="61"/>
      <c r="AY1329" s="61"/>
    </row>
    <row r="1330" spans="2:68" ht="27">
      <c r="B1330" s="141" t="s">
        <v>2325</v>
      </c>
      <c r="D1330" s="61" t="s">
        <v>73</v>
      </c>
      <c r="K1330" s="61"/>
      <c r="L1330" s="61"/>
      <c r="M1330" s="61"/>
      <c r="O1330" s="61"/>
      <c r="Q1330" s="61" t="s">
        <v>72</v>
      </c>
      <c r="AI1330" s="61"/>
      <c r="AJ1330" s="61"/>
      <c r="AK1330" s="61"/>
      <c r="AL1330" s="61"/>
      <c r="AM1330" s="61"/>
      <c r="AN1330" s="61"/>
      <c r="AO1330" s="61"/>
      <c r="AP1330" s="61"/>
      <c r="AQ1330" s="61"/>
      <c r="AR1330" s="61"/>
      <c r="AS1330" s="61"/>
      <c r="AT1330" s="61"/>
      <c r="AU1330" s="61"/>
      <c r="AV1330" s="61"/>
      <c r="AW1330" s="61"/>
      <c r="AX1330" s="61"/>
      <c r="AY1330" s="61"/>
    </row>
    <row r="1331" spans="2:68">
      <c r="B1331" s="141" t="s">
        <v>2326</v>
      </c>
      <c r="D1331" s="61" t="s">
        <v>73</v>
      </c>
      <c r="K1331" s="61"/>
      <c r="L1331" s="61"/>
      <c r="M1331" s="61"/>
      <c r="O1331" s="61"/>
      <c r="AI1331" s="61"/>
      <c r="AJ1331" s="61"/>
      <c r="AK1331" s="61"/>
      <c r="AL1331" s="61"/>
      <c r="AM1331" s="61"/>
      <c r="AN1331" s="61"/>
      <c r="AO1331" s="61"/>
      <c r="AP1331" s="61"/>
      <c r="AQ1331" s="61"/>
      <c r="AR1331" s="61"/>
      <c r="AS1331" s="61"/>
      <c r="AT1331" s="61"/>
      <c r="AU1331" s="61"/>
      <c r="AV1331" s="61"/>
      <c r="AW1331" s="61"/>
      <c r="AX1331" s="61"/>
      <c r="AY1331" s="61"/>
    </row>
    <row r="1332" spans="2:68">
      <c r="B1332" s="141" t="s">
        <v>2327</v>
      </c>
      <c r="D1332" s="61" t="s">
        <v>73</v>
      </c>
      <c r="K1332" s="61"/>
      <c r="L1332" s="61"/>
      <c r="M1332" s="61"/>
      <c r="O1332" s="61"/>
      <c r="AI1332" s="61"/>
      <c r="AJ1332" s="61"/>
      <c r="AK1332" s="61"/>
      <c r="AL1332" s="61"/>
      <c r="AM1332" s="61"/>
      <c r="AN1332" s="61"/>
      <c r="AO1332" s="61"/>
      <c r="AP1332" s="61"/>
      <c r="AQ1332" s="61"/>
      <c r="AR1332" s="61"/>
      <c r="AS1332" s="61"/>
      <c r="AT1332" s="61"/>
      <c r="AU1332" s="61"/>
      <c r="AV1332" s="61"/>
      <c r="AW1332" s="61"/>
      <c r="AX1332" s="61"/>
      <c r="AY1332" s="61"/>
    </row>
    <row r="1333" spans="2:68">
      <c r="B1333" s="141" t="s">
        <v>2328</v>
      </c>
      <c r="D1333" s="61" t="s">
        <v>73</v>
      </c>
      <c r="K1333" s="61"/>
      <c r="L1333" s="61"/>
      <c r="M1333" s="61"/>
      <c r="O1333" s="61"/>
      <c r="AI1333" s="61"/>
      <c r="AJ1333" s="61"/>
      <c r="AK1333" s="61"/>
      <c r="AL1333" s="61"/>
      <c r="AM1333" s="61"/>
      <c r="AN1333" s="61"/>
      <c r="AO1333" s="61"/>
      <c r="AP1333" s="61"/>
      <c r="AQ1333" s="61"/>
      <c r="AR1333" s="61"/>
      <c r="AS1333" s="61"/>
      <c r="AT1333" s="61"/>
      <c r="AU1333" s="61"/>
      <c r="AV1333" s="61"/>
      <c r="AW1333" s="61"/>
      <c r="AX1333" s="61"/>
      <c r="AY1333" s="61"/>
    </row>
    <row r="1334" spans="2:68">
      <c r="D1334" s="61"/>
      <c r="K1334" s="61"/>
      <c r="L1334" s="61"/>
      <c r="M1334" s="61"/>
      <c r="O1334" s="61"/>
      <c r="AI1334" s="61"/>
      <c r="AJ1334" s="61"/>
      <c r="AK1334" s="61"/>
      <c r="AL1334" s="61"/>
      <c r="AM1334" s="61"/>
      <c r="AN1334" s="61"/>
      <c r="AO1334" s="61"/>
      <c r="AP1334" s="61"/>
      <c r="AQ1334" s="61"/>
      <c r="AR1334" s="61"/>
      <c r="AS1334" s="61"/>
      <c r="AT1334" s="61"/>
      <c r="AU1334" s="61"/>
      <c r="AV1334" s="61"/>
      <c r="AW1334" s="61"/>
      <c r="AX1334" s="61"/>
      <c r="AY1334" s="61"/>
    </row>
    <row r="1335" spans="2:68">
      <c r="B1335" s="141" t="s">
        <v>2329</v>
      </c>
      <c r="D1335" s="79" t="s">
        <v>74</v>
      </c>
      <c r="K1335" s="79"/>
      <c r="L1335" s="79"/>
      <c r="M1335" s="79"/>
      <c r="O1335" s="79"/>
      <c r="Q1335" s="61" t="s">
        <v>72</v>
      </c>
      <c r="AI1335" s="79"/>
      <c r="AJ1335" s="79"/>
      <c r="AK1335" s="79"/>
      <c r="AL1335" s="79"/>
      <c r="AM1335" s="79"/>
      <c r="AN1335" s="79"/>
      <c r="AO1335" s="79"/>
      <c r="AP1335" s="79"/>
      <c r="AQ1335" s="79"/>
      <c r="AR1335" s="79"/>
      <c r="AS1335" s="79"/>
      <c r="AT1335" s="79"/>
      <c r="AU1335" s="79"/>
      <c r="AV1335" s="79"/>
      <c r="AW1335" s="79"/>
      <c r="AX1335" s="79"/>
      <c r="AY1335" s="79"/>
      <c r="BA1335" s="79"/>
      <c r="BH1335" s="79"/>
      <c r="BI1335" s="79"/>
      <c r="BJ1335" s="79"/>
      <c r="BP1335" s="79"/>
    </row>
    <row r="1336" spans="2:68" ht="27">
      <c r="B1336" s="141" t="s">
        <v>2330</v>
      </c>
      <c r="D1336" s="79" t="s">
        <v>74</v>
      </c>
      <c r="K1336" s="79"/>
      <c r="L1336" s="79"/>
      <c r="M1336" s="79"/>
      <c r="O1336" s="79"/>
      <c r="Q1336" s="61" t="s">
        <v>72</v>
      </c>
      <c r="AI1336" s="79"/>
      <c r="AJ1336" s="79"/>
      <c r="AK1336" s="79"/>
      <c r="AL1336" s="79"/>
      <c r="AM1336" s="79"/>
      <c r="AN1336" s="79"/>
      <c r="AO1336" s="79"/>
      <c r="AP1336" s="79"/>
      <c r="AQ1336" s="79"/>
      <c r="AR1336" s="79"/>
      <c r="AS1336" s="79"/>
      <c r="AT1336" s="79"/>
      <c r="AU1336" s="79"/>
      <c r="AV1336" s="79"/>
      <c r="AW1336" s="79"/>
      <c r="AX1336" s="79"/>
      <c r="AY1336" s="79"/>
      <c r="BA1336" s="79"/>
      <c r="BH1336" s="79"/>
      <c r="BI1336" s="79"/>
      <c r="BJ1336" s="79"/>
      <c r="BP1336" s="79"/>
    </row>
    <row r="1337" spans="2:68">
      <c r="B1337" s="141" t="s">
        <v>2331</v>
      </c>
      <c r="D1337" s="79" t="s">
        <v>74</v>
      </c>
      <c r="K1337" s="79"/>
      <c r="L1337" s="79"/>
      <c r="M1337" s="79"/>
      <c r="O1337" s="79"/>
      <c r="Q1337" s="61" t="s">
        <v>72</v>
      </c>
      <c r="AI1337" s="79"/>
      <c r="AJ1337" s="79"/>
      <c r="AK1337" s="79"/>
      <c r="AL1337" s="79"/>
      <c r="AM1337" s="79"/>
      <c r="AN1337" s="79"/>
      <c r="AO1337" s="79"/>
      <c r="AP1337" s="79"/>
      <c r="AQ1337" s="79"/>
      <c r="AR1337" s="79"/>
      <c r="AS1337" s="79"/>
      <c r="AT1337" s="79"/>
      <c r="AU1337" s="79"/>
      <c r="AV1337" s="79"/>
      <c r="AW1337" s="79"/>
      <c r="AX1337" s="79"/>
      <c r="AY1337" s="79"/>
      <c r="BA1337" s="79"/>
      <c r="BH1337" s="79"/>
      <c r="BI1337" s="79"/>
      <c r="BJ1337" s="79"/>
      <c r="BP1337" s="79"/>
    </row>
    <row r="1338" spans="2:68">
      <c r="B1338" s="141" t="s">
        <v>2332</v>
      </c>
      <c r="D1338" s="79" t="s">
        <v>74</v>
      </c>
      <c r="K1338" s="79"/>
      <c r="L1338" s="79"/>
      <c r="M1338" s="79"/>
      <c r="O1338" s="79"/>
      <c r="Q1338" s="61" t="s">
        <v>72</v>
      </c>
      <c r="AI1338" s="79"/>
      <c r="AJ1338" s="79"/>
      <c r="AK1338" s="79"/>
      <c r="AL1338" s="79"/>
      <c r="AM1338" s="79"/>
      <c r="AN1338" s="79"/>
      <c r="AO1338" s="79"/>
      <c r="AP1338" s="79"/>
      <c r="AQ1338" s="79"/>
      <c r="AR1338" s="79"/>
      <c r="AS1338" s="79"/>
      <c r="AT1338" s="79"/>
      <c r="AU1338" s="79"/>
      <c r="AV1338" s="79"/>
      <c r="AW1338" s="79"/>
      <c r="AX1338" s="79"/>
      <c r="AY1338" s="79"/>
      <c r="BA1338" s="79"/>
      <c r="BH1338" s="79"/>
      <c r="BI1338" s="79"/>
      <c r="BJ1338" s="79"/>
      <c r="BP1338" s="79"/>
    </row>
    <row r="1339" spans="2:68">
      <c r="B1339" s="141" t="s">
        <v>2333</v>
      </c>
      <c r="D1339" s="79" t="s">
        <v>74</v>
      </c>
      <c r="K1339" s="79"/>
      <c r="L1339" s="79"/>
      <c r="M1339" s="79"/>
      <c r="O1339" s="79"/>
      <c r="Q1339" s="61" t="s">
        <v>72</v>
      </c>
      <c r="AI1339" s="79"/>
      <c r="AJ1339" s="79"/>
      <c r="AK1339" s="79"/>
      <c r="AL1339" s="79"/>
      <c r="AM1339" s="79"/>
      <c r="AN1339" s="79"/>
      <c r="AO1339" s="79"/>
      <c r="AP1339" s="79"/>
      <c r="AQ1339" s="79"/>
      <c r="AR1339" s="79"/>
      <c r="AS1339" s="79"/>
      <c r="AT1339" s="79"/>
      <c r="AU1339" s="79"/>
      <c r="AV1339" s="79"/>
      <c r="AW1339" s="79"/>
      <c r="AX1339" s="79"/>
      <c r="AY1339" s="79"/>
      <c r="BA1339" s="79"/>
      <c r="BH1339" s="79"/>
      <c r="BI1339" s="79"/>
      <c r="BJ1339" s="79"/>
      <c r="BP1339" s="79"/>
    </row>
    <row r="1340" spans="2:68">
      <c r="B1340" s="141" t="s">
        <v>2334</v>
      </c>
      <c r="D1340" s="79" t="s">
        <v>74</v>
      </c>
      <c r="K1340" s="79"/>
      <c r="L1340" s="79"/>
      <c r="M1340" s="79"/>
      <c r="O1340" s="79"/>
      <c r="Q1340" s="61" t="s">
        <v>72</v>
      </c>
      <c r="AI1340" s="79"/>
      <c r="AJ1340" s="79"/>
      <c r="AK1340" s="79"/>
      <c r="AL1340" s="79"/>
      <c r="AM1340" s="79"/>
      <c r="AN1340" s="79"/>
      <c r="AO1340" s="79"/>
      <c r="AP1340" s="79"/>
      <c r="AQ1340" s="79"/>
      <c r="AR1340" s="79"/>
      <c r="AS1340" s="79"/>
      <c r="AT1340" s="79"/>
      <c r="AU1340" s="79"/>
      <c r="AV1340" s="79"/>
      <c r="AW1340" s="79"/>
      <c r="AX1340" s="79"/>
      <c r="AY1340" s="79"/>
      <c r="BA1340" s="79"/>
      <c r="BH1340" s="79"/>
      <c r="BI1340" s="79"/>
      <c r="BJ1340" s="79"/>
      <c r="BP1340" s="79"/>
    </row>
    <row r="1341" spans="2:68" ht="27">
      <c r="B1341" s="141" t="s">
        <v>2335</v>
      </c>
      <c r="D1341" s="79" t="s">
        <v>74</v>
      </c>
      <c r="K1341" s="79"/>
      <c r="L1341" s="79"/>
      <c r="M1341" s="79"/>
      <c r="O1341" s="79"/>
      <c r="Q1341" s="61" t="s">
        <v>72</v>
      </c>
      <c r="AI1341" s="79"/>
      <c r="AJ1341" s="79"/>
      <c r="AK1341" s="79"/>
      <c r="AL1341" s="79"/>
      <c r="AM1341" s="79"/>
      <c r="AN1341" s="79"/>
      <c r="AO1341" s="79"/>
      <c r="AP1341" s="79"/>
      <c r="AQ1341" s="79"/>
      <c r="AR1341" s="79"/>
      <c r="AS1341" s="79"/>
      <c r="AT1341" s="79"/>
      <c r="AU1341" s="79"/>
      <c r="AV1341" s="79"/>
      <c r="AW1341" s="79"/>
      <c r="AX1341" s="79"/>
      <c r="AY1341" s="79"/>
      <c r="BA1341" s="79"/>
      <c r="BH1341" s="79"/>
      <c r="BI1341" s="79"/>
      <c r="BJ1341" s="79"/>
      <c r="BP1341" s="79"/>
    </row>
    <row r="1342" spans="2:68">
      <c r="B1342" s="141" t="s">
        <v>2336</v>
      </c>
      <c r="D1342" s="79" t="s">
        <v>74</v>
      </c>
      <c r="K1342" s="79"/>
      <c r="L1342" s="79"/>
      <c r="M1342" s="79"/>
      <c r="O1342" s="79"/>
      <c r="Q1342" s="61" t="s">
        <v>72</v>
      </c>
      <c r="AI1342" s="79"/>
      <c r="AJ1342" s="79"/>
      <c r="AK1342" s="79"/>
      <c r="AL1342" s="79"/>
      <c r="AM1342" s="79"/>
      <c r="AN1342" s="79"/>
      <c r="AO1342" s="79"/>
      <c r="AP1342" s="79"/>
      <c r="AQ1342" s="79"/>
      <c r="AR1342" s="79"/>
      <c r="AS1342" s="79"/>
      <c r="AT1342" s="79"/>
      <c r="AU1342" s="79"/>
      <c r="AV1342" s="79"/>
      <c r="AW1342" s="79"/>
      <c r="AX1342" s="79"/>
      <c r="AY1342" s="79"/>
      <c r="BA1342" s="79"/>
      <c r="BH1342" s="79"/>
      <c r="BI1342" s="79"/>
      <c r="BJ1342" s="79"/>
      <c r="BP1342" s="79"/>
    </row>
    <row r="1343" spans="2:68">
      <c r="B1343" s="141" t="s">
        <v>2337</v>
      </c>
      <c r="D1343" s="79" t="s">
        <v>74</v>
      </c>
      <c r="K1343" s="79"/>
      <c r="L1343" s="79"/>
      <c r="M1343" s="79"/>
      <c r="O1343" s="79"/>
      <c r="Q1343" s="61" t="s">
        <v>72</v>
      </c>
      <c r="AI1343" s="79"/>
      <c r="AJ1343" s="79"/>
      <c r="AK1343" s="79"/>
      <c r="AL1343" s="79"/>
      <c r="AM1343" s="79"/>
      <c r="AN1343" s="79"/>
      <c r="AO1343" s="79"/>
      <c r="AP1343" s="79"/>
      <c r="AQ1343" s="79"/>
      <c r="AR1343" s="79"/>
      <c r="AS1343" s="79"/>
      <c r="AT1343" s="79"/>
      <c r="AU1343" s="79"/>
      <c r="AV1343" s="79"/>
      <c r="AW1343" s="79"/>
      <c r="AX1343" s="79"/>
      <c r="AY1343" s="79"/>
      <c r="BA1343" s="79"/>
      <c r="BH1343" s="79"/>
      <c r="BI1343" s="79"/>
      <c r="BJ1343" s="79"/>
      <c r="BP1343" s="79"/>
    </row>
    <row r="1344" spans="2:68">
      <c r="B1344" s="141" t="s">
        <v>2338</v>
      </c>
      <c r="D1344" s="79" t="s">
        <v>74</v>
      </c>
      <c r="K1344" s="79"/>
      <c r="L1344" s="79"/>
      <c r="M1344" s="79"/>
      <c r="O1344" s="79"/>
      <c r="Q1344" s="61" t="s">
        <v>72</v>
      </c>
      <c r="AI1344" s="79"/>
      <c r="AJ1344" s="79"/>
      <c r="AK1344" s="79"/>
      <c r="AL1344" s="79"/>
      <c r="AM1344" s="79"/>
      <c r="AN1344" s="79"/>
      <c r="AO1344" s="79"/>
      <c r="AP1344" s="79"/>
      <c r="AQ1344" s="79"/>
      <c r="AR1344" s="79"/>
      <c r="AS1344" s="79"/>
      <c r="AT1344" s="79"/>
      <c r="AU1344" s="79"/>
      <c r="AV1344" s="79"/>
      <c r="AW1344" s="79"/>
      <c r="AX1344" s="79"/>
      <c r="AY1344" s="79"/>
      <c r="BA1344" s="79"/>
      <c r="BH1344" s="79"/>
      <c r="BI1344" s="79"/>
      <c r="BJ1344" s="79"/>
      <c r="BP1344" s="79"/>
    </row>
    <row r="1345" spans="2:68">
      <c r="B1345" s="141" t="s">
        <v>2339</v>
      </c>
      <c r="D1345" s="79" t="s">
        <v>74</v>
      </c>
      <c r="K1345" s="79"/>
      <c r="L1345" s="79"/>
      <c r="M1345" s="79"/>
      <c r="O1345" s="79"/>
      <c r="Q1345" s="61" t="s">
        <v>72</v>
      </c>
      <c r="AI1345" s="79"/>
      <c r="AJ1345" s="79"/>
      <c r="AK1345" s="79"/>
      <c r="AL1345" s="79"/>
      <c r="AM1345" s="79"/>
      <c r="AN1345" s="79"/>
      <c r="AO1345" s="79"/>
      <c r="AP1345" s="79"/>
      <c r="AQ1345" s="79"/>
      <c r="AR1345" s="79"/>
      <c r="AS1345" s="79"/>
      <c r="AT1345" s="79"/>
      <c r="AU1345" s="79"/>
      <c r="AV1345" s="79"/>
      <c r="AW1345" s="79"/>
      <c r="AX1345" s="79"/>
      <c r="AY1345" s="79"/>
      <c r="BA1345" s="79"/>
      <c r="BH1345" s="79"/>
      <c r="BI1345" s="79"/>
      <c r="BJ1345" s="79"/>
      <c r="BP1345" s="79"/>
    </row>
    <row r="1346" spans="2:68">
      <c r="B1346" s="141" t="s">
        <v>2340</v>
      </c>
      <c r="D1346" s="79" t="s">
        <v>74</v>
      </c>
      <c r="K1346" s="79"/>
      <c r="L1346" s="79"/>
      <c r="M1346" s="79"/>
      <c r="O1346" s="79"/>
      <c r="Q1346" s="61" t="s">
        <v>72</v>
      </c>
      <c r="AI1346" s="79"/>
      <c r="AJ1346" s="79"/>
      <c r="AK1346" s="79"/>
      <c r="AL1346" s="79"/>
      <c r="AM1346" s="79"/>
      <c r="AN1346" s="79"/>
      <c r="AO1346" s="79"/>
      <c r="AP1346" s="79"/>
      <c r="AQ1346" s="79"/>
      <c r="AR1346" s="79"/>
      <c r="AS1346" s="79"/>
      <c r="AT1346" s="79"/>
      <c r="AU1346" s="79"/>
      <c r="AV1346" s="79"/>
      <c r="AW1346" s="79"/>
      <c r="AX1346" s="79"/>
      <c r="AY1346" s="79"/>
      <c r="BA1346" s="79"/>
      <c r="BH1346" s="79"/>
      <c r="BI1346" s="79"/>
      <c r="BJ1346" s="79"/>
      <c r="BP1346" s="79"/>
    </row>
    <row r="1347" spans="2:68">
      <c r="D1347" s="61"/>
      <c r="K1347" s="61"/>
      <c r="L1347" s="61"/>
      <c r="M1347" s="61"/>
      <c r="O1347" s="61"/>
      <c r="AI1347" s="61"/>
      <c r="AJ1347" s="61"/>
      <c r="AK1347" s="61"/>
      <c r="AL1347" s="61"/>
      <c r="AM1347" s="61"/>
      <c r="AN1347" s="61"/>
      <c r="AO1347" s="61"/>
      <c r="AP1347" s="61"/>
      <c r="AQ1347" s="61"/>
      <c r="AR1347" s="61"/>
      <c r="AS1347" s="61"/>
      <c r="AT1347" s="61"/>
      <c r="AU1347" s="61"/>
      <c r="AV1347" s="61"/>
      <c r="AW1347" s="61"/>
      <c r="AX1347" s="61"/>
      <c r="AY1347" s="61"/>
    </row>
    <row r="1348" spans="2:68">
      <c r="B1348" s="141" t="s">
        <v>2341</v>
      </c>
      <c r="D1348" s="61" t="s">
        <v>73</v>
      </c>
      <c r="K1348" s="61"/>
      <c r="L1348" s="61"/>
      <c r="M1348" s="61"/>
      <c r="O1348" s="61"/>
      <c r="Q1348" s="61" t="s">
        <v>72</v>
      </c>
      <c r="AI1348" s="61"/>
      <c r="AJ1348" s="61"/>
      <c r="AK1348" s="61"/>
      <c r="AL1348" s="61"/>
      <c r="AM1348" s="61"/>
      <c r="AN1348" s="61"/>
      <c r="AO1348" s="61"/>
      <c r="AP1348" s="61"/>
      <c r="AQ1348" s="61"/>
      <c r="AR1348" s="61"/>
      <c r="AS1348" s="61"/>
      <c r="AT1348" s="61"/>
      <c r="AU1348" s="61"/>
      <c r="AV1348" s="61"/>
      <c r="AW1348" s="61"/>
      <c r="AX1348" s="61"/>
      <c r="AY1348" s="61"/>
    </row>
    <row r="1349" spans="2:68" ht="27">
      <c r="B1349" s="141" t="s">
        <v>2342</v>
      </c>
      <c r="D1349" s="61" t="s">
        <v>73</v>
      </c>
      <c r="K1349" s="61"/>
      <c r="L1349" s="61"/>
      <c r="M1349" s="61"/>
      <c r="O1349" s="61"/>
      <c r="Q1349" s="61" t="s">
        <v>72</v>
      </c>
      <c r="AI1349" s="61"/>
      <c r="AJ1349" s="61"/>
      <c r="AK1349" s="61"/>
      <c r="AL1349" s="61"/>
      <c r="AM1349" s="61"/>
      <c r="AN1349" s="61"/>
      <c r="AO1349" s="61"/>
      <c r="AP1349" s="61"/>
      <c r="AQ1349" s="61"/>
      <c r="AR1349" s="61"/>
      <c r="AS1349" s="61"/>
      <c r="AT1349" s="61"/>
      <c r="AU1349" s="61"/>
      <c r="AV1349" s="61"/>
      <c r="AW1349" s="61"/>
      <c r="AX1349" s="61"/>
      <c r="AY1349" s="61"/>
    </row>
    <row r="1350" spans="2:68">
      <c r="B1350" s="141" t="s">
        <v>2343</v>
      </c>
      <c r="D1350" s="61" t="s">
        <v>73</v>
      </c>
      <c r="K1350" s="61"/>
      <c r="L1350" s="61"/>
      <c r="M1350" s="61"/>
      <c r="O1350" s="61"/>
      <c r="Q1350" s="61" t="s">
        <v>72</v>
      </c>
      <c r="AI1350" s="61"/>
      <c r="AJ1350" s="61"/>
      <c r="AK1350" s="61"/>
      <c r="AL1350" s="61"/>
      <c r="AM1350" s="61"/>
      <c r="AN1350" s="61"/>
      <c r="AO1350" s="61"/>
      <c r="AP1350" s="61"/>
      <c r="AQ1350" s="61"/>
      <c r="AR1350" s="61"/>
      <c r="AS1350" s="61"/>
      <c r="AT1350" s="61"/>
      <c r="AU1350" s="61"/>
      <c r="AV1350" s="61"/>
      <c r="AW1350" s="61"/>
      <c r="AX1350" s="61"/>
      <c r="AY1350" s="61"/>
    </row>
    <row r="1351" spans="2:68">
      <c r="B1351" s="141" t="s">
        <v>2344</v>
      </c>
      <c r="D1351" s="61" t="s">
        <v>73</v>
      </c>
      <c r="K1351" s="61"/>
      <c r="L1351" s="61"/>
      <c r="M1351" s="61"/>
      <c r="O1351" s="61"/>
      <c r="Q1351" s="61" t="s">
        <v>72</v>
      </c>
      <c r="AI1351" s="61"/>
      <c r="AJ1351" s="61"/>
      <c r="AK1351" s="61"/>
      <c r="AL1351" s="61"/>
      <c r="AM1351" s="61"/>
      <c r="AN1351" s="61"/>
      <c r="AO1351" s="61"/>
      <c r="AP1351" s="61"/>
      <c r="AQ1351" s="61"/>
      <c r="AR1351" s="61"/>
      <c r="AS1351" s="61"/>
      <c r="AT1351" s="61"/>
      <c r="AU1351" s="61"/>
      <c r="AV1351" s="61"/>
      <c r="AW1351" s="61"/>
      <c r="AX1351" s="61"/>
      <c r="AY1351" s="61"/>
    </row>
    <row r="1352" spans="2:68">
      <c r="B1352" s="141" t="s">
        <v>2345</v>
      </c>
      <c r="D1352" s="61" t="s">
        <v>73</v>
      </c>
      <c r="K1352" s="61"/>
      <c r="L1352" s="61"/>
      <c r="M1352" s="61"/>
      <c r="O1352" s="61"/>
      <c r="Q1352" s="61" t="s">
        <v>72</v>
      </c>
      <c r="AI1352" s="61"/>
      <c r="AJ1352" s="61"/>
      <c r="AK1352" s="61"/>
      <c r="AL1352" s="61"/>
      <c r="AM1352" s="61"/>
      <c r="AN1352" s="61"/>
      <c r="AO1352" s="61"/>
      <c r="AP1352" s="61"/>
      <c r="AQ1352" s="61"/>
      <c r="AR1352" s="61"/>
      <c r="AS1352" s="61"/>
      <c r="AT1352" s="61"/>
      <c r="AU1352" s="61"/>
      <c r="AV1352" s="61"/>
      <c r="AW1352" s="61"/>
      <c r="AX1352" s="61"/>
      <c r="AY1352" s="61"/>
    </row>
    <row r="1353" spans="2:68">
      <c r="B1353" s="141" t="s">
        <v>2346</v>
      </c>
      <c r="D1353" s="61" t="s">
        <v>73</v>
      </c>
      <c r="K1353" s="61"/>
      <c r="L1353" s="61"/>
      <c r="M1353" s="61"/>
      <c r="O1353" s="61"/>
      <c r="Q1353" s="61" t="s">
        <v>72</v>
      </c>
      <c r="AI1353" s="61"/>
      <c r="AJ1353" s="61"/>
      <c r="AK1353" s="61"/>
      <c r="AL1353" s="61"/>
      <c r="AM1353" s="61"/>
      <c r="AN1353" s="61"/>
      <c r="AO1353" s="61"/>
      <c r="AP1353" s="61"/>
      <c r="AQ1353" s="61"/>
      <c r="AR1353" s="61"/>
      <c r="AS1353" s="61"/>
      <c r="AT1353" s="61"/>
      <c r="AU1353" s="61"/>
      <c r="AV1353" s="61"/>
      <c r="AW1353" s="61"/>
      <c r="AX1353" s="61"/>
      <c r="AY1353" s="61"/>
    </row>
    <row r="1354" spans="2:68">
      <c r="B1354" s="141" t="s">
        <v>2347</v>
      </c>
      <c r="D1354" s="61" t="s">
        <v>73</v>
      </c>
      <c r="K1354" s="61"/>
      <c r="L1354" s="61"/>
      <c r="M1354" s="61"/>
      <c r="O1354" s="61"/>
      <c r="Q1354" s="61" t="s">
        <v>72</v>
      </c>
      <c r="AI1354" s="61"/>
      <c r="AJ1354" s="61"/>
      <c r="AK1354" s="61"/>
      <c r="AL1354" s="61"/>
      <c r="AM1354" s="61"/>
      <c r="AN1354" s="61"/>
      <c r="AO1354" s="61"/>
      <c r="AP1354" s="61"/>
      <c r="AQ1354" s="61"/>
      <c r="AR1354" s="61"/>
      <c r="AS1354" s="61"/>
      <c r="AT1354" s="61"/>
      <c r="AU1354" s="61"/>
      <c r="AV1354" s="61"/>
      <c r="AW1354" s="61"/>
      <c r="AX1354" s="61"/>
      <c r="AY1354" s="61"/>
    </row>
    <row r="1356" spans="2:68">
      <c r="B1356" s="141" t="s">
        <v>2348</v>
      </c>
    </row>
    <row r="1357" spans="2:68">
      <c r="B1357" s="141" t="s">
        <v>2349</v>
      </c>
    </row>
    <row r="1358" spans="2:68">
      <c r="B1358" s="141" t="s">
        <v>2350</v>
      </c>
    </row>
    <row r="1359" spans="2:68">
      <c r="B1359" s="141" t="s">
        <v>2351</v>
      </c>
    </row>
    <row r="1360" spans="2:68">
      <c r="B1360" s="141" t="s">
        <v>2352</v>
      </c>
    </row>
    <row r="1361" spans="2:2">
      <c r="B1361" s="141" t="s">
        <v>2353</v>
      </c>
    </row>
    <row r="1362" spans="2:2" ht="27">
      <c r="B1362" s="141" t="s">
        <v>2354</v>
      </c>
    </row>
    <row r="1364" spans="2:2">
      <c r="B1364" s="141" t="s">
        <v>2355</v>
      </c>
    </row>
    <row r="1365" spans="2:2" ht="27">
      <c r="B1365" s="141" t="s">
        <v>2356</v>
      </c>
    </row>
    <row r="1366" spans="2:2" ht="27.75">
      <c r="B1366" s="141" t="s">
        <v>2357</v>
      </c>
    </row>
    <row r="1367" spans="2:2" ht="28.5">
      <c r="B1367" s="141" t="s">
        <v>2358</v>
      </c>
    </row>
    <row r="1368" spans="2:2" ht="27.75">
      <c r="B1368" s="141" t="s">
        <v>2359</v>
      </c>
    </row>
    <row r="1370" spans="2:2">
      <c r="B1370" s="141" t="s">
        <v>2360</v>
      </c>
    </row>
    <row r="1371" spans="2:2">
      <c r="B1371" s="141" t="s">
        <v>2361</v>
      </c>
    </row>
    <row r="1372" spans="2:2">
      <c r="B1372" s="141" t="s">
        <v>2312</v>
      </c>
    </row>
    <row r="1373" spans="2:2">
      <c r="B1373" s="141" t="s">
        <v>2313</v>
      </c>
    </row>
    <row r="1374" spans="2:2">
      <c r="B1374" s="141" t="s">
        <v>2314</v>
      </c>
    </row>
    <row r="1375" spans="2:2">
      <c r="B1375" s="141" t="s">
        <v>2315</v>
      </c>
    </row>
    <row r="1376" spans="2:2">
      <c r="B1376" s="141" t="s">
        <v>2316</v>
      </c>
    </row>
    <row r="1378" spans="2:2" ht="27">
      <c r="B1378" s="141" t="s">
        <v>2362</v>
      </c>
    </row>
    <row r="1379" spans="2:2" ht="27">
      <c r="B1379" s="141" t="s">
        <v>2363</v>
      </c>
    </row>
    <row r="1380" spans="2:2">
      <c r="B1380" s="141" t="s">
        <v>2364</v>
      </c>
    </row>
    <row r="1381" spans="2:2" ht="27">
      <c r="B1381" s="141" t="s">
        <v>2365</v>
      </c>
    </row>
    <row r="1382" spans="2:2" ht="27">
      <c r="B1382" s="141" t="s">
        <v>2366</v>
      </c>
    </row>
    <row r="1383" spans="2:2" ht="40.5">
      <c r="B1383" s="141" t="s">
        <v>2367</v>
      </c>
    </row>
    <row r="1384" spans="2:2">
      <c r="B1384" s="141" t="s">
        <v>2368</v>
      </c>
    </row>
    <row r="1385" spans="2:2" ht="27">
      <c r="B1385" s="141" t="s">
        <v>2369</v>
      </c>
    </row>
    <row r="1386" spans="2:2">
      <c r="B1386" s="141" t="s">
        <v>2370</v>
      </c>
    </row>
    <row r="1387" spans="2:2" ht="40.5">
      <c r="B1387" s="141" t="s">
        <v>2371</v>
      </c>
    </row>
    <row r="1388" spans="2:2" ht="27">
      <c r="B1388" s="141" t="s">
        <v>2372</v>
      </c>
    </row>
    <row r="1389" spans="2:2" ht="54">
      <c r="B1389" s="141" t="s">
        <v>2373</v>
      </c>
    </row>
    <row r="1390" spans="2:2" ht="27">
      <c r="B1390" s="141" t="s">
        <v>2374</v>
      </c>
    </row>
    <row r="1391" spans="2:2" ht="27">
      <c r="B1391" s="141" t="s">
        <v>2375</v>
      </c>
    </row>
    <row r="1392" spans="2:2">
      <c r="B1392" s="141" t="s">
        <v>2376</v>
      </c>
    </row>
    <row r="1393" spans="2:2">
      <c r="B1393" s="141" t="s">
        <v>2377</v>
      </c>
    </row>
    <row r="1394" spans="2:2" ht="27">
      <c r="B1394" s="141" t="s">
        <v>2378</v>
      </c>
    </row>
    <row r="1395" spans="2:2" ht="27">
      <c r="B1395" s="141" t="s">
        <v>2379</v>
      </c>
    </row>
    <row r="1396" spans="2:2">
      <c r="B1396" s="141" t="s">
        <v>2380</v>
      </c>
    </row>
    <row r="1397" spans="2:2">
      <c r="B1397" s="141" t="s">
        <v>2381</v>
      </c>
    </row>
    <row r="1398" spans="2:2">
      <c r="B1398" s="141" t="s">
        <v>2382</v>
      </c>
    </row>
    <row r="1399" spans="2:2">
      <c r="B1399" s="141" t="s">
        <v>2383</v>
      </c>
    </row>
    <row r="1400" spans="2:2">
      <c r="B1400" s="141" t="s">
        <v>2384</v>
      </c>
    </row>
    <row r="1401" spans="2:2">
      <c r="B1401" s="141" t="s">
        <v>2385</v>
      </c>
    </row>
    <row r="1402" spans="2:2" ht="27">
      <c r="B1402" s="141" t="s">
        <v>2386</v>
      </c>
    </row>
    <row r="1403" spans="2:2" ht="27">
      <c r="B1403" s="141" t="s">
        <v>2387</v>
      </c>
    </row>
    <row r="1404" spans="2:2" ht="27">
      <c r="B1404" s="141" t="s">
        <v>2388</v>
      </c>
    </row>
    <row r="1405" spans="2:2">
      <c r="B1405" s="141" t="s">
        <v>2389</v>
      </c>
    </row>
    <row r="1406" spans="2:2" ht="27">
      <c r="B1406" s="141" t="s">
        <v>2390</v>
      </c>
    </row>
    <row r="1407" spans="2:2">
      <c r="B1407" s="141" t="s">
        <v>2391</v>
      </c>
    </row>
    <row r="1408" spans="2:2" ht="27">
      <c r="B1408" s="141" t="s">
        <v>2392</v>
      </c>
    </row>
    <row r="1409" spans="2:2" ht="27">
      <c r="B1409" s="141" t="s">
        <v>2393</v>
      </c>
    </row>
    <row r="1410" spans="2:2" ht="27">
      <c r="B1410" s="141" t="s">
        <v>2394</v>
      </c>
    </row>
    <row r="1411" spans="2:2" ht="27">
      <c r="B1411" s="141" t="s">
        <v>2395</v>
      </c>
    </row>
    <row r="1412" spans="2:2" ht="27">
      <c r="B1412" s="141" t="s">
        <v>2396</v>
      </c>
    </row>
    <row r="1413" spans="2:2" ht="27">
      <c r="B1413" s="141" t="s">
        <v>2397</v>
      </c>
    </row>
    <row r="1414" spans="2:2">
      <c r="B1414" s="141" t="s">
        <v>2398</v>
      </c>
    </row>
    <row r="1415" spans="2:2">
      <c r="B1415" s="141" t="s">
        <v>2399</v>
      </c>
    </row>
    <row r="1416" spans="2:2" ht="27">
      <c r="B1416" s="141" t="s">
        <v>2401</v>
      </c>
    </row>
    <row r="1417" spans="2:2">
      <c r="B1417" s="141" t="s">
        <v>2402</v>
      </c>
    </row>
    <row r="1418" spans="2:2">
      <c r="B1418" s="141" t="s">
        <v>1322</v>
      </c>
    </row>
    <row r="1419" spans="2:2">
      <c r="B1419" s="141" t="s">
        <v>2403</v>
      </c>
    </row>
    <row r="1420" spans="2:2">
      <c r="B1420" s="141" t="s">
        <v>2404</v>
      </c>
    </row>
    <row r="1421" spans="2:2" ht="40.5">
      <c r="B1421" s="141" t="s">
        <v>2405</v>
      </c>
    </row>
    <row r="1422" spans="2:2">
      <c r="B1422" s="141" t="s">
        <v>2406</v>
      </c>
    </row>
    <row r="1423" spans="2:2">
      <c r="B1423" s="141" t="s">
        <v>2407</v>
      </c>
    </row>
    <row r="1424" spans="2:2" ht="27">
      <c r="B1424" s="141" t="s">
        <v>2408</v>
      </c>
    </row>
    <row r="1425" spans="2:66" ht="27">
      <c r="B1425" s="141" t="s">
        <v>2409</v>
      </c>
    </row>
    <row r="1426" spans="2:66" ht="27">
      <c r="B1426" s="141" t="s">
        <v>2410</v>
      </c>
    </row>
    <row r="1427" spans="2:66">
      <c r="B1427" s="141" t="s">
        <v>2411</v>
      </c>
    </row>
    <row r="1428" spans="2:66">
      <c r="B1428" s="141" t="s">
        <v>2412</v>
      </c>
      <c r="D1428" s="61" t="s">
        <v>73</v>
      </c>
      <c r="K1428" s="61"/>
      <c r="L1428" s="61"/>
      <c r="M1428" s="61"/>
      <c r="O1428" s="61"/>
      <c r="Q1428" s="61" t="s">
        <v>72</v>
      </c>
      <c r="AI1428" s="61"/>
      <c r="AJ1428" s="61"/>
      <c r="AK1428" s="61"/>
      <c r="AL1428" s="61"/>
      <c r="AM1428" s="61"/>
      <c r="AN1428" s="61"/>
      <c r="AO1428" s="61"/>
      <c r="AP1428" s="61"/>
      <c r="AQ1428" s="61"/>
      <c r="AR1428" s="61"/>
      <c r="AS1428" s="61"/>
      <c r="AT1428" s="61"/>
      <c r="AU1428" s="61"/>
      <c r="AV1428" s="61"/>
      <c r="AW1428" s="61"/>
      <c r="AX1428" s="61"/>
      <c r="AY1428" s="61"/>
      <c r="BK1428" s="61" t="s">
        <v>72</v>
      </c>
      <c r="BL1428" s="61" t="s">
        <v>72</v>
      </c>
      <c r="BN1428" s="61" t="s">
        <v>72</v>
      </c>
    </row>
    <row r="1429" spans="2:66">
      <c r="B1429" s="141" t="s">
        <v>2413</v>
      </c>
      <c r="D1429" s="61" t="s">
        <v>73</v>
      </c>
      <c r="K1429" s="61"/>
      <c r="L1429" s="61"/>
      <c r="M1429" s="61"/>
      <c r="O1429" s="61"/>
      <c r="Q1429" s="61" t="s">
        <v>72</v>
      </c>
      <c r="AI1429" s="61"/>
      <c r="AJ1429" s="61"/>
      <c r="AK1429" s="61"/>
      <c r="AL1429" s="61"/>
      <c r="AM1429" s="61"/>
      <c r="AN1429" s="61"/>
      <c r="AO1429" s="61"/>
      <c r="AP1429" s="61"/>
      <c r="AQ1429" s="61"/>
      <c r="AR1429" s="61"/>
      <c r="AS1429" s="61"/>
      <c r="AT1429" s="61"/>
      <c r="AU1429" s="61"/>
      <c r="AV1429" s="61"/>
      <c r="AW1429" s="61"/>
      <c r="AX1429" s="61"/>
      <c r="AY1429" s="61"/>
      <c r="BK1429" s="61" t="s">
        <v>72</v>
      </c>
      <c r="BL1429" s="61" t="s">
        <v>72</v>
      </c>
      <c r="BN1429" s="61" t="s">
        <v>72</v>
      </c>
    </row>
    <row r="1430" spans="2:66">
      <c r="B1430" s="141" t="s">
        <v>2414</v>
      </c>
      <c r="D1430" s="61" t="s">
        <v>73</v>
      </c>
      <c r="K1430" s="61"/>
      <c r="L1430" s="61"/>
      <c r="M1430" s="61"/>
      <c r="O1430" s="61"/>
      <c r="Q1430" s="61" t="s">
        <v>72</v>
      </c>
      <c r="AI1430" s="61"/>
      <c r="AJ1430" s="61"/>
      <c r="AK1430" s="61"/>
      <c r="AL1430" s="61"/>
      <c r="AM1430" s="61"/>
      <c r="AN1430" s="61"/>
      <c r="AO1430" s="61"/>
      <c r="AP1430" s="61"/>
      <c r="AQ1430" s="61"/>
      <c r="AR1430" s="61"/>
      <c r="AS1430" s="61"/>
      <c r="AT1430" s="61"/>
      <c r="AU1430" s="61"/>
      <c r="AV1430" s="61"/>
      <c r="AW1430" s="61"/>
      <c r="AX1430" s="61"/>
      <c r="AY1430" s="61"/>
      <c r="BK1430" s="61" t="s">
        <v>72</v>
      </c>
      <c r="BL1430" s="61" t="s">
        <v>72</v>
      </c>
      <c r="BN1430" s="61" t="s">
        <v>72</v>
      </c>
    </row>
    <row r="1431" spans="2:66" ht="12.75" customHeight="1">
      <c r="B1431" s="141" t="s">
        <v>2415</v>
      </c>
      <c r="D1431" s="61" t="s">
        <v>73</v>
      </c>
      <c r="K1431" s="61"/>
      <c r="L1431" s="61"/>
      <c r="M1431" s="61"/>
      <c r="O1431" s="61"/>
      <c r="Q1431" s="61" t="s">
        <v>72</v>
      </c>
      <c r="AI1431" s="61"/>
      <c r="AJ1431" s="61"/>
      <c r="AK1431" s="61"/>
      <c r="AL1431" s="61"/>
      <c r="AM1431" s="61"/>
      <c r="AN1431" s="61"/>
      <c r="AO1431" s="61"/>
      <c r="AP1431" s="61"/>
      <c r="AQ1431" s="61"/>
      <c r="AR1431" s="61"/>
      <c r="AS1431" s="61"/>
      <c r="AT1431" s="61"/>
      <c r="AU1431" s="61"/>
      <c r="AV1431" s="61"/>
      <c r="AW1431" s="61"/>
      <c r="AX1431" s="61"/>
      <c r="AY1431" s="61"/>
      <c r="BK1431" s="61" t="s">
        <v>72</v>
      </c>
      <c r="BL1431" s="61" t="s">
        <v>72</v>
      </c>
      <c r="BN1431" s="61" t="s">
        <v>72</v>
      </c>
    </row>
    <row r="1432" spans="2:66" ht="12.75" customHeight="1">
      <c r="B1432" s="141" t="s">
        <v>2416</v>
      </c>
      <c r="D1432" s="61" t="s">
        <v>73</v>
      </c>
      <c r="K1432" s="61"/>
      <c r="L1432" s="61"/>
      <c r="M1432" s="61"/>
      <c r="O1432" s="61"/>
      <c r="Q1432" s="61" t="s">
        <v>72</v>
      </c>
      <c r="AI1432" s="61"/>
      <c r="AJ1432" s="61"/>
      <c r="AK1432" s="61"/>
      <c r="AL1432" s="61"/>
      <c r="AM1432" s="61"/>
      <c r="AN1432" s="61"/>
      <c r="AO1432" s="61"/>
      <c r="AP1432" s="61"/>
      <c r="AQ1432" s="61"/>
      <c r="AR1432" s="61"/>
      <c r="AS1432" s="61"/>
      <c r="AT1432" s="61"/>
      <c r="AU1432" s="61"/>
      <c r="AV1432" s="61"/>
      <c r="AW1432" s="61"/>
      <c r="AX1432" s="61"/>
      <c r="AY1432" s="61"/>
      <c r="BK1432" s="61" t="s">
        <v>72</v>
      </c>
      <c r="BL1432" s="61" t="s">
        <v>72</v>
      </c>
      <c r="BN1432" s="61" t="s">
        <v>72</v>
      </c>
    </row>
    <row r="1433" spans="2:66">
      <c r="B1433" s="141" t="s">
        <v>2417</v>
      </c>
      <c r="D1433" s="61" t="s">
        <v>73</v>
      </c>
      <c r="K1433" s="61"/>
      <c r="L1433" s="61"/>
      <c r="M1433" s="61"/>
      <c r="O1433" s="61"/>
      <c r="Q1433" s="61" t="s">
        <v>72</v>
      </c>
      <c r="AI1433" s="61"/>
      <c r="AJ1433" s="61"/>
      <c r="AK1433" s="61"/>
      <c r="AL1433" s="61"/>
      <c r="AM1433" s="61"/>
      <c r="AN1433" s="61"/>
      <c r="AO1433" s="61"/>
      <c r="AP1433" s="61"/>
      <c r="AQ1433" s="61"/>
      <c r="AR1433" s="61"/>
      <c r="AS1433" s="61"/>
      <c r="AT1433" s="61"/>
      <c r="AU1433" s="61"/>
      <c r="AV1433" s="61"/>
      <c r="AW1433" s="61"/>
      <c r="AX1433" s="61"/>
      <c r="AY1433" s="61"/>
      <c r="BK1433" s="61" t="s">
        <v>72</v>
      </c>
      <c r="BL1433" s="61" t="s">
        <v>72</v>
      </c>
      <c r="BN1433" s="61" t="s">
        <v>72</v>
      </c>
    </row>
    <row r="1434" spans="2:66" ht="27">
      <c r="B1434" s="141" t="s">
        <v>2418</v>
      </c>
      <c r="D1434" s="61" t="s">
        <v>73</v>
      </c>
      <c r="K1434" s="61"/>
      <c r="L1434" s="61"/>
      <c r="M1434" s="61"/>
      <c r="O1434" s="61"/>
      <c r="Q1434" s="61" t="s">
        <v>72</v>
      </c>
      <c r="AI1434" s="61"/>
      <c r="AJ1434" s="61"/>
      <c r="AK1434" s="61"/>
      <c r="AL1434" s="61"/>
      <c r="AM1434" s="61"/>
      <c r="AN1434" s="61"/>
      <c r="AO1434" s="61"/>
      <c r="AP1434" s="61"/>
      <c r="AQ1434" s="61"/>
      <c r="AR1434" s="61"/>
      <c r="AS1434" s="61"/>
      <c r="AT1434" s="61"/>
      <c r="AU1434" s="61"/>
      <c r="AV1434" s="61"/>
      <c r="AW1434" s="61"/>
      <c r="AX1434" s="61"/>
      <c r="AY1434" s="61"/>
      <c r="BK1434" s="61" t="s">
        <v>72</v>
      </c>
      <c r="BL1434" s="61" t="s">
        <v>72</v>
      </c>
      <c r="BN1434" s="61" t="s">
        <v>72</v>
      </c>
    </row>
    <row r="1435" spans="2:66">
      <c r="B1435" s="141" t="s">
        <v>2419</v>
      </c>
      <c r="D1435" s="61" t="s">
        <v>73</v>
      </c>
      <c r="K1435" s="61"/>
      <c r="L1435" s="61"/>
      <c r="M1435" s="61"/>
      <c r="O1435" s="61"/>
      <c r="Q1435" s="61" t="s">
        <v>72</v>
      </c>
      <c r="AI1435" s="61"/>
      <c r="AJ1435" s="61"/>
      <c r="AK1435" s="61"/>
      <c r="AL1435" s="61"/>
      <c r="AM1435" s="61"/>
      <c r="AN1435" s="61"/>
      <c r="AO1435" s="61"/>
      <c r="AP1435" s="61"/>
      <c r="AQ1435" s="61"/>
      <c r="AR1435" s="61"/>
      <c r="AS1435" s="61"/>
      <c r="AT1435" s="61"/>
      <c r="AU1435" s="61"/>
      <c r="AV1435" s="61"/>
      <c r="AW1435" s="61"/>
      <c r="AX1435" s="61"/>
      <c r="AY1435" s="61"/>
      <c r="BK1435" s="61" t="s">
        <v>72</v>
      </c>
      <c r="BL1435" s="61" t="s">
        <v>72</v>
      </c>
      <c r="BN1435" s="61" t="s">
        <v>72</v>
      </c>
    </row>
    <row r="1436" spans="2:66">
      <c r="B1436" s="141" t="s">
        <v>2420</v>
      </c>
      <c r="D1436" s="61" t="s">
        <v>73</v>
      </c>
      <c r="K1436" s="61"/>
      <c r="L1436" s="61"/>
      <c r="M1436" s="61"/>
      <c r="O1436" s="61"/>
      <c r="Q1436" s="61" t="s">
        <v>72</v>
      </c>
      <c r="AI1436" s="61"/>
      <c r="AJ1436" s="61"/>
      <c r="AK1436" s="61"/>
      <c r="AL1436" s="61"/>
      <c r="AM1436" s="61"/>
      <c r="AN1436" s="61"/>
      <c r="AO1436" s="61"/>
      <c r="AP1436" s="61"/>
      <c r="AQ1436" s="61"/>
      <c r="AR1436" s="61"/>
      <c r="AS1436" s="61"/>
      <c r="AT1436" s="61"/>
      <c r="AU1436" s="61"/>
      <c r="AV1436" s="61"/>
      <c r="AW1436" s="61"/>
      <c r="AX1436" s="61"/>
      <c r="AY1436" s="61"/>
      <c r="BK1436" s="61" t="s">
        <v>72</v>
      </c>
      <c r="BL1436" s="61" t="s">
        <v>72</v>
      </c>
      <c r="BN1436" s="61" t="s">
        <v>72</v>
      </c>
    </row>
    <row r="1437" spans="2:66">
      <c r="B1437" s="141" t="s">
        <v>2421</v>
      </c>
      <c r="D1437" s="61" t="s">
        <v>73</v>
      </c>
      <c r="K1437" s="61"/>
      <c r="L1437" s="61"/>
      <c r="M1437" s="61"/>
      <c r="O1437" s="61"/>
      <c r="Q1437" s="61" t="s">
        <v>72</v>
      </c>
      <c r="AI1437" s="61"/>
      <c r="AJ1437" s="61"/>
      <c r="AK1437" s="61"/>
      <c r="AL1437" s="61"/>
      <c r="AM1437" s="61"/>
      <c r="AN1437" s="61"/>
      <c r="AO1437" s="61"/>
      <c r="AP1437" s="61"/>
      <c r="AQ1437" s="61"/>
      <c r="AR1437" s="61"/>
      <c r="AS1437" s="61"/>
      <c r="AT1437" s="61"/>
      <c r="AU1437" s="61"/>
      <c r="AV1437" s="61"/>
      <c r="AW1437" s="61"/>
      <c r="AX1437" s="61"/>
      <c r="AY1437" s="61"/>
      <c r="BK1437" s="61" t="s">
        <v>72</v>
      </c>
      <c r="BL1437" s="61" t="s">
        <v>72</v>
      </c>
      <c r="BN1437" s="61" t="s">
        <v>72</v>
      </c>
    </row>
    <row r="1438" spans="2:66" ht="27">
      <c r="B1438" s="141" t="s">
        <v>2422</v>
      </c>
      <c r="D1438" s="61" t="s">
        <v>73</v>
      </c>
      <c r="K1438" s="61"/>
      <c r="L1438" s="61"/>
      <c r="M1438" s="61"/>
      <c r="O1438" s="61"/>
      <c r="Q1438" s="61" t="s">
        <v>72</v>
      </c>
      <c r="AI1438" s="61"/>
      <c r="AJ1438" s="61"/>
      <c r="AK1438" s="61"/>
      <c r="AL1438" s="61"/>
      <c r="AM1438" s="61"/>
      <c r="AN1438" s="61"/>
      <c r="AO1438" s="61"/>
      <c r="AP1438" s="61"/>
      <c r="AQ1438" s="61"/>
      <c r="AR1438" s="61"/>
      <c r="AS1438" s="61"/>
      <c r="AT1438" s="61"/>
      <c r="AU1438" s="61"/>
      <c r="AV1438" s="61"/>
      <c r="AW1438" s="61"/>
      <c r="AX1438" s="61"/>
      <c r="AY1438" s="61"/>
      <c r="BK1438" s="61" t="s">
        <v>72</v>
      </c>
      <c r="BL1438" s="61" t="s">
        <v>72</v>
      </c>
      <c r="BN1438" s="61" t="s">
        <v>72</v>
      </c>
    </row>
    <row r="1439" spans="2:66" ht="27">
      <c r="B1439" s="141" t="s">
        <v>2423</v>
      </c>
      <c r="D1439" s="61" t="s">
        <v>73</v>
      </c>
      <c r="K1439" s="61"/>
      <c r="L1439" s="61"/>
      <c r="M1439" s="61"/>
      <c r="O1439" s="61"/>
      <c r="Q1439" s="61" t="s">
        <v>72</v>
      </c>
      <c r="AI1439" s="61"/>
      <c r="AJ1439" s="61"/>
      <c r="AK1439" s="61"/>
      <c r="AL1439" s="61"/>
      <c r="AM1439" s="61"/>
      <c r="AN1439" s="61"/>
      <c r="AO1439" s="61"/>
      <c r="AP1439" s="61"/>
      <c r="AQ1439" s="61"/>
      <c r="AR1439" s="61"/>
      <c r="AS1439" s="61"/>
      <c r="AT1439" s="61"/>
      <c r="AU1439" s="61"/>
      <c r="AV1439" s="61"/>
      <c r="AW1439" s="61"/>
      <c r="AX1439" s="61"/>
      <c r="AY1439" s="61"/>
      <c r="BK1439" s="61" t="s">
        <v>72</v>
      </c>
      <c r="BN1439" s="61" t="s">
        <v>72</v>
      </c>
    </row>
    <row r="1440" spans="2:66">
      <c r="B1440" s="141" t="s">
        <v>2424</v>
      </c>
      <c r="D1440" s="61" t="s">
        <v>73</v>
      </c>
      <c r="K1440" s="61"/>
      <c r="L1440" s="61"/>
      <c r="M1440" s="61"/>
      <c r="O1440" s="61"/>
      <c r="Q1440" s="61" t="s">
        <v>72</v>
      </c>
      <c r="AI1440" s="61"/>
      <c r="AJ1440" s="61"/>
      <c r="AK1440" s="61"/>
      <c r="AL1440" s="61"/>
      <c r="AM1440" s="61"/>
      <c r="AN1440" s="61"/>
      <c r="AO1440" s="61"/>
      <c r="AP1440" s="61"/>
      <c r="AQ1440" s="61"/>
      <c r="AR1440" s="61"/>
      <c r="AS1440" s="61"/>
      <c r="AT1440" s="61"/>
      <c r="AU1440" s="61"/>
      <c r="AV1440" s="61"/>
      <c r="AW1440" s="61"/>
      <c r="AX1440" s="61"/>
      <c r="AY1440" s="61"/>
      <c r="BK1440" s="61" t="s">
        <v>72</v>
      </c>
      <c r="BN1440" s="61" t="s">
        <v>72</v>
      </c>
    </row>
    <row r="1441" spans="2:66">
      <c r="B1441" s="141" t="s">
        <v>2425</v>
      </c>
      <c r="D1441" s="61" t="s">
        <v>73</v>
      </c>
      <c r="K1441" s="61"/>
      <c r="L1441" s="61"/>
      <c r="M1441" s="61"/>
      <c r="O1441" s="61"/>
      <c r="Q1441" s="61" t="s">
        <v>72</v>
      </c>
      <c r="AI1441" s="61"/>
      <c r="AJ1441" s="61"/>
      <c r="AK1441" s="61"/>
      <c r="AL1441" s="61"/>
      <c r="AM1441" s="61"/>
      <c r="AN1441" s="61"/>
      <c r="AO1441" s="61"/>
      <c r="AP1441" s="61"/>
      <c r="AQ1441" s="61"/>
      <c r="AR1441" s="61"/>
      <c r="AS1441" s="61"/>
      <c r="AT1441" s="61"/>
      <c r="AU1441" s="61"/>
      <c r="AV1441" s="61"/>
      <c r="AW1441" s="61"/>
      <c r="AX1441" s="61"/>
      <c r="AY1441" s="61"/>
      <c r="BK1441" s="61" t="s">
        <v>72</v>
      </c>
      <c r="BN1441" s="61" t="s">
        <v>72</v>
      </c>
    </row>
    <row r="1442" spans="2:66">
      <c r="B1442" s="141" t="s">
        <v>2426</v>
      </c>
      <c r="D1442" s="61" t="s">
        <v>73</v>
      </c>
      <c r="K1442" s="61"/>
      <c r="L1442" s="61"/>
      <c r="M1442" s="61"/>
      <c r="O1442" s="61"/>
      <c r="Q1442" s="61" t="s">
        <v>72</v>
      </c>
      <c r="AI1442" s="61"/>
      <c r="AJ1442" s="61"/>
      <c r="AK1442" s="61"/>
      <c r="AL1442" s="61"/>
      <c r="AM1442" s="61"/>
      <c r="AN1442" s="61"/>
      <c r="AO1442" s="61"/>
      <c r="AP1442" s="61"/>
      <c r="AQ1442" s="61"/>
      <c r="AR1442" s="61"/>
      <c r="AS1442" s="61"/>
      <c r="AT1442" s="61"/>
      <c r="AU1442" s="61"/>
      <c r="AV1442" s="61"/>
      <c r="AW1442" s="61"/>
      <c r="AX1442" s="61"/>
      <c r="AY1442" s="61"/>
      <c r="BK1442" s="61" t="s">
        <v>72</v>
      </c>
      <c r="BN1442" s="61" t="s">
        <v>72</v>
      </c>
    </row>
    <row r="1443" spans="2:66" ht="27">
      <c r="B1443" s="141" t="s">
        <v>2422</v>
      </c>
      <c r="D1443" s="61" t="s">
        <v>73</v>
      </c>
      <c r="K1443" s="61"/>
      <c r="L1443" s="61"/>
      <c r="M1443" s="61"/>
      <c r="O1443" s="61"/>
      <c r="Q1443" s="61" t="s">
        <v>72</v>
      </c>
      <c r="AI1443" s="61"/>
      <c r="AJ1443" s="61"/>
      <c r="AK1443" s="61"/>
      <c r="AL1443" s="61"/>
      <c r="AM1443" s="61"/>
      <c r="AN1443" s="61"/>
      <c r="AO1443" s="61"/>
      <c r="AP1443" s="61"/>
      <c r="AQ1443" s="61"/>
      <c r="AR1443" s="61"/>
      <c r="AS1443" s="61"/>
      <c r="AT1443" s="61"/>
      <c r="AU1443" s="61"/>
      <c r="AV1443" s="61"/>
      <c r="AW1443" s="61"/>
      <c r="AX1443" s="61"/>
      <c r="AY1443" s="61"/>
      <c r="BK1443" s="61" t="s">
        <v>72</v>
      </c>
      <c r="BN1443" s="61" t="s">
        <v>72</v>
      </c>
    </row>
    <row r="1444" spans="2:66" ht="27">
      <c r="B1444" s="141" t="s">
        <v>2427</v>
      </c>
      <c r="D1444" s="61" t="s">
        <v>73</v>
      </c>
      <c r="K1444" s="61"/>
      <c r="L1444" s="61"/>
      <c r="M1444" s="61"/>
      <c r="O1444" s="61"/>
      <c r="Q1444" s="61" t="s">
        <v>72</v>
      </c>
      <c r="AI1444" s="61"/>
      <c r="AJ1444" s="61"/>
      <c r="AK1444" s="61"/>
      <c r="AL1444" s="61"/>
      <c r="AM1444" s="61"/>
      <c r="AN1444" s="61"/>
      <c r="AO1444" s="61"/>
      <c r="AP1444" s="61"/>
      <c r="AQ1444" s="61"/>
      <c r="AR1444" s="61"/>
      <c r="AS1444" s="61"/>
      <c r="AT1444" s="61"/>
      <c r="AU1444" s="61"/>
      <c r="AV1444" s="61"/>
      <c r="AW1444" s="61"/>
      <c r="AX1444" s="61"/>
      <c r="AY1444" s="61"/>
      <c r="BK1444" s="61" t="s">
        <v>72</v>
      </c>
      <c r="BN1444" s="61" t="s">
        <v>72</v>
      </c>
    </row>
    <row r="1445" spans="2:66">
      <c r="B1445" s="141" t="s">
        <v>2428</v>
      </c>
      <c r="D1445" s="61" t="s">
        <v>73</v>
      </c>
      <c r="K1445" s="61"/>
      <c r="L1445" s="61"/>
      <c r="M1445" s="61"/>
      <c r="O1445" s="61"/>
      <c r="Q1445" s="61" t="s">
        <v>72</v>
      </c>
      <c r="AI1445" s="61"/>
      <c r="AJ1445" s="61"/>
      <c r="AK1445" s="61"/>
      <c r="AL1445" s="61"/>
      <c r="AM1445" s="61"/>
      <c r="AN1445" s="61"/>
      <c r="AO1445" s="61"/>
      <c r="AP1445" s="61"/>
      <c r="AQ1445" s="61"/>
      <c r="AR1445" s="61"/>
      <c r="AS1445" s="61"/>
      <c r="AT1445" s="61"/>
      <c r="AU1445" s="61"/>
      <c r="AV1445" s="61"/>
      <c r="AW1445" s="61"/>
      <c r="AX1445" s="61"/>
      <c r="AY1445" s="61"/>
      <c r="BK1445" s="61" t="s">
        <v>72</v>
      </c>
      <c r="BN1445" s="61" t="s">
        <v>72</v>
      </c>
    </row>
    <row r="1446" spans="2:66">
      <c r="B1446" s="141" t="s">
        <v>2429</v>
      </c>
      <c r="D1446" s="61" t="s">
        <v>73</v>
      </c>
      <c r="K1446" s="61"/>
      <c r="L1446" s="61"/>
      <c r="M1446" s="61"/>
      <c r="O1446" s="61"/>
      <c r="Q1446" s="61" t="s">
        <v>72</v>
      </c>
      <c r="AI1446" s="61"/>
      <c r="AJ1446" s="61"/>
      <c r="AK1446" s="61"/>
      <c r="AL1446" s="61"/>
      <c r="AM1446" s="61"/>
      <c r="AN1446" s="61"/>
      <c r="AO1446" s="61"/>
      <c r="AP1446" s="61"/>
      <c r="AQ1446" s="61"/>
      <c r="AR1446" s="61"/>
      <c r="AS1446" s="61"/>
      <c r="AT1446" s="61"/>
      <c r="AU1446" s="61"/>
      <c r="AV1446" s="61"/>
      <c r="AW1446" s="61"/>
      <c r="AX1446" s="61"/>
      <c r="AY1446" s="61"/>
      <c r="BK1446" s="61" t="s">
        <v>72</v>
      </c>
      <c r="BN1446" s="61" t="s">
        <v>72</v>
      </c>
    </row>
    <row r="1447" spans="2:66">
      <c r="B1447" s="141" t="s">
        <v>2430</v>
      </c>
      <c r="D1447" s="61" t="s">
        <v>73</v>
      </c>
      <c r="K1447" s="61"/>
      <c r="L1447" s="61"/>
      <c r="M1447" s="61"/>
      <c r="O1447" s="61"/>
      <c r="Q1447" s="61" t="s">
        <v>72</v>
      </c>
      <c r="AI1447" s="61"/>
      <c r="AJ1447" s="61"/>
      <c r="AK1447" s="61"/>
      <c r="AL1447" s="61"/>
      <c r="AM1447" s="61"/>
      <c r="AN1447" s="61"/>
      <c r="AO1447" s="61"/>
      <c r="AP1447" s="61"/>
      <c r="AQ1447" s="61"/>
      <c r="AR1447" s="61"/>
      <c r="AS1447" s="61"/>
      <c r="AT1447" s="61"/>
      <c r="AU1447" s="61"/>
      <c r="AV1447" s="61"/>
      <c r="AW1447" s="61"/>
      <c r="AX1447" s="61"/>
      <c r="AY1447" s="61"/>
      <c r="BK1447" s="61" t="s">
        <v>72</v>
      </c>
      <c r="BN1447" s="61" t="s">
        <v>72</v>
      </c>
    </row>
    <row r="1448" spans="2:66">
      <c r="B1448" s="141" t="s">
        <v>2431</v>
      </c>
      <c r="D1448" s="61" t="s">
        <v>73</v>
      </c>
      <c r="K1448" s="61"/>
      <c r="L1448" s="61"/>
      <c r="M1448" s="61"/>
      <c r="O1448" s="61"/>
      <c r="Q1448" s="61" t="s">
        <v>72</v>
      </c>
      <c r="AI1448" s="61"/>
      <c r="AJ1448" s="61"/>
      <c r="AK1448" s="61"/>
      <c r="AL1448" s="61"/>
      <c r="AM1448" s="61"/>
      <c r="AN1448" s="61"/>
      <c r="AO1448" s="61"/>
      <c r="AP1448" s="61"/>
      <c r="AQ1448" s="61"/>
      <c r="AR1448" s="61"/>
      <c r="AS1448" s="61"/>
      <c r="AT1448" s="61"/>
      <c r="AU1448" s="61"/>
      <c r="AV1448" s="61"/>
      <c r="AW1448" s="61"/>
      <c r="AX1448" s="61"/>
      <c r="AY1448" s="61"/>
      <c r="BK1448" s="61" t="s">
        <v>72</v>
      </c>
      <c r="BN1448" s="61" t="s">
        <v>72</v>
      </c>
    </row>
    <row r="1449" spans="2:66" ht="27">
      <c r="B1449" s="141" t="s">
        <v>2432</v>
      </c>
      <c r="D1449" s="61" t="s">
        <v>73</v>
      </c>
      <c r="K1449" s="61"/>
      <c r="L1449" s="61"/>
      <c r="M1449" s="61"/>
      <c r="O1449" s="61"/>
      <c r="Q1449" s="61" t="s">
        <v>72</v>
      </c>
      <c r="AI1449" s="61"/>
      <c r="AJ1449" s="61"/>
      <c r="AK1449" s="61"/>
      <c r="AL1449" s="61"/>
      <c r="AM1449" s="61"/>
      <c r="AN1449" s="61"/>
      <c r="AO1449" s="61"/>
      <c r="AP1449" s="61"/>
      <c r="AQ1449" s="61"/>
      <c r="AR1449" s="61"/>
      <c r="AS1449" s="61"/>
      <c r="AT1449" s="61"/>
      <c r="AU1449" s="61"/>
      <c r="AV1449" s="61"/>
      <c r="AW1449" s="61"/>
      <c r="AX1449" s="61"/>
      <c r="AY1449" s="61"/>
      <c r="BK1449" s="61" t="s">
        <v>72</v>
      </c>
      <c r="BN1449" s="61" t="s">
        <v>72</v>
      </c>
    </row>
    <row r="1450" spans="2:66" ht="27">
      <c r="B1450" s="141" t="s">
        <v>2433</v>
      </c>
      <c r="D1450" s="61" t="s">
        <v>73</v>
      </c>
      <c r="K1450" s="61"/>
      <c r="L1450" s="61"/>
      <c r="M1450" s="61"/>
      <c r="O1450" s="61"/>
      <c r="Q1450" s="61" t="s">
        <v>72</v>
      </c>
      <c r="AI1450" s="61"/>
      <c r="AJ1450" s="61"/>
      <c r="AK1450" s="61"/>
      <c r="AL1450" s="61"/>
      <c r="AM1450" s="61"/>
      <c r="AN1450" s="61"/>
      <c r="AO1450" s="61"/>
      <c r="AP1450" s="61"/>
      <c r="AQ1450" s="61"/>
      <c r="AR1450" s="61"/>
      <c r="AS1450" s="61"/>
      <c r="AT1450" s="61"/>
      <c r="AU1450" s="61"/>
      <c r="AV1450" s="61"/>
      <c r="AW1450" s="61"/>
      <c r="AX1450" s="61"/>
      <c r="AY1450" s="61"/>
      <c r="BK1450" s="61" t="s">
        <v>72</v>
      </c>
      <c r="BN1450" s="61" t="s">
        <v>72</v>
      </c>
    </row>
    <row r="1451" spans="2:66">
      <c r="B1451" s="141" t="s">
        <v>2434</v>
      </c>
      <c r="D1451" s="61" t="s">
        <v>73</v>
      </c>
      <c r="K1451" s="61"/>
      <c r="L1451" s="61"/>
      <c r="M1451" s="61"/>
      <c r="O1451" s="61"/>
      <c r="Q1451" s="61" t="s">
        <v>72</v>
      </c>
      <c r="AI1451" s="61"/>
      <c r="AJ1451" s="61"/>
      <c r="AK1451" s="61"/>
      <c r="AL1451" s="61"/>
      <c r="AM1451" s="61"/>
      <c r="AN1451" s="61"/>
      <c r="AO1451" s="61"/>
      <c r="AP1451" s="61"/>
      <c r="AQ1451" s="61"/>
      <c r="AR1451" s="61"/>
      <c r="AS1451" s="61"/>
      <c r="AT1451" s="61"/>
      <c r="AU1451" s="61"/>
      <c r="AV1451" s="61"/>
      <c r="AW1451" s="61"/>
      <c r="AX1451" s="61"/>
      <c r="AY1451" s="61"/>
      <c r="BK1451" s="61" t="s">
        <v>72</v>
      </c>
      <c r="BN1451" s="61" t="s">
        <v>72</v>
      </c>
    </row>
    <row r="1452" spans="2:66">
      <c r="B1452" s="141" t="s">
        <v>2435</v>
      </c>
      <c r="D1452" s="61" t="s">
        <v>73</v>
      </c>
      <c r="K1452" s="61"/>
      <c r="L1452" s="61"/>
      <c r="M1452" s="61"/>
      <c r="O1452" s="61"/>
      <c r="Q1452" s="61" t="s">
        <v>72</v>
      </c>
      <c r="AI1452" s="61"/>
      <c r="AJ1452" s="61"/>
      <c r="AK1452" s="61"/>
      <c r="AL1452" s="61"/>
      <c r="AM1452" s="61"/>
      <c r="AN1452" s="61"/>
      <c r="AO1452" s="61"/>
      <c r="AP1452" s="61"/>
      <c r="AQ1452" s="61"/>
      <c r="AR1452" s="61"/>
      <c r="AS1452" s="61"/>
      <c r="AT1452" s="61"/>
      <c r="AU1452" s="61"/>
      <c r="AV1452" s="61"/>
      <c r="AW1452" s="61"/>
      <c r="AX1452" s="61"/>
      <c r="AY1452" s="61"/>
      <c r="BK1452" s="61" t="s">
        <v>72</v>
      </c>
      <c r="BN1452" s="61" t="s">
        <v>72</v>
      </c>
    </row>
    <row r="1453" spans="2:66">
      <c r="B1453" s="141" t="s">
        <v>2421</v>
      </c>
      <c r="D1453" s="61" t="s">
        <v>73</v>
      </c>
      <c r="K1453" s="61"/>
      <c r="L1453" s="61"/>
      <c r="M1453" s="61"/>
      <c r="O1453" s="61"/>
      <c r="Q1453" s="61" t="s">
        <v>72</v>
      </c>
      <c r="AI1453" s="61"/>
      <c r="AJ1453" s="61"/>
      <c r="AK1453" s="61"/>
      <c r="AL1453" s="61"/>
      <c r="AM1453" s="61"/>
      <c r="AN1453" s="61"/>
      <c r="AO1453" s="61"/>
      <c r="AP1453" s="61"/>
      <c r="AQ1453" s="61"/>
      <c r="AR1453" s="61"/>
      <c r="AS1453" s="61"/>
      <c r="AT1453" s="61"/>
      <c r="AU1453" s="61"/>
      <c r="AV1453" s="61"/>
      <c r="AW1453" s="61"/>
      <c r="AX1453" s="61"/>
      <c r="AY1453" s="61"/>
      <c r="BK1453" s="61" t="s">
        <v>72</v>
      </c>
      <c r="BN1453" s="61" t="s">
        <v>72</v>
      </c>
    </row>
    <row r="1454" spans="2:66">
      <c r="B1454" s="141" t="s">
        <v>2436</v>
      </c>
      <c r="D1454" s="61" t="s">
        <v>73</v>
      </c>
      <c r="K1454" s="61"/>
      <c r="L1454" s="61"/>
      <c r="M1454" s="61"/>
      <c r="O1454" s="61"/>
      <c r="Q1454" s="61" t="s">
        <v>72</v>
      </c>
      <c r="AI1454" s="61"/>
      <c r="AJ1454" s="61"/>
      <c r="AK1454" s="61"/>
      <c r="AL1454" s="61"/>
      <c r="AM1454" s="61"/>
      <c r="AN1454" s="61"/>
      <c r="AO1454" s="61"/>
      <c r="AP1454" s="61"/>
      <c r="AQ1454" s="61"/>
      <c r="AR1454" s="61"/>
      <c r="AS1454" s="61"/>
      <c r="AT1454" s="61"/>
      <c r="AU1454" s="61"/>
      <c r="AV1454" s="61"/>
      <c r="AW1454" s="61"/>
      <c r="AX1454" s="61"/>
      <c r="AY1454" s="61"/>
      <c r="BK1454" s="61" t="s">
        <v>72</v>
      </c>
      <c r="BN1454" s="61" t="s">
        <v>72</v>
      </c>
    </row>
    <row r="1455" spans="2:66">
      <c r="B1455" s="141" t="s">
        <v>2437</v>
      </c>
      <c r="D1455" s="61" t="s">
        <v>73</v>
      </c>
      <c r="K1455" s="61"/>
      <c r="L1455" s="61"/>
      <c r="M1455" s="61"/>
      <c r="O1455" s="61"/>
      <c r="Q1455" s="61" t="s">
        <v>72</v>
      </c>
      <c r="AI1455" s="61"/>
      <c r="AJ1455" s="61"/>
      <c r="AK1455" s="61"/>
      <c r="AL1455" s="61"/>
      <c r="AM1455" s="61"/>
      <c r="AN1455" s="61"/>
      <c r="AO1455" s="61"/>
      <c r="AP1455" s="61"/>
      <c r="AQ1455" s="61"/>
      <c r="AR1455" s="61"/>
      <c r="AS1455" s="61"/>
      <c r="AT1455" s="61"/>
      <c r="AU1455" s="61"/>
      <c r="AV1455" s="61"/>
      <c r="AW1455" s="61"/>
      <c r="AX1455" s="61"/>
      <c r="AY1455" s="61"/>
      <c r="BK1455" s="61" t="s">
        <v>72</v>
      </c>
      <c r="BN1455" s="61" t="s">
        <v>72</v>
      </c>
    </row>
    <row r="1456" spans="2:66" ht="27">
      <c r="B1456" s="141" t="s">
        <v>2438</v>
      </c>
      <c r="D1456" s="61" t="s">
        <v>73</v>
      </c>
      <c r="K1456" s="61"/>
      <c r="L1456" s="61"/>
      <c r="M1456" s="61"/>
      <c r="O1456" s="61"/>
      <c r="Q1456" s="61" t="s">
        <v>72</v>
      </c>
      <c r="AI1456" s="61"/>
      <c r="AJ1456" s="61"/>
      <c r="AK1456" s="61"/>
      <c r="AL1456" s="61"/>
      <c r="AM1456" s="61"/>
      <c r="AN1456" s="61"/>
      <c r="AO1456" s="61"/>
      <c r="AP1456" s="61"/>
      <c r="AQ1456" s="61"/>
      <c r="AR1456" s="61"/>
      <c r="AS1456" s="61"/>
      <c r="AT1456" s="61"/>
      <c r="AU1456" s="61"/>
      <c r="AV1456" s="61"/>
      <c r="AW1456" s="61"/>
      <c r="AX1456" s="61"/>
      <c r="AY1456" s="61"/>
      <c r="BK1456" s="61" t="s">
        <v>72</v>
      </c>
      <c r="BN1456" s="61" t="s">
        <v>72</v>
      </c>
    </row>
    <row r="1457" spans="2:66">
      <c r="B1457" s="141" t="s">
        <v>2439</v>
      </c>
      <c r="D1457" s="61" t="s">
        <v>73</v>
      </c>
      <c r="K1457" s="61"/>
      <c r="L1457" s="61"/>
      <c r="M1457" s="61"/>
      <c r="O1457" s="61"/>
      <c r="Q1457" s="61" t="s">
        <v>72</v>
      </c>
      <c r="AI1457" s="61"/>
      <c r="AJ1457" s="61"/>
      <c r="AK1457" s="61"/>
      <c r="AL1457" s="61"/>
      <c r="AM1457" s="61"/>
      <c r="AN1457" s="61"/>
      <c r="AO1457" s="61"/>
      <c r="AP1457" s="61"/>
      <c r="AQ1457" s="61"/>
      <c r="AR1457" s="61"/>
      <c r="AS1457" s="61"/>
      <c r="AT1457" s="61"/>
      <c r="AU1457" s="61"/>
      <c r="AV1457" s="61"/>
      <c r="AW1457" s="61"/>
      <c r="AX1457" s="61"/>
      <c r="AY1457" s="61"/>
      <c r="BK1457" s="61" t="s">
        <v>72</v>
      </c>
      <c r="BN1457" s="61" t="s">
        <v>72</v>
      </c>
    </row>
    <row r="1458" spans="2:66">
      <c r="B1458" s="141" t="s">
        <v>2440</v>
      </c>
      <c r="D1458" s="61" t="s">
        <v>73</v>
      </c>
      <c r="K1458" s="61"/>
      <c r="L1458" s="61"/>
      <c r="M1458" s="61"/>
      <c r="O1458" s="61"/>
      <c r="Q1458" s="61" t="s">
        <v>72</v>
      </c>
      <c r="AI1458" s="61"/>
      <c r="AJ1458" s="61"/>
      <c r="AK1458" s="61"/>
      <c r="AL1458" s="61"/>
      <c r="AM1458" s="61"/>
      <c r="AN1458" s="61"/>
      <c r="AO1458" s="61"/>
      <c r="AP1458" s="61"/>
      <c r="AQ1458" s="61"/>
      <c r="AR1458" s="61"/>
      <c r="AS1458" s="61"/>
      <c r="AT1458" s="61"/>
      <c r="AU1458" s="61"/>
      <c r="AV1458" s="61"/>
      <c r="AW1458" s="61"/>
      <c r="AX1458" s="61"/>
      <c r="AY1458" s="61"/>
      <c r="BK1458" s="61" t="s">
        <v>72</v>
      </c>
      <c r="BN1458" s="61" t="s">
        <v>72</v>
      </c>
    </row>
    <row r="1459" spans="2:66">
      <c r="B1459" s="141" t="s">
        <v>2441</v>
      </c>
      <c r="D1459" s="61" t="s">
        <v>73</v>
      </c>
      <c r="K1459" s="61"/>
      <c r="L1459" s="61"/>
      <c r="M1459" s="61"/>
      <c r="O1459" s="61"/>
      <c r="Q1459" s="61" t="s">
        <v>72</v>
      </c>
      <c r="AI1459" s="61"/>
      <c r="AJ1459" s="61"/>
      <c r="AK1459" s="61"/>
      <c r="AL1459" s="61"/>
      <c r="AM1459" s="61"/>
      <c r="AN1459" s="61"/>
      <c r="AO1459" s="61"/>
      <c r="AP1459" s="61"/>
      <c r="AQ1459" s="61"/>
      <c r="AR1459" s="61"/>
      <c r="AS1459" s="61"/>
      <c r="AT1459" s="61"/>
      <c r="AU1459" s="61"/>
      <c r="AV1459" s="61"/>
      <c r="AW1459" s="61"/>
      <c r="AX1459" s="61"/>
      <c r="AY1459" s="61"/>
      <c r="BK1459" s="61" t="s">
        <v>72</v>
      </c>
      <c r="BN1459" s="61" t="s">
        <v>72</v>
      </c>
    </row>
    <row r="1460" spans="2:66">
      <c r="D1460" s="61"/>
      <c r="K1460" s="61"/>
      <c r="L1460" s="61"/>
      <c r="M1460" s="61"/>
      <c r="O1460" s="61"/>
      <c r="Q1460" s="61" t="s">
        <v>72</v>
      </c>
      <c r="AI1460" s="61"/>
      <c r="AJ1460" s="61"/>
      <c r="AK1460" s="61"/>
      <c r="AL1460" s="61"/>
      <c r="AM1460" s="61"/>
      <c r="AN1460" s="61"/>
      <c r="AO1460" s="61"/>
      <c r="AP1460" s="61"/>
      <c r="AQ1460" s="61"/>
      <c r="AR1460" s="61"/>
      <c r="AS1460" s="61"/>
      <c r="AT1460" s="61"/>
      <c r="AU1460" s="61"/>
      <c r="AV1460" s="61"/>
      <c r="AW1460" s="61"/>
      <c r="AX1460" s="61"/>
      <c r="AY1460" s="61"/>
      <c r="BK1460" s="61" t="s">
        <v>72</v>
      </c>
      <c r="BN1460" s="61" t="s">
        <v>72</v>
      </c>
    </row>
    <row r="1461" spans="2:66" ht="16.5">
      <c r="B1461" s="141" t="s">
        <v>2442</v>
      </c>
      <c r="D1461" s="61" t="s">
        <v>73</v>
      </c>
      <c r="K1461" s="61"/>
      <c r="L1461" s="61"/>
      <c r="M1461" s="61"/>
      <c r="O1461" s="61"/>
      <c r="Q1461" s="61" t="s">
        <v>72</v>
      </c>
      <c r="R1461" s="61" t="s">
        <v>72</v>
      </c>
      <c r="AI1461" s="61"/>
      <c r="AJ1461" s="61"/>
      <c r="AK1461" s="61"/>
      <c r="AL1461" s="61"/>
      <c r="AM1461" s="61"/>
      <c r="AN1461" s="61"/>
      <c r="AO1461" s="61"/>
      <c r="AP1461" s="61"/>
      <c r="AQ1461" s="61"/>
      <c r="AR1461" s="61"/>
      <c r="AS1461" s="61"/>
      <c r="AT1461" s="61"/>
      <c r="AU1461" s="61"/>
      <c r="AV1461" s="61"/>
      <c r="AW1461" s="61"/>
      <c r="AX1461" s="61"/>
      <c r="AY1461" s="61"/>
      <c r="BJ1461" s="65" t="s">
        <v>88</v>
      </c>
    </row>
    <row r="1462" spans="2:66" ht="27">
      <c r="B1462" s="141" t="s">
        <v>2443</v>
      </c>
      <c r="D1462" s="61" t="s">
        <v>73</v>
      </c>
      <c r="K1462" s="61"/>
      <c r="L1462" s="61"/>
      <c r="M1462" s="61"/>
      <c r="O1462" s="61"/>
      <c r="AI1462" s="61"/>
      <c r="AJ1462" s="61"/>
      <c r="AK1462" s="61"/>
      <c r="AL1462" s="61"/>
      <c r="AM1462" s="61"/>
      <c r="AN1462" s="61"/>
      <c r="AO1462" s="61"/>
      <c r="AP1462" s="61"/>
      <c r="AQ1462" s="61"/>
      <c r="AR1462" s="61"/>
      <c r="AS1462" s="61"/>
      <c r="AT1462" s="61"/>
      <c r="AU1462" s="61"/>
      <c r="AV1462" s="61"/>
      <c r="AW1462" s="61"/>
      <c r="AX1462" s="61"/>
      <c r="AY1462" s="61"/>
      <c r="BJ1462" s="65" t="s">
        <v>88</v>
      </c>
    </row>
    <row r="1463" spans="2:66" ht="27">
      <c r="B1463" s="141" t="s">
        <v>2444</v>
      </c>
      <c r="D1463" s="61" t="s">
        <v>73</v>
      </c>
      <c r="K1463" s="61"/>
      <c r="L1463" s="61"/>
      <c r="M1463" s="61"/>
      <c r="O1463" s="61"/>
      <c r="AI1463" s="61"/>
      <c r="AJ1463" s="61"/>
      <c r="AK1463" s="61"/>
      <c r="AL1463" s="61"/>
      <c r="AM1463" s="61"/>
      <c r="AN1463" s="61"/>
      <c r="AO1463" s="61"/>
      <c r="AP1463" s="61"/>
      <c r="AQ1463" s="61"/>
      <c r="AR1463" s="61"/>
      <c r="AS1463" s="61"/>
      <c r="AT1463" s="61"/>
      <c r="AU1463" s="61"/>
      <c r="AV1463" s="61"/>
      <c r="AW1463" s="61"/>
      <c r="AX1463" s="61"/>
      <c r="AY1463" s="61"/>
      <c r="BJ1463" s="65" t="s">
        <v>88</v>
      </c>
    </row>
    <row r="1464" spans="2:66" ht="27">
      <c r="B1464" s="141" t="s">
        <v>2445</v>
      </c>
    </row>
    <row r="1465" spans="2:66">
      <c r="B1465" s="141" t="s">
        <v>2446</v>
      </c>
    </row>
    <row r="1467" spans="2:66" ht="27">
      <c r="B1467" s="141" t="s">
        <v>2447</v>
      </c>
      <c r="BG1467" s="80" t="s">
        <v>87</v>
      </c>
    </row>
    <row r="1468" spans="2:66" ht="27">
      <c r="B1468" s="141" t="s">
        <v>2448</v>
      </c>
      <c r="BG1468" s="80" t="s">
        <v>86</v>
      </c>
    </row>
    <row r="1475" spans="2:62">
      <c r="BJ1475" s="81" t="s">
        <v>85</v>
      </c>
    </row>
    <row r="1476" spans="2:62">
      <c r="BJ1476" s="81" t="s">
        <v>84</v>
      </c>
    </row>
    <row r="1477" spans="2:62">
      <c r="BJ1477" s="81" t="s">
        <v>83</v>
      </c>
    </row>
    <row r="1478" spans="2:62">
      <c r="BJ1478" s="81" t="s">
        <v>82</v>
      </c>
    </row>
    <row r="1479" spans="2:62">
      <c r="BJ1479" s="81" t="s">
        <v>81</v>
      </c>
    </row>
    <row r="1480" spans="2:62">
      <c r="BJ1480" s="81" t="s">
        <v>80</v>
      </c>
    </row>
    <row r="1481" spans="2:62">
      <c r="BJ1481" s="81" t="s">
        <v>79</v>
      </c>
    </row>
    <row r="1482" spans="2:62">
      <c r="BJ1482" s="81"/>
    </row>
    <row r="1483" spans="2:62">
      <c r="BJ1483" s="81"/>
    </row>
    <row r="1484" spans="2:62">
      <c r="BJ1484" s="81"/>
    </row>
    <row r="1485" spans="2:62">
      <c r="B1485" s="141" t="s">
        <v>2449</v>
      </c>
      <c r="C1485" s="82"/>
      <c r="D1485" s="82"/>
      <c r="E1485" s="82"/>
      <c r="F1485" s="82"/>
      <c r="G1485" s="82"/>
      <c r="H1485" s="82"/>
      <c r="J1485" s="82"/>
      <c r="K1485" s="82"/>
      <c r="L1485" s="82"/>
      <c r="M1485" s="82"/>
      <c r="N1485" s="82"/>
      <c r="O1485" s="82"/>
      <c r="AI1485" s="82"/>
      <c r="AJ1485" s="82"/>
      <c r="AK1485" s="82"/>
      <c r="AL1485" s="82"/>
      <c r="AM1485" s="82"/>
      <c r="AN1485" s="82"/>
      <c r="AO1485" s="82"/>
      <c r="AP1485" s="82"/>
      <c r="AQ1485" s="82"/>
      <c r="AR1485" s="82"/>
      <c r="AS1485" s="82"/>
      <c r="AT1485" s="82"/>
      <c r="AU1485" s="82"/>
      <c r="AV1485" s="82"/>
      <c r="AW1485" s="82"/>
      <c r="AX1485" s="82"/>
      <c r="AY1485" s="82"/>
      <c r="AZ1485" s="82"/>
      <c r="BB1485" s="82"/>
      <c r="BD1485" s="82"/>
      <c r="BJ1485" s="81"/>
    </row>
    <row r="1486" spans="2:62">
      <c r="B1486" s="141" t="s">
        <v>2450</v>
      </c>
      <c r="C1486" s="82"/>
      <c r="D1486" s="82"/>
      <c r="E1486" s="82"/>
      <c r="F1486" s="82"/>
      <c r="G1486" s="82"/>
      <c r="H1486" s="82"/>
      <c r="J1486" s="82"/>
      <c r="K1486" s="82"/>
      <c r="L1486" s="82"/>
      <c r="M1486" s="82"/>
      <c r="N1486" s="82"/>
      <c r="O1486" s="82"/>
      <c r="AI1486" s="82"/>
      <c r="AJ1486" s="82"/>
      <c r="AK1486" s="82"/>
      <c r="AL1486" s="82"/>
      <c r="AM1486" s="82"/>
      <c r="AN1486" s="82"/>
      <c r="AO1486" s="82"/>
      <c r="AP1486" s="82"/>
      <c r="AQ1486" s="82"/>
      <c r="AR1486" s="82"/>
      <c r="AS1486" s="82"/>
      <c r="AT1486" s="82"/>
      <c r="AU1486" s="82"/>
      <c r="AV1486" s="82"/>
      <c r="AW1486" s="82"/>
      <c r="AX1486" s="82"/>
      <c r="AY1486" s="82"/>
      <c r="AZ1486" s="82"/>
      <c r="BB1486" s="82"/>
      <c r="BD1486" s="82"/>
      <c r="BJ1486" s="81"/>
    </row>
    <row r="1487" spans="2:62" ht="27">
      <c r="B1487" s="141" t="s">
        <v>2451</v>
      </c>
      <c r="C1487" s="82"/>
      <c r="D1487" s="82"/>
      <c r="E1487" s="82"/>
      <c r="F1487" s="82"/>
      <c r="G1487" s="82"/>
      <c r="H1487" s="82"/>
      <c r="J1487" s="82"/>
      <c r="K1487" s="82"/>
      <c r="L1487" s="82"/>
      <c r="M1487" s="82"/>
      <c r="N1487" s="82"/>
      <c r="O1487" s="82"/>
      <c r="AI1487" s="82"/>
      <c r="AJ1487" s="82"/>
      <c r="AK1487" s="82"/>
      <c r="AL1487" s="82"/>
      <c r="AM1487" s="82"/>
      <c r="AN1487" s="82"/>
      <c r="AO1487" s="82"/>
      <c r="AP1487" s="82"/>
      <c r="AQ1487" s="82"/>
      <c r="AR1487" s="82"/>
      <c r="AS1487" s="82"/>
      <c r="AT1487" s="82"/>
      <c r="AU1487" s="82"/>
      <c r="AV1487" s="82"/>
      <c r="AW1487" s="82"/>
      <c r="AX1487" s="82"/>
      <c r="AY1487" s="82"/>
      <c r="AZ1487" s="82"/>
      <c r="BB1487" s="82"/>
      <c r="BD1487" s="82"/>
      <c r="BJ1487" s="81"/>
    </row>
    <row r="1488" spans="2:62" ht="27">
      <c r="B1488" s="141" t="s">
        <v>2452</v>
      </c>
      <c r="C1488" s="82"/>
      <c r="D1488" s="82"/>
      <c r="E1488" s="82"/>
      <c r="F1488" s="82"/>
      <c r="G1488" s="82"/>
      <c r="H1488" s="82"/>
      <c r="J1488" s="82"/>
      <c r="K1488" s="82"/>
      <c r="L1488" s="82"/>
      <c r="M1488" s="82"/>
      <c r="N1488" s="82"/>
      <c r="O1488" s="82"/>
      <c r="AI1488" s="82"/>
      <c r="AJ1488" s="82"/>
      <c r="AK1488" s="82"/>
      <c r="AL1488" s="82"/>
      <c r="AM1488" s="82"/>
      <c r="AN1488" s="82"/>
      <c r="AO1488" s="82"/>
      <c r="AP1488" s="82"/>
      <c r="AQ1488" s="82"/>
      <c r="AR1488" s="82"/>
      <c r="AS1488" s="82"/>
      <c r="AT1488" s="82"/>
      <c r="AU1488" s="82"/>
      <c r="AV1488" s="82"/>
      <c r="AW1488" s="82"/>
      <c r="AX1488" s="82"/>
      <c r="AY1488" s="82"/>
      <c r="AZ1488" s="82"/>
      <c r="BB1488" s="82"/>
      <c r="BD1488" s="82"/>
      <c r="BJ1488" s="81"/>
    </row>
    <row r="1489" spans="2:62">
      <c r="B1489" s="141" t="s">
        <v>2453</v>
      </c>
      <c r="C1489" s="82"/>
      <c r="D1489" s="82"/>
      <c r="E1489" s="82"/>
      <c r="F1489" s="82"/>
      <c r="G1489" s="82"/>
      <c r="H1489" s="82"/>
      <c r="J1489" s="82"/>
      <c r="K1489" s="82"/>
      <c r="L1489" s="82"/>
      <c r="M1489" s="82"/>
      <c r="N1489" s="82"/>
      <c r="O1489" s="82"/>
      <c r="AI1489" s="82"/>
      <c r="AJ1489" s="82"/>
      <c r="AK1489" s="82"/>
      <c r="AL1489" s="82"/>
      <c r="AM1489" s="82"/>
      <c r="AN1489" s="82"/>
      <c r="AO1489" s="82"/>
      <c r="AP1489" s="82"/>
      <c r="AQ1489" s="82"/>
      <c r="AR1489" s="82"/>
      <c r="AS1489" s="82"/>
      <c r="AT1489" s="82"/>
      <c r="AU1489" s="82"/>
      <c r="AV1489" s="82"/>
      <c r="AW1489" s="82"/>
      <c r="AX1489" s="82"/>
      <c r="AY1489" s="82"/>
      <c r="AZ1489" s="82"/>
      <c r="BB1489" s="82"/>
      <c r="BD1489" s="82"/>
      <c r="BJ1489" s="81"/>
    </row>
    <row r="1490" spans="2:62" ht="27">
      <c r="B1490" s="141" t="s">
        <v>2454</v>
      </c>
      <c r="C1490" s="82"/>
      <c r="D1490" s="82"/>
      <c r="E1490" s="82"/>
      <c r="F1490" s="82"/>
      <c r="G1490" s="82"/>
      <c r="H1490" s="82"/>
      <c r="J1490" s="82"/>
      <c r="K1490" s="82"/>
      <c r="L1490" s="82"/>
      <c r="M1490" s="82"/>
      <c r="N1490" s="82"/>
      <c r="O1490" s="82"/>
      <c r="AI1490" s="82"/>
      <c r="AJ1490" s="82"/>
      <c r="AK1490" s="82"/>
      <c r="AL1490" s="82"/>
      <c r="AM1490" s="82"/>
      <c r="AN1490" s="82"/>
      <c r="AO1490" s="82"/>
      <c r="AP1490" s="82"/>
      <c r="AQ1490" s="82"/>
      <c r="AR1490" s="82"/>
      <c r="AS1490" s="82"/>
      <c r="AT1490" s="82"/>
      <c r="AU1490" s="82"/>
      <c r="AV1490" s="82"/>
      <c r="AW1490" s="82"/>
      <c r="AX1490" s="82"/>
      <c r="AY1490" s="82"/>
      <c r="AZ1490" s="82"/>
      <c r="BB1490" s="82"/>
      <c r="BD1490" s="82"/>
      <c r="BJ1490" s="81"/>
    </row>
    <row r="1491" spans="2:62" ht="27">
      <c r="B1491" s="141" t="s">
        <v>2455</v>
      </c>
      <c r="C1491" s="82"/>
      <c r="D1491" s="82"/>
      <c r="E1491" s="82"/>
      <c r="F1491" s="82"/>
      <c r="G1491" s="82"/>
      <c r="H1491" s="82"/>
      <c r="J1491" s="82"/>
      <c r="K1491" s="82"/>
      <c r="L1491" s="82"/>
      <c r="M1491" s="82"/>
      <c r="N1491" s="82"/>
      <c r="O1491" s="82"/>
      <c r="AI1491" s="82"/>
      <c r="AJ1491" s="82"/>
      <c r="AK1491" s="82"/>
      <c r="AL1491" s="82"/>
      <c r="AM1491" s="82"/>
      <c r="AN1491" s="82"/>
      <c r="AO1491" s="82"/>
      <c r="AP1491" s="82"/>
      <c r="AQ1491" s="82"/>
      <c r="AR1491" s="82"/>
      <c r="AS1491" s="82"/>
      <c r="AT1491" s="82"/>
      <c r="AU1491" s="82"/>
      <c r="AV1491" s="82"/>
      <c r="AW1491" s="82"/>
      <c r="AX1491" s="82"/>
      <c r="AY1491" s="82"/>
      <c r="AZ1491" s="82"/>
      <c r="BB1491" s="82"/>
      <c r="BD1491" s="82"/>
      <c r="BJ1491" s="81"/>
    </row>
    <row r="1492" spans="2:62" ht="27">
      <c r="B1492" s="141" t="s">
        <v>2456</v>
      </c>
      <c r="C1492" s="82"/>
      <c r="D1492" s="82"/>
      <c r="E1492" s="82"/>
      <c r="F1492" s="82"/>
      <c r="G1492" s="82"/>
      <c r="H1492" s="82"/>
      <c r="J1492" s="82"/>
      <c r="K1492" s="82"/>
      <c r="L1492" s="82"/>
      <c r="M1492" s="82"/>
      <c r="N1492" s="82"/>
      <c r="O1492" s="82"/>
      <c r="AI1492" s="82"/>
      <c r="AJ1492" s="82"/>
      <c r="AK1492" s="82"/>
      <c r="AL1492" s="82"/>
      <c r="AM1492" s="82"/>
      <c r="AN1492" s="82"/>
      <c r="AO1492" s="82"/>
      <c r="AP1492" s="82"/>
      <c r="AQ1492" s="82"/>
      <c r="AR1492" s="82"/>
      <c r="AS1492" s="82"/>
      <c r="AT1492" s="82"/>
      <c r="AU1492" s="82"/>
      <c r="AV1492" s="82"/>
      <c r="AW1492" s="82"/>
      <c r="AX1492" s="82"/>
      <c r="AY1492" s="82"/>
      <c r="AZ1492" s="82"/>
      <c r="BB1492" s="82"/>
      <c r="BD1492" s="82"/>
      <c r="BJ1492" s="81"/>
    </row>
    <row r="1493" spans="2:62">
      <c r="B1493" s="141" t="s">
        <v>2457</v>
      </c>
      <c r="C1493" s="82"/>
      <c r="D1493" s="82"/>
      <c r="E1493" s="82"/>
      <c r="F1493" s="82"/>
      <c r="G1493" s="82"/>
      <c r="H1493" s="82"/>
      <c r="J1493" s="82"/>
      <c r="K1493" s="82"/>
      <c r="L1493" s="82"/>
      <c r="M1493" s="82"/>
      <c r="N1493" s="82"/>
      <c r="O1493" s="82"/>
      <c r="AI1493" s="82"/>
      <c r="AJ1493" s="82"/>
      <c r="AK1493" s="82"/>
      <c r="AL1493" s="82"/>
      <c r="AM1493" s="82"/>
      <c r="AN1493" s="82"/>
      <c r="AO1493" s="82"/>
      <c r="AP1493" s="82"/>
      <c r="AQ1493" s="82"/>
      <c r="AR1493" s="82"/>
      <c r="AS1493" s="82"/>
      <c r="AT1493" s="82"/>
      <c r="AU1493" s="82"/>
      <c r="AV1493" s="82"/>
      <c r="AW1493" s="82"/>
      <c r="AX1493" s="82"/>
      <c r="AY1493" s="82"/>
      <c r="AZ1493" s="82"/>
      <c r="BB1493" s="82"/>
      <c r="BD1493" s="82"/>
      <c r="BJ1493" s="81"/>
    </row>
    <row r="1494" spans="2:62">
      <c r="B1494" s="141" t="s">
        <v>2458</v>
      </c>
      <c r="C1494" s="82"/>
      <c r="D1494" s="82"/>
      <c r="E1494" s="82"/>
      <c r="F1494" s="82"/>
      <c r="G1494" s="82"/>
      <c r="H1494" s="82"/>
      <c r="J1494" s="82"/>
      <c r="K1494" s="82"/>
      <c r="L1494" s="82"/>
      <c r="M1494" s="82"/>
      <c r="N1494" s="82"/>
      <c r="O1494" s="82"/>
      <c r="AI1494" s="82"/>
      <c r="AJ1494" s="82"/>
      <c r="AK1494" s="82"/>
      <c r="AL1494" s="82"/>
      <c r="AM1494" s="82"/>
      <c r="AN1494" s="82"/>
      <c r="AO1494" s="82"/>
      <c r="AP1494" s="82"/>
      <c r="AQ1494" s="82"/>
      <c r="AR1494" s="82"/>
      <c r="AS1494" s="82"/>
      <c r="AT1494" s="82"/>
      <c r="AU1494" s="82"/>
      <c r="AV1494" s="82"/>
      <c r="AW1494" s="82"/>
      <c r="AX1494" s="82"/>
      <c r="AY1494" s="82"/>
      <c r="AZ1494" s="82"/>
      <c r="BB1494" s="82"/>
      <c r="BD1494" s="82"/>
      <c r="BJ1494" s="81"/>
    </row>
    <row r="1495" spans="2:62">
      <c r="C1495" s="82"/>
      <c r="D1495" s="82"/>
      <c r="E1495" s="82"/>
      <c r="F1495" s="82"/>
      <c r="G1495" s="82"/>
      <c r="H1495" s="82"/>
      <c r="J1495" s="82"/>
      <c r="K1495" s="82"/>
      <c r="L1495" s="82"/>
      <c r="M1495" s="82"/>
      <c r="N1495" s="82"/>
      <c r="O1495" s="82"/>
      <c r="AI1495" s="82"/>
      <c r="AJ1495" s="82"/>
      <c r="AK1495" s="82"/>
      <c r="AL1495" s="82"/>
      <c r="AM1495" s="82"/>
      <c r="AN1495" s="82"/>
      <c r="AO1495" s="82"/>
      <c r="AP1495" s="82"/>
      <c r="AQ1495" s="82"/>
      <c r="AR1495" s="82"/>
      <c r="AS1495" s="82"/>
      <c r="AT1495" s="82"/>
      <c r="AU1495" s="82"/>
      <c r="AV1495" s="82"/>
      <c r="AW1495" s="82"/>
      <c r="AX1495" s="82"/>
      <c r="AY1495" s="82"/>
      <c r="AZ1495" s="82"/>
      <c r="BB1495" s="82"/>
      <c r="BD1495" s="82"/>
      <c r="BJ1495" s="81"/>
    </row>
    <row r="1496" spans="2:62">
      <c r="B1496" s="141" t="s">
        <v>2459</v>
      </c>
      <c r="C1496" s="82"/>
      <c r="D1496" s="82"/>
      <c r="E1496" s="82"/>
      <c r="F1496" s="82"/>
      <c r="G1496" s="82"/>
      <c r="H1496" s="82"/>
      <c r="J1496" s="82"/>
      <c r="K1496" s="82"/>
      <c r="L1496" s="82"/>
      <c r="M1496" s="82"/>
      <c r="N1496" s="82"/>
      <c r="O1496" s="82"/>
      <c r="AI1496" s="82"/>
      <c r="AJ1496" s="82"/>
      <c r="AK1496" s="82"/>
      <c r="AL1496" s="82"/>
      <c r="AM1496" s="82"/>
      <c r="AN1496" s="82"/>
      <c r="AO1496" s="82"/>
      <c r="AP1496" s="82"/>
      <c r="AQ1496" s="82"/>
      <c r="AR1496" s="82"/>
      <c r="AS1496" s="82"/>
      <c r="AT1496" s="82"/>
      <c r="AU1496" s="82"/>
      <c r="AV1496" s="82"/>
      <c r="AW1496" s="82"/>
      <c r="AX1496" s="82"/>
      <c r="AY1496" s="82"/>
      <c r="AZ1496" s="82"/>
      <c r="BB1496" s="82"/>
      <c r="BD1496" s="82"/>
      <c r="BJ1496" s="81"/>
    </row>
    <row r="1497" spans="2:62">
      <c r="B1497" s="141" t="s">
        <v>2460</v>
      </c>
      <c r="C1497" s="82"/>
      <c r="D1497" s="82"/>
      <c r="E1497" s="82"/>
      <c r="F1497" s="82"/>
      <c r="G1497" s="82"/>
      <c r="H1497" s="82"/>
      <c r="J1497" s="82"/>
      <c r="K1497" s="82"/>
      <c r="L1497" s="82"/>
      <c r="M1497" s="82"/>
      <c r="N1497" s="82"/>
      <c r="O1497" s="82"/>
      <c r="AI1497" s="82"/>
      <c r="AJ1497" s="82"/>
      <c r="AK1497" s="82"/>
      <c r="AL1497" s="82"/>
      <c r="AM1497" s="82"/>
      <c r="AN1497" s="82"/>
      <c r="AO1497" s="82"/>
      <c r="AP1497" s="82"/>
      <c r="AQ1497" s="82"/>
      <c r="AR1497" s="82"/>
      <c r="AS1497" s="82"/>
      <c r="AT1497" s="82"/>
      <c r="AU1497" s="82"/>
      <c r="AV1497" s="82"/>
      <c r="AW1497" s="82"/>
      <c r="AX1497" s="82"/>
      <c r="AY1497" s="82"/>
      <c r="AZ1497" s="82"/>
      <c r="BB1497" s="82"/>
      <c r="BD1497" s="82"/>
      <c r="BJ1497" s="81"/>
    </row>
    <row r="1498" spans="2:62">
      <c r="C1498" s="82"/>
      <c r="D1498" s="82"/>
      <c r="E1498" s="82"/>
      <c r="F1498" s="82"/>
      <c r="G1498" s="82"/>
      <c r="H1498" s="82"/>
      <c r="J1498" s="82"/>
      <c r="K1498" s="82"/>
      <c r="L1498" s="82"/>
      <c r="M1498" s="82"/>
      <c r="N1498" s="82"/>
      <c r="O1498" s="82"/>
      <c r="AI1498" s="82"/>
      <c r="AJ1498" s="82"/>
      <c r="AK1498" s="82"/>
      <c r="AL1498" s="82"/>
      <c r="AM1498" s="82"/>
      <c r="AN1498" s="82"/>
      <c r="AO1498" s="82"/>
      <c r="AP1498" s="82"/>
      <c r="AQ1498" s="82"/>
      <c r="AR1498" s="82"/>
      <c r="AS1498" s="82"/>
      <c r="AT1498" s="82"/>
      <c r="AU1498" s="82"/>
      <c r="AV1498" s="82"/>
      <c r="AW1498" s="82"/>
      <c r="AX1498" s="82"/>
      <c r="AY1498" s="82"/>
      <c r="AZ1498" s="82"/>
      <c r="BB1498" s="82"/>
      <c r="BD1498" s="82"/>
      <c r="BJ1498" s="81"/>
    </row>
    <row r="1499" spans="2:62">
      <c r="C1499" s="82"/>
      <c r="D1499" s="82"/>
      <c r="E1499" s="82"/>
      <c r="F1499" s="82"/>
      <c r="G1499" s="82"/>
      <c r="H1499" s="82"/>
      <c r="J1499" s="82"/>
      <c r="K1499" s="82"/>
      <c r="L1499" s="82"/>
      <c r="M1499" s="82"/>
      <c r="N1499" s="82"/>
      <c r="O1499" s="82"/>
      <c r="AI1499" s="82"/>
      <c r="AJ1499" s="82"/>
      <c r="AK1499" s="82"/>
      <c r="AL1499" s="82"/>
      <c r="AM1499" s="82"/>
      <c r="AN1499" s="82"/>
      <c r="AO1499" s="82"/>
      <c r="AP1499" s="82"/>
      <c r="AQ1499" s="82"/>
      <c r="AR1499" s="82"/>
      <c r="AS1499" s="82"/>
      <c r="AT1499" s="82"/>
      <c r="AU1499" s="82"/>
      <c r="AV1499" s="82"/>
      <c r="AW1499" s="82"/>
      <c r="AX1499" s="82"/>
      <c r="AY1499" s="82"/>
      <c r="AZ1499" s="82"/>
      <c r="BB1499" s="82"/>
      <c r="BD1499" s="82"/>
      <c r="BJ1499" s="81"/>
    </row>
    <row r="1500" spans="2:62">
      <c r="B1500" s="141" t="s">
        <v>2461</v>
      </c>
      <c r="C1500" s="82"/>
      <c r="D1500" s="82"/>
      <c r="E1500" s="82"/>
      <c r="F1500" s="82"/>
      <c r="G1500" s="82"/>
      <c r="H1500" s="82"/>
      <c r="J1500" s="82"/>
      <c r="K1500" s="82"/>
      <c r="L1500" s="82"/>
      <c r="M1500" s="82"/>
      <c r="N1500" s="82"/>
      <c r="O1500" s="82"/>
      <c r="AI1500" s="82"/>
      <c r="AJ1500" s="82"/>
      <c r="AK1500" s="82"/>
      <c r="AL1500" s="82"/>
      <c r="AM1500" s="82"/>
      <c r="AN1500" s="82"/>
      <c r="AO1500" s="82"/>
      <c r="AP1500" s="82"/>
      <c r="AQ1500" s="82"/>
      <c r="AR1500" s="82"/>
      <c r="AS1500" s="82"/>
      <c r="AT1500" s="82"/>
      <c r="AU1500" s="82"/>
      <c r="AV1500" s="82"/>
      <c r="AW1500" s="82"/>
      <c r="AX1500" s="82"/>
      <c r="AY1500" s="82"/>
      <c r="AZ1500" s="82"/>
      <c r="BB1500" s="82"/>
      <c r="BD1500" s="82"/>
      <c r="BJ1500" s="81"/>
    </row>
    <row r="1501" spans="2:62">
      <c r="B1501" s="141" t="s">
        <v>2462</v>
      </c>
      <c r="C1501" s="82"/>
      <c r="D1501" s="82"/>
      <c r="E1501" s="82"/>
      <c r="F1501" s="82"/>
      <c r="G1501" s="82"/>
      <c r="H1501" s="82"/>
      <c r="J1501" s="82"/>
      <c r="K1501" s="82"/>
      <c r="L1501" s="82"/>
      <c r="M1501" s="82"/>
      <c r="N1501" s="82"/>
      <c r="O1501" s="82"/>
      <c r="AI1501" s="82"/>
      <c r="AJ1501" s="82"/>
      <c r="AK1501" s="82"/>
      <c r="AL1501" s="82"/>
      <c r="AM1501" s="82"/>
      <c r="AN1501" s="82"/>
      <c r="AO1501" s="82"/>
      <c r="AP1501" s="82"/>
      <c r="AQ1501" s="82"/>
      <c r="AR1501" s="82"/>
      <c r="AS1501" s="82"/>
      <c r="AT1501" s="82"/>
      <c r="AU1501" s="82"/>
      <c r="AV1501" s="82"/>
      <c r="AW1501" s="82"/>
      <c r="AX1501" s="82"/>
      <c r="AY1501" s="82"/>
      <c r="AZ1501" s="82"/>
      <c r="BB1501" s="82"/>
      <c r="BD1501" s="82"/>
      <c r="BJ1501" s="81"/>
    </row>
    <row r="1502" spans="2:62">
      <c r="B1502" s="141" t="s">
        <v>2463</v>
      </c>
      <c r="C1502" s="82"/>
      <c r="D1502" s="82"/>
      <c r="E1502" s="82"/>
      <c r="F1502" s="82"/>
      <c r="G1502" s="82"/>
      <c r="H1502" s="82"/>
      <c r="J1502" s="82"/>
      <c r="K1502" s="82"/>
      <c r="L1502" s="82"/>
      <c r="M1502" s="82"/>
      <c r="N1502" s="82"/>
      <c r="O1502" s="82"/>
      <c r="AI1502" s="82"/>
      <c r="AJ1502" s="82"/>
      <c r="AK1502" s="82"/>
      <c r="AL1502" s="82"/>
      <c r="AM1502" s="82"/>
      <c r="AN1502" s="82"/>
      <c r="AO1502" s="82"/>
      <c r="AP1502" s="82"/>
      <c r="AQ1502" s="82"/>
      <c r="AR1502" s="82"/>
      <c r="AS1502" s="82"/>
      <c r="AT1502" s="82"/>
      <c r="AU1502" s="82"/>
      <c r="AV1502" s="82"/>
      <c r="AW1502" s="82"/>
      <c r="AX1502" s="82"/>
      <c r="AY1502" s="82"/>
      <c r="AZ1502" s="82"/>
      <c r="BB1502" s="82"/>
      <c r="BD1502" s="82"/>
      <c r="BJ1502" s="81"/>
    </row>
    <row r="1503" spans="2:62">
      <c r="B1503" s="141" t="s">
        <v>2464</v>
      </c>
      <c r="C1503" s="82"/>
      <c r="D1503" s="82"/>
      <c r="E1503" s="82"/>
      <c r="F1503" s="82"/>
      <c r="G1503" s="82"/>
      <c r="H1503" s="82"/>
      <c r="J1503" s="82"/>
      <c r="K1503" s="82"/>
      <c r="L1503" s="82"/>
      <c r="M1503" s="82"/>
      <c r="N1503" s="82"/>
      <c r="O1503" s="82"/>
      <c r="AI1503" s="82"/>
      <c r="AJ1503" s="82"/>
      <c r="AK1503" s="82"/>
      <c r="AL1503" s="82"/>
      <c r="AM1503" s="82"/>
      <c r="AN1503" s="82"/>
      <c r="AO1503" s="82"/>
      <c r="AP1503" s="82"/>
      <c r="AQ1503" s="82"/>
      <c r="AR1503" s="82"/>
      <c r="AS1503" s="82"/>
      <c r="AT1503" s="82"/>
      <c r="AU1503" s="82"/>
      <c r="AV1503" s="82"/>
      <c r="AW1503" s="82"/>
      <c r="AX1503" s="82"/>
      <c r="AY1503" s="82"/>
      <c r="AZ1503" s="82"/>
      <c r="BB1503" s="82"/>
      <c r="BD1503" s="82"/>
      <c r="BJ1503" s="81"/>
    </row>
    <row r="1504" spans="2:62">
      <c r="B1504" s="141" t="s">
        <v>2465</v>
      </c>
      <c r="C1504" s="82"/>
      <c r="D1504" s="82"/>
      <c r="E1504" s="82"/>
      <c r="F1504" s="82"/>
      <c r="G1504" s="82"/>
      <c r="H1504" s="82"/>
      <c r="J1504" s="82"/>
      <c r="K1504" s="82"/>
      <c r="L1504" s="82"/>
      <c r="M1504" s="82"/>
      <c r="N1504" s="82"/>
      <c r="O1504" s="82"/>
      <c r="AI1504" s="82"/>
      <c r="AJ1504" s="82"/>
      <c r="AK1504" s="82"/>
      <c r="AL1504" s="82"/>
      <c r="AM1504" s="82"/>
      <c r="AN1504" s="82"/>
      <c r="AO1504" s="82"/>
      <c r="AP1504" s="82"/>
      <c r="AQ1504" s="82"/>
      <c r="AR1504" s="82"/>
      <c r="AS1504" s="82"/>
      <c r="AT1504" s="82"/>
      <c r="AU1504" s="82"/>
      <c r="AV1504" s="82"/>
      <c r="AW1504" s="82"/>
      <c r="AX1504" s="82"/>
      <c r="AY1504" s="82"/>
      <c r="AZ1504" s="82"/>
      <c r="BB1504" s="82"/>
      <c r="BD1504" s="82"/>
      <c r="BJ1504" s="81"/>
    </row>
    <row r="1505" spans="2:62">
      <c r="B1505" s="141" t="s">
        <v>2466</v>
      </c>
      <c r="C1505" s="82"/>
      <c r="D1505" s="82"/>
      <c r="E1505" s="82"/>
      <c r="F1505" s="82"/>
      <c r="G1505" s="82"/>
      <c r="H1505" s="82"/>
      <c r="J1505" s="82"/>
      <c r="K1505" s="82"/>
      <c r="L1505" s="82"/>
      <c r="M1505" s="82"/>
      <c r="N1505" s="82"/>
      <c r="O1505" s="82"/>
      <c r="AI1505" s="82"/>
      <c r="AJ1505" s="82"/>
      <c r="AK1505" s="82"/>
      <c r="AL1505" s="82"/>
      <c r="AM1505" s="82"/>
      <c r="AN1505" s="82"/>
      <c r="AO1505" s="82"/>
      <c r="AP1505" s="82"/>
      <c r="AQ1505" s="82"/>
      <c r="AR1505" s="82"/>
      <c r="AS1505" s="82"/>
      <c r="AT1505" s="82"/>
      <c r="AU1505" s="82"/>
      <c r="AV1505" s="82"/>
      <c r="AW1505" s="82"/>
      <c r="AX1505" s="82"/>
      <c r="AY1505" s="82"/>
      <c r="AZ1505" s="82"/>
      <c r="BB1505" s="82"/>
      <c r="BD1505" s="82"/>
      <c r="BJ1505" s="81"/>
    </row>
    <row r="1506" spans="2:62">
      <c r="B1506" s="141" t="s">
        <v>2467</v>
      </c>
      <c r="C1506" s="82"/>
      <c r="D1506" s="82"/>
      <c r="E1506" s="82"/>
      <c r="F1506" s="82"/>
      <c r="G1506" s="82"/>
      <c r="H1506" s="82"/>
      <c r="J1506" s="82"/>
      <c r="K1506" s="82"/>
      <c r="L1506" s="82"/>
      <c r="M1506" s="82"/>
      <c r="N1506" s="82"/>
      <c r="O1506" s="82"/>
      <c r="AI1506" s="82"/>
      <c r="AJ1506" s="82"/>
      <c r="AK1506" s="82"/>
      <c r="AL1506" s="82"/>
      <c r="AM1506" s="82"/>
      <c r="AN1506" s="82"/>
      <c r="AO1506" s="82"/>
      <c r="AP1506" s="82"/>
      <c r="AQ1506" s="82"/>
      <c r="AR1506" s="82"/>
      <c r="AS1506" s="82"/>
      <c r="AT1506" s="82"/>
      <c r="AU1506" s="82"/>
      <c r="AV1506" s="82"/>
      <c r="AW1506" s="82"/>
      <c r="AX1506" s="82"/>
      <c r="AY1506" s="82"/>
      <c r="AZ1506" s="82"/>
      <c r="BB1506" s="82"/>
      <c r="BD1506" s="82"/>
      <c r="BJ1506" s="81"/>
    </row>
    <row r="1507" spans="2:62">
      <c r="B1507" s="141" t="s">
        <v>2468</v>
      </c>
      <c r="C1507" s="82"/>
      <c r="D1507" s="82"/>
      <c r="E1507" s="82"/>
      <c r="F1507" s="82"/>
      <c r="G1507" s="82"/>
      <c r="H1507" s="82"/>
      <c r="J1507" s="82"/>
      <c r="K1507" s="82"/>
      <c r="L1507" s="82"/>
      <c r="M1507" s="82"/>
      <c r="N1507" s="82"/>
      <c r="O1507" s="82"/>
      <c r="AI1507" s="82"/>
      <c r="AJ1507" s="82"/>
      <c r="AK1507" s="82"/>
      <c r="AL1507" s="82"/>
      <c r="AM1507" s="82"/>
      <c r="AN1507" s="82"/>
      <c r="AO1507" s="82"/>
      <c r="AP1507" s="82"/>
      <c r="AQ1507" s="82"/>
      <c r="AR1507" s="82"/>
      <c r="AS1507" s="82"/>
      <c r="AT1507" s="82"/>
      <c r="AU1507" s="82"/>
      <c r="AV1507" s="82"/>
      <c r="AW1507" s="82"/>
      <c r="AX1507" s="82"/>
      <c r="AY1507" s="82"/>
      <c r="AZ1507" s="82"/>
      <c r="BB1507" s="82"/>
      <c r="BD1507" s="82"/>
      <c r="BJ1507" s="81"/>
    </row>
    <row r="1508" spans="2:62">
      <c r="B1508" s="141" t="s">
        <v>2469</v>
      </c>
      <c r="C1508" s="82"/>
      <c r="D1508" s="82"/>
      <c r="E1508" s="82"/>
      <c r="F1508" s="82"/>
      <c r="G1508" s="82"/>
      <c r="H1508" s="82"/>
      <c r="J1508" s="82"/>
      <c r="K1508" s="82"/>
      <c r="L1508" s="82"/>
      <c r="M1508" s="82"/>
      <c r="N1508" s="82"/>
      <c r="O1508" s="82"/>
      <c r="AI1508" s="82"/>
      <c r="AJ1508" s="82"/>
      <c r="AK1508" s="82"/>
      <c r="AL1508" s="82"/>
      <c r="AM1508" s="82"/>
      <c r="AN1508" s="82"/>
      <c r="AO1508" s="82"/>
      <c r="AP1508" s="82"/>
      <c r="AQ1508" s="82"/>
      <c r="AR1508" s="82"/>
      <c r="AS1508" s="82"/>
      <c r="AT1508" s="82"/>
      <c r="AU1508" s="82"/>
      <c r="AV1508" s="82"/>
      <c r="AW1508" s="82"/>
      <c r="AX1508" s="82"/>
      <c r="AY1508" s="82"/>
      <c r="AZ1508" s="82"/>
      <c r="BB1508" s="82"/>
      <c r="BD1508" s="82"/>
      <c r="BJ1508" s="81"/>
    </row>
    <row r="1509" spans="2:62">
      <c r="B1509" s="141" t="s">
        <v>2470</v>
      </c>
      <c r="C1509" s="82"/>
      <c r="D1509" s="82"/>
      <c r="E1509" s="82"/>
      <c r="F1509" s="82"/>
      <c r="G1509" s="82"/>
      <c r="H1509" s="82"/>
      <c r="J1509" s="82"/>
      <c r="K1509" s="82"/>
      <c r="L1509" s="82"/>
      <c r="M1509" s="82"/>
      <c r="N1509" s="82"/>
      <c r="O1509" s="82"/>
      <c r="AI1509" s="82"/>
      <c r="AJ1509" s="82"/>
      <c r="AK1509" s="82"/>
      <c r="AL1509" s="82"/>
      <c r="AM1509" s="82"/>
      <c r="AN1509" s="82"/>
      <c r="AO1509" s="82"/>
      <c r="AP1509" s="82"/>
      <c r="AQ1509" s="82"/>
      <c r="AR1509" s="82"/>
      <c r="AS1509" s="82"/>
      <c r="AT1509" s="82"/>
      <c r="AU1509" s="82"/>
      <c r="AV1509" s="82"/>
      <c r="AW1509" s="82"/>
      <c r="AX1509" s="82"/>
      <c r="AY1509" s="82"/>
      <c r="AZ1509" s="82"/>
      <c r="BB1509" s="82"/>
      <c r="BD1509" s="82"/>
      <c r="BJ1509" s="81"/>
    </row>
    <row r="1510" spans="2:62">
      <c r="B1510" s="141" t="s">
        <v>2471</v>
      </c>
      <c r="C1510" s="82"/>
      <c r="D1510" s="82"/>
      <c r="E1510" s="82"/>
      <c r="F1510" s="82"/>
      <c r="G1510" s="82"/>
      <c r="H1510" s="82"/>
      <c r="J1510" s="82"/>
      <c r="K1510" s="82"/>
      <c r="L1510" s="82"/>
      <c r="M1510" s="82"/>
      <c r="N1510" s="82"/>
      <c r="O1510" s="82"/>
      <c r="AI1510" s="82"/>
      <c r="AJ1510" s="82"/>
      <c r="AK1510" s="82"/>
      <c r="AL1510" s="82"/>
      <c r="AM1510" s="82"/>
      <c r="AN1510" s="82"/>
      <c r="AO1510" s="82"/>
      <c r="AP1510" s="82"/>
      <c r="AQ1510" s="82"/>
      <c r="AR1510" s="82"/>
      <c r="AS1510" s="82"/>
      <c r="AT1510" s="82"/>
      <c r="AU1510" s="82"/>
      <c r="AV1510" s="82"/>
      <c r="AW1510" s="82"/>
      <c r="AX1510" s="82"/>
      <c r="AY1510" s="82"/>
      <c r="AZ1510" s="82"/>
      <c r="BB1510" s="82"/>
      <c r="BD1510" s="82"/>
      <c r="BJ1510" s="81"/>
    </row>
    <row r="1511" spans="2:62">
      <c r="B1511" s="141" t="s">
        <v>2472</v>
      </c>
      <c r="C1511" s="82"/>
      <c r="D1511" s="82"/>
      <c r="E1511" s="82"/>
      <c r="F1511" s="82"/>
      <c r="G1511" s="82"/>
      <c r="H1511" s="82"/>
      <c r="J1511" s="82"/>
      <c r="K1511" s="82"/>
      <c r="L1511" s="82"/>
      <c r="M1511" s="82"/>
      <c r="N1511" s="82"/>
      <c r="O1511" s="82"/>
      <c r="AI1511" s="82"/>
      <c r="AJ1511" s="82"/>
      <c r="AK1511" s="82"/>
      <c r="AL1511" s="82"/>
      <c r="AM1511" s="82"/>
      <c r="AN1511" s="82"/>
      <c r="AO1511" s="82"/>
      <c r="AP1511" s="82"/>
      <c r="AQ1511" s="82"/>
      <c r="AR1511" s="82"/>
      <c r="AS1511" s="82"/>
      <c r="AT1511" s="82"/>
      <c r="AU1511" s="82"/>
      <c r="AV1511" s="82"/>
      <c r="AW1511" s="82"/>
      <c r="AX1511" s="82"/>
      <c r="AY1511" s="82"/>
      <c r="AZ1511" s="82"/>
      <c r="BB1511" s="82"/>
      <c r="BD1511" s="82"/>
      <c r="BJ1511" s="81"/>
    </row>
    <row r="1512" spans="2:62">
      <c r="B1512" s="141" t="s">
        <v>2473</v>
      </c>
      <c r="C1512" s="82"/>
      <c r="D1512" s="82"/>
      <c r="E1512" s="82"/>
      <c r="F1512" s="82"/>
      <c r="G1512" s="82"/>
      <c r="H1512" s="82"/>
      <c r="J1512" s="82"/>
      <c r="K1512" s="82"/>
      <c r="L1512" s="82"/>
      <c r="M1512" s="82"/>
      <c r="N1512" s="82"/>
      <c r="O1512" s="82"/>
      <c r="AI1512" s="82"/>
      <c r="AJ1512" s="82"/>
      <c r="AK1512" s="82"/>
      <c r="AL1512" s="82"/>
      <c r="AM1512" s="82"/>
      <c r="AN1512" s="82"/>
      <c r="AO1512" s="82"/>
      <c r="AP1512" s="82"/>
      <c r="AQ1512" s="82"/>
      <c r="AR1512" s="82"/>
      <c r="AS1512" s="82"/>
      <c r="AT1512" s="82"/>
      <c r="AU1512" s="82"/>
      <c r="AV1512" s="82"/>
      <c r="AW1512" s="82"/>
      <c r="AX1512" s="82"/>
      <c r="AY1512" s="82"/>
      <c r="AZ1512" s="82"/>
      <c r="BB1512" s="82"/>
      <c r="BD1512" s="82"/>
      <c r="BJ1512" s="81"/>
    </row>
    <row r="1513" spans="2:62">
      <c r="B1513" s="141" t="s">
        <v>2474</v>
      </c>
      <c r="C1513" s="82"/>
      <c r="D1513" s="82"/>
      <c r="E1513" s="82"/>
      <c r="F1513" s="82"/>
      <c r="G1513" s="82"/>
      <c r="H1513" s="82"/>
      <c r="J1513" s="82"/>
      <c r="K1513" s="82"/>
      <c r="L1513" s="82"/>
      <c r="M1513" s="82"/>
      <c r="N1513" s="82"/>
      <c r="O1513" s="82"/>
      <c r="AI1513" s="82"/>
      <c r="AJ1513" s="82"/>
      <c r="AK1513" s="82"/>
      <c r="AL1513" s="82"/>
      <c r="AM1513" s="82"/>
      <c r="AN1513" s="82"/>
      <c r="AO1513" s="82"/>
      <c r="AP1513" s="82"/>
      <c r="AQ1513" s="82"/>
      <c r="AR1513" s="82"/>
      <c r="AS1513" s="82"/>
      <c r="AT1513" s="82"/>
      <c r="AU1513" s="82"/>
      <c r="AV1513" s="82"/>
      <c r="AW1513" s="82"/>
      <c r="AX1513" s="82"/>
      <c r="AY1513" s="82"/>
      <c r="AZ1513" s="82"/>
      <c r="BB1513" s="82"/>
      <c r="BD1513" s="82"/>
      <c r="BJ1513" s="81"/>
    </row>
    <row r="1514" spans="2:62">
      <c r="B1514" s="141" t="s">
        <v>2475</v>
      </c>
      <c r="C1514" s="82"/>
      <c r="D1514" s="82"/>
      <c r="E1514" s="82"/>
      <c r="F1514" s="82"/>
      <c r="G1514" s="82"/>
      <c r="H1514" s="82"/>
      <c r="J1514" s="82"/>
      <c r="K1514" s="82"/>
      <c r="L1514" s="82"/>
      <c r="M1514" s="82"/>
      <c r="N1514" s="82"/>
      <c r="O1514" s="82"/>
      <c r="AI1514" s="82"/>
      <c r="AJ1514" s="82"/>
      <c r="AK1514" s="82"/>
      <c r="AL1514" s="82"/>
      <c r="AM1514" s="82"/>
      <c r="AN1514" s="82"/>
      <c r="AO1514" s="82"/>
      <c r="AP1514" s="82"/>
      <c r="AQ1514" s="82"/>
      <c r="AR1514" s="82"/>
      <c r="AS1514" s="82"/>
      <c r="AT1514" s="82"/>
      <c r="AU1514" s="82"/>
      <c r="AV1514" s="82"/>
      <c r="AW1514" s="82"/>
      <c r="AX1514" s="82"/>
      <c r="AY1514" s="82"/>
      <c r="AZ1514" s="82"/>
      <c r="BB1514" s="82"/>
      <c r="BD1514" s="82"/>
      <c r="BJ1514" s="81"/>
    </row>
    <row r="1515" spans="2:62">
      <c r="B1515" s="141" t="s">
        <v>2476</v>
      </c>
      <c r="C1515" s="82"/>
      <c r="D1515" s="82"/>
      <c r="E1515" s="82"/>
      <c r="F1515" s="82"/>
      <c r="G1515" s="82"/>
      <c r="H1515" s="82"/>
      <c r="J1515" s="82"/>
      <c r="K1515" s="82"/>
      <c r="L1515" s="82"/>
      <c r="M1515" s="82"/>
      <c r="N1515" s="82"/>
      <c r="O1515" s="82"/>
      <c r="AI1515" s="82"/>
      <c r="AJ1515" s="82"/>
      <c r="AK1515" s="82"/>
      <c r="AL1515" s="82"/>
      <c r="AM1515" s="82"/>
      <c r="AN1515" s="82"/>
      <c r="AO1515" s="82"/>
      <c r="AP1515" s="82"/>
      <c r="AQ1515" s="82"/>
      <c r="AR1515" s="82"/>
      <c r="AS1515" s="82"/>
      <c r="AT1515" s="82"/>
      <c r="AU1515" s="82"/>
      <c r="AV1515" s="82"/>
      <c r="AW1515" s="82"/>
      <c r="AX1515" s="82"/>
      <c r="AY1515" s="82"/>
      <c r="AZ1515" s="82"/>
      <c r="BB1515" s="82"/>
      <c r="BD1515" s="82"/>
      <c r="BJ1515" s="81"/>
    </row>
    <row r="1516" spans="2:62">
      <c r="B1516" s="141" t="s">
        <v>2477</v>
      </c>
      <c r="C1516" s="82"/>
      <c r="D1516" s="82"/>
      <c r="E1516" s="82"/>
      <c r="F1516" s="82"/>
      <c r="G1516" s="82"/>
      <c r="H1516" s="82"/>
      <c r="J1516" s="82"/>
      <c r="K1516" s="82"/>
      <c r="L1516" s="82"/>
      <c r="M1516" s="82"/>
      <c r="N1516" s="82"/>
      <c r="O1516" s="82"/>
      <c r="AI1516" s="82"/>
      <c r="AJ1516" s="82"/>
      <c r="AK1516" s="82"/>
      <c r="AL1516" s="82"/>
      <c r="AM1516" s="82"/>
      <c r="AN1516" s="82"/>
      <c r="AO1516" s="82"/>
      <c r="AP1516" s="82"/>
      <c r="AQ1516" s="82"/>
      <c r="AR1516" s="82"/>
      <c r="AS1516" s="82"/>
      <c r="AT1516" s="82"/>
      <c r="AU1516" s="82"/>
      <c r="AV1516" s="82"/>
      <c r="AW1516" s="82"/>
      <c r="AX1516" s="82"/>
      <c r="AY1516" s="82"/>
      <c r="AZ1516" s="82"/>
      <c r="BB1516" s="82"/>
      <c r="BD1516" s="82"/>
      <c r="BJ1516" s="81"/>
    </row>
    <row r="1517" spans="2:62">
      <c r="B1517" s="141" t="s">
        <v>2478</v>
      </c>
      <c r="C1517" s="82"/>
      <c r="D1517" s="82"/>
      <c r="E1517" s="82"/>
      <c r="F1517" s="82"/>
      <c r="G1517" s="82"/>
      <c r="H1517" s="82"/>
      <c r="J1517" s="82"/>
      <c r="K1517" s="82"/>
      <c r="L1517" s="82"/>
      <c r="M1517" s="82"/>
      <c r="N1517" s="82"/>
      <c r="O1517" s="82"/>
      <c r="AI1517" s="82"/>
      <c r="AJ1517" s="82"/>
      <c r="AK1517" s="82"/>
      <c r="AL1517" s="82"/>
      <c r="AM1517" s="82"/>
      <c r="AN1517" s="82"/>
      <c r="AO1517" s="82"/>
      <c r="AP1517" s="82"/>
      <c r="AQ1517" s="82"/>
      <c r="AR1517" s="82"/>
      <c r="AS1517" s="82"/>
      <c r="AT1517" s="82"/>
      <c r="AU1517" s="82"/>
      <c r="AV1517" s="82"/>
      <c r="AW1517" s="82"/>
      <c r="AX1517" s="82"/>
      <c r="AY1517" s="82"/>
      <c r="AZ1517" s="82"/>
      <c r="BB1517" s="82"/>
      <c r="BD1517" s="82"/>
      <c r="BJ1517" s="81"/>
    </row>
    <row r="1518" spans="2:62">
      <c r="B1518" s="141" t="s">
        <v>2479</v>
      </c>
      <c r="C1518" s="82"/>
      <c r="D1518" s="82"/>
      <c r="E1518" s="82"/>
      <c r="F1518" s="82"/>
      <c r="G1518" s="82"/>
      <c r="H1518" s="82"/>
      <c r="J1518" s="82"/>
      <c r="K1518" s="82"/>
      <c r="L1518" s="82"/>
      <c r="M1518" s="82"/>
      <c r="N1518" s="82"/>
      <c r="O1518" s="82"/>
      <c r="AI1518" s="82"/>
      <c r="AJ1518" s="82"/>
      <c r="AK1518" s="82"/>
      <c r="AL1518" s="82"/>
      <c r="AM1518" s="82"/>
      <c r="AN1518" s="82"/>
      <c r="AO1518" s="82"/>
      <c r="AP1518" s="82"/>
      <c r="AQ1518" s="82"/>
      <c r="AR1518" s="82"/>
      <c r="AS1518" s="82"/>
      <c r="AT1518" s="82"/>
      <c r="AU1518" s="82"/>
      <c r="AV1518" s="82"/>
      <c r="AW1518" s="82"/>
      <c r="AX1518" s="82"/>
      <c r="AY1518" s="82"/>
      <c r="AZ1518" s="82"/>
      <c r="BB1518" s="82"/>
      <c r="BD1518" s="82"/>
      <c r="BJ1518" s="81"/>
    </row>
    <row r="1522" spans="2:69" s="84" customFormat="1">
      <c r="B1522" s="141" t="s">
        <v>2296</v>
      </c>
      <c r="C1522" s="83"/>
      <c r="D1522" s="85" t="s">
        <v>74</v>
      </c>
      <c r="E1522" s="83"/>
      <c r="F1522" s="84" t="s">
        <v>78</v>
      </c>
      <c r="G1522" s="83"/>
      <c r="H1522" s="83"/>
      <c r="J1522" s="83"/>
      <c r="K1522" s="85"/>
      <c r="L1522" s="85"/>
      <c r="M1522" s="85"/>
      <c r="O1522" s="85"/>
      <c r="P1522" s="86" t="s">
        <v>76</v>
      </c>
      <c r="Q1522" s="86"/>
      <c r="AI1522" s="85"/>
      <c r="AJ1522" s="85"/>
      <c r="AK1522" s="85"/>
      <c r="AL1522" s="85"/>
      <c r="AM1522" s="85"/>
      <c r="AN1522" s="85"/>
      <c r="AO1522" s="85"/>
      <c r="AP1522" s="85"/>
      <c r="AQ1522" s="85"/>
      <c r="AR1522" s="85"/>
      <c r="AS1522" s="85"/>
      <c r="AT1522" s="85"/>
      <c r="AU1522" s="85"/>
      <c r="AV1522" s="85"/>
      <c r="AW1522" s="85"/>
      <c r="AX1522" s="85"/>
      <c r="AY1522" s="85"/>
      <c r="BB1522" s="86"/>
      <c r="BC1522" s="86"/>
      <c r="BD1522" s="86"/>
      <c r="BI1522" s="86"/>
      <c r="BQ1522" s="152"/>
    </row>
    <row r="1523" spans="2:69" s="84" customFormat="1">
      <c r="B1523" s="141" t="s">
        <v>2297</v>
      </c>
      <c r="D1523" s="86" t="s">
        <v>73</v>
      </c>
      <c r="I1523" s="84">
        <v>2004</v>
      </c>
      <c r="K1523" s="86"/>
      <c r="L1523" s="86"/>
      <c r="M1523" s="86"/>
      <c r="O1523" s="86"/>
      <c r="P1523" s="86" t="s">
        <v>75</v>
      </c>
      <c r="Q1523" s="86" t="s">
        <v>72</v>
      </c>
      <c r="AI1523" s="86"/>
      <c r="AJ1523" s="86"/>
      <c r="AK1523" s="86"/>
      <c r="AL1523" s="86"/>
      <c r="AM1523" s="86"/>
      <c r="AN1523" s="86"/>
      <c r="AO1523" s="86"/>
      <c r="AP1523" s="86"/>
      <c r="AQ1523" s="86"/>
      <c r="AR1523" s="86"/>
      <c r="AS1523" s="86"/>
      <c r="AT1523" s="86"/>
      <c r="AU1523" s="86"/>
      <c r="AV1523" s="86"/>
      <c r="AW1523" s="86"/>
      <c r="AX1523" s="86"/>
      <c r="AY1523" s="86"/>
      <c r="BB1523" s="86"/>
      <c r="BC1523" s="86"/>
      <c r="BD1523" s="86"/>
      <c r="BI1523" s="86"/>
      <c r="BQ1523" s="152"/>
    </row>
    <row r="1524" spans="2:69" s="84" customFormat="1">
      <c r="B1524" s="141" t="s">
        <v>2298</v>
      </c>
      <c r="D1524" s="86" t="s">
        <v>73</v>
      </c>
      <c r="I1524" s="84">
        <v>2</v>
      </c>
      <c r="K1524" s="86"/>
      <c r="L1524" s="86"/>
      <c r="M1524" s="86"/>
      <c r="O1524" s="86"/>
      <c r="P1524" s="86" t="s">
        <v>75</v>
      </c>
      <c r="Q1524" s="86"/>
      <c r="AI1524" s="86"/>
      <c r="AJ1524" s="86"/>
      <c r="AK1524" s="86"/>
      <c r="AL1524" s="86"/>
      <c r="AM1524" s="86"/>
      <c r="AN1524" s="86"/>
      <c r="AO1524" s="86"/>
      <c r="AP1524" s="86"/>
      <c r="AQ1524" s="86"/>
      <c r="AR1524" s="86"/>
      <c r="AS1524" s="86"/>
      <c r="AT1524" s="86"/>
      <c r="AU1524" s="86"/>
      <c r="AV1524" s="86"/>
      <c r="AW1524" s="86"/>
      <c r="AX1524" s="86"/>
      <c r="AY1524" s="86"/>
      <c r="BB1524" s="86"/>
      <c r="BC1524" s="86"/>
      <c r="BD1524" s="86"/>
      <c r="BI1524" s="86"/>
      <c r="BQ1524" s="152"/>
    </row>
    <row r="1525" spans="2:69" s="84" customFormat="1">
      <c r="B1525" s="141" t="s">
        <v>2299</v>
      </c>
      <c r="D1525" s="86" t="s">
        <v>73</v>
      </c>
      <c r="I1525" s="84">
        <v>2005</v>
      </c>
      <c r="K1525" s="86"/>
      <c r="L1525" s="86"/>
      <c r="M1525" s="86"/>
      <c r="O1525" s="86"/>
      <c r="P1525" s="86" t="s">
        <v>75</v>
      </c>
      <c r="Q1525" s="86"/>
      <c r="AI1525" s="86"/>
      <c r="AJ1525" s="86"/>
      <c r="AK1525" s="86"/>
      <c r="AL1525" s="86"/>
      <c r="AM1525" s="86"/>
      <c r="AN1525" s="86"/>
      <c r="AO1525" s="86"/>
      <c r="AP1525" s="86"/>
      <c r="AQ1525" s="86"/>
      <c r="AR1525" s="86"/>
      <c r="AS1525" s="86"/>
      <c r="AT1525" s="86"/>
      <c r="AU1525" s="86"/>
      <c r="AV1525" s="86"/>
      <c r="AW1525" s="86"/>
      <c r="AX1525" s="86"/>
      <c r="AY1525" s="86"/>
      <c r="BB1525" s="86"/>
      <c r="BC1525" s="86"/>
      <c r="BD1525" s="86"/>
      <c r="BI1525" s="86"/>
      <c r="BQ1525" s="152"/>
    </row>
    <row r="1526" spans="2:69" s="84" customFormat="1">
      <c r="B1526" s="141" t="s">
        <v>2300</v>
      </c>
      <c r="D1526" s="86" t="s">
        <v>73</v>
      </c>
      <c r="K1526" s="86"/>
      <c r="L1526" s="86"/>
      <c r="M1526" s="86"/>
      <c r="O1526" s="86"/>
      <c r="P1526" s="86" t="s">
        <v>75</v>
      </c>
      <c r="Q1526" s="86"/>
      <c r="AI1526" s="86"/>
      <c r="AJ1526" s="86"/>
      <c r="AK1526" s="86"/>
      <c r="AL1526" s="86"/>
      <c r="AM1526" s="86"/>
      <c r="AN1526" s="86"/>
      <c r="AO1526" s="86"/>
      <c r="AP1526" s="86"/>
      <c r="AQ1526" s="86"/>
      <c r="AR1526" s="86"/>
      <c r="AS1526" s="86"/>
      <c r="AT1526" s="86"/>
      <c r="AU1526" s="86"/>
      <c r="AV1526" s="86"/>
      <c r="AW1526" s="86"/>
      <c r="AX1526" s="86"/>
      <c r="AY1526" s="86"/>
      <c r="BB1526" s="86"/>
      <c r="BC1526" s="86"/>
      <c r="BD1526" s="86"/>
      <c r="BI1526" s="86"/>
      <c r="BQ1526" s="152"/>
    </row>
    <row r="1527" spans="2:69" s="84" customFormat="1">
      <c r="B1527" s="141" t="s">
        <v>2301</v>
      </c>
      <c r="D1527" s="86" t="s">
        <v>73</v>
      </c>
      <c r="I1527" s="84">
        <v>2009</v>
      </c>
      <c r="K1527" s="86"/>
      <c r="L1527" s="86"/>
      <c r="M1527" s="86"/>
      <c r="O1527" s="86"/>
      <c r="P1527" s="86" t="s">
        <v>75</v>
      </c>
      <c r="Q1527" s="86"/>
      <c r="AI1527" s="86"/>
      <c r="AJ1527" s="86"/>
      <c r="AK1527" s="86"/>
      <c r="AL1527" s="86"/>
      <c r="AM1527" s="86"/>
      <c r="AN1527" s="86"/>
      <c r="AO1527" s="86"/>
      <c r="AP1527" s="86"/>
      <c r="AQ1527" s="86"/>
      <c r="AR1527" s="86"/>
      <c r="AS1527" s="86"/>
      <c r="AT1527" s="86"/>
      <c r="AU1527" s="86"/>
      <c r="AV1527" s="86"/>
      <c r="AW1527" s="86"/>
      <c r="AX1527" s="86"/>
      <c r="AY1527" s="86"/>
      <c r="BB1527" s="86"/>
      <c r="BC1527" s="86"/>
      <c r="BD1527" s="86"/>
      <c r="BI1527" s="86"/>
      <c r="BQ1527" s="152"/>
    </row>
    <row r="1528" spans="2:69" s="84" customFormat="1" ht="27">
      <c r="B1528" s="141" t="s">
        <v>2302</v>
      </c>
      <c r="D1528" s="86" t="s">
        <v>73</v>
      </c>
      <c r="I1528" s="84">
        <v>2006</v>
      </c>
      <c r="K1528" s="86"/>
      <c r="L1528" s="86"/>
      <c r="M1528" s="86"/>
      <c r="O1528" s="86"/>
      <c r="P1528" s="86" t="s">
        <v>75</v>
      </c>
      <c r="Q1528" s="86"/>
      <c r="AI1528" s="86"/>
      <c r="AJ1528" s="86"/>
      <c r="AK1528" s="86"/>
      <c r="AL1528" s="86"/>
      <c r="AM1528" s="86"/>
      <c r="AN1528" s="86"/>
      <c r="AO1528" s="86"/>
      <c r="AP1528" s="86"/>
      <c r="AQ1528" s="86"/>
      <c r="AR1528" s="86"/>
      <c r="AS1528" s="86"/>
      <c r="AT1528" s="86"/>
      <c r="AU1528" s="86"/>
      <c r="AV1528" s="86"/>
      <c r="AW1528" s="86"/>
      <c r="AX1528" s="86"/>
      <c r="AY1528" s="86"/>
      <c r="BB1528" s="86"/>
      <c r="BC1528" s="86"/>
      <c r="BD1528" s="86"/>
      <c r="BI1528" s="86"/>
      <c r="BQ1528" s="152"/>
    </row>
    <row r="1529" spans="2:69" s="84" customFormat="1">
      <c r="B1529" s="141" t="s">
        <v>2303</v>
      </c>
      <c r="D1529" s="86" t="s">
        <v>73</v>
      </c>
      <c r="K1529" s="86"/>
      <c r="L1529" s="86"/>
      <c r="M1529" s="86"/>
      <c r="O1529" s="86"/>
      <c r="P1529" s="86" t="s">
        <v>75</v>
      </c>
      <c r="Q1529" s="86"/>
      <c r="AI1529" s="86"/>
      <c r="AJ1529" s="86"/>
      <c r="AK1529" s="86"/>
      <c r="AL1529" s="86"/>
      <c r="AM1529" s="86"/>
      <c r="AN1529" s="86"/>
      <c r="AO1529" s="86"/>
      <c r="AP1529" s="86"/>
      <c r="AQ1529" s="86"/>
      <c r="AR1529" s="86"/>
      <c r="AS1529" s="86"/>
      <c r="AT1529" s="86"/>
      <c r="AU1529" s="86"/>
      <c r="AV1529" s="86"/>
      <c r="AW1529" s="86"/>
      <c r="AX1529" s="86"/>
      <c r="AY1529" s="86"/>
      <c r="BB1529" s="86"/>
      <c r="BC1529" s="86"/>
      <c r="BD1529" s="86"/>
      <c r="BI1529" s="86"/>
      <c r="BQ1529" s="152"/>
    </row>
    <row r="1530" spans="2:69" s="84" customFormat="1">
      <c r="B1530" s="141" t="s">
        <v>2304</v>
      </c>
      <c r="D1530" s="86" t="s">
        <v>73</v>
      </c>
      <c r="K1530" s="86"/>
      <c r="L1530" s="86"/>
      <c r="M1530" s="86"/>
      <c r="O1530" s="86"/>
      <c r="P1530" s="86" t="s">
        <v>75</v>
      </c>
      <c r="Q1530" s="86"/>
      <c r="AI1530" s="86"/>
      <c r="AJ1530" s="86"/>
      <c r="AK1530" s="86"/>
      <c r="AL1530" s="86"/>
      <c r="AM1530" s="86"/>
      <c r="AN1530" s="86"/>
      <c r="AO1530" s="86"/>
      <c r="AP1530" s="86"/>
      <c r="AQ1530" s="86"/>
      <c r="AR1530" s="86"/>
      <c r="AS1530" s="86"/>
      <c r="AT1530" s="86"/>
      <c r="AU1530" s="86"/>
      <c r="AV1530" s="86"/>
      <c r="AW1530" s="86"/>
      <c r="AX1530" s="86"/>
      <c r="AY1530" s="86"/>
      <c r="BB1530" s="86"/>
      <c r="BC1530" s="86"/>
      <c r="BD1530" s="86"/>
      <c r="BI1530" s="86"/>
      <c r="BQ1530" s="152"/>
    </row>
    <row r="1531" spans="2:69" s="84" customFormat="1">
      <c r="B1531" s="141" t="s">
        <v>2305</v>
      </c>
      <c r="D1531" s="86" t="s">
        <v>73</v>
      </c>
      <c r="I1531" s="84">
        <v>2009</v>
      </c>
      <c r="K1531" s="86"/>
      <c r="L1531" s="86"/>
      <c r="M1531" s="86"/>
      <c r="O1531" s="86"/>
      <c r="P1531" s="86" t="s">
        <v>75</v>
      </c>
      <c r="Q1531" s="86"/>
      <c r="AI1531" s="86"/>
      <c r="AJ1531" s="86"/>
      <c r="AK1531" s="86"/>
      <c r="AL1531" s="86"/>
      <c r="AM1531" s="86"/>
      <c r="AN1531" s="86"/>
      <c r="AO1531" s="86"/>
      <c r="AP1531" s="86"/>
      <c r="AQ1531" s="86"/>
      <c r="AR1531" s="86"/>
      <c r="AS1531" s="86"/>
      <c r="AT1531" s="86"/>
      <c r="AU1531" s="86"/>
      <c r="AV1531" s="86"/>
      <c r="AW1531" s="86"/>
      <c r="AX1531" s="86"/>
      <c r="AY1531" s="86"/>
      <c r="BB1531" s="86"/>
      <c r="BC1531" s="86"/>
      <c r="BD1531" s="86"/>
      <c r="BI1531" s="86"/>
      <c r="BQ1531" s="152"/>
    </row>
    <row r="1532" spans="2:69" s="84" customFormat="1" ht="27">
      <c r="B1532" s="141" t="s">
        <v>2306</v>
      </c>
      <c r="D1532" s="86" t="s">
        <v>73</v>
      </c>
      <c r="I1532" s="84">
        <v>2004</v>
      </c>
      <c r="K1532" s="86"/>
      <c r="L1532" s="86"/>
      <c r="M1532" s="86"/>
      <c r="O1532" s="86"/>
      <c r="P1532" s="86" t="s">
        <v>75</v>
      </c>
      <c r="Q1532" s="86"/>
      <c r="AI1532" s="86"/>
      <c r="AJ1532" s="86"/>
      <c r="AK1532" s="86"/>
      <c r="AL1532" s="86"/>
      <c r="AM1532" s="86"/>
      <c r="AN1532" s="86"/>
      <c r="AO1532" s="86"/>
      <c r="AP1532" s="86"/>
      <c r="AQ1532" s="86"/>
      <c r="AR1532" s="86"/>
      <c r="AS1532" s="86"/>
      <c r="AT1532" s="86"/>
      <c r="AU1532" s="86"/>
      <c r="AV1532" s="86"/>
      <c r="AW1532" s="86"/>
      <c r="AX1532" s="86"/>
      <c r="AY1532" s="86"/>
      <c r="BB1532" s="86"/>
      <c r="BC1532" s="86"/>
      <c r="BD1532" s="86"/>
      <c r="BI1532" s="86"/>
      <c r="BQ1532" s="152"/>
    </row>
    <row r="1533" spans="2:69" s="84" customFormat="1" ht="27">
      <c r="B1533" s="141" t="s">
        <v>2307</v>
      </c>
      <c r="D1533" s="86" t="s">
        <v>73</v>
      </c>
      <c r="I1533" s="84">
        <v>2005</v>
      </c>
      <c r="K1533" s="86"/>
      <c r="L1533" s="86"/>
      <c r="M1533" s="86"/>
      <c r="O1533" s="86"/>
      <c r="P1533" s="86" t="s">
        <v>75</v>
      </c>
      <c r="Q1533" s="86"/>
      <c r="AI1533" s="86"/>
      <c r="AJ1533" s="86"/>
      <c r="AK1533" s="86"/>
      <c r="AL1533" s="86"/>
      <c r="AM1533" s="86"/>
      <c r="AN1533" s="86"/>
      <c r="AO1533" s="86"/>
      <c r="AP1533" s="86"/>
      <c r="AQ1533" s="86"/>
      <c r="AR1533" s="86"/>
      <c r="AS1533" s="86"/>
      <c r="AT1533" s="86"/>
      <c r="AU1533" s="86"/>
      <c r="AV1533" s="86"/>
      <c r="AW1533" s="86"/>
      <c r="AX1533" s="86"/>
      <c r="AY1533" s="86"/>
      <c r="BB1533" s="86"/>
      <c r="BC1533" s="86"/>
      <c r="BD1533" s="86"/>
      <c r="BI1533" s="86"/>
      <c r="BQ1533" s="152"/>
    </row>
    <row r="1534" spans="2:69" s="84" customFormat="1" ht="27">
      <c r="B1534" s="141" t="s">
        <v>2308</v>
      </c>
      <c r="D1534" s="86" t="s">
        <v>73</v>
      </c>
      <c r="I1534" s="84">
        <v>2005</v>
      </c>
      <c r="K1534" s="86"/>
      <c r="L1534" s="86"/>
      <c r="M1534" s="86"/>
      <c r="O1534" s="86"/>
      <c r="P1534" s="86" t="s">
        <v>75</v>
      </c>
      <c r="Q1534" s="86"/>
      <c r="AI1534" s="86"/>
      <c r="AJ1534" s="86"/>
      <c r="AK1534" s="86"/>
      <c r="AL1534" s="86"/>
      <c r="AM1534" s="86"/>
      <c r="AN1534" s="86"/>
      <c r="AO1534" s="86"/>
      <c r="AP1534" s="86"/>
      <c r="AQ1534" s="86"/>
      <c r="AR1534" s="86"/>
      <c r="AS1534" s="86"/>
      <c r="AT1534" s="86"/>
      <c r="AU1534" s="86"/>
      <c r="AV1534" s="86"/>
      <c r="AW1534" s="86"/>
      <c r="AX1534" s="86"/>
      <c r="AY1534" s="86"/>
      <c r="BB1534" s="86"/>
      <c r="BC1534" s="86"/>
      <c r="BD1534" s="86"/>
      <c r="BI1534" s="86"/>
      <c r="BQ1534" s="152"/>
    </row>
    <row r="1535" spans="2:69" s="84" customFormat="1">
      <c r="B1535" s="141" t="s">
        <v>2309</v>
      </c>
      <c r="D1535" s="86" t="s">
        <v>73</v>
      </c>
      <c r="K1535" s="86"/>
      <c r="L1535" s="86"/>
      <c r="M1535" s="86"/>
      <c r="O1535" s="86"/>
      <c r="P1535" s="86" t="s">
        <v>75</v>
      </c>
      <c r="Q1535" s="86"/>
      <c r="AI1535" s="86"/>
      <c r="AJ1535" s="86"/>
      <c r="AK1535" s="86"/>
      <c r="AL1535" s="86"/>
      <c r="AM1535" s="86"/>
      <c r="AN1535" s="86"/>
      <c r="AO1535" s="86"/>
      <c r="AP1535" s="86"/>
      <c r="AQ1535" s="86"/>
      <c r="AR1535" s="86"/>
      <c r="AS1535" s="86"/>
      <c r="AT1535" s="86"/>
      <c r="AU1535" s="86"/>
      <c r="AV1535" s="86"/>
      <c r="AW1535" s="86"/>
      <c r="AX1535" s="86"/>
      <c r="AY1535" s="86"/>
      <c r="BB1535" s="86"/>
      <c r="BC1535" s="86"/>
      <c r="BD1535" s="86"/>
      <c r="BI1535" s="86"/>
      <c r="BQ1535" s="152"/>
    </row>
    <row r="1536" spans="2:69" s="84" customFormat="1">
      <c r="B1536" s="141" t="s">
        <v>2310</v>
      </c>
      <c r="C1536" s="83"/>
      <c r="D1536" s="85" t="s">
        <v>74</v>
      </c>
      <c r="E1536" s="83"/>
      <c r="G1536" s="83"/>
      <c r="H1536" s="83"/>
      <c r="J1536" s="83"/>
      <c r="K1536" s="85"/>
      <c r="L1536" s="85"/>
      <c r="M1536" s="85"/>
      <c r="O1536" s="85"/>
      <c r="P1536" s="86" t="s">
        <v>76</v>
      </c>
      <c r="Q1536" s="86" t="s">
        <v>72</v>
      </c>
      <c r="AI1536" s="85"/>
      <c r="AJ1536" s="85"/>
      <c r="AK1536" s="85"/>
      <c r="AL1536" s="85"/>
      <c r="AM1536" s="85"/>
      <c r="AN1536" s="85"/>
      <c r="AO1536" s="85"/>
      <c r="AP1536" s="85"/>
      <c r="AQ1536" s="85"/>
      <c r="AR1536" s="85"/>
      <c r="AS1536" s="85"/>
      <c r="AT1536" s="85"/>
      <c r="AU1536" s="85"/>
      <c r="AV1536" s="85"/>
      <c r="AW1536" s="85"/>
      <c r="AX1536" s="85"/>
      <c r="AY1536" s="85"/>
      <c r="BB1536" s="86"/>
      <c r="BC1536" s="86"/>
      <c r="BD1536" s="86"/>
      <c r="BI1536" s="86"/>
      <c r="BQ1536" s="152"/>
    </row>
    <row r="1537" spans="2:69" s="84" customFormat="1">
      <c r="B1537" s="141" t="s">
        <v>2311</v>
      </c>
      <c r="C1537" s="83"/>
      <c r="D1537" s="85" t="s">
        <v>74</v>
      </c>
      <c r="E1537" s="83"/>
      <c r="G1537" s="83"/>
      <c r="H1537" s="83"/>
      <c r="J1537" s="83"/>
      <c r="K1537" s="85"/>
      <c r="L1537" s="85"/>
      <c r="M1537" s="85"/>
      <c r="O1537" s="85"/>
      <c r="P1537" s="86" t="s">
        <v>76</v>
      </c>
      <c r="Q1537" s="86" t="s">
        <v>72</v>
      </c>
      <c r="AI1537" s="85"/>
      <c r="AJ1537" s="85"/>
      <c r="AK1537" s="85"/>
      <c r="AL1537" s="85"/>
      <c r="AM1537" s="85"/>
      <c r="AN1537" s="85"/>
      <c r="AO1537" s="85"/>
      <c r="AP1537" s="85"/>
      <c r="AQ1537" s="85"/>
      <c r="AR1537" s="85"/>
      <c r="AS1537" s="85"/>
      <c r="AT1537" s="85"/>
      <c r="AU1537" s="85"/>
      <c r="AV1537" s="85"/>
      <c r="AW1537" s="85"/>
      <c r="AX1537" s="85"/>
      <c r="AY1537" s="85"/>
      <c r="BB1537" s="86"/>
      <c r="BC1537" s="86"/>
      <c r="BD1537" s="86"/>
      <c r="BI1537" s="86"/>
      <c r="BQ1537" s="152"/>
    </row>
    <row r="1538" spans="2:69" s="84" customFormat="1">
      <c r="B1538" s="141" t="s">
        <v>2312</v>
      </c>
      <c r="D1538" s="86" t="s">
        <v>73</v>
      </c>
      <c r="F1538" s="84" t="s">
        <v>77</v>
      </c>
      <c r="K1538" s="86"/>
      <c r="L1538" s="86"/>
      <c r="M1538" s="86"/>
      <c r="O1538" s="86"/>
      <c r="P1538" s="86"/>
      <c r="Q1538" s="86"/>
      <c r="AI1538" s="86"/>
      <c r="AJ1538" s="86"/>
      <c r="AK1538" s="86"/>
      <c r="AL1538" s="86"/>
      <c r="AM1538" s="86"/>
      <c r="AN1538" s="86"/>
      <c r="AO1538" s="86"/>
      <c r="AP1538" s="86"/>
      <c r="AQ1538" s="86"/>
      <c r="AR1538" s="86"/>
      <c r="AS1538" s="86"/>
      <c r="AT1538" s="86"/>
      <c r="AU1538" s="86"/>
      <c r="AV1538" s="86"/>
      <c r="AW1538" s="86"/>
      <c r="AX1538" s="86"/>
      <c r="AY1538" s="86"/>
      <c r="BB1538" s="86"/>
      <c r="BC1538" s="86" t="s">
        <v>76</v>
      </c>
      <c r="BD1538" s="86"/>
      <c r="BI1538" s="86"/>
      <c r="BQ1538" s="152"/>
    </row>
    <row r="1539" spans="2:69" s="84" customFormat="1">
      <c r="B1539" s="141" t="s">
        <v>2313</v>
      </c>
      <c r="D1539" s="86" t="s">
        <v>73</v>
      </c>
      <c r="F1539" s="84" t="s">
        <v>77</v>
      </c>
      <c r="K1539" s="86"/>
      <c r="L1539" s="86"/>
      <c r="M1539" s="86"/>
      <c r="O1539" s="86"/>
      <c r="P1539" s="86"/>
      <c r="Q1539" s="86"/>
      <c r="AI1539" s="86"/>
      <c r="AJ1539" s="86"/>
      <c r="AK1539" s="86"/>
      <c r="AL1539" s="86"/>
      <c r="AM1539" s="86"/>
      <c r="AN1539" s="86"/>
      <c r="AO1539" s="86"/>
      <c r="AP1539" s="86"/>
      <c r="AQ1539" s="86"/>
      <c r="AR1539" s="86"/>
      <c r="AS1539" s="86"/>
      <c r="AT1539" s="86"/>
      <c r="AU1539" s="86"/>
      <c r="AV1539" s="86"/>
      <c r="AW1539" s="86"/>
      <c r="AX1539" s="86"/>
      <c r="AY1539" s="86"/>
      <c r="BB1539" s="86"/>
      <c r="BC1539" s="86" t="s">
        <v>76</v>
      </c>
      <c r="BD1539" s="86"/>
      <c r="BI1539" s="86"/>
      <c r="BQ1539" s="152"/>
    </row>
    <row r="1540" spans="2:69" s="84" customFormat="1">
      <c r="B1540" s="141" t="s">
        <v>2314</v>
      </c>
      <c r="D1540" s="86" t="s">
        <v>73</v>
      </c>
      <c r="F1540" s="84" t="s">
        <v>77</v>
      </c>
      <c r="K1540" s="86"/>
      <c r="L1540" s="86"/>
      <c r="M1540" s="86"/>
      <c r="O1540" s="86"/>
      <c r="P1540" s="86"/>
      <c r="Q1540" s="86"/>
      <c r="AI1540" s="86"/>
      <c r="AJ1540" s="86"/>
      <c r="AK1540" s="86"/>
      <c r="AL1540" s="86"/>
      <c r="AM1540" s="86"/>
      <c r="AN1540" s="86"/>
      <c r="AO1540" s="86"/>
      <c r="AP1540" s="86"/>
      <c r="AQ1540" s="86"/>
      <c r="AR1540" s="86"/>
      <c r="AS1540" s="86"/>
      <c r="AT1540" s="86"/>
      <c r="AU1540" s="86"/>
      <c r="AV1540" s="86"/>
      <c r="AW1540" s="86"/>
      <c r="AX1540" s="86"/>
      <c r="AY1540" s="86"/>
      <c r="BB1540" s="86"/>
      <c r="BC1540" s="86" t="s">
        <v>76</v>
      </c>
      <c r="BD1540" s="86"/>
      <c r="BI1540" s="86"/>
      <c r="BQ1540" s="152"/>
    </row>
    <row r="1541" spans="2:69" s="84" customFormat="1">
      <c r="B1541" s="141" t="s">
        <v>2315</v>
      </c>
      <c r="D1541" s="86" t="s">
        <v>73</v>
      </c>
      <c r="F1541" s="84" t="s">
        <v>77</v>
      </c>
      <c r="K1541" s="86"/>
      <c r="L1541" s="86"/>
      <c r="M1541" s="86"/>
      <c r="O1541" s="86"/>
      <c r="P1541" s="86"/>
      <c r="Q1541" s="86"/>
      <c r="AI1541" s="86"/>
      <c r="AJ1541" s="86"/>
      <c r="AK1541" s="86"/>
      <c r="AL1541" s="86"/>
      <c r="AM1541" s="86"/>
      <c r="AN1541" s="86"/>
      <c r="AO1541" s="86"/>
      <c r="AP1541" s="86"/>
      <c r="AQ1541" s="86"/>
      <c r="AR1541" s="86"/>
      <c r="AS1541" s="86"/>
      <c r="AT1541" s="86"/>
      <c r="AU1541" s="86"/>
      <c r="AV1541" s="86"/>
      <c r="AW1541" s="86"/>
      <c r="AX1541" s="86"/>
      <c r="AY1541" s="86"/>
      <c r="BB1541" s="86"/>
      <c r="BC1541" s="86" t="s">
        <v>76</v>
      </c>
      <c r="BD1541" s="86"/>
      <c r="BI1541" s="86"/>
      <c r="BQ1541" s="152"/>
    </row>
    <row r="1542" spans="2:69" s="84" customFormat="1">
      <c r="B1542" s="141" t="s">
        <v>2316</v>
      </c>
      <c r="D1542" s="86" t="s">
        <v>73</v>
      </c>
      <c r="F1542" s="84" t="s">
        <v>77</v>
      </c>
      <c r="K1542" s="86"/>
      <c r="L1542" s="86"/>
      <c r="M1542" s="86"/>
      <c r="O1542" s="86"/>
      <c r="P1542" s="86"/>
      <c r="Q1542" s="86"/>
      <c r="AI1542" s="86"/>
      <c r="AJ1542" s="86"/>
      <c r="AK1542" s="86"/>
      <c r="AL1542" s="86"/>
      <c r="AM1542" s="86"/>
      <c r="AN1542" s="86"/>
      <c r="AO1542" s="86"/>
      <c r="AP1542" s="86"/>
      <c r="AQ1542" s="86"/>
      <c r="AR1542" s="86"/>
      <c r="AS1542" s="86"/>
      <c r="AT1542" s="86"/>
      <c r="AU1542" s="86"/>
      <c r="AV1542" s="86"/>
      <c r="AW1542" s="86"/>
      <c r="AX1542" s="86"/>
      <c r="AY1542" s="86"/>
      <c r="BB1542" s="86"/>
      <c r="BC1542" s="86" t="s">
        <v>76</v>
      </c>
      <c r="BD1542" s="86"/>
      <c r="BI1542" s="86"/>
      <c r="BQ1542" s="152"/>
    </row>
    <row r="1543" spans="2:69" s="84" customFormat="1">
      <c r="B1543" s="141" t="s">
        <v>2317</v>
      </c>
      <c r="C1543" s="83"/>
      <c r="D1543" s="85" t="s">
        <v>74</v>
      </c>
      <c r="E1543" s="83"/>
      <c r="F1543" s="83"/>
      <c r="G1543" s="83"/>
      <c r="H1543" s="83"/>
      <c r="J1543" s="83"/>
      <c r="K1543" s="85"/>
      <c r="L1543" s="85"/>
      <c r="M1543" s="85"/>
      <c r="O1543" s="85"/>
      <c r="P1543" s="86" t="s">
        <v>76</v>
      </c>
      <c r="Q1543" s="86" t="s">
        <v>72</v>
      </c>
      <c r="AI1543" s="85"/>
      <c r="AJ1543" s="85"/>
      <c r="AK1543" s="85"/>
      <c r="AL1543" s="85"/>
      <c r="AM1543" s="85"/>
      <c r="AN1543" s="85"/>
      <c r="AO1543" s="85"/>
      <c r="AP1543" s="85"/>
      <c r="AQ1543" s="85"/>
      <c r="AR1543" s="85"/>
      <c r="AS1543" s="85"/>
      <c r="AT1543" s="85"/>
      <c r="AU1543" s="85"/>
      <c r="AV1543" s="85"/>
      <c r="AW1543" s="85"/>
      <c r="AX1543" s="85"/>
      <c r="AY1543" s="85"/>
      <c r="BB1543" s="86"/>
      <c r="BC1543" s="86"/>
      <c r="BD1543" s="86"/>
      <c r="BI1543" s="86"/>
      <c r="BQ1543" s="152"/>
    </row>
    <row r="1544" spans="2:69" s="84" customFormat="1">
      <c r="B1544" s="141" t="s">
        <v>2318</v>
      </c>
      <c r="D1544" s="86" t="s">
        <v>73</v>
      </c>
      <c r="K1544" s="86"/>
      <c r="L1544" s="86"/>
      <c r="M1544" s="86"/>
      <c r="O1544" s="86"/>
      <c r="P1544" s="86" t="s">
        <v>75</v>
      </c>
      <c r="Q1544" s="86"/>
      <c r="AI1544" s="86"/>
      <c r="AJ1544" s="86"/>
      <c r="AK1544" s="86"/>
      <c r="AL1544" s="86"/>
      <c r="AM1544" s="86"/>
      <c r="AN1544" s="86"/>
      <c r="AO1544" s="86"/>
      <c r="AP1544" s="86"/>
      <c r="AQ1544" s="86"/>
      <c r="AR1544" s="86"/>
      <c r="AS1544" s="86"/>
      <c r="AT1544" s="86"/>
      <c r="AU1544" s="86"/>
      <c r="AV1544" s="86"/>
      <c r="AW1544" s="86"/>
      <c r="AX1544" s="86"/>
      <c r="AY1544" s="86"/>
      <c r="BB1544" s="86"/>
      <c r="BC1544" s="86"/>
      <c r="BD1544" s="86"/>
      <c r="BI1544" s="86"/>
      <c r="BQ1544" s="152"/>
    </row>
    <row r="1545" spans="2:69" s="84" customFormat="1">
      <c r="B1545" s="141" t="s">
        <v>2319</v>
      </c>
      <c r="D1545" s="86" t="s">
        <v>73</v>
      </c>
      <c r="K1545" s="86"/>
      <c r="L1545" s="86"/>
      <c r="M1545" s="86"/>
      <c r="O1545" s="86"/>
      <c r="P1545" s="86"/>
      <c r="Q1545" s="86" t="s">
        <v>72</v>
      </c>
      <c r="AI1545" s="86"/>
      <c r="AJ1545" s="86"/>
      <c r="AK1545" s="86"/>
      <c r="AL1545" s="86"/>
      <c r="AM1545" s="86"/>
      <c r="AN1545" s="86"/>
      <c r="AO1545" s="86"/>
      <c r="AP1545" s="86"/>
      <c r="AQ1545" s="86"/>
      <c r="AR1545" s="86"/>
      <c r="AS1545" s="86"/>
      <c r="AT1545" s="86"/>
      <c r="AU1545" s="86"/>
      <c r="AV1545" s="86"/>
      <c r="AW1545" s="86"/>
      <c r="AX1545" s="86"/>
      <c r="AY1545" s="86"/>
      <c r="BB1545" s="86"/>
      <c r="BC1545" s="86"/>
      <c r="BD1545" s="86"/>
      <c r="BI1545" s="86"/>
      <c r="BQ1545" s="152"/>
    </row>
    <row r="1546" spans="2:69" s="84" customFormat="1">
      <c r="B1546" s="141" t="s">
        <v>2320</v>
      </c>
      <c r="D1546" s="86" t="s">
        <v>73</v>
      </c>
      <c r="K1546" s="86"/>
      <c r="L1546" s="86"/>
      <c r="M1546" s="86"/>
      <c r="O1546" s="86"/>
      <c r="P1546" s="86"/>
      <c r="Q1546" s="86" t="s">
        <v>72</v>
      </c>
      <c r="AI1546" s="86"/>
      <c r="AJ1546" s="86"/>
      <c r="AK1546" s="86"/>
      <c r="AL1546" s="86"/>
      <c r="AM1546" s="86"/>
      <c r="AN1546" s="86"/>
      <c r="AO1546" s="86"/>
      <c r="AP1546" s="86"/>
      <c r="AQ1546" s="86"/>
      <c r="AR1546" s="86"/>
      <c r="AS1546" s="86"/>
      <c r="AT1546" s="86"/>
      <c r="AU1546" s="86"/>
      <c r="AV1546" s="86"/>
      <c r="AW1546" s="86"/>
      <c r="AX1546" s="86"/>
      <c r="AY1546" s="86"/>
      <c r="BB1546" s="86"/>
      <c r="BC1546" s="86"/>
      <c r="BD1546" s="86"/>
      <c r="BI1546" s="86"/>
      <c r="BQ1546" s="152"/>
    </row>
    <row r="1547" spans="2:69" s="84" customFormat="1">
      <c r="B1547" s="141" t="s">
        <v>2321</v>
      </c>
      <c r="D1547" s="86" t="s">
        <v>73</v>
      </c>
      <c r="K1547" s="86"/>
      <c r="L1547" s="86"/>
      <c r="M1547" s="86"/>
      <c r="O1547" s="86"/>
      <c r="P1547" s="86"/>
      <c r="Q1547" s="86" t="s">
        <v>72</v>
      </c>
      <c r="AI1547" s="86"/>
      <c r="AJ1547" s="86"/>
      <c r="AK1547" s="86"/>
      <c r="AL1547" s="86"/>
      <c r="AM1547" s="86"/>
      <c r="AN1547" s="86"/>
      <c r="AO1547" s="86"/>
      <c r="AP1547" s="86"/>
      <c r="AQ1547" s="86"/>
      <c r="AR1547" s="86"/>
      <c r="AS1547" s="86"/>
      <c r="AT1547" s="86"/>
      <c r="AU1547" s="86"/>
      <c r="AV1547" s="86"/>
      <c r="AW1547" s="86"/>
      <c r="AX1547" s="86"/>
      <c r="AY1547" s="86"/>
      <c r="BB1547" s="86"/>
      <c r="BC1547" s="86"/>
      <c r="BD1547" s="86"/>
      <c r="BI1547" s="86"/>
      <c r="BQ1547" s="152"/>
    </row>
    <row r="1548" spans="2:69" s="84" customFormat="1">
      <c r="B1548" s="141" t="s">
        <v>2322</v>
      </c>
      <c r="D1548" s="86" t="s">
        <v>73</v>
      </c>
      <c r="K1548" s="86"/>
      <c r="L1548" s="86"/>
      <c r="M1548" s="86"/>
      <c r="O1548" s="86"/>
      <c r="P1548" s="86"/>
      <c r="Q1548" s="86" t="s">
        <v>72</v>
      </c>
      <c r="AI1548" s="86"/>
      <c r="AJ1548" s="86"/>
      <c r="AK1548" s="86"/>
      <c r="AL1548" s="86"/>
      <c r="AM1548" s="86"/>
      <c r="AN1548" s="86"/>
      <c r="AO1548" s="86"/>
      <c r="AP1548" s="86"/>
      <c r="AQ1548" s="86"/>
      <c r="AR1548" s="86"/>
      <c r="AS1548" s="86"/>
      <c r="AT1548" s="86"/>
      <c r="AU1548" s="86"/>
      <c r="AV1548" s="86"/>
      <c r="AW1548" s="86"/>
      <c r="AX1548" s="86"/>
      <c r="AY1548" s="86"/>
      <c r="BB1548" s="86"/>
      <c r="BC1548" s="86"/>
      <c r="BD1548" s="86"/>
      <c r="BI1548" s="86"/>
      <c r="BQ1548" s="152"/>
    </row>
    <row r="1549" spans="2:69" s="84" customFormat="1">
      <c r="B1549" s="141" t="s">
        <v>2323</v>
      </c>
      <c r="D1549" s="86" t="s">
        <v>73</v>
      </c>
      <c r="K1549" s="86"/>
      <c r="L1549" s="86"/>
      <c r="M1549" s="86"/>
      <c r="O1549" s="86"/>
      <c r="P1549" s="86"/>
      <c r="Q1549" s="86" t="s">
        <v>72</v>
      </c>
      <c r="AI1549" s="86"/>
      <c r="AJ1549" s="86"/>
      <c r="AK1549" s="86"/>
      <c r="AL1549" s="86"/>
      <c r="AM1549" s="86"/>
      <c r="AN1549" s="86"/>
      <c r="AO1549" s="86"/>
      <c r="AP1549" s="86"/>
      <c r="AQ1549" s="86"/>
      <c r="AR1549" s="86"/>
      <c r="AS1549" s="86"/>
      <c r="AT1549" s="86"/>
      <c r="AU1549" s="86"/>
      <c r="AV1549" s="86"/>
      <c r="AW1549" s="86"/>
      <c r="AX1549" s="86"/>
      <c r="AY1549" s="86"/>
      <c r="BB1549" s="86"/>
      <c r="BC1549" s="86"/>
      <c r="BD1549" s="86"/>
      <c r="BI1549" s="86"/>
      <c r="BQ1549" s="152"/>
    </row>
    <row r="1550" spans="2:69" s="84" customFormat="1" ht="27">
      <c r="B1550" s="141" t="s">
        <v>2324</v>
      </c>
      <c r="D1550" s="86" t="s">
        <v>73</v>
      </c>
      <c r="K1550" s="86"/>
      <c r="L1550" s="86"/>
      <c r="M1550" s="86"/>
      <c r="O1550" s="86"/>
      <c r="P1550" s="86"/>
      <c r="Q1550" s="86" t="s">
        <v>72</v>
      </c>
      <c r="AI1550" s="86"/>
      <c r="AJ1550" s="86"/>
      <c r="AK1550" s="86"/>
      <c r="AL1550" s="86"/>
      <c r="AM1550" s="86"/>
      <c r="AN1550" s="86"/>
      <c r="AO1550" s="86"/>
      <c r="AP1550" s="86"/>
      <c r="AQ1550" s="86"/>
      <c r="AR1550" s="86"/>
      <c r="AS1550" s="86"/>
      <c r="AT1550" s="86"/>
      <c r="AU1550" s="86"/>
      <c r="AV1550" s="86"/>
      <c r="AW1550" s="86"/>
      <c r="AX1550" s="86"/>
      <c r="AY1550" s="86"/>
      <c r="BB1550" s="86"/>
      <c r="BC1550" s="86"/>
      <c r="BD1550" s="86"/>
      <c r="BI1550" s="86"/>
      <c r="BQ1550" s="152"/>
    </row>
    <row r="1551" spans="2:69" s="84" customFormat="1" ht="27">
      <c r="B1551" s="141" t="s">
        <v>2325</v>
      </c>
      <c r="D1551" s="86" t="s">
        <v>73</v>
      </c>
      <c r="K1551" s="86"/>
      <c r="L1551" s="86"/>
      <c r="M1551" s="86"/>
      <c r="O1551" s="86"/>
      <c r="P1551" s="86"/>
      <c r="Q1551" s="86" t="s">
        <v>72</v>
      </c>
      <c r="AI1551" s="86"/>
      <c r="AJ1551" s="86"/>
      <c r="AK1551" s="86"/>
      <c r="AL1551" s="86"/>
      <c r="AM1551" s="86"/>
      <c r="AN1551" s="86"/>
      <c r="AO1551" s="86"/>
      <c r="AP1551" s="86"/>
      <c r="AQ1551" s="86"/>
      <c r="AR1551" s="86"/>
      <c r="AS1551" s="86"/>
      <c r="AT1551" s="86"/>
      <c r="AU1551" s="86"/>
      <c r="AV1551" s="86"/>
      <c r="AW1551" s="86"/>
      <c r="AX1551" s="86"/>
      <c r="AY1551" s="86"/>
      <c r="BB1551" s="86"/>
      <c r="BC1551" s="86"/>
      <c r="BD1551" s="86"/>
      <c r="BI1551" s="86"/>
      <c r="BQ1551" s="152"/>
    </row>
    <row r="1552" spans="2:69" s="84" customFormat="1">
      <c r="B1552" s="141" t="s">
        <v>2326</v>
      </c>
      <c r="D1552" s="86" t="s">
        <v>73</v>
      </c>
      <c r="K1552" s="86"/>
      <c r="L1552" s="86"/>
      <c r="M1552" s="86"/>
      <c r="O1552" s="86"/>
      <c r="P1552" s="86"/>
      <c r="Q1552" s="86"/>
      <c r="AI1552" s="86"/>
      <c r="AJ1552" s="86"/>
      <c r="AK1552" s="86"/>
      <c r="AL1552" s="86"/>
      <c r="AM1552" s="86"/>
      <c r="AN1552" s="86"/>
      <c r="AO1552" s="86"/>
      <c r="AP1552" s="86"/>
      <c r="AQ1552" s="86"/>
      <c r="AR1552" s="86"/>
      <c r="AS1552" s="86"/>
      <c r="AT1552" s="86"/>
      <c r="AU1552" s="86"/>
      <c r="AV1552" s="86"/>
      <c r="AW1552" s="86"/>
      <c r="AX1552" s="86"/>
      <c r="AY1552" s="86"/>
      <c r="BB1552" s="86"/>
      <c r="BC1552" s="86"/>
      <c r="BD1552" s="86"/>
      <c r="BI1552" s="86"/>
      <c r="BQ1552" s="152"/>
    </row>
    <row r="1553" spans="2:69" s="84" customFormat="1">
      <c r="B1553" s="141" t="s">
        <v>2327</v>
      </c>
      <c r="D1553" s="86" t="s">
        <v>73</v>
      </c>
      <c r="K1553" s="86"/>
      <c r="L1553" s="86"/>
      <c r="M1553" s="86"/>
      <c r="O1553" s="86"/>
      <c r="P1553" s="86"/>
      <c r="Q1553" s="86"/>
      <c r="AI1553" s="86"/>
      <c r="AJ1553" s="86"/>
      <c r="AK1553" s="86"/>
      <c r="AL1553" s="86"/>
      <c r="AM1553" s="86"/>
      <c r="AN1553" s="86"/>
      <c r="AO1553" s="86"/>
      <c r="AP1553" s="86"/>
      <c r="AQ1553" s="86"/>
      <c r="AR1553" s="86"/>
      <c r="AS1553" s="86"/>
      <c r="AT1553" s="86"/>
      <c r="AU1553" s="86"/>
      <c r="AV1553" s="86"/>
      <c r="AW1553" s="86"/>
      <c r="AX1553" s="86"/>
      <c r="AY1553" s="86"/>
      <c r="BB1553" s="86"/>
      <c r="BC1553" s="86"/>
      <c r="BD1553" s="86"/>
      <c r="BI1553" s="86"/>
      <c r="BQ1553" s="152"/>
    </row>
    <row r="1554" spans="2:69" s="84" customFormat="1">
      <c r="B1554" s="141" t="s">
        <v>2328</v>
      </c>
      <c r="D1554" s="86" t="s">
        <v>73</v>
      </c>
      <c r="K1554" s="86"/>
      <c r="L1554" s="86"/>
      <c r="M1554" s="86"/>
      <c r="O1554" s="86"/>
      <c r="P1554" s="86"/>
      <c r="Q1554" s="86"/>
      <c r="AI1554" s="86"/>
      <c r="AJ1554" s="86"/>
      <c r="AK1554" s="86"/>
      <c r="AL1554" s="86"/>
      <c r="AM1554" s="86"/>
      <c r="AN1554" s="86"/>
      <c r="AO1554" s="86"/>
      <c r="AP1554" s="86"/>
      <c r="AQ1554" s="86"/>
      <c r="AR1554" s="86"/>
      <c r="AS1554" s="86"/>
      <c r="AT1554" s="86"/>
      <c r="AU1554" s="86"/>
      <c r="AV1554" s="86"/>
      <c r="AW1554" s="86"/>
      <c r="AX1554" s="86"/>
      <c r="AY1554" s="86"/>
      <c r="BB1554" s="86"/>
      <c r="BC1554" s="86"/>
      <c r="BD1554" s="86"/>
      <c r="BI1554" s="86"/>
      <c r="BQ1554" s="152"/>
    </row>
    <row r="1555" spans="2:69" s="84" customFormat="1">
      <c r="B1555" s="141"/>
      <c r="D1555" s="86"/>
      <c r="K1555" s="86"/>
      <c r="L1555" s="86"/>
      <c r="M1555" s="86"/>
      <c r="O1555" s="86"/>
      <c r="P1555" s="86"/>
      <c r="Q1555" s="86"/>
      <c r="AI1555" s="86"/>
      <c r="AJ1555" s="86"/>
      <c r="AK1555" s="86"/>
      <c r="AL1555" s="86"/>
      <c r="AM1555" s="86"/>
      <c r="AN1555" s="86"/>
      <c r="AO1555" s="86"/>
      <c r="AP1555" s="86"/>
      <c r="AQ1555" s="86"/>
      <c r="AR1555" s="86"/>
      <c r="AS1555" s="86"/>
      <c r="AT1555" s="86"/>
      <c r="AU1555" s="86"/>
      <c r="AV1555" s="86"/>
      <c r="AW1555" s="86"/>
      <c r="AX1555" s="86"/>
      <c r="AY1555" s="86"/>
      <c r="BB1555" s="86"/>
      <c r="BC1555" s="86"/>
      <c r="BD1555" s="86"/>
      <c r="BI1555" s="86"/>
      <c r="BQ1555" s="152"/>
    </row>
    <row r="1556" spans="2:69" s="84" customFormat="1">
      <c r="B1556" s="141" t="s">
        <v>2329</v>
      </c>
      <c r="D1556" s="85" t="s">
        <v>74</v>
      </c>
      <c r="K1556" s="85"/>
      <c r="L1556" s="85"/>
      <c r="M1556" s="85"/>
      <c r="O1556" s="85"/>
      <c r="Q1556" s="86" t="s">
        <v>72</v>
      </c>
      <c r="AI1556" s="85"/>
      <c r="AJ1556" s="85"/>
      <c r="AK1556" s="85"/>
      <c r="AL1556" s="85"/>
      <c r="AM1556" s="85"/>
      <c r="AN1556" s="85"/>
      <c r="AO1556" s="85"/>
      <c r="AP1556" s="85"/>
      <c r="AQ1556" s="85"/>
      <c r="AR1556" s="85"/>
      <c r="AS1556" s="85"/>
      <c r="AT1556" s="85"/>
      <c r="AU1556" s="85"/>
      <c r="AV1556" s="85"/>
      <c r="AW1556" s="85"/>
      <c r="AX1556" s="85"/>
      <c r="AY1556" s="85"/>
      <c r="BB1556" s="86"/>
      <c r="BC1556" s="86"/>
      <c r="BD1556" s="86"/>
      <c r="BI1556" s="86"/>
      <c r="BQ1556" s="152"/>
    </row>
    <row r="1557" spans="2:69" s="84" customFormat="1" ht="27">
      <c r="B1557" s="141" t="s">
        <v>2330</v>
      </c>
      <c r="D1557" s="85" t="s">
        <v>74</v>
      </c>
      <c r="K1557" s="85"/>
      <c r="L1557" s="85"/>
      <c r="M1557" s="85"/>
      <c r="O1557" s="85"/>
      <c r="Q1557" s="86" t="s">
        <v>72</v>
      </c>
      <c r="AI1557" s="85"/>
      <c r="AJ1557" s="85"/>
      <c r="AK1557" s="85"/>
      <c r="AL1557" s="85"/>
      <c r="AM1557" s="85"/>
      <c r="AN1557" s="85"/>
      <c r="AO1557" s="85"/>
      <c r="AP1557" s="85"/>
      <c r="AQ1557" s="85"/>
      <c r="AR1557" s="85"/>
      <c r="AS1557" s="85"/>
      <c r="AT1557" s="85"/>
      <c r="AU1557" s="85"/>
      <c r="AV1557" s="85"/>
      <c r="AW1557" s="85"/>
      <c r="AX1557" s="85"/>
      <c r="AY1557" s="85"/>
      <c r="BB1557" s="86"/>
      <c r="BC1557" s="86"/>
      <c r="BD1557" s="86"/>
      <c r="BI1557" s="86"/>
      <c r="BQ1557" s="152"/>
    </row>
    <row r="1558" spans="2:69" s="84" customFormat="1">
      <c r="B1558" s="141" t="s">
        <v>2331</v>
      </c>
      <c r="D1558" s="85" t="s">
        <v>74</v>
      </c>
      <c r="K1558" s="85"/>
      <c r="L1558" s="85"/>
      <c r="M1558" s="85"/>
      <c r="O1558" s="85"/>
      <c r="Q1558" s="86" t="s">
        <v>72</v>
      </c>
      <c r="AI1558" s="85"/>
      <c r="AJ1558" s="85"/>
      <c r="AK1558" s="85"/>
      <c r="AL1558" s="85"/>
      <c r="AM1558" s="85"/>
      <c r="AN1558" s="85"/>
      <c r="AO1558" s="85"/>
      <c r="AP1558" s="85"/>
      <c r="AQ1558" s="85"/>
      <c r="AR1558" s="85"/>
      <c r="AS1558" s="85"/>
      <c r="AT1558" s="85"/>
      <c r="AU1558" s="85"/>
      <c r="AV1558" s="85"/>
      <c r="AW1558" s="85"/>
      <c r="AX1558" s="85"/>
      <c r="AY1558" s="85"/>
      <c r="BB1558" s="86"/>
      <c r="BC1558" s="86"/>
      <c r="BD1558" s="86"/>
      <c r="BI1558" s="86"/>
      <c r="BQ1558" s="152"/>
    </row>
    <row r="1559" spans="2:69" s="84" customFormat="1">
      <c r="B1559" s="141" t="s">
        <v>2332</v>
      </c>
      <c r="D1559" s="85" t="s">
        <v>74</v>
      </c>
      <c r="K1559" s="85"/>
      <c r="L1559" s="85"/>
      <c r="M1559" s="85"/>
      <c r="O1559" s="85"/>
      <c r="Q1559" s="86" t="s">
        <v>72</v>
      </c>
      <c r="AI1559" s="85"/>
      <c r="AJ1559" s="85"/>
      <c r="AK1559" s="85"/>
      <c r="AL1559" s="85"/>
      <c r="AM1559" s="85"/>
      <c r="AN1559" s="85"/>
      <c r="AO1559" s="85"/>
      <c r="AP1559" s="85"/>
      <c r="AQ1559" s="85"/>
      <c r="AR1559" s="85"/>
      <c r="AS1559" s="85"/>
      <c r="AT1559" s="85"/>
      <c r="AU1559" s="85"/>
      <c r="AV1559" s="85"/>
      <c r="AW1559" s="85"/>
      <c r="AX1559" s="85"/>
      <c r="AY1559" s="85"/>
      <c r="BB1559" s="86"/>
      <c r="BC1559" s="86"/>
      <c r="BD1559" s="86"/>
      <c r="BI1559" s="86"/>
      <c r="BQ1559" s="152"/>
    </row>
    <row r="1560" spans="2:69" s="84" customFormat="1">
      <c r="B1560" s="141" t="s">
        <v>2333</v>
      </c>
      <c r="D1560" s="85" t="s">
        <v>74</v>
      </c>
      <c r="K1560" s="85"/>
      <c r="L1560" s="85"/>
      <c r="M1560" s="85"/>
      <c r="O1560" s="85"/>
      <c r="Q1560" s="86" t="s">
        <v>72</v>
      </c>
      <c r="AI1560" s="85"/>
      <c r="AJ1560" s="85"/>
      <c r="AK1560" s="85"/>
      <c r="AL1560" s="85"/>
      <c r="AM1560" s="85"/>
      <c r="AN1560" s="85"/>
      <c r="AO1560" s="85"/>
      <c r="AP1560" s="85"/>
      <c r="AQ1560" s="85"/>
      <c r="AR1560" s="85"/>
      <c r="AS1560" s="85"/>
      <c r="AT1560" s="85"/>
      <c r="AU1560" s="85"/>
      <c r="AV1560" s="85"/>
      <c r="AW1560" s="85"/>
      <c r="AX1560" s="85"/>
      <c r="AY1560" s="85"/>
      <c r="BB1560" s="86"/>
      <c r="BC1560" s="86"/>
      <c r="BD1560" s="86"/>
      <c r="BI1560" s="86"/>
      <c r="BQ1560" s="152"/>
    </row>
    <row r="1561" spans="2:69" s="84" customFormat="1">
      <c r="B1561" s="141" t="s">
        <v>2334</v>
      </c>
      <c r="D1561" s="85" t="s">
        <v>74</v>
      </c>
      <c r="K1561" s="85"/>
      <c r="L1561" s="85"/>
      <c r="M1561" s="85"/>
      <c r="O1561" s="85"/>
      <c r="Q1561" s="86" t="s">
        <v>72</v>
      </c>
      <c r="AI1561" s="85"/>
      <c r="AJ1561" s="85"/>
      <c r="AK1561" s="85"/>
      <c r="AL1561" s="85"/>
      <c r="AM1561" s="85"/>
      <c r="AN1561" s="85"/>
      <c r="AO1561" s="85"/>
      <c r="AP1561" s="85"/>
      <c r="AQ1561" s="85"/>
      <c r="AR1561" s="85"/>
      <c r="AS1561" s="85"/>
      <c r="AT1561" s="85"/>
      <c r="AU1561" s="85"/>
      <c r="AV1561" s="85"/>
      <c r="AW1561" s="85"/>
      <c r="AX1561" s="85"/>
      <c r="AY1561" s="85"/>
      <c r="BB1561" s="86"/>
      <c r="BC1561" s="86"/>
      <c r="BD1561" s="86"/>
      <c r="BI1561" s="86"/>
      <c r="BQ1561" s="152"/>
    </row>
    <row r="1562" spans="2:69" s="84" customFormat="1" ht="27">
      <c r="B1562" s="141" t="s">
        <v>2335</v>
      </c>
      <c r="D1562" s="85" t="s">
        <v>74</v>
      </c>
      <c r="K1562" s="85"/>
      <c r="L1562" s="85"/>
      <c r="M1562" s="85"/>
      <c r="O1562" s="85"/>
      <c r="Q1562" s="86" t="s">
        <v>72</v>
      </c>
      <c r="AI1562" s="85"/>
      <c r="AJ1562" s="85"/>
      <c r="AK1562" s="85"/>
      <c r="AL1562" s="85"/>
      <c r="AM1562" s="85"/>
      <c r="AN1562" s="85"/>
      <c r="AO1562" s="85"/>
      <c r="AP1562" s="85"/>
      <c r="AQ1562" s="85"/>
      <c r="AR1562" s="85"/>
      <c r="AS1562" s="85"/>
      <c r="AT1562" s="85"/>
      <c r="AU1562" s="85"/>
      <c r="AV1562" s="85"/>
      <c r="AW1562" s="85"/>
      <c r="AX1562" s="85"/>
      <c r="AY1562" s="85"/>
      <c r="BB1562" s="86"/>
      <c r="BC1562" s="86"/>
      <c r="BD1562" s="86"/>
      <c r="BI1562" s="86"/>
      <c r="BQ1562" s="152"/>
    </row>
    <row r="1563" spans="2:69" s="84" customFormat="1">
      <c r="B1563" s="141" t="s">
        <v>2336</v>
      </c>
      <c r="D1563" s="85" t="s">
        <v>74</v>
      </c>
      <c r="K1563" s="85"/>
      <c r="L1563" s="85"/>
      <c r="M1563" s="85"/>
      <c r="O1563" s="85"/>
      <c r="Q1563" s="86" t="s">
        <v>72</v>
      </c>
      <c r="AI1563" s="85"/>
      <c r="AJ1563" s="85"/>
      <c r="AK1563" s="85"/>
      <c r="AL1563" s="85"/>
      <c r="AM1563" s="85"/>
      <c r="AN1563" s="85"/>
      <c r="AO1563" s="85"/>
      <c r="AP1563" s="85"/>
      <c r="AQ1563" s="85"/>
      <c r="AR1563" s="85"/>
      <c r="AS1563" s="85"/>
      <c r="AT1563" s="85"/>
      <c r="AU1563" s="85"/>
      <c r="AV1563" s="85"/>
      <c r="AW1563" s="85"/>
      <c r="AX1563" s="85"/>
      <c r="AY1563" s="85"/>
      <c r="BB1563" s="86"/>
      <c r="BC1563" s="86"/>
      <c r="BD1563" s="86"/>
      <c r="BI1563" s="86"/>
      <c r="BQ1563" s="152"/>
    </row>
    <row r="1564" spans="2:69" s="84" customFormat="1">
      <c r="B1564" s="141" t="s">
        <v>2337</v>
      </c>
      <c r="D1564" s="85" t="s">
        <v>74</v>
      </c>
      <c r="K1564" s="85"/>
      <c r="L1564" s="85"/>
      <c r="M1564" s="85"/>
      <c r="O1564" s="85"/>
      <c r="Q1564" s="86" t="s">
        <v>72</v>
      </c>
      <c r="AI1564" s="85"/>
      <c r="AJ1564" s="85"/>
      <c r="AK1564" s="85"/>
      <c r="AL1564" s="85"/>
      <c r="AM1564" s="85"/>
      <c r="AN1564" s="85"/>
      <c r="AO1564" s="85"/>
      <c r="AP1564" s="85"/>
      <c r="AQ1564" s="85"/>
      <c r="AR1564" s="85"/>
      <c r="AS1564" s="85"/>
      <c r="AT1564" s="85"/>
      <c r="AU1564" s="85"/>
      <c r="AV1564" s="85"/>
      <c r="AW1564" s="85"/>
      <c r="AX1564" s="85"/>
      <c r="AY1564" s="85"/>
      <c r="BB1564" s="86"/>
      <c r="BC1564" s="86"/>
      <c r="BD1564" s="86"/>
      <c r="BI1564" s="86"/>
      <c r="BQ1564" s="152"/>
    </row>
    <row r="1565" spans="2:69" s="84" customFormat="1">
      <c r="B1565" s="141" t="s">
        <v>2338</v>
      </c>
      <c r="D1565" s="85" t="s">
        <v>74</v>
      </c>
      <c r="K1565" s="85"/>
      <c r="L1565" s="85"/>
      <c r="M1565" s="85"/>
      <c r="O1565" s="85"/>
      <c r="Q1565" s="86" t="s">
        <v>72</v>
      </c>
      <c r="AI1565" s="85"/>
      <c r="AJ1565" s="85"/>
      <c r="AK1565" s="85"/>
      <c r="AL1565" s="85"/>
      <c r="AM1565" s="85"/>
      <c r="AN1565" s="85"/>
      <c r="AO1565" s="85"/>
      <c r="AP1565" s="85"/>
      <c r="AQ1565" s="85"/>
      <c r="AR1565" s="85"/>
      <c r="AS1565" s="85"/>
      <c r="AT1565" s="85"/>
      <c r="AU1565" s="85"/>
      <c r="AV1565" s="85"/>
      <c r="AW1565" s="85"/>
      <c r="AX1565" s="85"/>
      <c r="AY1565" s="85"/>
      <c r="BB1565" s="86"/>
      <c r="BC1565" s="86"/>
      <c r="BD1565" s="86"/>
      <c r="BI1565" s="86"/>
      <c r="BQ1565" s="152"/>
    </row>
    <row r="1566" spans="2:69" s="84" customFormat="1">
      <c r="B1566" s="141" t="s">
        <v>2339</v>
      </c>
      <c r="D1566" s="85" t="s">
        <v>74</v>
      </c>
      <c r="K1566" s="85"/>
      <c r="L1566" s="85"/>
      <c r="M1566" s="85"/>
      <c r="O1566" s="85"/>
      <c r="Q1566" s="86" t="s">
        <v>72</v>
      </c>
      <c r="AI1566" s="85"/>
      <c r="AJ1566" s="85"/>
      <c r="AK1566" s="85"/>
      <c r="AL1566" s="85"/>
      <c r="AM1566" s="85"/>
      <c r="AN1566" s="85"/>
      <c r="AO1566" s="85"/>
      <c r="AP1566" s="85"/>
      <c r="AQ1566" s="85"/>
      <c r="AR1566" s="85"/>
      <c r="AS1566" s="85"/>
      <c r="AT1566" s="85"/>
      <c r="AU1566" s="85"/>
      <c r="AV1566" s="85"/>
      <c r="AW1566" s="85"/>
      <c r="AX1566" s="85"/>
      <c r="AY1566" s="85"/>
      <c r="BB1566" s="86"/>
      <c r="BC1566" s="86"/>
      <c r="BD1566" s="86"/>
      <c r="BI1566" s="86"/>
      <c r="BQ1566" s="152"/>
    </row>
    <row r="1567" spans="2:69" s="84" customFormat="1">
      <c r="B1567" s="141" t="s">
        <v>2340</v>
      </c>
      <c r="D1567" s="85" t="s">
        <v>74</v>
      </c>
      <c r="K1567" s="85"/>
      <c r="L1567" s="85"/>
      <c r="M1567" s="85"/>
      <c r="O1567" s="85"/>
      <c r="Q1567" s="86" t="s">
        <v>72</v>
      </c>
      <c r="AI1567" s="85"/>
      <c r="AJ1567" s="85"/>
      <c r="AK1567" s="85"/>
      <c r="AL1567" s="85"/>
      <c r="AM1567" s="85"/>
      <c r="AN1567" s="85"/>
      <c r="AO1567" s="85"/>
      <c r="AP1567" s="85"/>
      <c r="AQ1567" s="85"/>
      <c r="AR1567" s="85"/>
      <c r="AS1567" s="85"/>
      <c r="AT1567" s="85"/>
      <c r="AU1567" s="85"/>
      <c r="AV1567" s="85"/>
      <c r="AW1567" s="85"/>
      <c r="AX1567" s="85"/>
      <c r="AY1567" s="85"/>
      <c r="BB1567" s="86"/>
      <c r="BC1567" s="86"/>
      <c r="BD1567" s="86"/>
      <c r="BI1567" s="86"/>
      <c r="BQ1567" s="152"/>
    </row>
    <row r="1568" spans="2:69" s="84" customFormat="1">
      <c r="B1568" s="141"/>
      <c r="D1568" s="86"/>
      <c r="K1568" s="86"/>
      <c r="L1568" s="86"/>
      <c r="M1568" s="86"/>
      <c r="O1568" s="86"/>
      <c r="Q1568" s="86"/>
      <c r="AI1568" s="86"/>
      <c r="AJ1568" s="86"/>
      <c r="AK1568" s="86"/>
      <c r="AL1568" s="86"/>
      <c r="AM1568" s="86"/>
      <c r="AN1568" s="86"/>
      <c r="AO1568" s="86"/>
      <c r="AP1568" s="86"/>
      <c r="AQ1568" s="86"/>
      <c r="AR1568" s="86"/>
      <c r="AS1568" s="86"/>
      <c r="AT1568" s="86"/>
      <c r="AU1568" s="86"/>
      <c r="AV1568" s="86"/>
      <c r="AW1568" s="86"/>
      <c r="AX1568" s="86"/>
      <c r="AY1568" s="86"/>
      <c r="BB1568" s="86"/>
      <c r="BC1568" s="86"/>
      <c r="BD1568" s="86"/>
      <c r="BI1568" s="86"/>
      <c r="BQ1568" s="152"/>
    </row>
    <row r="1569" spans="2:69" s="84" customFormat="1">
      <c r="B1569" s="141" t="s">
        <v>2341</v>
      </c>
      <c r="D1569" s="86" t="s">
        <v>73</v>
      </c>
      <c r="K1569" s="86"/>
      <c r="L1569" s="86"/>
      <c r="M1569" s="86"/>
      <c r="O1569" s="86"/>
      <c r="Q1569" s="86" t="s">
        <v>72</v>
      </c>
      <c r="AI1569" s="86"/>
      <c r="AJ1569" s="86"/>
      <c r="AK1569" s="86"/>
      <c r="AL1569" s="86"/>
      <c r="AM1569" s="86"/>
      <c r="AN1569" s="86"/>
      <c r="AO1569" s="86"/>
      <c r="AP1569" s="86"/>
      <c r="AQ1569" s="86"/>
      <c r="AR1569" s="86"/>
      <c r="AS1569" s="86"/>
      <c r="AT1569" s="86"/>
      <c r="AU1569" s="86"/>
      <c r="AV1569" s="86"/>
      <c r="AW1569" s="86"/>
      <c r="AX1569" s="86"/>
      <c r="AY1569" s="86"/>
      <c r="BB1569" s="86"/>
      <c r="BC1569" s="86"/>
      <c r="BD1569" s="86"/>
      <c r="BI1569" s="86"/>
      <c r="BQ1569" s="152"/>
    </row>
    <row r="1570" spans="2:69" s="84" customFormat="1" ht="27">
      <c r="B1570" s="141" t="s">
        <v>2342</v>
      </c>
      <c r="D1570" s="86" t="s">
        <v>73</v>
      </c>
      <c r="K1570" s="86"/>
      <c r="L1570" s="86"/>
      <c r="M1570" s="86"/>
      <c r="O1570" s="86"/>
      <c r="Q1570" s="86" t="s">
        <v>72</v>
      </c>
      <c r="AI1570" s="86"/>
      <c r="AJ1570" s="86"/>
      <c r="AK1570" s="86"/>
      <c r="AL1570" s="86"/>
      <c r="AM1570" s="86"/>
      <c r="AN1570" s="86"/>
      <c r="AO1570" s="86"/>
      <c r="AP1570" s="86"/>
      <c r="AQ1570" s="86"/>
      <c r="AR1570" s="86"/>
      <c r="AS1570" s="86"/>
      <c r="AT1570" s="86"/>
      <c r="AU1570" s="86"/>
      <c r="AV1570" s="86"/>
      <c r="AW1570" s="86"/>
      <c r="AX1570" s="86"/>
      <c r="AY1570" s="86"/>
      <c r="BB1570" s="86"/>
      <c r="BC1570" s="86"/>
      <c r="BD1570" s="86"/>
      <c r="BI1570" s="86"/>
      <c r="BQ1570" s="152"/>
    </row>
    <row r="1571" spans="2:69" s="84" customFormat="1">
      <c r="B1571" s="141" t="s">
        <v>2343</v>
      </c>
      <c r="D1571" s="86" t="s">
        <v>73</v>
      </c>
      <c r="K1571" s="86"/>
      <c r="L1571" s="86"/>
      <c r="M1571" s="86"/>
      <c r="O1571" s="86"/>
      <c r="Q1571" s="86" t="s">
        <v>72</v>
      </c>
      <c r="AI1571" s="86"/>
      <c r="AJ1571" s="86"/>
      <c r="AK1571" s="86"/>
      <c r="AL1571" s="86"/>
      <c r="AM1571" s="86"/>
      <c r="AN1571" s="86"/>
      <c r="AO1571" s="86"/>
      <c r="AP1571" s="86"/>
      <c r="AQ1571" s="86"/>
      <c r="AR1571" s="86"/>
      <c r="AS1571" s="86"/>
      <c r="AT1571" s="86"/>
      <c r="AU1571" s="86"/>
      <c r="AV1571" s="86"/>
      <c r="AW1571" s="86"/>
      <c r="AX1571" s="86"/>
      <c r="AY1571" s="86"/>
      <c r="BB1571" s="86"/>
      <c r="BC1571" s="86"/>
      <c r="BD1571" s="86"/>
      <c r="BI1571" s="86"/>
      <c r="BQ1571" s="152"/>
    </row>
    <row r="1572" spans="2:69" s="84" customFormat="1">
      <c r="B1572" s="141" t="s">
        <v>2344</v>
      </c>
      <c r="D1572" s="86" t="s">
        <v>73</v>
      </c>
      <c r="K1572" s="86"/>
      <c r="L1572" s="86"/>
      <c r="M1572" s="86"/>
      <c r="O1572" s="86"/>
      <c r="Q1572" s="86" t="s">
        <v>72</v>
      </c>
      <c r="AI1572" s="86"/>
      <c r="AJ1572" s="86"/>
      <c r="AK1572" s="86"/>
      <c r="AL1572" s="86"/>
      <c r="AM1572" s="86"/>
      <c r="AN1572" s="86"/>
      <c r="AO1572" s="86"/>
      <c r="AP1572" s="86"/>
      <c r="AQ1572" s="86"/>
      <c r="AR1572" s="86"/>
      <c r="AS1572" s="86"/>
      <c r="AT1572" s="86"/>
      <c r="AU1572" s="86"/>
      <c r="AV1572" s="86"/>
      <c r="AW1572" s="86"/>
      <c r="AX1572" s="86"/>
      <c r="AY1572" s="86"/>
      <c r="BB1572" s="86"/>
      <c r="BD1572" s="86"/>
      <c r="BI1572" s="86"/>
      <c r="BQ1572" s="152"/>
    </row>
    <row r="1573" spans="2:69" s="84" customFormat="1">
      <c r="B1573" s="141" t="s">
        <v>2345</v>
      </c>
      <c r="D1573" s="86" t="s">
        <v>73</v>
      </c>
      <c r="K1573" s="86"/>
      <c r="L1573" s="86"/>
      <c r="M1573" s="86"/>
      <c r="O1573" s="86"/>
      <c r="Q1573" s="86" t="s">
        <v>72</v>
      </c>
      <c r="AI1573" s="86"/>
      <c r="AJ1573" s="86"/>
      <c r="AK1573" s="86"/>
      <c r="AL1573" s="86"/>
      <c r="AM1573" s="86"/>
      <c r="AN1573" s="86"/>
      <c r="AO1573" s="86"/>
      <c r="AP1573" s="86"/>
      <c r="AQ1573" s="86"/>
      <c r="AR1573" s="86"/>
      <c r="AS1573" s="86"/>
      <c r="AT1573" s="86"/>
      <c r="AU1573" s="86"/>
      <c r="AV1573" s="86"/>
      <c r="AW1573" s="86"/>
      <c r="AX1573" s="86"/>
      <c r="AY1573" s="86"/>
      <c r="BB1573" s="86"/>
      <c r="BD1573" s="86"/>
      <c r="BI1573" s="86"/>
      <c r="BQ1573" s="152"/>
    </row>
    <row r="1574" spans="2:69" s="84" customFormat="1">
      <c r="B1574" s="141" t="s">
        <v>2346</v>
      </c>
      <c r="D1574" s="86" t="s">
        <v>73</v>
      </c>
      <c r="K1574" s="86"/>
      <c r="L1574" s="86"/>
      <c r="M1574" s="86"/>
      <c r="O1574" s="86"/>
      <c r="Q1574" s="86" t="s">
        <v>72</v>
      </c>
      <c r="AI1574" s="86"/>
      <c r="AJ1574" s="86"/>
      <c r="AK1574" s="86"/>
      <c r="AL1574" s="86"/>
      <c r="AM1574" s="86"/>
      <c r="AN1574" s="86"/>
      <c r="AO1574" s="86"/>
      <c r="AP1574" s="86"/>
      <c r="AQ1574" s="86"/>
      <c r="AR1574" s="86"/>
      <c r="AS1574" s="86"/>
      <c r="AT1574" s="86"/>
      <c r="AU1574" s="86"/>
      <c r="AV1574" s="86"/>
      <c r="AW1574" s="86"/>
      <c r="AX1574" s="86"/>
      <c r="AY1574" s="86"/>
      <c r="BB1574" s="86"/>
      <c r="BD1574" s="86"/>
      <c r="BI1574" s="86"/>
      <c r="BQ1574" s="152"/>
    </row>
    <row r="1575" spans="2:69" s="84" customFormat="1">
      <c r="B1575" s="141" t="s">
        <v>2347</v>
      </c>
      <c r="D1575" s="86" t="s">
        <v>73</v>
      </c>
      <c r="K1575" s="86"/>
      <c r="L1575" s="86"/>
      <c r="M1575" s="86"/>
      <c r="O1575" s="86"/>
      <c r="Q1575" s="86" t="s">
        <v>72</v>
      </c>
      <c r="AI1575" s="86"/>
      <c r="AJ1575" s="86"/>
      <c r="AK1575" s="86"/>
      <c r="AL1575" s="86"/>
      <c r="AM1575" s="86"/>
      <c r="AN1575" s="86"/>
      <c r="AO1575" s="86"/>
      <c r="AP1575" s="86"/>
      <c r="AQ1575" s="86"/>
      <c r="AR1575" s="86"/>
      <c r="AS1575" s="86"/>
      <c r="AT1575" s="86"/>
      <c r="AU1575" s="86"/>
      <c r="AV1575" s="86"/>
      <c r="AW1575" s="86"/>
      <c r="AX1575" s="86"/>
      <c r="AY1575" s="86"/>
      <c r="BB1575" s="86"/>
      <c r="BD1575" s="86"/>
      <c r="BI1575" s="86"/>
      <c r="BQ1575" s="152"/>
    </row>
    <row r="1576" spans="2:69" s="84" customFormat="1">
      <c r="B1576" s="141"/>
      <c r="D1576" s="86"/>
      <c r="I1576" s="86"/>
      <c r="K1576" s="86"/>
      <c r="L1576" s="86"/>
      <c r="M1576" s="86"/>
      <c r="O1576" s="86"/>
      <c r="S1576" s="86"/>
      <c r="AI1576" s="86"/>
      <c r="AJ1576" s="86"/>
      <c r="AK1576" s="86"/>
      <c r="AL1576" s="86"/>
      <c r="AM1576" s="86"/>
      <c r="AN1576" s="86"/>
      <c r="AO1576" s="86"/>
      <c r="AP1576" s="86"/>
      <c r="AQ1576" s="86"/>
      <c r="AR1576" s="86"/>
      <c r="AS1576" s="86"/>
      <c r="AT1576" s="86"/>
      <c r="AU1576" s="86"/>
      <c r="AV1576" s="86"/>
      <c r="AW1576" s="86"/>
      <c r="AX1576" s="86"/>
      <c r="AY1576" s="86"/>
      <c r="BB1576" s="86"/>
      <c r="BQ1576" s="152"/>
    </row>
    <row r="1577" spans="2:69" s="84" customFormat="1">
      <c r="B1577" s="141" t="s">
        <v>2348</v>
      </c>
      <c r="D1577" s="86"/>
      <c r="I1577" s="86"/>
      <c r="K1577" s="86"/>
      <c r="L1577" s="86"/>
      <c r="M1577" s="86"/>
      <c r="O1577" s="86"/>
      <c r="S1577" s="86"/>
      <c r="AI1577" s="86"/>
      <c r="AJ1577" s="86"/>
      <c r="AK1577" s="86"/>
      <c r="AL1577" s="86"/>
      <c r="AM1577" s="86"/>
      <c r="AN1577" s="86"/>
      <c r="AO1577" s="86"/>
      <c r="AP1577" s="86"/>
      <c r="AQ1577" s="86"/>
      <c r="AR1577" s="86"/>
      <c r="AS1577" s="86"/>
      <c r="AT1577" s="86"/>
      <c r="AU1577" s="86"/>
      <c r="AV1577" s="86"/>
      <c r="AW1577" s="86"/>
      <c r="AX1577" s="86"/>
      <c r="AY1577" s="86"/>
      <c r="BB1577" s="86"/>
      <c r="BQ1577" s="152"/>
    </row>
    <row r="1578" spans="2:69" s="84" customFormat="1">
      <c r="B1578" s="141" t="s">
        <v>2349</v>
      </c>
      <c r="D1578" s="86"/>
      <c r="I1578" s="86"/>
      <c r="K1578" s="86"/>
      <c r="L1578" s="86"/>
      <c r="M1578" s="86"/>
      <c r="O1578" s="86"/>
      <c r="S1578" s="86"/>
      <c r="AI1578" s="86"/>
      <c r="AJ1578" s="86"/>
      <c r="AK1578" s="86"/>
      <c r="AL1578" s="86"/>
      <c r="AM1578" s="86"/>
      <c r="AN1578" s="86"/>
      <c r="AO1578" s="86"/>
      <c r="AP1578" s="86"/>
      <c r="AQ1578" s="86"/>
      <c r="AR1578" s="86"/>
      <c r="AS1578" s="86"/>
      <c r="AT1578" s="86"/>
      <c r="AU1578" s="86"/>
      <c r="AV1578" s="86"/>
      <c r="AW1578" s="86"/>
      <c r="AX1578" s="86"/>
      <c r="AY1578" s="86"/>
      <c r="BB1578" s="86"/>
      <c r="BQ1578" s="152"/>
    </row>
    <row r="1579" spans="2:69" s="84" customFormat="1">
      <c r="B1579" s="141" t="s">
        <v>2350</v>
      </c>
      <c r="D1579" s="86"/>
      <c r="I1579" s="86"/>
      <c r="K1579" s="86"/>
      <c r="L1579" s="86"/>
      <c r="M1579" s="86"/>
      <c r="O1579" s="86"/>
      <c r="S1579" s="86"/>
      <c r="AI1579" s="86"/>
      <c r="AJ1579" s="86"/>
      <c r="AK1579" s="86"/>
      <c r="AL1579" s="86"/>
      <c r="AM1579" s="86"/>
      <c r="AN1579" s="86"/>
      <c r="AO1579" s="86"/>
      <c r="AP1579" s="86"/>
      <c r="AQ1579" s="86"/>
      <c r="AR1579" s="86"/>
      <c r="AS1579" s="86"/>
      <c r="AT1579" s="86"/>
      <c r="AU1579" s="86"/>
      <c r="AV1579" s="86"/>
      <c r="AW1579" s="86"/>
      <c r="AX1579" s="86"/>
      <c r="AY1579" s="86"/>
      <c r="BB1579" s="86"/>
      <c r="BQ1579" s="152"/>
    </row>
    <row r="1580" spans="2:69" s="84" customFormat="1">
      <c r="B1580" s="141" t="s">
        <v>2351</v>
      </c>
      <c r="D1580" s="86"/>
      <c r="I1580" s="86"/>
      <c r="K1580" s="86"/>
      <c r="L1580" s="86"/>
      <c r="M1580" s="86"/>
      <c r="O1580" s="86"/>
      <c r="S1580" s="86"/>
      <c r="AI1580" s="86"/>
      <c r="AJ1580" s="86"/>
      <c r="AK1580" s="86"/>
      <c r="AL1580" s="86"/>
      <c r="AM1580" s="86"/>
      <c r="AN1580" s="86"/>
      <c r="AO1580" s="86"/>
      <c r="AP1580" s="86"/>
      <c r="AQ1580" s="86"/>
      <c r="AR1580" s="86"/>
      <c r="AS1580" s="86"/>
      <c r="AT1580" s="86"/>
      <c r="AU1580" s="86"/>
      <c r="AV1580" s="86"/>
      <c r="AW1580" s="86"/>
      <c r="AX1580" s="86"/>
      <c r="AY1580" s="86"/>
      <c r="BB1580" s="86"/>
      <c r="BQ1580" s="152"/>
    </row>
    <row r="1581" spans="2:69" s="84" customFormat="1">
      <c r="B1581" s="141" t="s">
        <v>2352</v>
      </c>
      <c r="D1581" s="86"/>
      <c r="I1581" s="86"/>
      <c r="K1581" s="86"/>
      <c r="L1581" s="86"/>
      <c r="M1581" s="86"/>
      <c r="O1581" s="86"/>
      <c r="S1581" s="86"/>
      <c r="AI1581" s="86"/>
      <c r="AJ1581" s="86"/>
      <c r="AK1581" s="86"/>
      <c r="AL1581" s="86"/>
      <c r="AM1581" s="86"/>
      <c r="AN1581" s="86"/>
      <c r="AO1581" s="86"/>
      <c r="AP1581" s="86"/>
      <c r="AQ1581" s="86"/>
      <c r="AR1581" s="86"/>
      <c r="AS1581" s="86"/>
      <c r="AT1581" s="86"/>
      <c r="AU1581" s="86"/>
      <c r="AV1581" s="86"/>
      <c r="AW1581" s="86"/>
      <c r="AX1581" s="86"/>
      <c r="AY1581" s="86"/>
      <c r="BB1581" s="86"/>
      <c r="BQ1581" s="152"/>
    </row>
    <row r="1582" spans="2:69" s="84" customFormat="1">
      <c r="B1582" s="141" t="s">
        <v>2353</v>
      </c>
      <c r="D1582" s="86"/>
      <c r="I1582" s="86"/>
      <c r="K1582" s="86"/>
      <c r="L1582" s="86"/>
      <c r="M1582" s="86"/>
      <c r="O1582" s="86"/>
      <c r="S1582" s="86"/>
      <c r="AI1582" s="86"/>
      <c r="AJ1582" s="86"/>
      <c r="AK1582" s="86"/>
      <c r="AL1582" s="86"/>
      <c r="AM1582" s="86"/>
      <c r="AN1582" s="86"/>
      <c r="AO1582" s="86"/>
      <c r="AP1582" s="86"/>
      <c r="AQ1582" s="86"/>
      <c r="AR1582" s="86"/>
      <c r="AS1582" s="86"/>
      <c r="AT1582" s="86"/>
      <c r="AU1582" s="86"/>
      <c r="AV1582" s="86"/>
      <c r="AW1582" s="86"/>
      <c r="AX1582" s="86"/>
      <c r="AY1582" s="86"/>
      <c r="BB1582" s="86"/>
      <c r="BQ1582" s="152"/>
    </row>
    <row r="1583" spans="2:69" s="84" customFormat="1" ht="27">
      <c r="B1583" s="141" t="s">
        <v>2354</v>
      </c>
      <c r="D1583" s="86"/>
      <c r="I1583" s="86"/>
      <c r="K1583" s="86"/>
      <c r="L1583" s="86"/>
      <c r="M1583" s="86"/>
      <c r="O1583" s="86"/>
      <c r="S1583" s="86"/>
      <c r="AI1583" s="86"/>
      <c r="AJ1583" s="86"/>
      <c r="AK1583" s="86"/>
      <c r="AL1583" s="86"/>
      <c r="AM1583" s="86"/>
      <c r="AN1583" s="86"/>
      <c r="AO1583" s="86"/>
      <c r="AP1583" s="86"/>
      <c r="AQ1583" s="86"/>
      <c r="AR1583" s="86"/>
      <c r="AS1583" s="86"/>
      <c r="AT1583" s="86"/>
      <c r="AU1583" s="86"/>
      <c r="AV1583" s="86"/>
      <c r="AW1583" s="86"/>
      <c r="AX1583" s="86"/>
      <c r="AY1583" s="86"/>
      <c r="BB1583" s="86"/>
      <c r="BQ1583" s="152"/>
    </row>
    <row r="1584" spans="2:69" s="84" customFormat="1">
      <c r="B1584" s="141"/>
      <c r="D1584" s="86"/>
      <c r="I1584" s="86"/>
      <c r="K1584" s="86"/>
      <c r="L1584" s="86"/>
      <c r="M1584" s="86"/>
      <c r="O1584" s="86"/>
      <c r="S1584" s="86"/>
      <c r="AI1584" s="86"/>
      <c r="AJ1584" s="86"/>
      <c r="AK1584" s="86"/>
      <c r="AL1584" s="86"/>
      <c r="AM1584" s="86"/>
      <c r="AN1584" s="86"/>
      <c r="AO1584" s="86"/>
      <c r="AP1584" s="86"/>
      <c r="AQ1584" s="86"/>
      <c r="AR1584" s="86"/>
      <c r="AS1584" s="86"/>
      <c r="AT1584" s="86"/>
      <c r="AU1584" s="86"/>
      <c r="AV1584" s="86"/>
      <c r="AW1584" s="86"/>
      <c r="AX1584" s="86"/>
      <c r="AY1584" s="86"/>
      <c r="BB1584" s="86"/>
      <c r="BQ1584" s="152"/>
    </row>
    <row r="1585" spans="2:69" s="84" customFormat="1">
      <c r="B1585" s="141" t="s">
        <v>2355</v>
      </c>
      <c r="D1585" s="86"/>
      <c r="I1585" s="86"/>
      <c r="K1585" s="86"/>
      <c r="L1585" s="86"/>
      <c r="M1585" s="86"/>
      <c r="O1585" s="86"/>
      <c r="S1585" s="86"/>
      <c r="AI1585" s="86"/>
      <c r="AJ1585" s="86"/>
      <c r="AK1585" s="86"/>
      <c r="AL1585" s="86"/>
      <c r="AM1585" s="86"/>
      <c r="AN1585" s="86"/>
      <c r="AO1585" s="86"/>
      <c r="AP1585" s="86"/>
      <c r="AQ1585" s="86"/>
      <c r="AR1585" s="86"/>
      <c r="AS1585" s="86"/>
      <c r="AT1585" s="86"/>
      <c r="AU1585" s="86"/>
      <c r="AV1585" s="86"/>
      <c r="AW1585" s="86"/>
      <c r="AX1585" s="86"/>
      <c r="AY1585" s="86"/>
      <c r="BB1585" s="86"/>
      <c r="BQ1585" s="152"/>
    </row>
    <row r="1586" spans="2:69" s="84" customFormat="1" ht="27">
      <c r="B1586" s="141" t="s">
        <v>2356</v>
      </c>
      <c r="D1586" s="86"/>
      <c r="I1586" s="86"/>
      <c r="K1586" s="86"/>
      <c r="L1586" s="86"/>
      <c r="M1586" s="86"/>
      <c r="O1586" s="86"/>
      <c r="S1586" s="86"/>
      <c r="AI1586" s="86"/>
      <c r="AJ1586" s="86"/>
      <c r="AK1586" s="86"/>
      <c r="AL1586" s="86"/>
      <c r="AM1586" s="86"/>
      <c r="AN1586" s="86"/>
      <c r="AO1586" s="86"/>
      <c r="AP1586" s="86"/>
      <c r="AQ1586" s="86"/>
      <c r="AR1586" s="86"/>
      <c r="AS1586" s="86"/>
      <c r="AT1586" s="86"/>
      <c r="AU1586" s="86"/>
      <c r="AV1586" s="86"/>
      <c r="AW1586" s="86"/>
      <c r="AX1586" s="86"/>
      <c r="AY1586" s="86"/>
      <c r="BB1586" s="86"/>
      <c r="BQ1586" s="152"/>
    </row>
    <row r="1587" spans="2:69" s="84" customFormat="1" ht="27.75">
      <c r="B1587" s="141" t="s">
        <v>2357</v>
      </c>
      <c r="D1587" s="86"/>
      <c r="I1587" s="86"/>
      <c r="K1587" s="86"/>
      <c r="L1587" s="86"/>
      <c r="M1587" s="86"/>
      <c r="O1587" s="86"/>
      <c r="S1587" s="86"/>
      <c r="AI1587" s="86"/>
      <c r="AJ1587" s="86"/>
      <c r="AK1587" s="86"/>
      <c r="AL1587" s="86"/>
      <c r="AM1587" s="86"/>
      <c r="AN1587" s="86"/>
      <c r="AO1587" s="86"/>
      <c r="AP1587" s="86"/>
      <c r="AQ1587" s="86"/>
      <c r="AR1587" s="86"/>
      <c r="AS1587" s="86"/>
      <c r="AT1587" s="86"/>
      <c r="AU1587" s="86"/>
      <c r="AV1587" s="86"/>
      <c r="AW1587" s="86"/>
      <c r="AX1587" s="86"/>
      <c r="AY1587" s="86"/>
      <c r="BB1587" s="86"/>
      <c r="BQ1587" s="152"/>
    </row>
    <row r="1588" spans="2:69" s="84" customFormat="1" ht="28.5">
      <c r="B1588" s="141" t="s">
        <v>2358</v>
      </c>
      <c r="D1588" s="86"/>
      <c r="I1588" s="86"/>
      <c r="K1588" s="86"/>
      <c r="L1588" s="86"/>
      <c r="M1588" s="86"/>
      <c r="O1588" s="86"/>
      <c r="S1588" s="86"/>
      <c r="AI1588" s="86"/>
      <c r="AJ1588" s="86"/>
      <c r="AK1588" s="86"/>
      <c r="AL1588" s="86"/>
      <c r="AM1588" s="86"/>
      <c r="AN1588" s="86"/>
      <c r="AO1588" s="86"/>
      <c r="AP1588" s="86"/>
      <c r="AQ1588" s="86"/>
      <c r="AR1588" s="86"/>
      <c r="AS1588" s="86"/>
      <c r="AT1588" s="86"/>
      <c r="AU1588" s="86"/>
      <c r="AV1588" s="86"/>
      <c r="AW1588" s="86"/>
      <c r="AX1588" s="86"/>
      <c r="AY1588" s="86"/>
      <c r="BB1588" s="86"/>
      <c r="BQ1588" s="152"/>
    </row>
    <row r="1589" spans="2:69" s="84" customFormat="1" ht="27.75">
      <c r="B1589" s="141" t="s">
        <v>2359</v>
      </c>
      <c r="D1589" s="86"/>
      <c r="I1589" s="86"/>
      <c r="K1589" s="86"/>
      <c r="L1589" s="86"/>
      <c r="M1589" s="86"/>
      <c r="O1589" s="86"/>
      <c r="S1589" s="86"/>
      <c r="AI1589" s="86"/>
      <c r="AJ1589" s="86"/>
      <c r="AK1589" s="86"/>
      <c r="AL1589" s="86"/>
      <c r="AM1589" s="86"/>
      <c r="AN1589" s="86"/>
      <c r="AO1589" s="86"/>
      <c r="AP1589" s="86"/>
      <c r="AQ1589" s="86"/>
      <c r="AR1589" s="86"/>
      <c r="AS1589" s="86"/>
      <c r="AT1589" s="86"/>
      <c r="AU1589" s="86"/>
      <c r="AV1589" s="86"/>
      <c r="AW1589" s="86"/>
      <c r="AX1589" s="86"/>
      <c r="AY1589" s="86"/>
      <c r="BB1589" s="86"/>
      <c r="BQ1589" s="152"/>
    </row>
    <row r="1590" spans="2:69" s="84" customFormat="1">
      <c r="B1590" s="141"/>
      <c r="D1590" s="86"/>
      <c r="I1590" s="86"/>
      <c r="K1590" s="86"/>
      <c r="L1590" s="86"/>
      <c r="M1590" s="86"/>
      <c r="O1590" s="86"/>
      <c r="S1590" s="86"/>
      <c r="AI1590" s="86"/>
      <c r="AJ1590" s="86"/>
      <c r="AK1590" s="86"/>
      <c r="AL1590" s="86"/>
      <c r="AM1590" s="86"/>
      <c r="AN1590" s="86"/>
      <c r="AO1590" s="86"/>
      <c r="AP1590" s="86"/>
      <c r="AQ1590" s="86"/>
      <c r="AR1590" s="86"/>
      <c r="AS1590" s="86"/>
      <c r="AT1590" s="86"/>
      <c r="AU1590" s="86"/>
      <c r="AV1590" s="86"/>
      <c r="AW1590" s="86"/>
      <c r="AX1590" s="86"/>
      <c r="AY1590" s="86"/>
      <c r="BB1590" s="86"/>
      <c r="BQ1590" s="152"/>
    </row>
    <row r="1591" spans="2:69" s="84" customFormat="1">
      <c r="B1591" s="141" t="s">
        <v>2360</v>
      </c>
      <c r="D1591" s="86"/>
      <c r="I1591" s="86"/>
      <c r="K1591" s="86"/>
      <c r="L1591" s="86"/>
      <c r="M1591" s="86"/>
      <c r="O1591" s="86"/>
      <c r="S1591" s="86"/>
      <c r="AI1591" s="86"/>
      <c r="AJ1591" s="86"/>
      <c r="AK1591" s="86"/>
      <c r="AL1591" s="86"/>
      <c r="AM1591" s="86"/>
      <c r="AN1591" s="86"/>
      <c r="AO1591" s="86"/>
      <c r="AP1591" s="86"/>
      <c r="AQ1591" s="86"/>
      <c r="AR1591" s="86"/>
      <c r="AS1591" s="86"/>
      <c r="AT1591" s="86"/>
      <c r="AU1591" s="86"/>
      <c r="AV1591" s="86"/>
      <c r="AW1591" s="86"/>
      <c r="AX1591" s="86"/>
      <c r="AY1591" s="86"/>
      <c r="BB1591" s="86"/>
      <c r="BQ1591" s="152"/>
    </row>
    <row r="1592" spans="2:69" s="84" customFormat="1">
      <c r="B1592" s="141" t="s">
        <v>2361</v>
      </c>
      <c r="D1592" s="86"/>
      <c r="I1592" s="86"/>
      <c r="K1592" s="86"/>
      <c r="L1592" s="86"/>
      <c r="M1592" s="86"/>
      <c r="O1592" s="86"/>
      <c r="S1592" s="86"/>
      <c r="AI1592" s="86"/>
      <c r="AJ1592" s="86"/>
      <c r="AK1592" s="86"/>
      <c r="AL1592" s="86"/>
      <c r="AM1592" s="86"/>
      <c r="AN1592" s="86"/>
      <c r="AO1592" s="86"/>
      <c r="AP1592" s="86"/>
      <c r="AQ1592" s="86"/>
      <c r="AR1592" s="86"/>
      <c r="AS1592" s="86"/>
      <c r="AT1592" s="86"/>
      <c r="AU1592" s="86"/>
      <c r="AV1592" s="86"/>
      <c r="AW1592" s="86"/>
      <c r="AX1592" s="86"/>
      <c r="AY1592" s="86"/>
      <c r="BB1592" s="86"/>
      <c r="BQ1592" s="152"/>
    </row>
    <row r="1593" spans="2:69" s="84" customFormat="1">
      <c r="B1593" s="141" t="s">
        <v>2312</v>
      </c>
      <c r="D1593" s="86"/>
      <c r="I1593" s="86"/>
      <c r="K1593" s="86"/>
      <c r="L1593" s="86"/>
      <c r="M1593" s="86"/>
      <c r="O1593" s="86"/>
      <c r="S1593" s="86"/>
      <c r="AI1593" s="86"/>
      <c r="AJ1593" s="86"/>
      <c r="AK1593" s="86"/>
      <c r="AL1593" s="86"/>
      <c r="AM1593" s="86"/>
      <c r="AN1593" s="86"/>
      <c r="AO1593" s="86"/>
      <c r="AP1593" s="86"/>
      <c r="AQ1593" s="86"/>
      <c r="AR1593" s="86"/>
      <c r="AS1593" s="86"/>
      <c r="AT1593" s="86"/>
      <c r="AU1593" s="86"/>
      <c r="AV1593" s="86"/>
      <c r="AW1593" s="86"/>
      <c r="AX1593" s="86"/>
      <c r="AY1593" s="86"/>
      <c r="BB1593" s="86"/>
      <c r="BQ1593" s="152"/>
    </row>
    <row r="1594" spans="2:69" s="84" customFormat="1">
      <c r="B1594" s="141" t="s">
        <v>2313</v>
      </c>
      <c r="D1594" s="86"/>
      <c r="I1594" s="86"/>
      <c r="K1594" s="86"/>
      <c r="L1594" s="86"/>
      <c r="M1594" s="86"/>
      <c r="O1594" s="86"/>
      <c r="S1594" s="86"/>
      <c r="AI1594" s="86"/>
      <c r="AJ1594" s="86"/>
      <c r="AK1594" s="86"/>
      <c r="AL1594" s="86"/>
      <c r="AM1594" s="86"/>
      <c r="AN1594" s="86"/>
      <c r="AO1594" s="86"/>
      <c r="AP1594" s="86"/>
      <c r="AQ1594" s="86"/>
      <c r="AR1594" s="86"/>
      <c r="AS1594" s="86"/>
      <c r="AT1594" s="86"/>
      <c r="AU1594" s="86"/>
      <c r="AV1594" s="86"/>
      <c r="AW1594" s="86"/>
      <c r="AX1594" s="86"/>
      <c r="AY1594" s="86"/>
      <c r="BB1594" s="86"/>
      <c r="BQ1594" s="152"/>
    </row>
    <row r="1595" spans="2:69" s="84" customFormat="1">
      <c r="B1595" s="141" t="s">
        <v>2314</v>
      </c>
      <c r="D1595" s="86"/>
      <c r="I1595" s="86"/>
      <c r="K1595" s="86"/>
      <c r="L1595" s="86"/>
      <c r="M1595" s="86"/>
      <c r="O1595" s="86"/>
      <c r="S1595" s="86"/>
      <c r="AI1595" s="86"/>
      <c r="AJ1595" s="86"/>
      <c r="AK1595" s="86"/>
      <c r="AL1595" s="86"/>
      <c r="AM1595" s="86"/>
      <c r="AN1595" s="86"/>
      <c r="AO1595" s="86"/>
      <c r="AP1595" s="86"/>
      <c r="AQ1595" s="86"/>
      <c r="AR1595" s="86"/>
      <c r="AS1595" s="86"/>
      <c r="AT1595" s="86"/>
      <c r="AU1595" s="86"/>
      <c r="AV1595" s="86"/>
      <c r="AW1595" s="86"/>
      <c r="AX1595" s="86"/>
      <c r="AY1595" s="86"/>
      <c r="BB1595" s="86"/>
      <c r="BQ1595" s="152"/>
    </row>
    <row r="1596" spans="2:69" s="84" customFormat="1">
      <c r="B1596" s="141" t="s">
        <v>2315</v>
      </c>
      <c r="D1596" s="86"/>
      <c r="I1596" s="86"/>
      <c r="K1596" s="86"/>
      <c r="L1596" s="86"/>
      <c r="M1596" s="86"/>
      <c r="O1596" s="86"/>
      <c r="S1596" s="86"/>
      <c r="AI1596" s="86"/>
      <c r="AJ1596" s="86"/>
      <c r="AK1596" s="86"/>
      <c r="AL1596" s="86"/>
      <c r="AM1596" s="86"/>
      <c r="AN1596" s="86"/>
      <c r="AO1596" s="86"/>
      <c r="AP1596" s="86"/>
      <c r="AQ1596" s="86"/>
      <c r="AR1596" s="86"/>
      <c r="AS1596" s="86"/>
      <c r="AT1596" s="86"/>
      <c r="AU1596" s="86"/>
      <c r="AV1596" s="86"/>
      <c r="AW1596" s="86"/>
      <c r="AX1596" s="86"/>
      <c r="AY1596" s="86"/>
      <c r="BB1596" s="86"/>
      <c r="BQ1596" s="152"/>
    </row>
    <row r="1597" spans="2:69" s="84" customFormat="1">
      <c r="B1597" s="141" t="s">
        <v>2316</v>
      </c>
      <c r="D1597" s="86"/>
      <c r="I1597" s="86"/>
      <c r="K1597" s="86"/>
      <c r="L1597" s="86"/>
      <c r="M1597" s="86"/>
      <c r="O1597" s="86"/>
      <c r="S1597" s="86"/>
      <c r="AI1597" s="86"/>
      <c r="AJ1597" s="86"/>
      <c r="AK1597" s="86"/>
      <c r="AL1597" s="86"/>
      <c r="AM1597" s="86"/>
      <c r="AN1597" s="86"/>
      <c r="AO1597" s="86"/>
      <c r="AP1597" s="86"/>
      <c r="AQ1597" s="86"/>
      <c r="AR1597" s="86"/>
      <c r="AS1597" s="86"/>
      <c r="AT1597" s="86"/>
      <c r="AU1597" s="86"/>
      <c r="AV1597" s="86"/>
      <c r="AW1597" s="86"/>
      <c r="AX1597" s="86"/>
      <c r="AY1597" s="86"/>
      <c r="BB1597" s="86"/>
      <c r="BQ1597" s="152"/>
    </row>
    <row r="1598" spans="2:69" s="84" customFormat="1">
      <c r="B1598" s="141"/>
      <c r="D1598" s="86"/>
      <c r="I1598" s="86"/>
      <c r="K1598" s="86"/>
      <c r="L1598" s="86"/>
      <c r="M1598" s="86"/>
      <c r="O1598" s="86"/>
      <c r="S1598" s="86"/>
      <c r="AI1598" s="86"/>
      <c r="AJ1598" s="86"/>
      <c r="AK1598" s="86"/>
      <c r="AL1598" s="86"/>
      <c r="AM1598" s="86"/>
      <c r="AN1598" s="86"/>
      <c r="AO1598" s="86"/>
      <c r="AP1598" s="86"/>
      <c r="AQ1598" s="86"/>
      <c r="AR1598" s="86"/>
      <c r="AS1598" s="86"/>
      <c r="AT1598" s="86"/>
      <c r="AU1598" s="86"/>
      <c r="AV1598" s="86"/>
      <c r="AW1598" s="86"/>
      <c r="AX1598" s="86"/>
      <c r="AY1598" s="86"/>
      <c r="BB1598" s="86"/>
      <c r="BQ1598" s="152"/>
    </row>
    <row r="1599" spans="2:69" s="84" customFormat="1" ht="27">
      <c r="B1599" s="141" t="s">
        <v>2362</v>
      </c>
      <c r="D1599" s="86"/>
      <c r="I1599" s="86"/>
      <c r="K1599" s="86"/>
      <c r="L1599" s="86"/>
      <c r="M1599" s="86"/>
      <c r="O1599" s="86"/>
      <c r="S1599" s="86"/>
      <c r="AI1599" s="86"/>
      <c r="AJ1599" s="86"/>
      <c r="AK1599" s="86"/>
      <c r="AL1599" s="86"/>
      <c r="AM1599" s="86"/>
      <c r="AN1599" s="86"/>
      <c r="AO1599" s="86"/>
      <c r="AP1599" s="86"/>
      <c r="AQ1599" s="86"/>
      <c r="AR1599" s="86"/>
      <c r="AS1599" s="86"/>
      <c r="AT1599" s="86"/>
      <c r="AU1599" s="86"/>
      <c r="AV1599" s="86"/>
      <c r="AW1599" s="86"/>
      <c r="AX1599" s="86"/>
      <c r="AY1599" s="86"/>
      <c r="BB1599" s="86"/>
      <c r="BQ1599" s="152"/>
    </row>
    <row r="1600" spans="2:69" s="84" customFormat="1" ht="27">
      <c r="B1600" s="141" t="s">
        <v>2363</v>
      </c>
      <c r="D1600" s="86"/>
      <c r="I1600" s="86"/>
      <c r="K1600" s="86"/>
      <c r="L1600" s="86"/>
      <c r="M1600" s="86"/>
      <c r="O1600" s="86"/>
      <c r="S1600" s="86"/>
      <c r="AI1600" s="86"/>
      <c r="AJ1600" s="86"/>
      <c r="AK1600" s="86"/>
      <c r="AL1600" s="86"/>
      <c r="AM1600" s="86"/>
      <c r="AN1600" s="86"/>
      <c r="AO1600" s="86"/>
      <c r="AP1600" s="86"/>
      <c r="AQ1600" s="86"/>
      <c r="AR1600" s="86"/>
      <c r="AS1600" s="86"/>
      <c r="AT1600" s="86"/>
      <c r="AU1600" s="86"/>
      <c r="AV1600" s="86"/>
      <c r="AW1600" s="86"/>
      <c r="AX1600" s="86"/>
      <c r="AY1600" s="86"/>
      <c r="BB1600" s="86"/>
      <c r="BQ1600" s="152"/>
    </row>
    <row r="1601" spans="2:69" s="84" customFormat="1">
      <c r="B1601" s="141" t="s">
        <v>2364</v>
      </c>
      <c r="D1601" s="86"/>
      <c r="I1601" s="86"/>
      <c r="K1601" s="86"/>
      <c r="L1601" s="86"/>
      <c r="M1601" s="86"/>
      <c r="O1601" s="86"/>
      <c r="S1601" s="86"/>
      <c r="AI1601" s="86"/>
      <c r="AJ1601" s="86"/>
      <c r="AK1601" s="86"/>
      <c r="AL1601" s="86"/>
      <c r="AM1601" s="86"/>
      <c r="AN1601" s="86"/>
      <c r="AO1601" s="86"/>
      <c r="AP1601" s="86"/>
      <c r="AQ1601" s="86"/>
      <c r="AR1601" s="86"/>
      <c r="AS1601" s="86"/>
      <c r="AT1601" s="86"/>
      <c r="AU1601" s="86"/>
      <c r="AV1601" s="86"/>
      <c r="AW1601" s="86"/>
      <c r="AX1601" s="86"/>
      <c r="AY1601" s="86"/>
      <c r="BB1601" s="86"/>
      <c r="BQ1601" s="152"/>
    </row>
    <row r="1602" spans="2:69" s="84" customFormat="1" ht="27">
      <c r="B1602" s="141" t="s">
        <v>2365</v>
      </c>
      <c r="D1602" s="86"/>
      <c r="I1602" s="86"/>
      <c r="K1602" s="86"/>
      <c r="L1602" s="86"/>
      <c r="M1602" s="86"/>
      <c r="O1602" s="86"/>
      <c r="S1602" s="86"/>
      <c r="AI1602" s="86"/>
      <c r="AJ1602" s="86"/>
      <c r="AK1602" s="86"/>
      <c r="AL1602" s="86"/>
      <c r="AM1602" s="86"/>
      <c r="AN1602" s="86"/>
      <c r="AO1602" s="86"/>
      <c r="AP1602" s="86"/>
      <c r="AQ1602" s="86"/>
      <c r="AR1602" s="86"/>
      <c r="AS1602" s="86"/>
      <c r="AT1602" s="86"/>
      <c r="AU1602" s="86"/>
      <c r="AV1602" s="86"/>
      <c r="AW1602" s="86"/>
      <c r="AX1602" s="86"/>
      <c r="AY1602" s="86"/>
      <c r="BB1602" s="86"/>
      <c r="BQ1602" s="152"/>
    </row>
    <row r="1603" spans="2:69" s="84" customFormat="1" ht="27">
      <c r="B1603" s="141" t="s">
        <v>2366</v>
      </c>
      <c r="D1603" s="86"/>
      <c r="I1603" s="86"/>
      <c r="K1603" s="86"/>
      <c r="L1603" s="86"/>
      <c r="M1603" s="86"/>
      <c r="O1603" s="86"/>
      <c r="S1603" s="86"/>
      <c r="AI1603" s="86"/>
      <c r="AJ1603" s="86"/>
      <c r="AK1603" s="86"/>
      <c r="AL1603" s="86"/>
      <c r="AM1603" s="86"/>
      <c r="AN1603" s="86"/>
      <c r="AO1603" s="86"/>
      <c r="AP1603" s="86"/>
      <c r="AQ1603" s="86"/>
      <c r="AR1603" s="86"/>
      <c r="AS1603" s="86"/>
      <c r="AT1603" s="86"/>
      <c r="AU1603" s="86"/>
      <c r="AV1603" s="86"/>
      <c r="AW1603" s="86"/>
      <c r="AX1603" s="86"/>
      <c r="AY1603" s="86"/>
      <c r="BB1603" s="86"/>
      <c r="BQ1603" s="152"/>
    </row>
    <row r="1604" spans="2:69" s="84" customFormat="1" ht="40.5">
      <c r="B1604" s="141" t="s">
        <v>2367</v>
      </c>
      <c r="D1604" s="86"/>
      <c r="I1604" s="86"/>
      <c r="K1604" s="86"/>
      <c r="L1604" s="86"/>
      <c r="M1604" s="86"/>
      <c r="O1604" s="86"/>
      <c r="S1604" s="86"/>
      <c r="AI1604" s="86"/>
      <c r="AJ1604" s="86"/>
      <c r="AK1604" s="86"/>
      <c r="AL1604" s="86"/>
      <c r="AM1604" s="86"/>
      <c r="AN1604" s="86"/>
      <c r="AO1604" s="86"/>
      <c r="AP1604" s="86"/>
      <c r="AQ1604" s="86"/>
      <c r="AR1604" s="86"/>
      <c r="AS1604" s="86"/>
      <c r="AT1604" s="86"/>
      <c r="AU1604" s="86"/>
      <c r="AV1604" s="86"/>
      <c r="AW1604" s="86"/>
      <c r="AX1604" s="86"/>
      <c r="AY1604" s="86"/>
      <c r="BB1604" s="86"/>
      <c r="BQ1604" s="152"/>
    </row>
    <row r="1605" spans="2:69" s="84" customFormat="1">
      <c r="B1605" s="141" t="s">
        <v>2368</v>
      </c>
      <c r="D1605" s="86"/>
      <c r="I1605" s="86"/>
      <c r="K1605" s="86"/>
      <c r="L1605" s="86"/>
      <c r="M1605" s="86"/>
      <c r="O1605" s="86"/>
      <c r="S1605" s="86"/>
      <c r="AI1605" s="86"/>
      <c r="AJ1605" s="86"/>
      <c r="AK1605" s="86"/>
      <c r="AL1605" s="86"/>
      <c r="AM1605" s="86"/>
      <c r="AN1605" s="86"/>
      <c r="AO1605" s="86"/>
      <c r="AP1605" s="86"/>
      <c r="AQ1605" s="86"/>
      <c r="AR1605" s="86"/>
      <c r="AS1605" s="86"/>
      <c r="AT1605" s="86"/>
      <c r="AU1605" s="86"/>
      <c r="AV1605" s="86"/>
      <c r="AW1605" s="86"/>
      <c r="AX1605" s="86"/>
      <c r="AY1605" s="86"/>
      <c r="BB1605" s="86"/>
      <c r="BQ1605" s="152"/>
    </row>
    <row r="1606" spans="2:69" s="84" customFormat="1" ht="27">
      <c r="B1606" s="141" t="s">
        <v>2369</v>
      </c>
      <c r="D1606" s="86"/>
      <c r="I1606" s="86"/>
      <c r="K1606" s="86"/>
      <c r="L1606" s="86"/>
      <c r="M1606" s="86"/>
      <c r="O1606" s="86"/>
      <c r="S1606" s="86"/>
      <c r="AI1606" s="86"/>
      <c r="AJ1606" s="86"/>
      <c r="AK1606" s="86"/>
      <c r="AL1606" s="86"/>
      <c r="AM1606" s="86"/>
      <c r="AN1606" s="86"/>
      <c r="AO1606" s="86"/>
      <c r="AP1606" s="86"/>
      <c r="AQ1606" s="86"/>
      <c r="AR1606" s="86"/>
      <c r="AS1606" s="86"/>
      <c r="AT1606" s="86"/>
      <c r="AU1606" s="86"/>
      <c r="AV1606" s="86"/>
      <c r="AW1606" s="86"/>
      <c r="AX1606" s="86"/>
      <c r="AY1606" s="86"/>
      <c r="BB1606" s="86"/>
      <c r="BQ1606" s="152"/>
    </row>
    <row r="1607" spans="2:69" s="84" customFormat="1">
      <c r="B1607" s="141" t="s">
        <v>2370</v>
      </c>
      <c r="D1607" s="86"/>
      <c r="I1607" s="86"/>
      <c r="K1607" s="86"/>
      <c r="L1607" s="86"/>
      <c r="M1607" s="86"/>
      <c r="O1607" s="86"/>
      <c r="S1607" s="86"/>
      <c r="AI1607" s="86"/>
      <c r="AJ1607" s="86"/>
      <c r="AK1607" s="86"/>
      <c r="AL1607" s="86"/>
      <c r="AM1607" s="86"/>
      <c r="AN1607" s="86"/>
      <c r="AO1607" s="86"/>
      <c r="AP1607" s="86"/>
      <c r="AQ1607" s="86"/>
      <c r="AR1607" s="86"/>
      <c r="AS1607" s="86"/>
      <c r="AT1607" s="86"/>
      <c r="AU1607" s="86"/>
      <c r="AV1607" s="86"/>
      <c r="AW1607" s="86"/>
      <c r="AX1607" s="86"/>
      <c r="AY1607" s="86"/>
      <c r="BB1607" s="86"/>
      <c r="BQ1607" s="152"/>
    </row>
    <row r="1608" spans="2:69" s="84" customFormat="1" ht="40.5">
      <c r="B1608" s="141" t="s">
        <v>2371</v>
      </c>
      <c r="D1608" s="86"/>
      <c r="I1608" s="86"/>
      <c r="K1608" s="86"/>
      <c r="L1608" s="86"/>
      <c r="M1608" s="86"/>
      <c r="O1608" s="86"/>
      <c r="S1608" s="86"/>
      <c r="AI1608" s="86"/>
      <c r="AJ1608" s="86"/>
      <c r="AK1608" s="86"/>
      <c r="AL1608" s="86"/>
      <c r="AM1608" s="86"/>
      <c r="AN1608" s="86"/>
      <c r="AO1608" s="86"/>
      <c r="AP1608" s="86"/>
      <c r="AQ1608" s="86"/>
      <c r="AR1608" s="86"/>
      <c r="AS1608" s="86"/>
      <c r="AT1608" s="86"/>
      <c r="AU1608" s="86"/>
      <c r="AV1608" s="86"/>
      <c r="AW1608" s="86"/>
      <c r="AX1608" s="86"/>
      <c r="AY1608" s="86"/>
      <c r="BB1608" s="86"/>
      <c r="BQ1608" s="152"/>
    </row>
    <row r="1609" spans="2:69" s="84" customFormat="1" ht="27">
      <c r="B1609" s="141" t="s">
        <v>2372</v>
      </c>
      <c r="D1609" s="86"/>
      <c r="I1609" s="86"/>
      <c r="K1609" s="86"/>
      <c r="L1609" s="86"/>
      <c r="M1609" s="86"/>
      <c r="O1609" s="86"/>
      <c r="S1609" s="86"/>
      <c r="AI1609" s="86"/>
      <c r="AJ1609" s="86"/>
      <c r="AK1609" s="86"/>
      <c r="AL1609" s="86"/>
      <c r="AM1609" s="86"/>
      <c r="AN1609" s="86"/>
      <c r="AO1609" s="86"/>
      <c r="AP1609" s="86"/>
      <c r="AQ1609" s="86"/>
      <c r="AR1609" s="86"/>
      <c r="AS1609" s="86"/>
      <c r="AT1609" s="86"/>
      <c r="AU1609" s="86"/>
      <c r="AV1609" s="86"/>
      <c r="AW1609" s="86"/>
      <c r="AX1609" s="86"/>
      <c r="AY1609" s="86"/>
      <c r="BB1609" s="86"/>
      <c r="BQ1609" s="152"/>
    </row>
    <row r="1610" spans="2:69" s="84" customFormat="1" ht="54">
      <c r="B1610" s="141" t="s">
        <v>2373</v>
      </c>
      <c r="D1610" s="86"/>
      <c r="I1610" s="86"/>
      <c r="K1610" s="86"/>
      <c r="L1610" s="86"/>
      <c r="M1610" s="86"/>
      <c r="O1610" s="86"/>
      <c r="S1610" s="86"/>
      <c r="AI1610" s="86"/>
      <c r="AJ1610" s="86"/>
      <c r="AK1610" s="86"/>
      <c r="AL1610" s="86"/>
      <c r="AM1610" s="86"/>
      <c r="AN1610" s="86"/>
      <c r="AO1610" s="86"/>
      <c r="AP1610" s="86"/>
      <c r="AQ1610" s="86"/>
      <c r="AR1610" s="86"/>
      <c r="AS1610" s="86"/>
      <c r="AT1610" s="86"/>
      <c r="AU1610" s="86"/>
      <c r="AV1610" s="86"/>
      <c r="AW1610" s="86"/>
      <c r="AX1610" s="86"/>
      <c r="AY1610" s="86"/>
      <c r="BB1610" s="86"/>
      <c r="BQ1610" s="152"/>
    </row>
    <row r="1611" spans="2:69" s="84" customFormat="1" ht="27">
      <c r="B1611" s="141" t="s">
        <v>2374</v>
      </c>
      <c r="D1611" s="86"/>
      <c r="I1611" s="86"/>
      <c r="K1611" s="86"/>
      <c r="L1611" s="86"/>
      <c r="M1611" s="86"/>
      <c r="O1611" s="86"/>
      <c r="S1611" s="86"/>
      <c r="AI1611" s="86"/>
      <c r="AJ1611" s="86"/>
      <c r="AK1611" s="86"/>
      <c r="AL1611" s="86"/>
      <c r="AM1611" s="86"/>
      <c r="AN1611" s="86"/>
      <c r="AO1611" s="86"/>
      <c r="AP1611" s="86"/>
      <c r="AQ1611" s="86"/>
      <c r="AR1611" s="86"/>
      <c r="AS1611" s="86"/>
      <c r="AT1611" s="86"/>
      <c r="AU1611" s="86"/>
      <c r="AV1611" s="86"/>
      <c r="AW1611" s="86"/>
      <c r="AX1611" s="86"/>
      <c r="AY1611" s="86"/>
      <c r="BB1611" s="86"/>
      <c r="BQ1611" s="152"/>
    </row>
    <row r="1612" spans="2:69" s="84" customFormat="1" ht="27">
      <c r="B1612" s="141" t="s">
        <v>2375</v>
      </c>
      <c r="D1612" s="86"/>
      <c r="I1612" s="86"/>
      <c r="K1612" s="86"/>
      <c r="L1612" s="86"/>
      <c r="M1612" s="86"/>
      <c r="O1612" s="86"/>
      <c r="S1612" s="86"/>
      <c r="AI1612" s="86"/>
      <c r="AJ1612" s="86"/>
      <c r="AK1612" s="86"/>
      <c r="AL1612" s="86"/>
      <c r="AM1612" s="86"/>
      <c r="AN1612" s="86"/>
      <c r="AO1612" s="86"/>
      <c r="AP1612" s="86"/>
      <c r="AQ1612" s="86"/>
      <c r="AR1612" s="86"/>
      <c r="AS1612" s="86"/>
      <c r="AT1612" s="86"/>
      <c r="AU1612" s="86"/>
      <c r="AV1612" s="86"/>
      <c r="AW1612" s="86"/>
      <c r="AX1612" s="86"/>
      <c r="AY1612" s="86"/>
      <c r="BB1612" s="86"/>
      <c r="BQ1612" s="152"/>
    </row>
    <row r="1613" spans="2:69" s="84" customFormat="1">
      <c r="B1613" s="141" t="s">
        <v>2376</v>
      </c>
      <c r="D1613" s="86"/>
      <c r="I1613" s="86"/>
      <c r="K1613" s="86"/>
      <c r="L1613" s="86"/>
      <c r="M1613" s="86"/>
      <c r="O1613" s="86"/>
      <c r="S1613" s="86"/>
      <c r="AI1613" s="86"/>
      <c r="AJ1613" s="86"/>
      <c r="AK1613" s="86"/>
      <c r="AL1613" s="86"/>
      <c r="AM1613" s="86"/>
      <c r="AN1613" s="86"/>
      <c r="AO1613" s="86"/>
      <c r="AP1613" s="86"/>
      <c r="AQ1613" s="86"/>
      <c r="AR1613" s="86"/>
      <c r="AS1613" s="86"/>
      <c r="AT1613" s="86"/>
      <c r="AU1613" s="86"/>
      <c r="AV1613" s="86"/>
      <c r="AW1613" s="86"/>
      <c r="AX1613" s="86"/>
      <c r="AY1613" s="86"/>
      <c r="BB1613" s="86"/>
      <c r="BQ1613" s="152"/>
    </row>
    <row r="1614" spans="2:69" s="84" customFormat="1">
      <c r="B1614" s="141" t="s">
        <v>2377</v>
      </c>
      <c r="D1614" s="86"/>
      <c r="I1614" s="86"/>
      <c r="K1614" s="86"/>
      <c r="L1614" s="86"/>
      <c r="M1614" s="86"/>
      <c r="O1614" s="86"/>
      <c r="S1614" s="86"/>
      <c r="AI1614" s="86"/>
      <c r="AJ1614" s="86"/>
      <c r="AK1614" s="86"/>
      <c r="AL1614" s="86"/>
      <c r="AM1614" s="86"/>
      <c r="AN1614" s="86"/>
      <c r="AO1614" s="86"/>
      <c r="AP1614" s="86"/>
      <c r="AQ1614" s="86"/>
      <c r="AR1614" s="86"/>
      <c r="AS1614" s="86"/>
      <c r="AT1614" s="86"/>
      <c r="AU1614" s="86"/>
      <c r="AV1614" s="86"/>
      <c r="AW1614" s="86"/>
      <c r="AX1614" s="86"/>
      <c r="AY1614" s="86"/>
      <c r="BB1614" s="86"/>
      <c r="BQ1614" s="152"/>
    </row>
    <row r="1615" spans="2:69" s="84" customFormat="1" ht="27">
      <c r="B1615" s="141" t="s">
        <v>2378</v>
      </c>
      <c r="D1615" s="86"/>
      <c r="I1615" s="86"/>
      <c r="K1615" s="86"/>
      <c r="L1615" s="86"/>
      <c r="M1615" s="86"/>
      <c r="O1615" s="86"/>
      <c r="S1615" s="86"/>
      <c r="AI1615" s="86"/>
      <c r="AJ1615" s="86"/>
      <c r="AK1615" s="86"/>
      <c r="AL1615" s="86"/>
      <c r="AM1615" s="86"/>
      <c r="AN1615" s="86"/>
      <c r="AO1615" s="86"/>
      <c r="AP1615" s="86"/>
      <c r="AQ1615" s="86"/>
      <c r="AR1615" s="86"/>
      <c r="AS1615" s="86"/>
      <c r="AT1615" s="86"/>
      <c r="AU1615" s="86"/>
      <c r="AV1615" s="86"/>
      <c r="AW1615" s="86"/>
      <c r="AX1615" s="86"/>
      <c r="AY1615" s="86"/>
      <c r="BB1615" s="86"/>
      <c r="BQ1615" s="152"/>
    </row>
    <row r="1616" spans="2:69" s="84" customFormat="1" ht="27">
      <c r="B1616" s="141" t="s">
        <v>2379</v>
      </c>
      <c r="D1616" s="86"/>
      <c r="I1616" s="86"/>
      <c r="K1616" s="86"/>
      <c r="L1616" s="86"/>
      <c r="M1616" s="86"/>
      <c r="O1616" s="86"/>
      <c r="S1616" s="86"/>
      <c r="AI1616" s="86"/>
      <c r="AJ1616" s="86"/>
      <c r="AK1616" s="86"/>
      <c r="AL1616" s="86"/>
      <c r="AM1616" s="86"/>
      <c r="AN1616" s="86"/>
      <c r="AO1616" s="86"/>
      <c r="AP1616" s="86"/>
      <c r="AQ1616" s="86"/>
      <c r="AR1616" s="86"/>
      <c r="AS1616" s="86"/>
      <c r="AT1616" s="86"/>
      <c r="AU1616" s="86"/>
      <c r="AV1616" s="86"/>
      <c r="AW1616" s="86"/>
      <c r="AX1616" s="86"/>
      <c r="AY1616" s="86"/>
      <c r="BB1616" s="86"/>
      <c r="BQ1616" s="152"/>
    </row>
    <row r="1617" spans="2:69" s="84" customFormat="1">
      <c r="B1617" s="141" t="s">
        <v>2380</v>
      </c>
      <c r="D1617" s="86"/>
      <c r="I1617" s="86"/>
      <c r="K1617" s="86"/>
      <c r="L1617" s="86"/>
      <c r="M1617" s="86"/>
      <c r="O1617" s="86"/>
      <c r="S1617" s="86"/>
      <c r="AI1617" s="86"/>
      <c r="AJ1617" s="86"/>
      <c r="AK1617" s="86"/>
      <c r="AL1617" s="86"/>
      <c r="AM1617" s="86"/>
      <c r="AN1617" s="86"/>
      <c r="AO1617" s="86"/>
      <c r="AP1617" s="86"/>
      <c r="AQ1617" s="86"/>
      <c r="AR1617" s="86"/>
      <c r="AS1617" s="86"/>
      <c r="AT1617" s="86"/>
      <c r="AU1617" s="86"/>
      <c r="AV1617" s="86"/>
      <c r="AW1617" s="86"/>
      <c r="AX1617" s="86"/>
      <c r="AY1617" s="86"/>
      <c r="BB1617" s="86"/>
      <c r="BQ1617" s="152"/>
    </row>
    <row r="1618" spans="2:69" s="84" customFormat="1">
      <c r="B1618" s="141" t="s">
        <v>2381</v>
      </c>
      <c r="D1618" s="86"/>
      <c r="I1618" s="86"/>
      <c r="K1618" s="86"/>
      <c r="L1618" s="86"/>
      <c r="M1618" s="86"/>
      <c r="O1618" s="86"/>
      <c r="S1618" s="86"/>
      <c r="AI1618" s="86"/>
      <c r="AJ1618" s="86"/>
      <c r="AK1618" s="86"/>
      <c r="AL1618" s="86"/>
      <c r="AM1618" s="86"/>
      <c r="AN1618" s="86"/>
      <c r="AO1618" s="86"/>
      <c r="AP1618" s="86"/>
      <c r="AQ1618" s="86"/>
      <c r="AR1618" s="86"/>
      <c r="AS1618" s="86"/>
      <c r="AT1618" s="86"/>
      <c r="AU1618" s="86"/>
      <c r="AV1618" s="86"/>
      <c r="AW1618" s="86"/>
      <c r="AX1618" s="86"/>
      <c r="AY1618" s="86"/>
      <c r="BB1618" s="86"/>
      <c r="BQ1618" s="152"/>
    </row>
    <row r="1619" spans="2:69" s="84" customFormat="1">
      <c r="B1619" s="141" t="s">
        <v>2382</v>
      </c>
      <c r="D1619" s="86"/>
      <c r="I1619" s="86"/>
      <c r="K1619" s="86"/>
      <c r="L1619" s="86"/>
      <c r="M1619" s="86"/>
      <c r="O1619" s="86"/>
      <c r="S1619" s="86"/>
      <c r="AI1619" s="86"/>
      <c r="AJ1619" s="86"/>
      <c r="AK1619" s="86"/>
      <c r="AL1619" s="86"/>
      <c r="AM1619" s="86"/>
      <c r="AN1619" s="86"/>
      <c r="AO1619" s="86"/>
      <c r="AP1619" s="86"/>
      <c r="AQ1619" s="86"/>
      <c r="AR1619" s="86"/>
      <c r="AS1619" s="86"/>
      <c r="AT1619" s="86"/>
      <c r="AU1619" s="86"/>
      <c r="AV1619" s="86"/>
      <c r="AW1619" s="86"/>
      <c r="AX1619" s="86"/>
      <c r="AY1619" s="86"/>
      <c r="BB1619" s="86"/>
      <c r="BQ1619" s="152"/>
    </row>
    <row r="1620" spans="2:69" s="84" customFormat="1">
      <c r="B1620" s="141" t="s">
        <v>2383</v>
      </c>
      <c r="D1620" s="86"/>
      <c r="I1620" s="86"/>
      <c r="K1620" s="86"/>
      <c r="L1620" s="86"/>
      <c r="M1620" s="86"/>
      <c r="O1620" s="86"/>
      <c r="S1620" s="86"/>
      <c r="AI1620" s="86"/>
      <c r="AJ1620" s="86"/>
      <c r="AK1620" s="86"/>
      <c r="AL1620" s="86"/>
      <c r="AM1620" s="86"/>
      <c r="AN1620" s="86"/>
      <c r="AO1620" s="86"/>
      <c r="AP1620" s="86"/>
      <c r="AQ1620" s="86"/>
      <c r="AR1620" s="86"/>
      <c r="AS1620" s="86"/>
      <c r="AT1620" s="86"/>
      <c r="AU1620" s="86"/>
      <c r="AV1620" s="86"/>
      <c r="AW1620" s="86"/>
      <c r="AX1620" s="86"/>
      <c r="AY1620" s="86"/>
      <c r="BB1620" s="86"/>
      <c r="BQ1620" s="152"/>
    </row>
    <row r="1621" spans="2:69" s="84" customFormat="1">
      <c r="B1621" s="141" t="s">
        <v>2384</v>
      </c>
      <c r="D1621" s="86"/>
      <c r="I1621" s="86"/>
      <c r="K1621" s="86"/>
      <c r="L1621" s="86"/>
      <c r="M1621" s="86"/>
      <c r="O1621" s="86"/>
      <c r="S1621" s="86"/>
      <c r="AI1621" s="86"/>
      <c r="AJ1621" s="86"/>
      <c r="AK1621" s="86"/>
      <c r="AL1621" s="86"/>
      <c r="AM1621" s="86"/>
      <c r="AN1621" s="86"/>
      <c r="AO1621" s="86"/>
      <c r="AP1621" s="86"/>
      <c r="AQ1621" s="86"/>
      <c r="AR1621" s="86"/>
      <c r="AS1621" s="86"/>
      <c r="AT1621" s="86"/>
      <c r="AU1621" s="86"/>
      <c r="AV1621" s="86"/>
      <c r="AW1621" s="86"/>
      <c r="AX1621" s="86"/>
      <c r="AY1621" s="86"/>
      <c r="BB1621" s="86"/>
      <c r="BQ1621" s="152"/>
    </row>
    <row r="1622" spans="2:69" s="84" customFormat="1">
      <c r="B1622" s="141" t="s">
        <v>2385</v>
      </c>
      <c r="D1622" s="86"/>
      <c r="I1622" s="86"/>
      <c r="K1622" s="86"/>
      <c r="L1622" s="86"/>
      <c r="M1622" s="86"/>
      <c r="O1622" s="86"/>
      <c r="S1622" s="86"/>
      <c r="AI1622" s="86"/>
      <c r="AJ1622" s="86"/>
      <c r="AK1622" s="86"/>
      <c r="AL1622" s="86"/>
      <c r="AM1622" s="86"/>
      <c r="AN1622" s="86"/>
      <c r="AO1622" s="86"/>
      <c r="AP1622" s="86"/>
      <c r="AQ1622" s="86"/>
      <c r="AR1622" s="86"/>
      <c r="AS1622" s="86"/>
      <c r="AT1622" s="86"/>
      <c r="AU1622" s="86"/>
      <c r="AV1622" s="86"/>
      <c r="AW1622" s="86"/>
      <c r="AX1622" s="86"/>
      <c r="AY1622" s="86"/>
      <c r="BB1622" s="86"/>
      <c r="BQ1622" s="152"/>
    </row>
    <row r="1623" spans="2:69" s="84" customFormat="1" ht="27">
      <c r="B1623" s="141" t="s">
        <v>2386</v>
      </c>
      <c r="D1623" s="86"/>
      <c r="I1623" s="86"/>
      <c r="K1623" s="86"/>
      <c r="L1623" s="86"/>
      <c r="M1623" s="86"/>
      <c r="O1623" s="86"/>
      <c r="S1623" s="86"/>
      <c r="AI1623" s="86"/>
      <c r="AJ1623" s="86"/>
      <c r="AK1623" s="86"/>
      <c r="AL1623" s="86"/>
      <c r="AM1623" s="86"/>
      <c r="AN1623" s="86"/>
      <c r="AO1623" s="86"/>
      <c r="AP1623" s="86"/>
      <c r="AQ1623" s="86"/>
      <c r="AR1623" s="86"/>
      <c r="AS1623" s="86"/>
      <c r="AT1623" s="86"/>
      <c r="AU1623" s="86"/>
      <c r="AV1623" s="86"/>
      <c r="AW1623" s="86"/>
      <c r="AX1623" s="86"/>
      <c r="AY1623" s="86"/>
      <c r="BB1623" s="86"/>
      <c r="BQ1623" s="152"/>
    </row>
    <row r="1624" spans="2:69" s="84" customFormat="1" ht="27">
      <c r="B1624" s="141" t="s">
        <v>2387</v>
      </c>
      <c r="D1624" s="86"/>
      <c r="I1624" s="86"/>
      <c r="K1624" s="86"/>
      <c r="L1624" s="86"/>
      <c r="M1624" s="86"/>
      <c r="O1624" s="86"/>
      <c r="S1624" s="86"/>
      <c r="AI1624" s="86"/>
      <c r="AJ1624" s="86"/>
      <c r="AK1624" s="86"/>
      <c r="AL1624" s="86"/>
      <c r="AM1624" s="86"/>
      <c r="AN1624" s="86"/>
      <c r="AO1624" s="86"/>
      <c r="AP1624" s="86"/>
      <c r="AQ1624" s="86"/>
      <c r="AR1624" s="86"/>
      <c r="AS1624" s="86"/>
      <c r="AT1624" s="86"/>
      <c r="AU1624" s="86"/>
      <c r="AV1624" s="86"/>
      <c r="AW1624" s="86"/>
      <c r="AX1624" s="86"/>
      <c r="AY1624" s="86"/>
      <c r="BB1624" s="86"/>
      <c r="BQ1624" s="152"/>
    </row>
    <row r="1625" spans="2:69" s="84" customFormat="1" ht="27">
      <c r="B1625" s="141" t="s">
        <v>2388</v>
      </c>
      <c r="D1625" s="86"/>
      <c r="I1625" s="86"/>
      <c r="K1625" s="86"/>
      <c r="L1625" s="86"/>
      <c r="M1625" s="86"/>
      <c r="O1625" s="86"/>
      <c r="S1625" s="86"/>
      <c r="AI1625" s="86"/>
      <c r="AJ1625" s="86"/>
      <c r="AK1625" s="86"/>
      <c r="AL1625" s="86"/>
      <c r="AM1625" s="86"/>
      <c r="AN1625" s="86"/>
      <c r="AO1625" s="86"/>
      <c r="AP1625" s="86"/>
      <c r="AQ1625" s="86"/>
      <c r="AR1625" s="86"/>
      <c r="AS1625" s="86"/>
      <c r="AT1625" s="86"/>
      <c r="AU1625" s="86"/>
      <c r="AV1625" s="86"/>
      <c r="AW1625" s="86"/>
      <c r="AX1625" s="86"/>
      <c r="AY1625" s="86"/>
      <c r="BB1625" s="86"/>
      <c r="BQ1625" s="152"/>
    </row>
    <row r="1626" spans="2:69" s="84" customFormat="1">
      <c r="B1626" s="141" t="s">
        <v>2389</v>
      </c>
      <c r="D1626" s="86"/>
      <c r="I1626" s="86"/>
      <c r="K1626" s="86"/>
      <c r="L1626" s="86"/>
      <c r="M1626" s="86"/>
      <c r="O1626" s="86"/>
      <c r="S1626" s="86"/>
      <c r="AI1626" s="86"/>
      <c r="AJ1626" s="86"/>
      <c r="AK1626" s="86"/>
      <c r="AL1626" s="86"/>
      <c r="AM1626" s="86"/>
      <c r="AN1626" s="86"/>
      <c r="AO1626" s="86"/>
      <c r="AP1626" s="86"/>
      <c r="AQ1626" s="86"/>
      <c r="AR1626" s="86"/>
      <c r="AS1626" s="86"/>
      <c r="AT1626" s="86"/>
      <c r="AU1626" s="86"/>
      <c r="AV1626" s="86"/>
      <c r="AW1626" s="86"/>
      <c r="AX1626" s="86"/>
      <c r="AY1626" s="86"/>
      <c r="BB1626" s="86"/>
      <c r="BQ1626" s="152"/>
    </row>
    <row r="1627" spans="2:69" s="84" customFormat="1" ht="27">
      <c r="B1627" s="141" t="s">
        <v>2390</v>
      </c>
      <c r="D1627" s="86"/>
      <c r="I1627" s="86"/>
      <c r="K1627" s="86"/>
      <c r="L1627" s="86"/>
      <c r="M1627" s="86"/>
      <c r="O1627" s="86"/>
      <c r="S1627" s="86"/>
      <c r="AI1627" s="86"/>
      <c r="AJ1627" s="86"/>
      <c r="AK1627" s="86"/>
      <c r="AL1627" s="86"/>
      <c r="AM1627" s="86"/>
      <c r="AN1627" s="86"/>
      <c r="AO1627" s="86"/>
      <c r="AP1627" s="86"/>
      <c r="AQ1627" s="86"/>
      <c r="AR1627" s="86"/>
      <c r="AS1627" s="86"/>
      <c r="AT1627" s="86"/>
      <c r="AU1627" s="86"/>
      <c r="AV1627" s="86"/>
      <c r="AW1627" s="86"/>
      <c r="AX1627" s="86"/>
      <c r="AY1627" s="86"/>
      <c r="BB1627" s="86"/>
      <c r="BQ1627" s="152"/>
    </row>
    <row r="1628" spans="2:69" s="84" customFormat="1">
      <c r="B1628" s="141" t="s">
        <v>2391</v>
      </c>
      <c r="D1628" s="86"/>
      <c r="I1628" s="86"/>
      <c r="K1628" s="86"/>
      <c r="L1628" s="86"/>
      <c r="M1628" s="86"/>
      <c r="O1628" s="86"/>
      <c r="S1628" s="86"/>
      <c r="AI1628" s="86"/>
      <c r="AJ1628" s="86"/>
      <c r="AK1628" s="86"/>
      <c r="AL1628" s="86"/>
      <c r="AM1628" s="86"/>
      <c r="AN1628" s="86"/>
      <c r="AO1628" s="86"/>
      <c r="AP1628" s="86"/>
      <c r="AQ1628" s="86"/>
      <c r="AR1628" s="86"/>
      <c r="AS1628" s="86"/>
      <c r="AT1628" s="86"/>
      <c r="AU1628" s="86"/>
      <c r="AV1628" s="86"/>
      <c r="AW1628" s="86"/>
      <c r="AX1628" s="86"/>
      <c r="AY1628" s="86"/>
      <c r="BB1628" s="86"/>
      <c r="BQ1628" s="152"/>
    </row>
    <row r="1629" spans="2:69" s="84" customFormat="1">
      <c r="B1629" s="141" t="s">
        <v>1389</v>
      </c>
      <c r="D1629" s="86"/>
      <c r="I1629" s="86"/>
      <c r="K1629" s="86"/>
      <c r="L1629" s="86"/>
      <c r="M1629" s="86"/>
      <c r="O1629" s="86"/>
      <c r="S1629" s="86"/>
      <c r="AI1629" s="86"/>
      <c r="AJ1629" s="86"/>
      <c r="AK1629" s="86"/>
      <c r="AL1629" s="86"/>
      <c r="AM1629" s="86"/>
      <c r="AN1629" s="86"/>
      <c r="AO1629" s="86"/>
      <c r="AP1629" s="86"/>
      <c r="AQ1629" s="86"/>
      <c r="AR1629" s="86"/>
      <c r="AS1629" s="86"/>
      <c r="AT1629" s="86"/>
      <c r="AU1629" s="86"/>
      <c r="AV1629" s="86"/>
      <c r="AW1629" s="86"/>
      <c r="AX1629" s="86"/>
      <c r="AY1629" s="86"/>
      <c r="BB1629" s="86"/>
      <c r="BQ1629" s="152"/>
    </row>
    <row r="1630" spans="2:69" s="84" customFormat="1" ht="27">
      <c r="B1630" s="141" t="s">
        <v>2394</v>
      </c>
      <c r="D1630" s="86"/>
      <c r="I1630" s="86"/>
      <c r="K1630" s="86"/>
      <c r="L1630" s="86"/>
      <c r="M1630" s="86"/>
      <c r="O1630" s="86"/>
      <c r="S1630" s="86"/>
      <c r="AI1630" s="86"/>
      <c r="AJ1630" s="86"/>
      <c r="AK1630" s="86"/>
      <c r="AL1630" s="86"/>
      <c r="AM1630" s="86"/>
      <c r="AN1630" s="86"/>
      <c r="AO1630" s="86"/>
      <c r="AP1630" s="86"/>
      <c r="AQ1630" s="86"/>
      <c r="AR1630" s="86"/>
      <c r="AS1630" s="86"/>
      <c r="AT1630" s="86"/>
      <c r="AU1630" s="86"/>
      <c r="AV1630" s="86"/>
      <c r="AW1630" s="86"/>
      <c r="AX1630" s="86"/>
      <c r="AY1630" s="86"/>
      <c r="BB1630" s="86"/>
      <c r="BQ1630" s="152"/>
    </row>
    <row r="1631" spans="2:69" s="84" customFormat="1" ht="27">
      <c r="B1631" s="141" t="s">
        <v>2395</v>
      </c>
      <c r="D1631" s="86"/>
      <c r="I1631" s="86"/>
      <c r="K1631" s="86"/>
      <c r="L1631" s="86"/>
      <c r="M1631" s="86"/>
      <c r="O1631" s="86"/>
      <c r="S1631" s="86"/>
      <c r="AI1631" s="86"/>
      <c r="AJ1631" s="86"/>
      <c r="AK1631" s="86"/>
      <c r="AL1631" s="86"/>
      <c r="AM1631" s="86"/>
      <c r="AN1631" s="86"/>
      <c r="AO1631" s="86"/>
      <c r="AP1631" s="86"/>
      <c r="AQ1631" s="86"/>
      <c r="AR1631" s="86"/>
      <c r="AS1631" s="86"/>
      <c r="AT1631" s="86"/>
      <c r="AU1631" s="86"/>
      <c r="AV1631" s="86"/>
      <c r="AW1631" s="86"/>
      <c r="AX1631" s="86"/>
      <c r="AY1631" s="86"/>
      <c r="BB1631" s="86"/>
      <c r="BQ1631" s="152"/>
    </row>
    <row r="1632" spans="2:69" s="84" customFormat="1" ht="27">
      <c r="B1632" s="141" t="s">
        <v>2396</v>
      </c>
      <c r="D1632" s="86"/>
      <c r="I1632" s="86"/>
      <c r="K1632" s="86"/>
      <c r="L1632" s="86"/>
      <c r="M1632" s="86"/>
      <c r="O1632" s="86"/>
      <c r="S1632" s="86"/>
      <c r="AI1632" s="86"/>
      <c r="AJ1632" s="86"/>
      <c r="AK1632" s="86"/>
      <c r="AL1632" s="86"/>
      <c r="AM1632" s="86"/>
      <c r="AN1632" s="86"/>
      <c r="AO1632" s="86"/>
      <c r="AP1632" s="86"/>
      <c r="AQ1632" s="86"/>
      <c r="AR1632" s="86"/>
      <c r="AS1632" s="86"/>
      <c r="AT1632" s="86"/>
      <c r="AU1632" s="86"/>
      <c r="AV1632" s="86"/>
      <c r="AW1632" s="86"/>
      <c r="AX1632" s="86"/>
      <c r="AY1632" s="86"/>
      <c r="BB1632" s="86"/>
      <c r="BQ1632" s="152"/>
    </row>
    <row r="1633" spans="2:69" s="84" customFormat="1" ht="27">
      <c r="B1633" s="141" t="s">
        <v>2397</v>
      </c>
      <c r="D1633" s="86"/>
      <c r="I1633" s="86"/>
      <c r="K1633" s="86"/>
      <c r="L1633" s="86"/>
      <c r="M1633" s="86"/>
      <c r="O1633" s="86"/>
      <c r="S1633" s="86"/>
      <c r="AI1633" s="86"/>
      <c r="AJ1633" s="86"/>
      <c r="AK1633" s="86"/>
      <c r="AL1633" s="86"/>
      <c r="AM1633" s="86"/>
      <c r="AN1633" s="86"/>
      <c r="AO1633" s="86"/>
      <c r="AP1633" s="86"/>
      <c r="AQ1633" s="86"/>
      <c r="AR1633" s="86"/>
      <c r="AS1633" s="86"/>
      <c r="AT1633" s="86"/>
      <c r="AU1633" s="86"/>
      <c r="AV1633" s="86"/>
      <c r="AW1633" s="86"/>
      <c r="AX1633" s="86"/>
      <c r="AY1633" s="86"/>
      <c r="BB1633" s="86"/>
      <c r="BQ1633" s="152"/>
    </row>
    <row r="1634" spans="2:69" s="84" customFormat="1">
      <c r="B1634" s="141" t="s">
        <v>2398</v>
      </c>
      <c r="D1634" s="86"/>
      <c r="I1634" s="86"/>
      <c r="K1634" s="86"/>
      <c r="L1634" s="86"/>
      <c r="M1634" s="86"/>
      <c r="O1634" s="86"/>
      <c r="S1634" s="86"/>
      <c r="AI1634" s="86"/>
      <c r="AJ1634" s="86"/>
      <c r="AK1634" s="86"/>
      <c r="AL1634" s="86"/>
      <c r="AM1634" s="86"/>
      <c r="AN1634" s="86"/>
      <c r="AO1634" s="86"/>
      <c r="AP1634" s="86"/>
      <c r="AQ1634" s="86"/>
      <c r="AR1634" s="86"/>
      <c r="AS1634" s="86"/>
      <c r="AT1634" s="86"/>
      <c r="AU1634" s="86"/>
      <c r="AV1634" s="86"/>
      <c r="AW1634" s="86"/>
      <c r="AX1634" s="86"/>
      <c r="AY1634" s="86"/>
      <c r="BB1634" s="86"/>
      <c r="BQ1634" s="152"/>
    </row>
    <row r="1635" spans="2:69" s="84" customFormat="1">
      <c r="B1635" s="141" t="s">
        <v>2399</v>
      </c>
      <c r="D1635" s="86"/>
      <c r="I1635" s="86"/>
      <c r="K1635" s="86"/>
      <c r="L1635" s="86"/>
      <c r="M1635" s="86"/>
      <c r="O1635" s="86"/>
      <c r="S1635" s="86"/>
      <c r="AI1635" s="86"/>
      <c r="AJ1635" s="86"/>
      <c r="AK1635" s="86"/>
      <c r="AL1635" s="86"/>
      <c r="AM1635" s="86"/>
      <c r="AN1635" s="86"/>
      <c r="AO1635" s="86"/>
      <c r="AP1635" s="86"/>
      <c r="AQ1635" s="86"/>
      <c r="AR1635" s="86"/>
      <c r="AS1635" s="86"/>
      <c r="AT1635" s="86"/>
      <c r="AU1635" s="86"/>
      <c r="AV1635" s="86"/>
      <c r="AW1635" s="86"/>
      <c r="AX1635" s="86"/>
      <c r="AY1635" s="86"/>
      <c r="BB1635" s="86"/>
      <c r="BQ1635" s="152"/>
    </row>
    <row r="1636" spans="2:69" s="84" customFormat="1">
      <c r="B1636" s="141" t="s">
        <v>2400</v>
      </c>
      <c r="D1636" s="86"/>
      <c r="I1636" s="86"/>
      <c r="K1636" s="86"/>
      <c r="L1636" s="86"/>
      <c r="M1636" s="86"/>
      <c r="O1636" s="86"/>
      <c r="S1636" s="86"/>
      <c r="AI1636" s="86"/>
      <c r="AJ1636" s="86"/>
      <c r="AK1636" s="86"/>
      <c r="AL1636" s="86"/>
      <c r="AM1636" s="86"/>
      <c r="AN1636" s="86"/>
      <c r="AO1636" s="86"/>
      <c r="AP1636" s="86"/>
      <c r="AQ1636" s="86"/>
      <c r="AR1636" s="86"/>
      <c r="AS1636" s="86"/>
      <c r="AT1636" s="86"/>
      <c r="AU1636" s="86"/>
      <c r="AV1636" s="86"/>
      <c r="AW1636" s="86"/>
      <c r="AX1636" s="86"/>
      <c r="AY1636" s="86"/>
      <c r="BB1636" s="86"/>
      <c r="BQ1636" s="152"/>
    </row>
    <row r="1637" spans="2:69" s="84" customFormat="1" ht="27">
      <c r="B1637" s="141" t="s">
        <v>2401</v>
      </c>
      <c r="D1637" s="86"/>
      <c r="I1637" s="86"/>
      <c r="K1637" s="86"/>
      <c r="L1637" s="86"/>
      <c r="M1637" s="86"/>
      <c r="O1637" s="86"/>
      <c r="S1637" s="86"/>
      <c r="AI1637" s="86"/>
      <c r="AJ1637" s="86"/>
      <c r="AK1637" s="86"/>
      <c r="AL1637" s="86"/>
      <c r="AM1637" s="86"/>
      <c r="AN1637" s="86"/>
      <c r="AO1637" s="86"/>
      <c r="AP1637" s="86"/>
      <c r="AQ1637" s="86"/>
      <c r="AR1637" s="86"/>
      <c r="AS1637" s="86"/>
      <c r="AT1637" s="86"/>
      <c r="AU1637" s="86"/>
      <c r="AV1637" s="86"/>
      <c r="AW1637" s="86"/>
      <c r="AX1637" s="86"/>
      <c r="AY1637" s="86"/>
      <c r="BB1637" s="86"/>
      <c r="BQ1637" s="152"/>
    </row>
    <row r="1638" spans="2:69" s="84" customFormat="1">
      <c r="B1638" s="141" t="s">
        <v>2402</v>
      </c>
      <c r="D1638" s="86"/>
      <c r="I1638" s="86"/>
      <c r="K1638" s="86"/>
      <c r="L1638" s="86"/>
      <c r="M1638" s="86"/>
      <c r="O1638" s="86"/>
      <c r="S1638" s="86"/>
      <c r="AI1638" s="86"/>
      <c r="AJ1638" s="86"/>
      <c r="AK1638" s="86"/>
      <c r="AL1638" s="86"/>
      <c r="AM1638" s="86"/>
      <c r="AN1638" s="86"/>
      <c r="AO1638" s="86"/>
      <c r="AP1638" s="86"/>
      <c r="AQ1638" s="86"/>
      <c r="AR1638" s="86"/>
      <c r="AS1638" s="86"/>
      <c r="AT1638" s="86"/>
      <c r="AU1638" s="86"/>
      <c r="AV1638" s="86"/>
      <c r="AW1638" s="86"/>
      <c r="AX1638" s="86"/>
      <c r="AY1638" s="86"/>
      <c r="BB1638" s="86"/>
      <c r="BQ1638" s="152"/>
    </row>
    <row r="1639" spans="2:69" s="84" customFormat="1">
      <c r="B1639" s="141" t="s">
        <v>1322</v>
      </c>
      <c r="D1639" s="86"/>
      <c r="I1639" s="86"/>
      <c r="K1639" s="86"/>
      <c r="L1639" s="86"/>
      <c r="M1639" s="86"/>
      <c r="O1639" s="86"/>
      <c r="S1639" s="86"/>
      <c r="AI1639" s="86"/>
      <c r="AJ1639" s="86"/>
      <c r="AK1639" s="86"/>
      <c r="AL1639" s="86"/>
      <c r="AM1639" s="86"/>
      <c r="AN1639" s="86"/>
      <c r="AO1639" s="86"/>
      <c r="AP1639" s="86"/>
      <c r="AQ1639" s="86"/>
      <c r="AR1639" s="86"/>
      <c r="AS1639" s="86"/>
      <c r="AT1639" s="86"/>
      <c r="AU1639" s="86"/>
      <c r="AV1639" s="86"/>
      <c r="AW1639" s="86"/>
      <c r="AX1639" s="86"/>
      <c r="AY1639" s="86"/>
      <c r="BB1639" s="86"/>
      <c r="BQ1639" s="152"/>
    </row>
    <row r="1640" spans="2:69" s="84" customFormat="1">
      <c r="B1640" s="141" t="s">
        <v>2403</v>
      </c>
      <c r="D1640" s="86"/>
      <c r="I1640" s="86"/>
      <c r="K1640" s="86"/>
      <c r="L1640" s="86"/>
      <c r="M1640" s="86"/>
      <c r="O1640" s="86"/>
      <c r="S1640" s="86"/>
      <c r="AI1640" s="86"/>
      <c r="AJ1640" s="86"/>
      <c r="AK1640" s="86"/>
      <c r="AL1640" s="86"/>
      <c r="AM1640" s="86"/>
      <c r="AN1640" s="86"/>
      <c r="AO1640" s="86"/>
      <c r="AP1640" s="86"/>
      <c r="AQ1640" s="86"/>
      <c r="AR1640" s="86"/>
      <c r="AS1640" s="86"/>
      <c r="AT1640" s="86"/>
      <c r="AU1640" s="86"/>
      <c r="AV1640" s="86"/>
      <c r="AW1640" s="86"/>
      <c r="AX1640" s="86"/>
      <c r="AY1640" s="86"/>
      <c r="BB1640" s="86"/>
      <c r="BQ1640" s="152"/>
    </row>
    <row r="1641" spans="2:69" s="84" customFormat="1">
      <c r="B1641" s="141" t="s">
        <v>2404</v>
      </c>
      <c r="D1641" s="86"/>
      <c r="I1641" s="86"/>
      <c r="K1641" s="86"/>
      <c r="L1641" s="86"/>
      <c r="M1641" s="86"/>
      <c r="O1641" s="86"/>
      <c r="S1641" s="86"/>
      <c r="AI1641" s="86"/>
      <c r="AJ1641" s="86"/>
      <c r="AK1641" s="86"/>
      <c r="AL1641" s="86"/>
      <c r="AM1641" s="86"/>
      <c r="AN1641" s="86"/>
      <c r="AO1641" s="86"/>
      <c r="AP1641" s="86"/>
      <c r="AQ1641" s="86"/>
      <c r="AR1641" s="86"/>
      <c r="AS1641" s="86"/>
      <c r="AT1641" s="86"/>
      <c r="AU1641" s="86"/>
      <c r="AV1641" s="86"/>
      <c r="AW1641" s="86"/>
      <c r="AX1641" s="86"/>
      <c r="AY1641" s="86"/>
      <c r="BB1641" s="86"/>
      <c r="BQ1641" s="152"/>
    </row>
    <row r="1642" spans="2:69" s="84" customFormat="1" ht="40.5">
      <c r="B1642" s="141" t="s">
        <v>2405</v>
      </c>
      <c r="D1642" s="86"/>
      <c r="I1642" s="86"/>
      <c r="K1642" s="86"/>
      <c r="L1642" s="86"/>
      <c r="M1642" s="86"/>
      <c r="O1642" s="86"/>
      <c r="S1642" s="86"/>
      <c r="AI1642" s="86"/>
      <c r="AJ1642" s="86"/>
      <c r="AK1642" s="86"/>
      <c r="AL1642" s="86"/>
      <c r="AM1642" s="86"/>
      <c r="AN1642" s="86"/>
      <c r="AO1642" s="86"/>
      <c r="AP1642" s="86"/>
      <c r="AQ1642" s="86"/>
      <c r="AR1642" s="86"/>
      <c r="AS1642" s="86"/>
      <c r="AT1642" s="86"/>
      <c r="AU1642" s="86"/>
      <c r="AV1642" s="86"/>
      <c r="AW1642" s="86"/>
      <c r="AX1642" s="86"/>
      <c r="AY1642" s="86"/>
      <c r="BB1642" s="86"/>
      <c r="BQ1642" s="152"/>
    </row>
    <row r="1643" spans="2:69" s="84" customFormat="1">
      <c r="B1643" s="141" t="s">
        <v>2406</v>
      </c>
      <c r="D1643" s="86"/>
      <c r="I1643" s="86"/>
      <c r="K1643" s="86"/>
      <c r="L1643" s="86"/>
      <c r="M1643" s="86"/>
      <c r="O1643" s="86"/>
      <c r="S1643" s="86"/>
      <c r="AI1643" s="86"/>
      <c r="AJ1643" s="86"/>
      <c r="AK1643" s="86"/>
      <c r="AL1643" s="86"/>
      <c r="AM1643" s="86"/>
      <c r="AN1643" s="86"/>
      <c r="AO1643" s="86"/>
      <c r="AP1643" s="86"/>
      <c r="AQ1643" s="86"/>
      <c r="AR1643" s="86"/>
      <c r="AS1643" s="86"/>
      <c r="AT1643" s="86"/>
      <c r="AU1643" s="86"/>
      <c r="AV1643" s="86"/>
      <c r="AW1643" s="86"/>
      <c r="AX1643" s="86"/>
      <c r="AY1643" s="86"/>
      <c r="BB1643" s="86"/>
      <c r="BQ1643" s="152"/>
    </row>
    <row r="1644" spans="2:69" s="84" customFormat="1">
      <c r="B1644" s="141" t="s">
        <v>2407</v>
      </c>
      <c r="D1644" s="86"/>
      <c r="I1644" s="86"/>
      <c r="K1644" s="86"/>
      <c r="L1644" s="86"/>
      <c r="M1644" s="86"/>
      <c r="O1644" s="86"/>
      <c r="S1644" s="86"/>
      <c r="AI1644" s="86"/>
      <c r="AJ1644" s="86"/>
      <c r="AK1644" s="86"/>
      <c r="AL1644" s="86"/>
      <c r="AM1644" s="86"/>
      <c r="AN1644" s="86"/>
      <c r="AO1644" s="86"/>
      <c r="AP1644" s="86"/>
      <c r="AQ1644" s="86"/>
      <c r="AR1644" s="86"/>
      <c r="AS1644" s="86"/>
      <c r="AT1644" s="86"/>
      <c r="AU1644" s="86"/>
      <c r="AV1644" s="86"/>
      <c r="AW1644" s="86"/>
      <c r="AX1644" s="86"/>
      <c r="AY1644" s="86"/>
      <c r="BB1644" s="86"/>
      <c r="BQ1644" s="152"/>
    </row>
    <row r="1645" spans="2:69" s="84" customFormat="1" ht="27">
      <c r="B1645" s="141" t="s">
        <v>2408</v>
      </c>
      <c r="D1645" s="86"/>
      <c r="I1645" s="86"/>
      <c r="K1645" s="86"/>
      <c r="L1645" s="86"/>
      <c r="M1645" s="86"/>
      <c r="O1645" s="86"/>
      <c r="S1645" s="86"/>
      <c r="AI1645" s="86"/>
      <c r="AJ1645" s="86"/>
      <c r="AK1645" s="86"/>
      <c r="AL1645" s="86"/>
      <c r="AM1645" s="86"/>
      <c r="AN1645" s="86"/>
      <c r="AO1645" s="86"/>
      <c r="AP1645" s="86"/>
      <c r="AQ1645" s="86"/>
      <c r="AR1645" s="86"/>
      <c r="AS1645" s="86"/>
      <c r="AT1645" s="86"/>
      <c r="AU1645" s="86"/>
      <c r="AV1645" s="86"/>
      <c r="AW1645" s="86"/>
      <c r="AX1645" s="86"/>
      <c r="AY1645" s="86"/>
      <c r="BB1645" s="86"/>
      <c r="BQ1645" s="152"/>
    </row>
    <row r="1646" spans="2:69" s="84" customFormat="1" ht="27">
      <c r="B1646" s="141" t="s">
        <v>2409</v>
      </c>
      <c r="D1646" s="86"/>
      <c r="I1646" s="86"/>
      <c r="K1646" s="86"/>
      <c r="L1646" s="86"/>
      <c r="M1646" s="86"/>
      <c r="O1646" s="86"/>
      <c r="S1646" s="86"/>
      <c r="AI1646" s="86"/>
      <c r="AJ1646" s="86"/>
      <c r="AK1646" s="86"/>
      <c r="AL1646" s="86"/>
      <c r="AM1646" s="86"/>
      <c r="AN1646" s="86"/>
      <c r="AO1646" s="86"/>
      <c r="AP1646" s="86"/>
      <c r="AQ1646" s="86"/>
      <c r="AR1646" s="86"/>
      <c r="AS1646" s="86"/>
      <c r="AT1646" s="86"/>
      <c r="AU1646" s="86"/>
      <c r="AV1646" s="86"/>
      <c r="AW1646" s="86"/>
      <c r="AX1646" s="86"/>
      <c r="AY1646" s="86"/>
      <c r="BB1646" s="86"/>
      <c r="BQ1646" s="152"/>
    </row>
    <row r="1647" spans="2:69" s="84" customFormat="1" ht="27">
      <c r="B1647" s="141" t="s">
        <v>2410</v>
      </c>
      <c r="D1647" s="86"/>
      <c r="I1647" s="86"/>
      <c r="K1647" s="86"/>
      <c r="L1647" s="86"/>
      <c r="M1647" s="86"/>
      <c r="O1647" s="86"/>
      <c r="S1647" s="86"/>
      <c r="AI1647" s="86"/>
      <c r="AJ1647" s="86"/>
      <c r="AK1647" s="86"/>
      <c r="AL1647" s="86"/>
      <c r="AM1647" s="86"/>
      <c r="AN1647" s="86"/>
      <c r="AO1647" s="86"/>
      <c r="AP1647" s="86"/>
      <c r="AQ1647" s="86"/>
      <c r="AR1647" s="86"/>
      <c r="AS1647" s="86"/>
      <c r="AT1647" s="86"/>
      <c r="AU1647" s="86"/>
      <c r="AV1647" s="86"/>
      <c r="AW1647" s="86"/>
      <c r="AX1647" s="86"/>
      <c r="AY1647" s="86"/>
      <c r="BB1647" s="86"/>
      <c r="BQ1647" s="152"/>
    </row>
    <row r="1648" spans="2:69" s="84" customFormat="1">
      <c r="B1648" s="141" t="s">
        <v>2411</v>
      </c>
      <c r="D1648" s="86"/>
      <c r="I1648" s="86"/>
      <c r="K1648" s="86"/>
      <c r="L1648" s="86"/>
      <c r="M1648" s="86"/>
      <c r="O1648" s="86"/>
      <c r="S1648" s="86"/>
      <c r="AI1648" s="86"/>
      <c r="AJ1648" s="86"/>
      <c r="AK1648" s="86"/>
      <c r="AL1648" s="86"/>
      <c r="AM1648" s="86"/>
      <c r="AN1648" s="86"/>
      <c r="AO1648" s="86"/>
      <c r="AP1648" s="86"/>
      <c r="AQ1648" s="86"/>
      <c r="AR1648" s="86"/>
      <c r="AS1648" s="86"/>
      <c r="AT1648" s="86"/>
      <c r="AU1648" s="86"/>
      <c r="AV1648" s="86"/>
      <c r="AW1648" s="86"/>
      <c r="AX1648" s="86"/>
      <c r="AY1648" s="86"/>
      <c r="BB1648" s="86"/>
      <c r="BQ1648" s="152"/>
    </row>
    <row r="1649" spans="2:69" s="84" customFormat="1">
      <c r="B1649" s="141"/>
      <c r="D1649" s="86"/>
      <c r="I1649" s="86"/>
      <c r="K1649" s="86"/>
      <c r="L1649" s="86"/>
      <c r="M1649" s="86"/>
      <c r="O1649" s="86"/>
      <c r="S1649" s="86"/>
      <c r="AI1649" s="86"/>
      <c r="AJ1649" s="86"/>
      <c r="AK1649" s="86"/>
      <c r="AL1649" s="86"/>
      <c r="AM1649" s="86"/>
      <c r="AN1649" s="86"/>
      <c r="AO1649" s="86"/>
      <c r="AP1649" s="86"/>
      <c r="AQ1649" s="86"/>
      <c r="AR1649" s="86"/>
      <c r="AS1649" s="86"/>
      <c r="AT1649" s="86"/>
      <c r="AU1649" s="86"/>
      <c r="AV1649" s="86"/>
      <c r="AW1649" s="86"/>
      <c r="AX1649" s="86"/>
      <c r="AY1649" s="86"/>
      <c r="BB1649" s="86"/>
      <c r="BQ1649" s="152"/>
    </row>
    <row r="1650" spans="2:69" s="87" customFormat="1" ht="27">
      <c r="B1650" s="141" t="s">
        <v>2480</v>
      </c>
      <c r="D1650" s="89" t="s">
        <v>52</v>
      </c>
      <c r="F1650" s="87" t="s">
        <v>71</v>
      </c>
      <c r="K1650" s="89"/>
      <c r="L1650" s="89"/>
      <c r="M1650" s="89"/>
      <c r="N1650" s="88" t="s">
        <v>69</v>
      </c>
      <c r="O1650" s="89"/>
      <c r="S1650" s="87" t="s">
        <v>70</v>
      </c>
      <c r="AI1650" s="89"/>
      <c r="AJ1650" s="89"/>
      <c r="AK1650" s="89"/>
      <c r="AL1650" s="89"/>
      <c r="AM1650" s="89"/>
      <c r="AN1650" s="89"/>
      <c r="AO1650" s="89"/>
      <c r="AP1650" s="89"/>
      <c r="AQ1650" s="89"/>
      <c r="AR1650" s="89"/>
      <c r="AS1650" s="89"/>
      <c r="AT1650" s="89"/>
      <c r="AU1650" s="89"/>
      <c r="AV1650" s="89"/>
      <c r="AW1650" s="89"/>
      <c r="AX1650" s="89"/>
      <c r="AY1650" s="89"/>
      <c r="BQ1650" s="153"/>
    </row>
    <row r="1651" spans="2:69" s="87" customFormat="1">
      <c r="B1651" s="141" t="s">
        <v>2481</v>
      </c>
      <c r="D1651" s="89" t="s">
        <v>52</v>
      </c>
      <c r="F1651" s="87" t="s">
        <v>68</v>
      </c>
      <c r="K1651" s="89"/>
      <c r="L1651" s="89"/>
      <c r="M1651" s="89"/>
      <c r="N1651" s="88" t="s">
        <v>69</v>
      </c>
      <c r="O1651" s="89"/>
      <c r="AI1651" s="89"/>
      <c r="AJ1651" s="89"/>
      <c r="AK1651" s="89"/>
      <c r="AL1651" s="89"/>
      <c r="AM1651" s="89"/>
      <c r="AN1651" s="89"/>
      <c r="AO1651" s="89"/>
      <c r="AP1651" s="89"/>
      <c r="AQ1651" s="89"/>
      <c r="AR1651" s="89"/>
      <c r="AS1651" s="89"/>
      <c r="AT1651" s="89"/>
      <c r="AU1651" s="89"/>
      <c r="AV1651" s="89"/>
      <c r="AW1651" s="89"/>
      <c r="AX1651" s="89"/>
      <c r="AY1651" s="89"/>
      <c r="BQ1651" s="153"/>
    </row>
    <row r="1652" spans="2:69" s="87" customFormat="1" ht="27">
      <c r="B1652" s="141" t="s">
        <v>2482</v>
      </c>
      <c r="D1652" s="88" t="s">
        <v>51</v>
      </c>
      <c r="F1652" s="87" t="s">
        <v>66</v>
      </c>
      <c r="K1652" s="88"/>
      <c r="L1652" s="88"/>
      <c r="M1652" s="88"/>
      <c r="N1652" s="88" t="s">
        <v>67</v>
      </c>
      <c r="O1652" s="88"/>
      <c r="AI1652" s="88"/>
      <c r="AJ1652" s="88"/>
      <c r="AK1652" s="88"/>
      <c r="AL1652" s="88"/>
      <c r="AM1652" s="88"/>
      <c r="AN1652" s="88"/>
      <c r="AO1652" s="88"/>
      <c r="AP1652" s="88"/>
      <c r="AQ1652" s="88"/>
      <c r="AR1652" s="88"/>
      <c r="AS1652" s="88"/>
      <c r="AT1652" s="88"/>
      <c r="AU1652" s="88"/>
      <c r="AV1652" s="88"/>
      <c r="AW1652" s="88"/>
      <c r="AX1652" s="88"/>
      <c r="AY1652" s="88"/>
      <c r="BD1652" s="87">
        <v>72</v>
      </c>
      <c r="BQ1652" s="153"/>
    </row>
    <row r="1653" spans="2:69" s="87" customFormat="1" ht="27">
      <c r="B1653" s="141" t="s">
        <v>2483</v>
      </c>
      <c r="D1653" s="90" t="s">
        <v>64</v>
      </c>
      <c r="K1653" s="90"/>
      <c r="L1653" s="90"/>
      <c r="M1653" s="90"/>
      <c r="N1653" s="88" t="s">
        <v>65</v>
      </c>
      <c r="O1653" s="90"/>
      <c r="AI1653" s="90"/>
      <c r="AJ1653" s="90"/>
      <c r="AK1653" s="90"/>
      <c r="AL1653" s="90"/>
      <c r="AM1653" s="90"/>
      <c r="AN1653" s="90"/>
      <c r="AO1653" s="90"/>
      <c r="AP1653" s="90"/>
      <c r="AQ1653" s="90"/>
      <c r="AR1653" s="90"/>
      <c r="AS1653" s="90"/>
      <c r="AT1653" s="90"/>
      <c r="AU1653" s="90"/>
      <c r="AV1653" s="90"/>
      <c r="AW1653" s="90"/>
      <c r="AX1653" s="90"/>
      <c r="AY1653" s="90"/>
      <c r="BD1653" s="87">
        <v>52.6</v>
      </c>
      <c r="BQ1653" s="153"/>
    </row>
    <row r="1654" spans="2:69" s="87" customFormat="1">
      <c r="B1654" s="141" t="s">
        <v>2364</v>
      </c>
      <c r="D1654" s="88" t="s">
        <v>51</v>
      </c>
      <c r="K1654" s="88"/>
      <c r="L1654" s="88"/>
      <c r="M1654" s="88"/>
      <c r="N1654" s="88" t="s">
        <v>61</v>
      </c>
      <c r="O1654" s="88"/>
      <c r="S1654" s="91" t="s">
        <v>62</v>
      </c>
      <c r="AI1654" s="88"/>
      <c r="AJ1654" s="88"/>
      <c r="AK1654" s="88"/>
      <c r="AL1654" s="88"/>
      <c r="AM1654" s="88"/>
      <c r="AN1654" s="88"/>
      <c r="AO1654" s="88"/>
      <c r="AP1654" s="88"/>
      <c r="AQ1654" s="88"/>
      <c r="AR1654" s="88"/>
      <c r="AS1654" s="88"/>
      <c r="AT1654" s="88"/>
      <c r="AU1654" s="88"/>
      <c r="AV1654" s="88"/>
      <c r="AW1654" s="88"/>
      <c r="AX1654" s="88"/>
      <c r="AY1654" s="88"/>
      <c r="BD1654" s="87" t="s">
        <v>63</v>
      </c>
      <c r="BQ1654" s="153"/>
    </row>
    <row r="1655" spans="2:69" s="87" customFormat="1">
      <c r="B1655" s="141" t="s">
        <v>1431</v>
      </c>
      <c r="D1655" s="89" t="s">
        <v>52</v>
      </c>
      <c r="K1655" s="89"/>
      <c r="L1655" s="89"/>
      <c r="M1655" s="89"/>
      <c r="N1655" s="88" t="s">
        <v>61</v>
      </c>
      <c r="O1655" s="89"/>
      <c r="AI1655" s="89"/>
      <c r="AJ1655" s="89"/>
      <c r="AK1655" s="89"/>
      <c r="AL1655" s="89"/>
      <c r="AM1655" s="89"/>
      <c r="AN1655" s="89"/>
      <c r="AO1655" s="89"/>
      <c r="AP1655" s="89"/>
      <c r="AQ1655" s="89"/>
      <c r="AR1655" s="89"/>
      <c r="AS1655" s="89"/>
      <c r="AT1655" s="89"/>
      <c r="AU1655" s="89"/>
      <c r="AV1655" s="89"/>
      <c r="AW1655" s="89"/>
      <c r="AX1655" s="89"/>
      <c r="AY1655" s="89"/>
      <c r="BQ1655" s="153"/>
    </row>
    <row r="1656" spans="2:69" s="87" customFormat="1">
      <c r="B1656" s="141" t="s">
        <v>1389</v>
      </c>
      <c r="C1656" s="92"/>
      <c r="D1656" s="88"/>
      <c r="E1656" s="92"/>
      <c r="G1656" s="92"/>
      <c r="H1656" s="92"/>
      <c r="J1656" s="92"/>
      <c r="K1656" s="88"/>
      <c r="L1656" s="88"/>
      <c r="M1656" s="88"/>
      <c r="N1656" s="88" t="s">
        <v>61</v>
      </c>
      <c r="O1656" s="88"/>
      <c r="AI1656" s="88"/>
      <c r="AJ1656" s="88"/>
      <c r="AK1656" s="88"/>
      <c r="AL1656" s="88"/>
      <c r="AM1656" s="88"/>
      <c r="AN1656" s="88"/>
      <c r="AO1656" s="88"/>
      <c r="AP1656" s="88"/>
      <c r="AQ1656" s="88"/>
      <c r="AR1656" s="88"/>
      <c r="AS1656" s="88"/>
      <c r="AT1656" s="88"/>
      <c r="AU1656" s="88"/>
      <c r="AV1656" s="88"/>
      <c r="AW1656" s="88"/>
      <c r="AX1656" s="88"/>
      <c r="AY1656" s="88"/>
      <c r="BQ1656" s="153"/>
    </row>
    <row r="1657" spans="2:69" s="87" customFormat="1">
      <c r="B1657" s="141" t="s">
        <v>2484</v>
      </c>
      <c r="D1657" s="88"/>
      <c r="K1657" s="88"/>
      <c r="L1657" s="88"/>
      <c r="M1657" s="88"/>
      <c r="N1657" s="88"/>
      <c r="O1657" s="88"/>
      <c r="AI1657" s="88"/>
      <c r="AJ1657" s="88"/>
      <c r="AK1657" s="88"/>
      <c r="AL1657" s="88"/>
      <c r="AM1657" s="88"/>
      <c r="AN1657" s="88"/>
      <c r="AO1657" s="88"/>
      <c r="AP1657" s="88"/>
      <c r="AQ1657" s="88"/>
      <c r="AR1657" s="88"/>
      <c r="AS1657" s="88"/>
      <c r="AT1657" s="88"/>
      <c r="AU1657" s="88"/>
      <c r="AV1657" s="88"/>
      <c r="AW1657" s="88"/>
      <c r="AX1657" s="88"/>
      <c r="AY1657" s="88"/>
      <c r="BQ1657" s="153"/>
    </row>
    <row r="1658" spans="2:69" s="87" customFormat="1">
      <c r="B1658" s="141" t="s">
        <v>1736</v>
      </c>
      <c r="D1658" s="88"/>
      <c r="K1658" s="88"/>
      <c r="L1658" s="88"/>
      <c r="M1658" s="88"/>
      <c r="N1658" s="88" t="s">
        <v>61</v>
      </c>
      <c r="O1658" s="88"/>
      <c r="AI1658" s="88"/>
      <c r="AJ1658" s="88"/>
      <c r="AK1658" s="88"/>
      <c r="AL1658" s="88"/>
      <c r="AM1658" s="88"/>
      <c r="AN1658" s="88"/>
      <c r="AO1658" s="88"/>
      <c r="AP1658" s="88"/>
      <c r="AQ1658" s="88"/>
      <c r="AR1658" s="88"/>
      <c r="AS1658" s="88"/>
      <c r="AT1658" s="88"/>
      <c r="AU1658" s="88"/>
      <c r="AV1658" s="88"/>
      <c r="AW1658" s="88"/>
      <c r="AX1658" s="88"/>
      <c r="AY1658" s="88"/>
      <c r="BQ1658" s="153"/>
    </row>
    <row r="1659" spans="2:69" s="87" customFormat="1">
      <c r="B1659" s="141" t="s">
        <v>2485</v>
      </c>
      <c r="D1659" s="88"/>
      <c r="K1659" s="88"/>
      <c r="L1659" s="88"/>
      <c r="M1659" s="88"/>
      <c r="N1659" s="88" t="s">
        <v>61</v>
      </c>
      <c r="O1659" s="88"/>
      <c r="AI1659" s="88"/>
      <c r="AJ1659" s="88"/>
      <c r="AK1659" s="88"/>
      <c r="AL1659" s="88"/>
      <c r="AM1659" s="88"/>
      <c r="AN1659" s="88"/>
      <c r="AO1659" s="88"/>
      <c r="AP1659" s="88"/>
      <c r="AQ1659" s="88"/>
      <c r="AR1659" s="88"/>
      <c r="AS1659" s="88"/>
      <c r="AT1659" s="88"/>
      <c r="AU1659" s="88"/>
      <c r="AV1659" s="88"/>
      <c r="AW1659" s="88"/>
      <c r="AX1659" s="88"/>
      <c r="AY1659" s="88"/>
      <c r="BQ1659" s="153"/>
    </row>
    <row r="1660" spans="2:69" s="87" customFormat="1">
      <c r="B1660" s="141" t="s">
        <v>2486</v>
      </c>
      <c r="D1660" s="88"/>
      <c r="K1660" s="88"/>
      <c r="L1660" s="88"/>
      <c r="M1660" s="88"/>
      <c r="N1660" s="88" t="s">
        <v>61</v>
      </c>
      <c r="O1660" s="88"/>
      <c r="AI1660" s="88"/>
      <c r="AJ1660" s="88"/>
      <c r="AK1660" s="88"/>
      <c r="AL1660" s="88"/>
      <c r="AM1660" s="88"/>
      <c r="AN1660" s="88"/>
      <c r="AO1660" s="88"/>
      <c r="AP1660" s="88"/>
      <c r="AQ1660" s="88"/>
      <c r="AR1660" s="88"/>
      <c r="AS1660" s="88"/>
      <c r="AT1660" s="88"/>
      <c r="AU1660" s="88"/>
      <c r="AV1660" s="88"/>
      <c r="AW1660" s="88"/>
      <c r="AX1660" s="88"/>
      <c r="AY1660" s="88"/>
      <c r="BQ1660" s="153"/>
    </row>
    <row r="1661" spans="2:69" s="87" customFormat="1">
      <c r="B1661" s="141" t="s">
        <v>2487</v>
      </c>
      <c r="D1661" s="88"/>
      <c r="K1661" s="88"/>
      <c r="L1661" s="88"/>
      <c r="M1661" s="88"/>
      <c r="N1661" s="88" t="s">
        <v>61</v>
      </c>
      <c r="O1661" s="88"/>
      <c r="AI1661" s="88"/>
      <c r="AJ1661" s="88"/>
      <c r="AK1661" s="88"/>
      <c r="AL1661" s="88"/>
      <c r="AM1661" s="88"/>
      <c r="AN1661" s="88"/>
      <c r="AO1661" s="88"/>
      <c r="AP1661" s="88"/>
      <c r="AQ1661" s="88"/>
      <c r="AR1661" s="88"/>
      <c r="AS1661" s="88"/>
      <c r="AT1661" s="88"/>
      <c r="AU1661" s="88"/>
      <c r="AV1661" s="88"/>
      <c r="AW1661" s="88"/>
      <c r="AX1661" s="88"/>
      <c r="AY1661" s="88"/>
      <c r="BQ1661" s="153"/>
    </row>
    <row r="1662" spans="2:69" s="87" customFormat="1">
      <c r="B1662" s="141" t="s">
        <v>2402</v>
      </c>
      <c r="D1662" s="88"/>
      <c r="K1662" s="88"/>
      <c r="L1662" s="88"/>
      <c r="M1662" s="88"/>
      <c r="N1662" s="88" t="s">
        <v>61</v>
      </c>
      <c r="O1662" s="88"/>
      <c r="AI1662" s="88"/>
      <c r="AJ1662" s="88"/>
      <c r="AK1662" s="88"/>
      <c r="AL1662" s="88"/>
      <c r="AM1662" s="88"/>
      <c r="AN1662" s="88"/>
      <c r="AO1662" s="88"/>
      <c r="AP1662" s="88"/>
      <c r="AQ1662" s="88"/>
      <c r="AR1662" s="88"/>
      <c r="AS1662" s="88"/>
      <c r="AT1662" s="88"/>
      <c r="AU1662" s="88"/>
      <c r="AV1662" s="88"/>
      <c r="AW1662" s="88"/>
      <c r="AX1662" s="88"/>
      <c r="AY1662" s="88"/>
      <c r="BQ1662" s="153"/>
    </row>
    <row r="1663" spans="2:69" s="87" customFormat="1">
      <c r="B1663" s="141" t="s">
        <v>1322</v>
      </c>
      <c r="D1663" s="88"/>
      <c r="K1663" s="88"/>
      <c r="L1663" s="88"/>
      <c r="M1663" s="88"/>
      <c r="N1663" s="88" t="s">
        <v>61</v>
      </c>
      <c r="O1663" s="88"/>
      <c r="AI1663" s="88"/>
      <c r="AJ1663" s="88"/>
      <c r="AK1663" s="88"/>
      <c r="AL1663" s="88"/>
      <c r="AM1663" s="88"/>
      <c r="AN1663" s="88"/>
      <c r="AO1663" s="88"/>
      <c r="AP1663" s="88"/>
      <c r="AQ1663" s="88"/>
      <c r="AR1663" s="88"/>
      <c r="AS1663" s="88"/>
      <c r="AT1663" s="88"/>
      <c r="AU1663" s="88"/>
      <c r="AV1663" s="88"/>
      <c r="AW1663" s="88"/>
      <c r="AX1663" s="88"/>
      <c r="AY1663" s="88"/>
      <c r="BQ1663" s="153"/>
    </row>
    <row r="1664" spans="2:69" s="87" customFormat="1">
      <c r="B1664" s="141" t="s">
        <v>2488</v>
      </c>
      <c r="D1664" s="88"/>
      <c r="F1664" s="87" t="s">
        <v>60</v>
      </c>
      <c r="K1664" s="88"/>
      <c r="L1664" s="88"/>
      <c r="M1664" s="88"/>
      <c r="N1664" s="88" t="s">
        <v>61</v>
      </c>
      <c r="O1664" s="88"/>
      <c r="AI1664" s="88"/>
      <c r="AJ1664" s="88"/>
      <c r="AK1664" s="88"/>
      <c r="AL1664" s="88"/>
      <c r="AM1664" s="88"/>
      <c r="AN1664" s="88"/>
      <c r="AO1664" s="88"/>
      <c r="AP1664" s="88"/>
      <c r="AQ1664" s="88"/>
      <c r="AR1664" s="88"/>
      <c r="AS1664" s="88"/>
      <c r="AT1664" s="88"/>
      <c r="AU1664" s="88"/>
      <c r="AV1664" s="88"/>
      <c r="AW1664" s="88"/>
      <c r="AX1664" s="88"/>
      <c r="AY1664" s="88"/>
      <c r="BQ1664" s="153"/>
    </row>
    <row r="1665" spans="2:69" s="87" customFormat="1">
      <c r="B1665" s="141" t="s">
        <v>2489</v>
      </c>
      <c r="C1665" s="93"/>
      <c r="D1665" s="89" t="s">
        <v>52</v>
      </c>
      <c r="E1665" s="93"/>
      <c r="F1665" s="88" t="s">
        <v>58</v>
      </c>
      <c r="G1665" s="93"/>
      <c r="H1665" s="93"/>
      <c r="J1665" s="93"/>
      <c r="K1665" s="89"/>
      <c r="L1665" s="89"/>
      <c r="M1665" s="89"/>
      <c r="N1665" s="88" t="s">
        <v>59</v>
      </c>
      <c r="O1665" s="89"/>
      <c r="S1665" s="94" t="s">
        <v>57</v>
      </c>
      <c r="AI1665" s="89"/>
      <c r="AJ1665" s="89"/>
      <c r="AK1665" s="89"/>
      <c r="AL1665" s="89"/>
      <c r="AM1665" s="89"/>
      <c r="AN1665" s="89"/>
      <c r="AO1665" s="89"/>
      <c r="AP1665" s="89"/>
      <c r="AQ1665" s="89"/>
      <c r="AR1665" s="89"/>
      <c r="AS1665" s="89"/>
      <c r="AT1665" s="89"/>
      <c r="AU1665" s="89"/>
      <c r="AV1665" s="89"/>
      <c r="AW1665" s="89"/>
      <c r="AX1665" s="89"/>
      <c r="AY1665" s="89"/>
      <c r="BD1665" s="87">
        <v>29</v>
      </c>
      <c r="BQ1665" s="153"/>
    </row>
    <row r="1666" spans="2:69" s="87" customFormat="1">
      <c r="B1666" s="141" t="s">
        <v>2490</v>
      </c>
      <c r="D1666" s="89" t="s">
        <v>52</v>
      </c>
      <c r="K1666" s="89"/>
      <c r="L1666" s="89"/>
      <c r="M1666" s="89"/>
      <c r="N1666" s="88" t="s">
        <v>56</v>
      </c>
      <c r="O1666" s="89"/>
      <c r="AI1666" s="89"/>
      <c r="AJ1666" s="89"/>
      <c r="AK1666" s="89"/>
      <c r="AL1666" s="89"/>
      <c r="AM1666" s="89"/>
      <c r="AN1666" s="89"/>
      <c r="AO1666" s="89"/>
      <c r="AP1666" s="89"/>
      <c r="AQ1666" s="89"/>
      <c r="AR1666" s="89"/>
      <c r="AS1666" s="89"/>
      <c r="AT1666" s="89"/>
      <c r="AU1666" s="89"/>
      <c r="AV1666" s="89"/>
      <c r="AW1666" s="89"/>
      <c r="AX1666" s="89"/>
      <c r="AY1666" s="89"/>
      <c r="BQ1666" s="153"/>
    </row>
    <row r="1667" spans="2:69" s="87" customFormat="1">
      <c r="B1667" s="141" t="s">
        <v>2491</v>
      </c>
      <c r="D1667" s="88" t="s">
        <v>51</v>
      </c>
      <c r="K1667" s="88"/>
      <c r="L1667" s="88"/>
      <c r="M1667" s="88"/>
      <c r="N1667" s="88" t="s">
        <v>56</v>
      </c>
      <c r="O1667" s="88"/>
      <c r="AI1667" s="88"/>
      <c r="AJ1667" s="88"/>
      <c r="AK1667" s="88"/>
      <c r="AL1667" s="88"/>
      <c r="AM1667" s="88"/>
      <c r="AN1667" s="88"/>
      <c r="AO1667" s="88"/>
      <c r="AP1667" s="88"/>
      <c r="AQ1667" s="88"/>
      <c r="AR1667" s="88"/>
      <c r="AS1667" s="88"/>
      <c r="AT1667" s="88"/>
      <c r="AU1667" s="88"/>
      <c r="AV1667" s="88"/>
      <c r="AW1667" s="88"/>
      <c r="AX1667" s="88"/>
      <c r="AY1667" s="88"/>
      <c r="BQ1667" s="153"/>
    </row>
    <row r="1668" spans="2:69" s="87" customFormat="1" ht="27">
      <c r="B1668" s="141" t="s">
        <v>2492</v>
      </c>
      <c r="D1668" s="89" t="s">
        <v>52</v>
      </c>
      <c r="K1668" s="89"/>
      <c r="L1668" s="89"/>
      <c r="M1668" s="89"/>
      <c r="N1668" s="88" t="s">
        <v>55</v>
      </c>
      <c r="O1668" s="89"/>
      <c r="S1668" s="87" t="s">
        <v>54</v>
      </c>
      <c r="AI1668" s="89"/>
      <c r="AJ1668" s="89"/>
      <c r="AK1668" s="89"/>
      <c r="AL1668" s="89"/>
      <c r="AM1668" s="89"/>
      <c r="AN1668" s="89"/>
      <c r="AO1668" s="89"/>
      <c r="AP1668" s="89"/>
      <c r="AQ1668" s="89"/>
      <c r="AR1668" s="89"/>
      <c r="AS1668" s="89"/>
      <c r="AT1668" s="89"/>
      <c r="AU1668" s="89"/>
      <c r="AV1668" s="89"/>
      <c r="AW1668" s="89"/>
      <c r="AX1668" s="89"/>
      <c r="AY1668" s="89"/>
      <c r="BD1668" s="87">
        <v>44.3</v>
      </c>
      <c r="BQ1668" s="153"/>
    </row>
    <row r="1669" spans="2:69" s="87" customFormat="1">
      <c r="B1669" s="141" t="s">
        <v>2493</v>
      </c>
      <c r="D1669" s="89" t="s">
        <v>52</v>
      </c>
      <c r="K1669" s="89"/>
      <c r="L1669" s="89"/>
      <c r="M1669" s="89"/>
      <c r="N1669" s="88" t="s">
        <v>53</v>
      </c>
      <c r="O1669" s="89"/>
      <c r="AI1669" s="89"/>
      <c r="AJ1669" s="89"/>
      <c r="AK1669" s="89"/>
      <c r="AL1669" s="89"/>
      <c r="AM1669" s="89"/>
      <c r="AN1669" s="89"/>
      <c r="AO1669" s="89"/>
      <c r="AP1669" s="89"/>
      <c r="AQ1669" s="89"/>
      <c r="AR1669" s="89"/>
      <c r="AS1669" s="89"/>
      <c r="AT1669" s="89"/>
      <c r="AU1669" s="89"/>
      <c r="AV1669" s="89"/>
      <c r="AW1669" s="89"/>
      <c r="AX1669" s="89"/>
      <c r="AY1669" s="89"/>
      <c r="BQ1669" s="153"/>
    </row>
    <row r="1670" spans="2:69" s="87" customFormat="1" ht="27">
      <c r="B1670" s="141" t="s">
        <v>2494</v>
      </c>
      <c r="D1670" s="89" t="s">
        <v>52</v>
      </c>
      <c r="K1670" s="89"/>
      <c r="L1670" s="89"/>
      <c r="M1670" s="89"/>
      <c r="N1670" s="88"/>
      <c r="O1670" s="89"/>
      <c r="AI1670" s="89"/>
      <c r="AJ1670" s="89"/>
      <c r="AK1670" s="89"/>
      <c r="AL1670" s="89"/>
      <c r="AM1670" s="89"/>
      <c r="AN1670" s="89"/>
      <c r="AO1670" s="89"/>
      <c r="AP1670" s="89"/>
      <c r="AQ1670" s="89"/>
      <c r="AR1670" s="89"/>
      <c r="AS1670" s="89"/>
      <c r="AT1670" s="89"/>
      <c r="AU1670" s="89"/>
      <c r="AV1670" s="89"/>
      <c r="AW1670" s="89"/>
      <c r="AX1670" s="89"/>
      <c r="AY1670" s="89"/>
      <c r="BQ1670" s="153"/>
    </row>
    <row r="1671" spans="2:69" s="87" customFormat="1">
      <c r="B1671" s="141" t="s">
        <v>2495</v>
      </c>
      <c r="D1671" s="88" t="s">
        <v>51</v>
      </c>
      <c r="K1671" s="88"/>
      <c r="L1671" s="88"/>
      <c r="M1671" s="88"/>
      <c r="N1671" s="88"/>
      <c r="O1671" s="88"/>
      <c r="AI1671" s="88"/>
      <c r="AJ1671" s="88"/>
      <c r="AK1671" s="88"/>
      <c r="AL1671" s="88"/>
      <c r="AM1671" s="88"/>
      <c r="AN1671" s="88"/>
      <c r="AO1671" s="88"/>
      <c r="AP1671" s="88"/>
      <c r="AQ1671" s="88"/>
      <c r="AR1671" s="88"/>
      <c r="AS1671" s="88"/>
      <c r="AT1671" s="88"/>
      <c r="AU1671" s="88"/>
      <c r="AV1671" s="88"/>
      <c r="AW1671" s="88"/>
      <c r="AX1671" s="88"/>
      <c r="AY1671" s="88"/>
      <c r="BQ1671" s="153"/>
    </row>
    <row r="1672" spans="2:69" s="87" customFormat="1">
      <c r="B1672" s="141"/>
      <c r="D1672" s="88"/>
      <c r="K1672" s="88"/>
      <c r="L1672" s="88"/>
      <c r="M1672" s="88"/>
      <c r="N1672" s="88"/>
      <c r="O1672" s="88"/>
      <c r="AI1672" s="88"/>
      <c r="AJ1672" s="88"/>
      <c r="AK1672" s="88"/>
      <c r="AL1672" s="88"/>
      <c r="AM1672" s="88"/>
      <c r="AN1672" s="88"/>
      <c r="AO1672" s="88"/>
      <c r="AP1672" s="88"/>
      <c r="AQ1672" s="88"/>
      <c r="AR1672" s="88"/>
      <c r="AS1672" s="88"/>
      <c r="AT1672" s="88"/>
      <c r="AU1672" s="88"/>
      <c r="AV1672" s="88"/>
      <c r="AW1672" s="88"/>
      <c r="AX1672" s="88"/>
      <c r="AY1672" s="88"/>
      <c r="BQ1672" s="153"/>
    </row>
    <row r="1674" spans="2:69" s="96" customFormat="1">
      <c r="B1674" s="141" t="s">
        <v>2339</v>
      </c>
      <c r="C1674" s="95"/>
      <c r="D1674" s="97">
        <v>23.3</v>
      </c>
      <c r="E1674" s="95"/>
      <c r="F1674" s="95"/>
      <c r="G1674" s="95"/>
      <c r="H1674" s="95"/>
      <c r="J1674" s="95"/>
      <c r="K1674" s="97"/>
      <c r="L1674" s="97"/>
      <c r="M1674" s="97"/>
      <c r="O1674" s="97"/>
      <c r="AI1674" s="97"/>
      <c r="AJ1674" s="97"/>
      <c r="AK1674" s="97"/>
      <c r="AL1674" s="97"/>
      <c r="AM1674" s="97"/>
      <c r="AN1674" s="97"/>
      <c r="AO1674" s="97"/>
      <c r="AP1674" s="97"/>
      <c r="AQ1674" s="97"/>
      <c r="AR1674" s="97"/>
      <c r="AS1674" s="97"/>
      <c r="AT1674" s="97"/>
      <c r="AU1674" s="97"/>
      <c r="AV1674" s="97"/>
      <c r="AW1674" s="97"/>
      <c r="AX1674" s="97"/>
      <c r="AY1674" s="97"/>
      <c r="BQ1674" s="158"/>
    </row>
    <row r="1675" spans="2:69" s="96" customFormat="1">
      <c r="B1675" s="141" t="s">
        <v>2331</v>
      </c>
      <c r="D1675" s="97">
        <v>16</v>
      </c>
      <c r="K1675" s="97"/>
      <c r="L1675" s="97"/>
      <c r="M1675" s="97"/>
      <c r="O1675" s="97"/>
      <c r="AI1675" s="97"/>
      <c r="AJ1675" s="97"/>
      <c r="AK1675" s="97"/>
      <c r="AL1675" s="97"/>
      <c r="AM1675" s="97"/>
      <c r="AN1675" s="97"/>
      <c r="AO1675" s="97"/>
      <c r="AP1675" s="97"/>
      <c r="AQ1675" s="97"/>
      <c r="AR1675" s="97"/>
      <c r="AS1675" s="97"/>
      <c r="AT1675" s="97"/>
      <c r="AU1675" s="97"/>
      <c r="AV1675" s="97"/>
      <c r="AW1675" s="97"/>
      <c r="AX1675" s="97"/>
      <c r="AY1675" s="97"/>
      <c r="BQ1675" s="158"/>
    </row>
    <row r="1676" spans="2:69" s="96" customFormat="1">
      <c r="B1676" s="141" t="s">
        <v>2496</v>
      </c>
      <c r="C1676" s="95"/>
      <c r="D1676" s="97">
        <v>19.600000000000001</v>
      </c>
      <c r="E1676" s="95"/>
      <c r="F1676" s="95"/>
      <c r="G1676" s="95"/>
      <c r="H1676" s="95"/>
      <c r="J1676" s="95"/>
      <c r="K1676" s="97"/>
      <c r="L1676" s="97"/>
      <c r="M1676" s="97"/>
      <c r="O1676" s="97"/>
      <c r="AI1676" s="97"/>
      <c r="AJ1676" s="97"/>
      <c r="AK1676" s="97"/>
      <c r="AL1676" s="97"/>
      <c r="AM1676" s="97"/>
      <c r="AN1676" s="97"/>
      <c r="AO1676" s="97"/>
      <c r="AP1676" s="97"/>
      <c r="AQ1676" s="97"/>
      <c r="AR1676" s="97"/>
      <c r="AS1676" s="97"/>
      <c r="AT1676" s="97"/>
      <c r="AU1676" s="97"/>
      <c r="AV1676" s="97"/>
      <c r="AW1676" s="97"/>
      <c r="AX1676" s="97"/>
      <c r="AY1676" s="97"/>
      <c r="BQ1676" s="158"/>
    </row>
    <row r="1677" spans="2:69" s="96" customFormat="1">
      <c r="B1677" s="141" t="s">
        <v>2336</v>
      </c>
      <c r="C1677" s="95"/>
      <c r="D1677" s="97">
        <v>23.3</v>
      </c>
      <c r="E1677" s="95"/>
      <c r="F1677" s="95"/>
      <c r="G1677" s="95"/>
      <c r="H1677" s="95"/>
      <c r="J1677" s="95"/>
      <c r="K1677" s="97"/>
      <c r="L1677" s="97"/>
      <c r="M1677" s="97"/>
      <c r="O1677" s="97"/>
      <c r="AI1677" s="97"/>
      <c r="AJ1677" s="97"/>
      <c r="AK1677" s="97"/>
      <c r="AL1677" s="97"/>
      <c r="AM1677" s="97"/>
      <c r="AN1677" s="97"/>
      <c r="AO1677" s="97"/>
      <c r="AP1677" s="97"/>
      <c r="AQ1677" s="97"/>
      <c r="AR1677" s="97"/>
      <c r="AS1677" s="97"/>
      <c r="AT1677" s="97"/>
      <c r="AU1677" s="97"/>
      <c r="AV1677" s="97"/>
      <c r="AW1677" s="97"/>
      <c r="AX1677" s="97"/>
      <c r="AY1677" s="97"/>
      <c r="BQ1677" s="158"/>
    </row>
    <row r="1678" spans="2:69" s="96" customFormat="1">
      <c r="B1678" s="141" t="s">
        <v>2337</v>
      </c>
      <c r="C1678" s="95"/>
      <c r="D1678" s="97">
        <v>23.6</v>
      </c>
      <c r="E1678" s="95"/>
      <c r="F1678" s="95"/>
      <c r="G1678" s="95"/>
      <c r="H1678" s="95"/>
      <c r="J1678" s="95"/>
      <c r="K1678" s="97"/>
      <c r="L1678" s="97"/>
      <c r="M1678" s="97"/>
      <c r="O1678" s="97"/>
      <c r="AI1678" s="97"/>
      <c r="AJ1678" s="97"/>
      <c r="AK1678" s="97"/>
      <c r="AL1678" s="97"/>
      <c r="AM1678" s="97"/>
      <c r="AN1678" s="97"/>
      <c r="AO1678" s="97"/>
      <c r="AP1678" s="97"/>
      <c r="AQ1678" s="97"/>
      <c r="AR1678" s="97"/>
      <c r="AS1678" s="97"/>
      <c r="AT1678" s="97"/>
      <c r="AU1678" s="97"/>
      <c r="AV1678" s="97"/>
      <c r="AW1678" s="97"/>
      <c r="AX1678" s="97"/>
      <c r="AY1678" s="97"/>
      <c r="BQ1678" s="158"/>
    </row>
    <row r="1679" spans="2:69" s="96" customFormat="1" ht="27">
      <c r="B1679" s="141" t="s">
        <v>2335</v>
      </c>
      <c r="C1679" s="95"/>
      <c r="D1679" s="97">
        <v>24.1</v>
      </c>
      <c r="E1679" s="95"/>
      <c r="F1679" s="95"/>
      <c r="G1679" s="95"/>
      <c r="H1679" s="95"/>
      <c r="J1679" s="95"/>
      <c r="K1679" s="97"/>
      <c r="L1679" s="97"/>
      <c r="M1679" s="97"/>
      <c r="O1679" s="97"/>
      <c r="AI1679" s="97"/>
      <c r="AJ1679" s="97"/>
      <c r="AK1679" s="97"/>
      <c r="AL1679" s="97"/>
      <c r="AM1679" s="97"/>
      <c r="AN1679" s="97"/>
      <c r="AO1679" s="97"/>
      <c r="AP1679" s="97"/>
      <c r="AQ1679" s="97"/>
      <c r="AR1679" s="97"/>
      <c r="AS1679" s="97"/>
      <c r="AT1679" s="97"/>
      <c r="AU1679" s="97"/>
      <c r="AV1679" s="97"/>
      <c r="AW1679" s="97"/>
      <c r="AX1679" s="97"/>
      <c r="AY1679" s="97"/>
      <c r="BQ1679" s="158"/>
    </row>
    <row r="1680" spans="2:69" s="96" customFormat="1">
      <c r="B1680" s="141" t="s">
        <v>2333</v>
      </c>
      <c r="C1680" s="95"/>
      <c r="D1680" s="97">
        <v>26.4</v>
      </c>
      <c r="E1680" s="95"/>
      <c r="F1680" s="95"/>
      <c r="G1680" s="95"/>
      <c r="H1680" s="95"/>
      <c r="J1680" s="95"/>
      <c r="K1680" s="97"/>
      <c r="L1680" s="97"/>
      <c r="M1680" s="97"/>
      <c r="O1680" s="97"/>
      <c r="AI1680" s="97"/>
      <c r="AJ1680" s="97"/>
      <c r="AK1680" s="97"/>
      <c r="AL1680" s="97"/>
      <c r="AM1680" s="97"/>
      <c r="AN1680" s="97"/>
      <c r="AO1680" s="97"/>
      <c r="AP1680" s="97"/>
      <c r="AQ1680" s="97"/>
      <c r="AR1680" s="97"/>
      <c r="AS1680" s="97"/>
      <c r="AT1680" s="97"/>
      <c r="AU1680" s="97"/>
      <c r="AV1680" s="97"/>
      <c r="AW1680" s="97"/>
      <c r="AX1680" s="97"/>
      <c r="AY1680" s="97"/>
      <c r="BQ1680" s="158"/>
    </row>
    <row r="1681" spans="2:69" s="96" customFormat="1" ht="27">
      <c r="B1681" s="141" t="s">
        <v>2497</v>
      </c>
      <c r="C1681" s="95"/>
      <c r="D1681" s="97">
        <v>20</v>
      </c>
      <c r="E1681" s="95"/>
      <c r="F1681" s="95"/>
      <c r="G1681" s="95"/>
      <c r="H1681" s="95"/>
      <c r="J1681" s="95"/>
      <c r="K1681" s="97"/>
      <c r="L1681" s="97"/>
      <c r="M1681" s="97"/>
      <c r="O1681" s="97"/>
      <c r="AI1681" s="97"/>
      <c r="AJ1681" s="97"/>
      <c r="AK1681" s="97"/>
      <c r="AL1681" s="97"/>
      <c r="AM1681" s="97"/>
      <c r="AN1681" s="97"/>
      <c r="AO1681" s="97"/>
      <c r="AP1681" s="97"/>
      <c r="AQ1681" s="97"/>
      <c r="AR1681" s="97"/>
      <c r="AS1681" s="97"/>
      <c r="AT1681" s="97"/>
      <c r="AU1681" s="97"/>
      <c r="AV1681" s="97"/>
      <c r="AW1681" s="97"/>
      <c r="AX1681" s="97"/>
      <c r="AY1681" s="97"/>
      <c r="BQ1681" s="158"/>
    </row>
    <row r="1682" spans="2:69" s="96" customFormat="1">
      <c r="B1682" s="141" t="s">
        <v>2338</v>
      </c>
      <c r="C1682" s="98"/>
      <c r="D1682" s="97">
        <v>31.2</v>
      </c>
      <c r="E1682" s="98"/>
      <c r="F1682" s="98"/>
      <c r="G1682" s="98"/>
      <c r="H1682" s="98"/>
      <c r="J1682" s="98"/>
      <c r="K1682" s="97"/>
      <c r="L1682" s="97"/>
      <c r="M1682" s="97"/>
      <c r="O1682" s="97"/>
      <c r="AI1682" s="97"/>
      <c r="AJ1682" s="97"/>
      <c r="AK1682" s="97"/>
      <c r="AL1682" s="97"/>
      <c r="AM1682" s="97"/>
      <c r="AN1682" s="97"/>
      <c r="AO1682" s="97"/>
      <c r="AP1682" s="97"/>
      <c r="AQ1682" s="97"/>
      <c r="AR1682" s="97"/>
      <c r="AS1682" s="97"/>
      <c r="AT1682" s="97"/>
      <c r="AU1682" s="97"/>
      <c r="AV1682" s="97"/>
      <c r="AW1682" s="97"/>
      <c r="AX1682" s="97"/>
      <c r="AY1682" s="97"/>
      <c r="AZ1682" s="99"/>
      <c r="BQ1682" s="158"/>
    </row>
    <row r="1683" spans="2:69" s="96" customFormat="1">
      <c r="B1683" s="141" t="s">
        <v>2332</v>
      </c>
      <c r="C1683" s="95"/>
      <c r="D1683" s="97">
        <v>22.1</v>
      </c>
      <c r="E1683" s="95"/>
      <c r="F1683" s="95"/>
      <c r="G1683" s="95"/>
      <c r="H1683" s="95"/>
      <c r="J1683" s="95"/>
      <c r="K1683" s="97"/>
      <c r="L1683" s="97"/>
      <c r="M1683" s="97"/>
      <c r="O1683" s="97"/>
      <c r="AI1683" s="97"/>
      <c r="AJ1683" s="97"/>
      <c r="AK1683" s="97"/>
      <c r="AL1683" s="97"/>
      <c r="AM1683" s="97"/>
      <c r="AN1683" s="97"/>
      <c r="AO1683" s="97"/>
      <c r="AP1683" s="97"/>
      <c r="AQ1683" s="97"/>
      <c r="AR1683" s="97"/>
      <c r="AS1683" s="97"/>
      <c r="AT1683" s="97"/>
      <c r="AU1683" s="97"/>
      <c r="AV1683" s="97"/>
      <c r="AW1683" s="97"/>
      <c r="AX1683" s="97"/>
      <c r="AY1683" s="97"/>
      <c r="BQ1683" s="158"/>
    </row>
    <row r="1684" spans="2:69" s="96" customFormat="1">
      <c r="B1684" s="141"/>
      <c r="D1684" s="97"/>
      <c r="K1684" s="97"/>
      <c r="L1684" s="97"/>
      <c r="M1684" s="97"/>
      <c r="O1684" s="97"/>
      <c r="AI1684" s="97"/>
      <c r="AJ1684" s="97"/>
      <c r="AK1684" s="97"/>
      <c r="AL1684" s="97"/>
      <c r="AM1684" s="97"/>
      <c r="AN1684" s="97"/>
      <c r="AO1684" s="97"/>
      <c r="AP1684" s="97"/>
      <c r="AQ1684" s="97"/>
      <c r="AR1684" s="97"/>
      <c r="AS1684" s="97"/>
      <c r="AT1684" s="97"/>
      <c r="AU1684" s="97"/>
      <c r="AV1684" s="97"/>
      <c r="AW1684" s="97"/>
      <c r="AX1684" s="97"/>
      <c r="AY1684" s="97"/>
      <c r="BQ1684" s="158"/>
    </row>
    <row r="1685" spans="2:69" s="96" customFormat="1">
      <c r="B1685" s="141"/>
      <c r="D1685" s="97"/>
      <c r="K1685" s="97"/>
      <c r="L1685" s="97"/>
      <c r="M1685" s="97"/>
      <c r="O1685" s="97"/>
      <c r="AI1685" s="97"/>
      <c r="AJ1685" s="97"/>
      <c r="AK1685" s="97"/>
      <c r="AL1685" s="97"/>
      <c r="AM1685" s="97"/>
      <c r="AN1685" s="97"/>
      <c r="AO1685" s="97"/>
      <c r="AP1685" s="97"/>
      <c r="AQ1685" s="97"/>
      <c r="AR1685" s="97"/>
      <c r="AS1685" s="97"/>
      <c r="AT1685" s="97"/>
      <c r="AU1685" s="97"/>
      <c r="AV1685" s="97"/>
      <c r="AW1685" s="97"/>
      <c r="AX1685" s="97"/>
      <c r="AY1685" s="97"/>
      <c r="BQ1685" s="158"/>
    </row>
    <row r="1686" spans="2:69" s="96" customFormat="1">
      <c r="B1686" s="141"/>
      <c r="D1686" s="97"/>
      <c r="K1686" s="97"/>
      <c r="L1686" s="97"/>
      <c r="M1686" s="97"/>
      <c r="O1686" s="97"/>
      <c r="AI1686" s="97"/>
      <c r="AJ1686" s="97"/>
      <c r="AK1686" s="97"/>
      <c r="AL1686" s="97"/>
      <c r="AM1686" s="97"/>
      <c r="AN1686" s="97"/>
      <c r="AO1686" s="97"/>
      <c r="AP1686" s="97"/>
      <c r="AQ1686" s="97"/>
      <c r="AR1686" s="97"/>
      <c r="AS1686" s="97"/>
      <c r="AT1686" s="97"/>
      <c r="AU1686" s="97"/>
      <c r="AV1686" s="97"/>
      <c r="AW1686" s="97"/>
      <c r="AX1686" s="97"/>
      <c r="AY1686" s="97"/>
      <c r="BQ1686" s="158"/>
    </row>
    <row r="1687" spans="2:69" s="96" customFormat="1">
      <c r="B1687" s="141"/>
      <c r="D1687" s="97"/>
      <c r="K1687" s="97"/>
      <c r="L1687" s="97"/>
      <c r="M1687" s="97"/>
      <c r="O1687" s="97"/>
      <c r="AI1687" s="97"/>
      <c r="AJ1687" s="97"/>
      <c r="AK1687" s="97"/>
      <c r="AL1687" s="97"/>
      <c r="AM1687" s="97"/>
      <c r="AN1687" s="97"/>
      <c r="AO1687" s="97"/>
      <c r="AP1687" s="97"/>
      <c r="AQ1687" s="97"/>
      <c r="AR1687" s="97"/>
      <c r="AS1687" s="97"/>
      <c r="AT1687" s="97"/>
      <c r="AU1687" s="97"/>
      <c r="AV1687" s="97"/>
      <c r="AW1687" s="97"/>
      <c r="AX1687" s="97"/>
      <c r="AY1687" s="97"/>
      <c r="BQ1687" s="158"/>
    </row>
    <row r="1688" spans="2:69" s="96" customFormat="1">
      <c r="B1688" s="141" t="s">
        <v>2329</v>
      </c>
      <c r="D1688" s="97" t="s">
        <v>50</v>
      </c>
      <c r="K1688" s="97"/>
      <c r="L1688" s="97"/>
      <c r="M1688" s="97"/>
      <c r="O1688" s="97"/>
      <c r="AI1688" s="97"/>
      <c r="AJ1688" s="97"/>
      <c r="AK1688" s="97"/>
      <c r="AL1688" s="97"/>
      <c r="AM1688" s="97"/>
      <c r="AN1688" s="97"/>
      <c r="AO1688" s="97"/>
      <c r="AP1688" s="97"/>
      <c r="AQ1688" s="97"/>
      <c r="AR1688" s="97"/>
      <c r="AS1688" s="97"/>
      <c r="AT1688" s="97"/>
      <c r="AU1688" s="97"/>
      <c r="AV1688" s="97"/>
      <c r="AW1688" s="97"/>
      <c r="AX1688" s="97"/>
      <c r="AY1688" s="97"/>
      <c r="BQ1688" s="158"/>
    </row>
    <row r="1689" spans="2:69" s="96" customFormat="1" ht="27">
      <c r="B1689" s="141" t="s">
        <v>2498</v>
      </c>
      <c r="D1689" s="97" t="s">
        <v>50</v>
      </c>
      <c r="K1689" s="97"/>
      <c r="L1689" s="97"/>
      <c r="M1689" s="97"/>
      <c r="O1689" s="97"/>
      <c r="AI1689" s="97"/>
      <c r="AJ1689" s="97"/>
      <c r="AK1689" s="97"/>
      <c r="AL1689" s="97"/>
      <c r="AM1689" s="97"/>
      <c r="AN1689" s="97"/>
      <c r="AO1689" s="97"/>
      <c r="AP1689" s="97"/>
      <c r="AQ1689" s="97"/>
      <c r="AR1689" s="97"/>
      <c r="AS1689" s="97"/>
      <c r="AT1689" s="97"/>
      <c r="AU1689" s="97"/>
      <c r="AV1689" s="97"/>
      <c r="AW1689" s="97"/>
      <c r="AX1689" s="97"/>
      <c r="AY1689" s="97"/>
      <c r="BQ1689" s="158"/>
    </row>
    <row r="1695" spans="2:69" s="103" customFormat="1" ht="13.5">
      <c r="B1695" s="141" t="s">
        <v>2499</v>
      </c>
      <c r="D1695" s="101" t="s">
        <v>45</v>
      </c>
      <c r="E1695" s="102"/>
      <c r="F1695" s="101"/>
      <c r="G1695" s="101"/>
      <c r="H1695" s="101"/>
      <c r="J1695" s="101"/>
      <c r="K1695" s="101"/>
      <c r="L1695" s="102"/>
      <c r="M1695" s="102"/>
      <c r="N1695" s="101"/>
      <c r="O1695" s="102"/>
      <c r="R1695" s="101" t="s">
        <v>42</v>
      </c>
      <c r="S1695" s="101"/>
      <c r="T1695" s="101" t="s">
        <v>35</v>
      </c>
      <c r="U1695" s="101"/>
      <c r="V1695" s="101"/>
      <c r="W1695" s="101"/>
      <c r="X1695" s="101"/>
      <c r="Y1695" s="101"/>
      <c r="Z1695" s="101"/>
      <c r="AA1695" s="101"/>
      <c r="AB1695" s="101"/>
      <c r="AC1695" s="101"/>
      <c r="AD1695" s="101"/>
      <c r="AE1695" s="101"/>
      <c r="AF1695" s="101"/>
      <c r="AG1695" s="101"/>
      <c r="AH1695" s="101"/>
      <c r="AI1695" s="102"/>
      <c r="AJ1695" s="102"/>
      <c r="AK1695" s="102"/>
      <c r="AL1695" s="102"/>
      <c r="AM1695" s="102"/>
      <c r="AN1695" s="102"/>
      <c r="AO1695" s="102"/>
      <c r="AP1695" s="102"/>
      <c r="AQ1695" s="102"/>
      <c r="AR1695" s="102"/>
      <c r="AS1695" s="102"/>
      <c r="AT1695" s="102"/>
      <c r="AU1695" s="102"/>
      <c r="AV1695" s="102"/>
      <c r="AW1695" s="102"/>
      <c r="AX1695" s="102"/>
      <c r="AY1695" s="102"/>
      <c r="AZ1695" s="101"/>
      <c r="BB1695" s="101"/>
      <c r="BD1695" s="101"/>
      <c r="BQ1695" s="159"/>
    </row>
    <row r="1696" spans="2:69" s="103" customFormat="1" ht="13.5">
      <c r="B1696" s="141" t="s">
        <v>2500</v>
      </c>
      <c r="D1696" s="101" t="s">
        <v>45</v>
      </c>
      <c r="E1696" s="102"/>
      <c r="F1696" s="101"/>
      <c r="G1696" s="101"/>
      <c r="H1696" s="101"/>
      <c r="J1696" s="101"/>
      <c r="K1696" s="101"/>
      <c r="L1696" s="102"/>
      <c r="M1696" s="102"/>
      <c r="N1696" s="101"/>
      <c r="O1696" s="102"/>
      <c r="R1696" s="101" t="s">
        <v>42</v>
      </c>
      <c r="S1696" s="101"/>
      <c r="T1696" s="101" t="s">
        <v>35</v>
      </c>
      <c r="U1696" s="101"/>
      <c r="V1696" s="101"/>
      <c r="W1696" s="101"/>
      <c r="X1696" s="101"/>
      <c r="Y1696" s="101"/>
      <c r="Z1696" s="101"/>
      <c r="AA1696" s="101"/>
      <c r="AB1696" s="101"/>
      <c r="AC1696" s="101"/>
      <c r="AD1696" s="101"/>
      <c r="AE1696" s="101"/>
      <c r="AF1696" s="101"/>
      <c r="AG1696" s="101"/>
      <c r="AH1696" s="101"/>
      <c r="AI1696" s="102"/>
      <c r="AJ1696" s="102"/>
      <c r="AK1696" s="102"/>
      <c r="AL1696" s="102"/>
      <c r="AM1696" s="102"/>
      <c r="AN1696" s="102"/>
      <c r="AO1696" s="102"/>
      <c r="AP1696" s="102"/>
      <c r="AQ1696" s="102"/>
      <c r="AR1696" s="102"/>
      <c r="AS1696" s="102"/>
      <c r="AT1696" s="102"/>
      <c r="AU1696" s="102"/>
      <c r="AV1696" s="102"/>
      <c r="AW1696" s="102"/>
      <c r="AX1696" s="102"/>
      <c r="AY1696" s="102"/>
      <c r="AZ1696" s="101"/>
      <c r="BB1696" s="101"/>
      <c r="BD1696" s="101"/>
      <c r="BQ1696" s="159"/>
    </row>
    <row r="1697" spans="2:69" s="103" customFormat="1" ht="13.5">
      <c r="B1697" s="141" t="s">
        <v>2501</v>
      </c>
      <c r="D1697" s="101" t="s">
        <v>45</v>
      </c>
      <c r="F1697" s="101"/>
      <c r="G1697" s="101"/>
      <c r="H1697" s="101"/>
      <c r="J1697" s="101"/>
      <c r="K1697" s="101"/>
      <c r="N1697" s="101"/>
      <c r="R1697" s="101" t="s">
        <v>42</v>
      </c>
      <c r="S1697" s="101"/>
      <c r="T1697" s="101" t="s">
        <v>35</v>
      </c>
      <c r="U1697" s="101"/>
      <c r="V1697" s="101"/>
      <c r="W1697" s="101"/>
      <c r="X1697" s="101"/>
      <c r="Y1697" s="101"/>
      <c r="Z1697" s="101"/>
      <c r="AA1697" s="101"/>
      <c r="AB1697" s="101"/>
      <c r="AC1697" s="101"/>
      <c r="AD1697" s="101"/>
      <c r="AE1697" s="101"/>
      <c r="AF1697" s="101"/>
      <c r="AG1697" s="101"/>
      <c r="AH1697" s="101"/>
      <c r="AZ1697" s="101"/>
      <c r="BB1697" s="101"/>
      <c r="BD1697" s="101"/>
      <c r="BQ1697" s="159"/>
    </row>
    <row r="1698" spans="2:69" s="103" customFormat="1" ht="13.5">
      <c r="B1698" s="141" t="s">
        <v>2502</v>
      </c>
      <c r="D1698" s="101" t="s">
        <v>45</v>
      </c>
      <c r="E1698" s="102"/>
      <c r="F1698" s="101"/>
      <c r="G1698" s="101"/>
      <c r="H1698" s="101"/>
      <c r="J1698" s="101"/>
      <c r="K1698" s="101"/>
      <c r="L1698" s="102"/>
      <c r="M1698" s="102"/>
      <c r="N1698" s="101"/>
      <c r="O1698" s="102"/>
      <c r="R1698" s="101" t="s">
        <v>42</v>
      </c>
      <c r="S1698" s="101"/>
      <c r="T1698" s="101" t="s">
        <v>35</v>
      </c>
      <c r="U1698" s="101"/>
      <c r="V1698" s="101"/>
      <c r="W1698" s="101"/>
      <c r="X1698" s="101"/>
      <c r="Y1698" s="101"/>
      <c r="Z1698" s="101"/>
      <c r="AA1698" s="101"/>
      <c r="AB1698" s="101"/>
      <c r="AC1698" s="101"/>
      <c r="AD1698" s="101"/>
      <c r="AE1698" s="101"/>
      <c r="AF1698" s="101"/>
      <c r="AG1698" s="101"/>
      <c r="AH1698" s="101"/>
      <c r="AI1698" s="102"/>
      <c r="AJ1698" s="102"/>
      <c r="AK1698" s="102"/>
      <c r="AL1698" s="102"/>
      <c r="AM1698" s="102"/>
      <c r="AN1698" s="102"/>
      <c r="AO1698" s="102"/>
      <c r="AP1698" s="102"/>
      <c r="AQ1698" s="102"/>
      <c r="AR1698" s="102"/>
      <c r="AS1698" s="102"/>
      <c r="AT1698" s="102"/>
      <c r="AU1698" s="102"/>
      <c r="AV1698" s="102"/>
      <c r="AW1698" s="102"/>
      <c r="AX1698" s="102"/>
      <c r="AY1698" s="102"/>
      <c r="AZ1698" s="101"/>
      <c r="BB1698" s="101"/>
      <c r="BD1698" s="101"/>
      <c r="BQ1698" s="159"/>
    </row>
    <row r="1699" spans="2:69" s="103" customFormat="1" ht="13.5">
      <c r="B1699" s="141" t="s">
        <v>2503</v>
      </c>
      <c r="D1699" s="101" t="s">
        <v>45</v>
      </c>
      <c r="E1699" s="102"/>
      <c r="F1699" s="101"/>
      <c r="G1699" s="101"/>
      <c r="H1699" s="101"/>
      <c r="J1699" s="101"/>
      <c r="K1699" s="101"/>
      <c r="L1699" s="102"/>
      <c r="M1699" s="102"/>
      <c r="N1699" s="101"/>
      <c r="O1699" s="102"/>
      <c r="R1699" s="101" t="s">
        <v>42</v>
      </c>
      <c r="S1699" s="101"/>
      <c r="T1699" s="101" t="s">
        <v>35</v>
      </c>
      <c r="U1699" s="101"/>
      <c r="V1699" s="101"/>
      <c r="W1699" s="101"/>
      <c r="X1699" s="101"/>
      <c r="Y1699" s="101"/>
      <c r="Z1699" s="101"/>
      <c r="AA1699" s="101"/>
      <c r="AB1699" s="101"/>
      <c r="AC1699" s="101"/>
      <c r="AD1699" s="101"/>
      <c r="AE1699" s="101"/>
      <c r="AF1699" s="101"/>
      <c r="AG1699" s="101"/>
      <c r="AH1699" s="101"/>
      <c r="AI1699" s="102"/>
      <c r="AJ1699" s="102"/>
      <c r="AK1699" s="102"/>
      <c r="AL1699" s="102"/>
      <c r="AM1699" s="102"/>
      <c r="AN1699" s="102"/>
      <c r="AO1699" s="102"/>
      <c r="AP1699" s="102"/>
      <c r="AQ1699" s="102"/>
      <c r="AR1699" s="102"/>
      <c r="AS1699" s="102"/>
      <c r="AT1699" s="102"/>
      <c r="AU1699" s="102"/>
      <c r="AV1699" s="102"/>
      <c r="AW1699" s="102"/>
      <c r="AX1699" s="102"/>
      <c r="AY1699" s="102"/>
      <c r="AZ1699" s="101"/>
      <c r="BB1699" s="101"/>
      <c r="BD1699" s="101"/>
      <c r="BQ1699" s="159"/>
    </row>
    <row r="1700" spans="2:69" s="103" customFormat="1" ht="13.5">
      <c r="B1700" s="141" t="s">
        <v>2504</v>
      </c>
      <c r="D1700" s="101" t="s">
        <v>45</v>
      </c>
      <c r="E1700" s="102"/>
      <c r="F1700" s="101"/>
      <c r="G1700" s="101"/>
      <c r="H1700" s="101"/>
      <c r="J1700" s="101"/>
      <c r="K1700" s="101"/>
      <c r="L1700" s="102"/>
      <c r="M1700" s="102"/>
      <c r="N1700" s="101"/>
      <c r="O1700" s="102"/>
      <c r="R1700" s="101" t="s">
        <v>42</v>
      </c>
      <c r="S1700" s="101"/>
      <c r="T1700" s="101" t="s">
        <v>35</v>
      </c>
      <c r="U1700" s="101"/>
      <c r="V1700" s="101"/>
      <c r="W1700" s="101"/>
      <c r="X1700" s="101"/>
      <c r="Y1700" s="101"/>
      <c r="Z1700" s="101"/>
      <c r="AA1700" s="101"/>
      <c r="AB1700" s="101"/>
      <c r="AC1700" s="101"/>
      <c r="AD1700" s="101"/>
      <c r="AE1700" s="101"/>
      <c r="AF1700" s="101"/>
      <c r="AG1700" s="101"/>
      <c r="AH1700" s="101"/>
      <c r="AI1700" s="102"/>
      <c r="AJ1700" s="102"/>
      <c r="AK1700" s="102"/>
      <c r="AL1700" s="102"/>
      <c r="AM1700" s="102"/>
      <c r="AN1700" s="102"/>
      <c r="AO1700" s="102"/>
      <c r="AP1700" s="102"/>
      <c r="AQ1700" s="102"/>
      <c r="AR1700" s="102"/>
      <c r="AS1700" s="102"/>
      <c r="AT1700" s="102"/>
      <c r="AU1700" s="102"/>
      <c r="AV1700" s="102"/>
      <c r="AW1700" s="102"/>
      <c r="AX1700" s="102"/>
      <c r="AY1700" s="102"/>
      <c r="AZ1700" s="101">
        <v>1</v>
      </c>
      <c r="BB1700" s="101"/>
      <c r="BD1700" s="101"/>
      <c r="BQ1700" s="159"/>
    </row>
    <row r="1701" spans="2:69" s="103" customFormat="1" ht="13.5">
      <c r="B1701" s="141" t="s">
        <v>2505</v>
      </c>
      <c r="D1701" s="101" t="s">
        <v>45</v>
      </c>
      <c r="E1701" s="102"/>
      <c r="F1701" s="101"/>
      <c r="G1701" s="101"/>
      <c r="H1701" s="101"/>
      <c r="J1701" s="101"/>
      <c r="K1701" s="101"/>
      <c r="L1701" s="102"/>
      <c r="M1701" s="102"/>
      <c r="N1701" s="101"/>
      <c r="O1701" s="102"/>
      <c r="R1701" s="101" t="s">
        <v>42</v>
      </c>
      <c r="S1701" s="101"/>
      <c r="T1701" s="101" t="s">
        <v>35</v>
      </c>
      <c r="U1701" s="101"/>
      <c r="V1701" s="101"/>
      <c r="W1701" s="101"/>
      <c r="X1701" s="101"/>
      <c r="Y1701" s="101"/>
      <c r="Z1701" s="101"/>
      <c r="AA1701" s="101"/>
      <c r="AB1701" s="101"/>
      <c r="AC1701" s="101"/>
      <c r="AD1701" s="101"/>
      <c r="AE1701" s="101"/>
      <c r="AF1701" s="101"/>
      <c r="AG1701" s="101"/>
      <c r="AH1701" s="101"/>
      <c r="AI1701" s="102"/>
      <c r="AJ1701" s="102"/>
      <c r="AK1701" s="102"/>
      <c r="AL1701" s="102"/>
      <c r="AM1701" s="102"/>
      <c r="AN1701" s="102"/>
      <c r="AO1701" s="102"/>
      <c r="AP1701" s="102"/>
      <c r="AQ1701" s="102"/>
      <c r="AR1701" s="102"/>
      <c r="AS1701" s="102"/>
      <c r="AT1701" s="102"/>
      <c r="AU1701" s="102"/>
      <c r="AV1701" s="102"/>
      <c r="AW1701" s="102"/>
      <c r="AX1701" s="102"/>
      <c r="AY1701" s="102"/>
      <c r="AZ1701" s="101">
        <v>2</v>
      </c>
      <c r="BB1701" s="101"/>
      <c r="BD1701" s="101"/>
      <c r="BQ1701" s="159"/>
    </row>
    <row r="1702" spans="2:69" s="103" customFormat="1" ht="13.5">
      <c r="B1702" s="141" t="s">
        <v>2506</v>
      </c>
      <c r="D1702" s="101" t="s">
        <v>45</v>
      </c>
      <c r="E1702" s="102"/>
      <c r="F1702" s="101"/>
      <c r="G1702" s="101"/>
      <c r="H1702" s="101"/>
      <c r="J1702" s="101"/>
      <c r="K1702" s="101"/>
      <c r="L1702" s="102"/>
      <c r="M1702" s="102"/>
      <c r="N1702" s="101"/>
      <c r="O1702" s="102"/>
      <c r="R1702" s="101" t="s">
        <v>42</v>
      </c>
      <c r="S1702" s="101"/>
      <c r="T1702" s="101" t="s">
        <v>35</v>
      </c>
      <c r="U1702" s="101"/>
      <c r="V1702" s="101"/>
      <c r="W1702" s="101"/>
      <c r="X1702" s="101"/>
      <c r="Y1702" s="101"/>
      <c r="Z1702" s="101"/>
      <c r="AA1702" s="101"/>
      <c r="AB1702" s="101"/>
      <c r="AC1702" s="101"/>
      <c r="AD1702" s="101"/>
      <c r="AE1702" s="101"/>
      <c r="AF1702" s="101"/>
      <c r="AG1702" s="101"/>
      <c r="AH1702" s="101"/>
      <c r="AI1702" s="102"/>
      <c r="AJ1702" s="102"/>
      <c r="AK1702" s="102"/>
      <c r="AL1702" s="102"/>
      <c r="AM1702" s="102"/>
      <c r="AN1702" s="102"/>
      <c r="AO1702" s="102"/>
      <c r="AP1702" s="102"/>
      <c r="AQ1702" s="102"/>
      <c r="AR1702" s="102"/>
      <c r="AS1702" s="102"/>
      <c r="AT1702" s="102"/>
      <c r="AU1702" s="102"/>
      <c r="AV1702" s="102"/>
      <c r="AW1702" s="102"/>
      <c r="AX1702" s="102"/>
      <c r="AY1702" s="102"/>
      <c r="AZ1702" s="101"/>
      <c r="BB1702" s="101"/>
      <c r="BD1702" s="101"/>
      <c r="BQ1702" s="159"/>
    </row>
    <row r="1703" spans="2:69" s="103" customFormat="1" ht="13.5">
      <c r="B1703" s="141" t="s">
        <v>2507</v>
      </c>
      <c r="D1703" s="101" t="s">
        <v>45</v>
      </c>
      <c r="E1703" s="102"/>
      <c r="F1703" s="101"/>
      <c r="G1703" s="101"/>
      <c r="H1703" s="101"/>
      <c r="J1703" s="101"/>
      <c r="K1703" s="101"/>
      <c r="L1703" s="102"/>
      <c r="M1703" s="102"/>
      <c r="N1703" s="101"/>
      <c r="O1703" s="102"/>
      <c r="R1703" s="101" t="s">
        <v>42</v>
      </c>
      <c r="S1703" s="101"/>
      <c r="T1703" s="101" t="s">
        <v>35</v>
      </c>
      <c r="U1703" s="101"/>
      <c r="V1703" s="101"/>
      <c r="W1703" s="101"/>
      <c r="X1703" s="101"/>
      <c r="Y1703" s="101"/>
      <c r="Z1703" s="101"/>
      <c r="AA1703" s="101"/>
      <c r="AB1703" s="101"/>
      <c r="AC1703" s="101"/>
      <c r="AD1703" s="101"/>
      <c r="AE1703" s="101"/>
      <c r="AF1703" s="101"/>
      <c r="AG1703" s="101"/>
      <c r="AH1703" s="101"/>
      <c r="AI1703" s="102"/>
      <c r="AJ1703" s="102"/>
      <c r="AK1703" s="102"/>
      <c r="AL1703" s="102"/>
      <c r="AM1703" s="102"/>
      <c r="AN1703" s="102"/>
      <c r="AO1703" s="102"/>
      <c r="AP1703" s="102"/>
      <c r="AQ1703" s="102"/>
      <c r="AR1703" s="102"/>
      <c r="AS1703" s="102"/>
      <c r="AT1703" s="102"/>
      <c r="AU1703" s="102"/>
      <c r="AV1703" s="102"/>
      <c r="AW1703" s="102"/>
      <c r="AX1703" s="102"/>
      <c r="AY1703" s="102"/>
      <c r="AZ1703" s="101"/>
      <c r="BB1703" s="101"/>
      <c r="BD1703" s="101"/>
      <c r="BQ1703" s="159"/>
    </row>
    <row r="1704" spans="2:69" s="103" customFormat="1" ht="13.5">
      <c r="B1704" s="141" t="s">
        <v>2508</v>
      </c>
      <c r="D1704" s="101" t="s">
        <v>45</v>
      </c>
      <c r="E1704" s="102"/>
      <c r="F1704" s="101"/>
      <c r="G1704" s="101"/>
      <c r="H1704" s="101"/>
      <c r="J1704" s="101"/>
      <c r="K1704" s="101"/>
      <c r="L1704" s="102"/>
      <c r="M1704" s="102"/>
      <c r="N1704" s="101"/>
      <c r="O1704" s="102"/>
      <c r="R1704" s="101" t="s">
        <v>42</v>
      </c>
      <c r="S1704" s="101"/>
      <c r="T1704" s="101" t="s">
        <v>35</v>
      </c>
      <c r="U1704" s="101"/>
      <c r="V1704" s="101"/>
      <c r="W1704" s="101"/>
      <c r="X1704" s="101"/>
      <c r="Y1704" s="101"/>
      <c r="Z1704" s="101"/>
      <c r="AA1704" s="101"/>
      <c r="AB1704" s="101"/>
      <c r="AC1704" s="101"/>
      <c r="AD1704" s="101"/>
      <c r="AE1704" s="101"/>
      <c r="AF1704" s="101"/>
      <c r="AG1704" s="101"/>
      <c r="AH1704" s="101"/>
      <c r="AI1704" s="102"/>
      <c r="AJ1704" s="102"/>
      <c r="AK1704" s="102"/>
      <c r="AL1704" s="102"/>
      <c r="AM1704" s="102"/>
      <c r="AN1704" s="102"/>
      <c r="AO1704" s="102"/>
      <c r="AP1704" s="102"/>
      <c r="AQ1704" s="102"/>
      <c r="AR1704" s="102"/>
      <c r="AS1704" s="102"/>
      <c r="AT1704" s="102"/>
      <c r="AU1704" s="102"/>
      <c r="AV1704" s="102"/>
      <c r="AW1704" s="102"/>
      <c r="AX1704" s="102"/>
      <c r="AY1704" s="102"/>
      <c r="AZ1704" s="101"/>
      <c r="BB1704" s="101"/>
      <c r="BD1704" s="101"/>
      <c r="BQ1704" s="159"/>
    </row>
    <row r="1705" spans="2:69" s="103" customFormat="1" ht="13.5">
      <c r="B1705" s="141" t="s">
        <v>2509</v>
      </c>
      <c r="D1705" s="101" t="s">
        <v>45</v>
      </c>
      <c r="E1705" s="102"/>
      <c r="F1705" s="101"/>
      <c r="G1705" s="101"/>
      <c r="H1705" s="101"/>
      <c r="J1705" s="101"/>
      <c r="K1705" s="101"/>
      <c r="L1705" s="102"/>
      <c r="M1705" s="102"/>
      <c r="N1705" s="101"/>
      <c r="O1705" s="102"/>
      <c r="R1705" s="101" t="s">
        <v>42</v>
      </c>
      <c r="S1705" s="101"/>
      <c r="T1705" s="101" t="s">
        <v>35</v>
      </c>
      <c r="U1705" s="101"/>
      <c r="V1705" s="101"/>
      <c r="W1705" s="101"/>
      <c r="X1705" s="101"/>
      <c r="Y1705" s="101"/>
      <c r="Z1705" s="101"/>
      <c r="AA1705" s="101"/>
      <c r="AB1705" s="101"/>
      <c r="AC1705" s="101"/>
      <c r="AD1705" s="101"/>
      <c r="AE1705" s="101"/>
      <c r="AF1705" s="101"/>
      <c r="AG1705" s="101"/>
      <c r="AH1705" s="101"/>
      <c r="AI1705" s="102"/>
      <c r="AJ1705" s="102"/>
      <c r="AK1705" s="102"/>
      <c r="AL1705" s="102"/>
      <c r="AM1705" s="102"/>
      <c r="AN1705" s="102"/>
      <c r="AO1705" s="102"/>
      <c r="AP1705" s="102"/>
      <c r="AQ1705" s="102"/>
      <c r="AR1705" s="102"/>
      <c r="AS1705" s="102"/>
      <c r="AT1705" s="102"/>
      <c r="AU1705" s="102"/>
      <c r="AV1705" s="102"/>
      <c r="AW1705" s="102"/>
      <c r="AX1705" s="102"/>
      <c r="AY1705" s="102"/>
      <c r="AZ1705" s="101"/>
      <c r="BB1705" s="101"/>
      <c r="BD1705" s="101"/>
      <c r="BQ1705" s="159"/>
    </row>
    <row r="1706" spans="2:69" s="103" customFormat="1" ht="13.5">
      <c r="B1706" s="141" t="s">
        <v>2510</v>
      </c>
      <c r="D1706" s="101" t="s">
        <v>45</v>
      </c>
      <c r="E1706" s="102"/>
      <c r="F1706" s="101"/>
      <c r="G1706" s="101"/>
      <c r="H1706" s="101"/>
      <c r="J1706" s="101"/>
      <c r="K1706" s="101"/>
      <c r="L1706" s="102"/>
      <c r="M1706" s="102"/>
      <c r="N1706" s="101"/>
      <c r="O1706" s="102"/>
      <c r="R1706" s="101" t="s">
        <v>42</v>
      </c>
      <c r="S1706" s="101"/>
      <c r="T1706" s="101" t="s">
        <v>35</v>
      </c>
      <c r="U1706" s="101"/>
      <c r="V1706" s="101"/>
      <c r="W1706" s="101"/>
      <c r="X1706" s="101"/>
      <c r="Y1706" s="101"/>
      <c r="Z1706" s="101"/>
      <c r="AA1706" s="101"/>
      <c r="AB1706" s="101"/>
      <c r="AC1706" s="101"/>
      <c r="AD1706" s="101"/>
      <c r="AE1706" s="101"/>
      <c r="AF1706" s="101"/>
      <c r="AG1706" s="101"/>
      <c r="AH1706" s="101"/>
      <c r="AI1706" s="102"/>
      <c r="AJ1706" s="102"/>
      <c r="AK1706" s="102"/>
      <c r="AL1706" s="102"/>
      <c r="AM1706" s="102"/>
      <c r="AN1706" s="102"/>
      <c r="AO1706" s="102"/>
      <c r="AP1706" s="102"/>
      <c r="AQ1706" s="102"/>
      <c r="AR1706" s="102"/>
      <c r="AS1706" s="102"/>
      <c r="AT1706" s="102"/>
      <c r="AU1706" s="102"/>
      <c r="AV1706" s="102"/>
      <c r="AW1706" s="102"/>
      <c r="AX1706" s="102"/>
      <c r="AY1706" s="102"/>
      <c r="AZ1706" s="101"/>
      <c r="BB1706" s="101"/>
      <c r="BD1706" s="101"/>
      <c r="BQ1706" s="159"/>
    </row>
    <row r="1707" spans="2:69" s="103" customFormat="1" ht="13.5">
      <c r="B1707" s="141" t="s">
        <v>2511</v>
      </c>
      <c r="D1707" s="101" t="s">
        <v>45</v>
      </c>
      <c r="E1707" s="102"/>
      <c r="F1707" s="101"/>
      <c r="G1707" s="101"/>
      <c r="H1707" s="101"/>
      <c r="J1707" s="101"/>
      <c r="K1707" s="101"/>
      <c r="L1707" s="102"/>
      <c r="M1707" s="102"/>
      <c r="N1707" s="101"/>
      <c r="O1707" s="102"/>
      <c r="R1707" s="101" t="s">
        <v>42</v>
      </c>
      <c r="S1707" s="101"/>
      <c r="T1707" s="101" t="s">
        <v>35</v>
      </c>
      <c r="U1707" s="101"/>
      <c r="V1707" s="101"/>
      <c r="W1707" s="101"/>
      <c r="X1707" s="101"/>
      <c r="Y1707" s="101"/>
      <c r="Z1707" s="101"/>
      <c r="AA1707" s="101"/>
      <c r="AB1707" s="101"/>
      <c r="AC1707" s="101"/>
      <c r="AD1707" s="101"/>
      <c r="AE1707" s="101"/>
      <c r="AF1707" s="101"/>
      <c r="AG1707" s="101"/>
      <c r="AH1707" s="101"/>
      <c r="AI1707" s="102"/>
      <c r="AJ1707" s="102"/>
      <c r="AK1707" s="102"/>
      <c r="AL1707" s="102"/>
      <c r="AM1707" s="102"/>
      <c r="AN1707" s="102"/>
      <c r="AO1707" s="102"/>
      <c r="AP1707" s="102"/>
      <c r="AQ1707" s="102"/>
      <c r="AR1707" s="102"/>
      <c r="AS1707" s="102"/>
      <c r="AT1707" s="102"/>
      <c r="AU1707" s="102"/>
      <c r="AV1707" s="102"/>
      <c r="AW1707" s="102"/>
      <c r="AX1707" s="102"/>
      <c r="AY1707" s="102"/>
      <c r="AZ1707" s="101"/>
      <c r="BB1707" s="101"/>
      <c r="BD1707" s="101"/>
      <c r="BQ1707" s="159"/>
    </row>
    <row r="1708" spans="2:69" s="103" customFormat="1" ht="13.5">
      <c r="B1708" s="141" t="s">
        <v>2512</v>
      </c>
      <c r="D1708" s="101" t="s">
        <v>45</v>
      </c>
      <c r="E1708" s="102"/>
      <c r="F1708" s="101"/>
      <c r="G1708" s="101"/>
      <c r="H1708" s="101"/>
      <c r="J1708" s="101"/>
      <c r="K1708" s="101"/>
      <c r="L1708" s="102"/>
      <c r="M1708" s="102"/>
      <c r="N1708" s="101"/>
      <c r="O1708" s="102"/>
      <c r="R1708" s="101" t="s">
        <v>42</v>
      </c>
      <c r="S1708" s="101"/>
      <c r="T1708" s="101" t="s">
        <v>35</v>
      </c>
      <c r="U1708" s="101"/>
      <c r="V1708" s="101"/>
      <c r="W1708" s="101"/>
      <c r="X1708" s="101"/>
      <c r="Y1708" s="101"/>
      <c r="Z1708" s="101"/>
      <c r="AA1708" s="101"/>
      <c r="AB1708" s="101"/>
      <c r="AC1708" s="101"/>
      <c r="AD1708" s="101"/>
      <c r="AE1708" s="101"/>
      <c r="AF1708" s="101"/>
      <c r="AG1708" s="101"/>
      <c r="AH1708" s="101"/>
      <c r="AI1708" s="102"/>
      <c r="AJ1708" s="102"/>
      <c r="AK1708" s="102"/>
      <c r="AL1708" s="102"/>
      <c r="AM1708" s="102"/>
      <c r="AN1708" s="102"/>
      <c r="AO1708" s="102"/>
      <c r="AP1708" s="102"/>
      <c r="AQ1708" s="102"/>
      <c r="AR1708" s="102"/>
      <c r="AS1708" s="102"/>
      <c r="AT1708" s="102"/>
      <c r="AU1708" s="102"/>
      <c r="AV1708" s="102"/>
      <c r="AW1708" s="102"/>
      <c r="AX1708" s="102"/>
      <c r="AY1708" s="102"/>
      <c r="AZ1708" s="101"/>
      <c r="BB1708" s="101"/>
      <c r="BD1708" s="101"/>
      <c r="BQ1708" s="159"/>
    </row>
    <row r="1709" spans="2:69" s="103" customFormat="1" ht="13.5">
      <c r="B1709" s="141" t="s">
        <v>2513</v>
      </c>
      <c r="D1709" s="101" t="s">
        <v>45</v>
      </c>
      <c r="E1709" s="102"/>
      <c r="F1709" s="101"/>
      <c r="G1709" s="101"/>
      <c r="H1709" s="101"/>
      <c r="J1709" s="101"/>
      <c r="K1709" s="101"/>
      <c r="L1709" s="102"/>
      <c r="M1709" s="102"/>
      <c r="N1709" s="101"/>
      <c r="O1709" s="102"/>
      <c r="R1709" s="101" t="s">
        <v>42</v>
      </c>
      <c r="S1709" s="101"/>
      <c r="T1709" s="101" t="s">
        <v>35</v>
      </c>
      <c r="U1709" s="101"/>
      <c r="V1709" s="101"/>
      <c r="W1709" s="101"/>
      <c r="X1709" s="101"/>
      <c r="Y1709" s="101"/>
      <c r="Z1709" s="101"/>
      <c r="AA1709" s="101"/>
      <c r="AB1709" s="101"/>
      <c r="AC1709" s="101"/>
      <c r="AD1709" s="101"/>
      <c r="AE1709" s="101"/>
      <c r="AF1709" s="101"/>
      <c r="AG1709" s="101"/>
      <c r="AH1709" s="101"/>
      <c r="AI1709" s="102"/>
      <c r="AJ1709" s="102"/>
      <c r="AK1709" s="102"/>
      <c r="AL1709" s="102"/>
      <c r="AM1709" s="102"/>
      <c r="AN1709" s="102"/>
      <c r="AO1709" s="102"/>
      <c r="AP1709" s="102"/>
      <c r="AQ1709" s="102"/>
      <c r="AR1709" s="102"/>
      <c r="AS1709" s="102"/>
      <c r="AT1709" s="102"/>
      <c r="AU1709" s="102"/>
      <c r="AV1709" s="102"/>
      <c r="AW1709" s="102"/>
      <c r="AX1709" s="102"/>
      <c r="AY1709" s="102"/>
      <c r="AZ1709" s="101"/>
      <c r="BB1709" s="101"/>
      <c r="BD1709" s="101"/>
      <c r="BQ1709" s="159"/>
    </row>
    <row r="1710" spans="2:69" s="103" customFormat="1" ht="13.5">
      <c r="B1710" s="141" t="s">
        <v>2514</v>
      </c>
      <c r="D1710" s="101" t="s">
        <v>45</v>
      </c>
      <c r="E1710" s="102"/>
      <c r="F1710" s="101"/>
      <c r="G1710" s="101"/>
      <c r="H1710" s="101"/>
      <c r="J1710" s="101"/>
      <c r="K1710" s="101"/>
      <c r="L1710" s="102"/>
      <c r="M1710" s="102"/>
      <c r="N1710" s="101"/>
      <c r="O1710" s="102"/>
      <c r="R1710" s="101" t="s">
        <v>42</v>
      </c>
      <c r="S1710" s="101"/>
      <c r="T1710" s="101" t="s">
        <v>35</v>
      </c>
      <c r="U1710" s="101"/>
      <c r="V1710" s="101"/>
      <c r="W1710" s="101"/>
      <c r="X1710" s="101"/>
      <c r="Y1710" s="101"/>
      <c r="Z1710" s="101"/>
      <c r="AA1710" s="101"/>
      <c r="AB1710" s="101"/>
      <c r="AC1710" s="101"/>
      <c r="AD1710" s="101"/>
      <c r="AE1710" s="101"/>
      <c r="AF1710" s="101"/>
      <c r="AG1710" s="101"/>
      <c r="AH1710" s="101"/>
      <c r="AI1710" s="102"/>
      <c r="AJ1710" s="102"/>
      <c r="AK1710" s="102"/>
      <c r="AL1710" s="102"/>
      <c r="AM1710" s="102"/>
      <c r="AN1710" s="102"/>
      <c r="AO1710" s="102"/>
      <c r="AP1710" s="102"/>
      <c r="AQ1710" s="102"/>
      <c r="AR1710" s="102"/>
      <c r="AS1710" s="102"/>
      <c r="AT1710" s="102"/>
      <c r="AU1710" s="102"/>
      <c r="AV1710" s="102"/>
      <c r="AW1710" s="102"/>
      <c r="AX1710" s="102"/>
      <c r="AY1710" s="102"/>
      <c r="AZ1710" s="101"/>
      <c r="BB1710" s="101"/>
      <c r="BD1710" s="101"/>
      <c r="BQ1710" s="159"/>
    </row>
    <row r="1711" spans="2:69" s="103" customFormat="1" ht="13.5">
      <c r="B1711" s="141" t="s">
        <v>2515</v>
      </c>
      <c r="D1711" s="101" t="s">
        <v>45</v>
      </c>
      <c r="E1711" s="102"/>
      <c r="F1711" s="101"/>
      <c r="G1711" s="101"/>
      <c r="H1711" s="101"/>
      <c r="J1711" s="101"/>
      <c r="K1711" s="101"/>
      <c r="L1711" s="102"/>
      <c r="M1711" s="102"/>
      <c r="N1711" s="101"/>
      <c r="O1711" s="102"/>
      <c r="R1711" s="101" t="s">
        <v>42</v>
      </c>
      <c r="S1711" s="101"/>
      <c r="T1711" s="101" t="s">
        <v>35</v>
      </c>
      <c r="U1711" s="101"/>
      <c r="V1711" s="101"/>
      <c r="W1711" s="101"/>
      <c r="X1711" s="101"/>
      <c r="Y1711" s="101"/>
      <c r="Z1711" s="101"/>
      <c r="AA1711" s="101"/>
      <c r="AB1711" s="101"/>
      <c r="AC1711" s="101"/>
      <c r="AD1711" s="101"/>
      <c r="AE1711" s="101"/>
      <c r="AF1711" s="101"/>
      <c r="AG1711" s="101"/>
      <c r="AH1711" s="101"/>
      <c r="AI1711" s="102"/>
      <c r="AJ1711" s="102"/>
      <c r="AK1711" s="102"/>
      <c r="AL1711" s="102"/>
      <c r="AM1711" s="102"/>
      <c r="AN1711" s="102"/>
      <c r="AO1711" s="102"/>
      <c r="AP1711" s="102"/>
      <c r="AQ1711" s="102"/>
      <c r="AR1711" s="102"/>
      <c r="AS1711" s="102"/>
      <c r="AT1711" s="102"/>
      <c r="AU1711" s="102"/>
      <c r="AV1711" s="102"/>
      <c r="AW1711" s="102"/>
      <c r="AX1711" s="102"/>
      <c r="AY1711" s="102"/>
      <c r="AZ1711" s="101"/>
      <c r="BB1711" s="101"/>
      <c r="BD1711" s="101"/>
      <c r="BQ1711" s="159"/>
    </row>
    <row r="1712" spans="2:69" s="103" customFormat="1" ht="13.5">
      <c r="B1712" s="141" t="s">
        <v>2516</v>
      </c>
      <c r="D1712" s="101" t="s">
        <v>45</v>
      </c>
      <c r="E1712" s="102"/>
      <c r="F1712" s="101"/>
      <c r="G1712" s="101"/>
      <c r="H1712" s="101"/>
      <c r="J1712" s="101"/>
      <c r="K1712" s="101"/>
      <c r="L1712" s="102"/>
      <c r="M1712" s="102"/>
      <c r="N1712" s="101"/>
      <c r="O1712" s="102"/>
      <c r="R1712" s="101" t="s">
        <v>42</v>
      </c>
      <c r="S1712" s="101"/>
      <c r="T1712" s="101" t="s">
        <v>35</v>
      </c>
      <c r="U1712" s="101"/>
      <c r="V1712" s="101"/>
      <c r="W1712" s="101"/>
      <c r="X1712" s="101"/>
      <c r="Y1712" s="101"/>
      <c r="Z1712" s="101"/>
      <c r="AA1712" s="101"/>
      <c r="AB1712" s="101"/>
      <c r="AC1712" s="101"/>
      <c r="AD1712" s="101"/>
      <c r="AE1712" s="101"/>
      <c r="AF1712" s="101"/>
      <c r="AG1712" s="101"/>
      <c r="AH1712" s="101"/>
      <c r="AI1712" s="102"/>
      <c r="AJ1712" s="102"/>
      <c r="AK1712" s="102"/>
      <c r="AL1712" s="102"/>
      <c r="AM1712" s="102"/>
      <c r="AN1712" s="102"/>
      <c r="AO1712" s="102"/>
      <c r="AP1712" s="102"/>
      <c r="AQ1712" s="102"/>
      <c r="AR1712" s="102"/>
      <c r="AS1712" s="102"/>
      <c r="AT1712" s="102"/>
      <c r="AU1712" s="102"/>
      <c r="AV1712" s="102"/>
      <c r="AW1712" s="102"/>
      <c r="AX1712" s="102"/>
      <c r="AY1712" s="102"/>
      <c r="AZ1712" s="101"/>
      <c r="BB1712" s="101"/>
      <c r="BD1712" s="101"/>
      <c r="BQ1712" s="159"/>
    </row>
    <row r="1713" spans="2:69" s="103" customFormat="1">
      <c r="B1713" s="141" t="s">
        <v>2517</v>
      </c>
      <c r="D1713" s="101" t="s">
        <v>45</v>
      </c>
      <c r="E1713" s="102"/>
      <c r="F1713" s="101"/>
      <c r="G1713" s="101"/>
      <c r="H1713" s="101"/>
      <c r="J1713" s="101"/>
      <c r="K1713" s="101"/>
      <c r="L1713" s="102"/>
      <c r="M1713" s="102"/>
      <c r="N1713" s="101"/>
      <c r="O1713" s="102"/>
      <c r="R1713" s="101" t="s">
        <v>42</v>
      </c>
      <c r="S1713" s="101"/>
      <c r="T1713" s="101" t="s">
        <v>35</v>
      </c>
      <c r="U1713" s="101"/>
      <c r="V1713" s="101"/>
      <c r="W1713" s="101"/>
      <c r="X1713" s="101"/>
      <c r="Y1713" s="101"/>
      <c r="Z1713" s="101"/>
      <c r="AA1713" s="101"/>
      <c r="AB1713" s="101"/>
      <c r="AC1713" s="101"/>
      <c r="AD1713" s="101"/>
      <c r="AE1713" s="101"/>
      <c r="AF1713" s="101"/>
      <c r="AG1713" s="101"/>
      <c r="AH1713" s="101"/>
      <c r="AI1713" s="102"/>
      <c r="AJ1713" s="102"/>
      <c r="AK1713" s="102"/>
      <c r="AL1713" s="102"/>
      <c r="AM1713" s="102"/>
      <c r="AN1713" s="102"/>
      <c r="AO1713" s="102"/>
      <c r="AP1713" s="102"/>
      <c r="AQ1713" s="102"/>
      <c r="AR1713" s="102"/>
      <c r="AS1713" s="102"/>
      <c r="AT1713" s="102"/>
      <c r="AU1713" s="102"/>
      <c r="AV1713" s="102"/>
      <c r="AW1713" s="102"/>
      <c r="AX1713" s="102"/>
      <c r="AY1713" s="102"/>
      <c r="AZ1713" s="101"/>
      <c r="BB1713" s="101"/>
      <c r="BD1713" s="101"/>
      <c r="BQ1713" s="159"/>
    </row>
    <row r="1714" spans="2:69" s="103" customFormat="1" ht="13.5">
      <c r="B1714" s="141" t="s">
        <v>2518</v>
      </c>
      <c r="D1714" s="101" t="s">
        <v>45</v>
      </c>
      <c r="E1714" s="102"/>
      <c r="F1714" s="101"/>
      <c r="G1714" s="101"/>
      <c r="H1714" s="101"/>
      <c r="J1714" s="101"/>
      <c r="K1714" s="101"/>
      <c r="L1714" s="102"/>
      <c r="M1714" s="102"/>
      <c r="N1714" s="101"/>
      <c r="O1714" s="102"/>
      <c r="R1714" s="101" t="s">
        <v>42</v>
      </c>
      <c r="S1714" s="101"/>
      <c r="T1714" s="101" t="s">
        <v>35</v>
      </c>
      <c r="U1714" s="101"/>
      <c r="V1714" s="101"/>
      <c r="W1714" s="101"/>
      <c r="X1714" s="101"/>
      <c r="Y1714" s="101"/>
      <c r="Z1714" s="101"/>
      <c r="AA1714" s="101"/>
      <c r="AB1714" s="101"/>
      <c r="AC1714" s="101"/>
      <c r="AD1714" s="101"/>
      <c r="AE1714" s="101"/>
      <c r="AF1714" s="101"/>
      <c r="AG1714" s="101"/>
      <c r="AH1714" s="101"/>
      <c r="AI1714" s="102"/>
      <c r="AJ1714" s="102"/>
      <c r="AK1714" s="102"/>
      <c r="AL1714" s="102"/>
      <c r="AM1714" s="102"/>
      <c r="AN1714" s="102"/>
      <c r="AO1714" s="102"/>
      <c r="AP1714" s="102"/>
      <c r="AQ1714" s="102"/>
      <c r="AR1714" s="102"/>
      <c r="AS1714" s="102"/>
      <c r="AT1714" s="102"/>
      <c r="AU1714" s="102"/>
      <c r="AV1714" s="102"/>
      <c r="AW1714" s="102"/>
      <c r="AX1714" s="102"/>
      <c r="AY1714" s="102"/>
      <c r="AZ1714" s="101"/>
      <c r="BB1714" s="101"/>
      <c r="BD1714" s="101"/>
      <c r="BQ1714" s="159"/>
    </row>
    <row r="1715" spans="2:69" s="103" customFormat="1" ht="13.5">
      <c r="B1715" s="141" t="s">
        <v>2519</v>
      </c>
      <c r="D1715" s="101" t="s">
        <v>45</v>
      </c>
      <c r="E1715" s="102"/>
      <c r="F1715" s="101"/>
      <c r="G1715" s="101"/>
      <c r="H1715" s="101"/>
      <c r="J1715" s="101"/>
      <c r="K1715" s="101"/>
      <c r="L1715" s="102"/>
      <c r="M1715" s="102"/>
      <c r="N1715" s="101"/>
      <c r="O1715" s="102"/>
      <c r="R1715" s="101" t="s">
        <v>42</v>
      </c>
      <c r="S1715" s="101"/>
      <c r="T1715" s="101" t="s">
        <v>35</v>
      </c>
      <c r="U1715" s="101"/>
      <c r="V1715" s="101"/>
      <c r="W1715" s="101"/>
      <c r="X1715" s="101"/>
      <c r="Y1715" s="101"/>
      <c r="Z1715" s="101"/>
      <c r="AA1715" s="101"/>
      <c r="AB1715" s="101"/>
      <c r="AC1715" s="101"/>
      <c r="AD1715" s="101"/>
      <c r="AE1715" s="101"/>
      <c r="AF1715" s="101"/>
      <c r="AG1715" s="101"/>
      <c r="AH1715" s="101"/>
      <c r="AI1715" s="102"/>
      <c r="AJ1715" s="102"/>
      <c r="AK1715" s="102"/>
      <c r="AL1715" s="102"/>
      <c r="AM1715" s="102"/>
      <c r="AN1715" s="102"/>
      <c r="AO1715" s="102"/>
      <c r="AP1715" s="102"/>
      <c r="AQ1715" s="102"/>
      <c r="AR1715" s="102"/>
      <c r="AS1715" s="102"/>
      <c r="AT1715" s="102"/>
      <c r="AU1715" s="102"/>
      <c r="AV1715" s="102"/>
      <c r="AW1715" s="102"/>
      <c r="AX1715" s="102"/>
      <c r="AY1715" s="102"/>
      <c r="AZ1715" s="101"/>
      <c r="BB1715" s="101"/>
      <c r="BD1715" s="101"/>
      <c r="BQ1715" s="159"/>
    </row>
    <row r="1716" spans="2:69" s="103" customFormat="1" ht="13.5">
      <c r="B1716" s="141" t="s">
        <v>2520</v>
      </c>
      <c r="D1716" s="101" t="s">
        <v>45</v>
      </c>
      <c r="E1716" s="102"/>
      <c r="F1716" s="101"/>
      <c r="G1716" s="101"/>
      <c r="H1716" s="101"/>
      <c r="J1716" s="101"/>
      <c r="K1716" s="101"/>
      <c r="L1716" s="102"/>
      <c r="M1716" s="102"/>
      <c r="N1716" s="101"/>
      <c r="O1716" s="102"/>
      <c r="R1716" s="101" t="s">
        <v>42</v>
      </c>
      <c r="S1716" s="101"/>
      <c r="T1716" s="101" t="s">
        <v>35</v>
      </c>
      <c r="U1716" s="101"/>
      <c r="V1716" s="101"/>
      <c r="W1716" s="101"/>
      <c r="X1716" s="101"/>
      <c r="Y1716" s="101"/>
      <c r="Z1716" s="101"/>
      <c r="AA1716" s="101"/>
      <c r="AB1716" s="101"/>
      <c r="AC1716" s="101"/>
      <c r="AD1716" s="101"/>
      <c r="AE1716" s="101"/>
      <c r="AF1716" s="101"/>
      <c r="AG1716" s="101"/>
      <c r="AH1716" s="101"/>
      <c r="AI1716" s="102"/>
      <c r="AJ1716" s="102"/>
      <c r="AK1716" s="102"/>
      <c r="AL1716" s="102"/>
      <c r="AM1716" s="102"/>
      <c r="AN1716" s="102"/>
      <c r="AO1716" s="102"/>
      <c r="AP1716" s="102"/>
      <c r="AQ1716" s="102"/>
      <c r="AR1716" s="102"/>
      <c r="AS1716" s="102"/>
      <c r="AT1716" s="102"/>
      <c r="AU1716" s="102"/>
      <c r="AV1716" s="102"/>
      <c r="AW1716" s="102"/>
      <c r="AX1716" s="102"/>
      <c r="AY1716" s="102"/>
      <c r="AZ1716" s="101"/>
      <c r="BB1716" s="101"/>
      <c r="BD1716" s="101"/>
      <c r="BQ1716" s="159"/>
    </row>
    <row r="1717" spans="2:69" s="103" customFormat="1" ht="13.5">
      <c r="B1717" s="141" t="s">
        <v>2521</v>
      </c>
      <c r="D1717" s="101" t="s">
        <v>45</v>
      </c>
      <c r="E1717" s="102"/>
      <c r="F1717" s="101"/>
      <c r="G1717" s="101"/>
      <c r="H1717" s="101"/>
      <c r="J1717" s="101"/>
      <c r="K1717" s="101"/>
      <c r="L1717" s="102"/>
      <c r="M1717" s="102"/>
      <c r="N1717" s="101"/>
      <c r="O1717" s="102"/>
      <c r="R1717" s="101" t="s">
        <v>42</v>
      </c>
      <c r="S1717" s="101"/>
      <c r="T1717" s="101" t="s">
        <v>35</v>
      </c>
      <c r="U1717" s="101"/>
      <c r="V1717" s="101"/>
      <c r="W1717" s="101"/>
      <c r="X1717" s="101"/>
      <c r="Y1717" s="101"/>
      <c r="Z1717" s="101"/>
      <c r="AA1717" s="101"/>
      <c r="AB1717" s="101"/>
      <c r="AC1717" s="101"/>
      <c r="AD1717" s="101"/>
      <c r="AE1717" s="101"/>
      <c r="AF1717" s="101"/>
      <c r="AG1717" s="101"/>
      <c r="AH1717" s="101"/>
      <c r="AI1717" s="102"/>
      <c r="AJ1717" s="102"/>
      <c r="AK1717" s="102"/>
      <c r="AL1717" s="102"/>
      <c r="AM1717" s="102"/>
      <c r="AN1717" s="102"/>
      <c r="AO1717" s="102"/>
      <c r="AP1717" s="102"/>
      <c r="AQ1717" s="102"/>
      <c r="AR1717" s="102"/>
      <c r="AS1717" s="102"/>
      <c r="AT1717" s="102"/>
      <c r="AU1717" s="102"/>
      <c r="AV1717" s="102"/>
      <c r="AW1717" s="102"/>
      <c r="AX1717" s="102"/>
      <c r="AY1717" s="102"/>
      <c r="AZ1717" s="101"/>
      <c r="BB1717" s="101"/>
      <c r="BD1717" s="101"/>
      <c r="BQ1717" s="159"/>
    </row>
    <row r="1718" spans="2:69" s="103" customFormat="1" ht="13.5">
      <c r="B1718" s="141" t="s">
        <v>2522</v>
      </c>
      <c r="D1718" s="101" t="s">
        <v>45</v>
      </c>
      <c r="E1718" s="102"/>
      <c r="F1718" s="101"/>
      <c r="G1718" s="101"/>
      <c r="H1718" s="101"/>
      <c r="J1718" s="101"/>
      <c r="K1718" s="101"/>
      <c r="L1718" s="102"/>
      <c r="M1718" s="102"/>
      <c r="N1718" s="101"/>
      <c r="O1718" s="102"/>
      <c r="R1718" s="101" t="s">
        <v>42</v>
      </c>
      <c r="S1718" s="101"/>
      <c r="T1718" s="101" t="s">
        <v>35</v>
      </c>
      <c r="U1718" s="101"/>
      <c r="V1718" s="101"/>
      <c r="W1718" s="101"/>
      <c r="X1718" s="101"/>
      <c r="Y1718" s="101"/>
      <c r="Z1718" s="101"/>
      <c r="AA1718" s="101"/>
      <c r="AB1718" s="101"/>
      <c r="AC1718" s="101"/>
      <c r="AD1718" s="101"/>
      <c r="AE1718" s="101"/>
      <c r="AF1718" s="101"/>
      <c r="AG1718" s="101"/>
      <c r="AH1718" s="101"/>
      <c r="AI1718" s="102"/>
      <c r="AJ1718" s="102"/>
      <c r="AK1718" s="102"/>
      <c r="AL1718" s="102"/>
      <c r="AM1718" s="102"/>
      <c r="AN1718" s="102"/>
      <c r="AO1718" s="102"/>
      <c r="AP1718" s="102"/>
      <c r="AQ1718" s="102"/>
      <c r="AR1718" s="102"/>
      <c r="AS1718" s="102"/>
      <c r="AT1718" s="102"/>
      <c r="AU1718" s="102"/>
      <c r="AV1718" s="102"/>
      <c r="AW1718" s="102"/>
      <c r="AX1718" s="102"/>
      <c r="AY1718" s="102"/>
      <c r="AZ1718" s="101"/>
      <c r="BB1718" s="101"/>
      <c r="BD1718" s="101"/>
      <c r="BQ1718" s="159"/>
    </row>
    <row r="1719" spans="2:69" s="103" customFormat="1" ht="13.5">
      <c r="B1719" s="141" t="s">
        <v>2523</v>
      </c>
      <c r="D1719" s="101" t="s">
        <v>45</v>
      </c>
      <c r="E1719" s="102"/>
      <c r="F1719" s="101"/>
      <c r="G1719" s="101"/>
      <c r="H1719" s="101"/>
      <c r="J1719" s="101"/>
      <c r="K1719" s="101"/>
      <c r="L1719" s="102"/>
      <c r="M1719" s="102"/>
      <c r="N1719" s="101"/>
      <c r="O1719" s="102"/>
      <c r="R1719" s="101" t="s">
        <v>42</v>
      </c>
      <c r="S1719" s="101"/>
      <c r="T1719" s="101" t="s">
        <v>35</v>
      </c>
      <c r="U1719" s="101"/>
      <c r="V1719" s="101"/>
      <c r="W1719" s="101"/>
      <c r="X1719" s="101"/>
      <c r="Y1719" s="101"/>
      <c r="Z1719" s="101"/>
      <c r="AA1719" s="101"/>
      <c r="AB1719" s="101"/>
      <c r="AC1719" s="101"/>
      <c r="AD1719" s="101"/>
      <c r="AE1719" s="101"/>
      <c r="AF1719" s="101"/>
      <c r="AG1719" s="101"/>
      <c r="AH1719" s="101"/>
      <c r="AI1719" s="102"/>
      <c r="AJ1719" s="102"/>
      <c r="AK1719" s="102"/>
      <c r="AL1719" s="102"/>
      <c r="AM1719" s="102"/>
      <c r="AN1719" s="102"/>
      <c r="AO1719" s="102"/>
      <c r="AP1719" s="102"/>
      <c r="AQ1719" s="102"/>
      <c r="AR1719" s="102"/>
      <c r="AS1719" s="102"/>
      <c r="AT1719" s="102"/>
      <c r="AU1719" s="102"/>
      <c r="AV1719" s="102"/>
      <c r="AW1719" s="102"/>
      <c r="AX1719" s="102"/>
      <c r="AY1719" s="102"/>
      <c r="AZ1719" s="101"/>
      <c r="BB1719" s="101"/>
      <c r="BD1719" s="101"/>
      <c r="BQ1719" s="159"/>
    </row>
    <row r="1720" spans="2:69" s="103" customFormat="1" ht="13.5">
      <c r="B1720" s="141" t="s">
        <v>2524</v>
      </c>
      <c r="D1720" s="101" t="s">
        <v>45</v>
      </c>
      <c r="E1720" s="102"/>
      <c r="F1720" s="101"/>
      <c r="G1720" s="101"/>
      <c r="H1720" s="101"/>
      <c r="J1720" s="101"/>
      <c r="K1720" s="101"/>
      <c r="L1720" s="102"/>
      <c r="M1720" s="102"/>
      <c r="N1720" s="101"/>
      <c r="O1720" s="102"/>
      <c r="R1720" s="101" t="s">
        <v>42</v>
      </c>
      <c r="S1720" s="101"/>
      <c r="T1720" s="101" t="s">
        <v>35</v>
      </c>
      <c r="U1720" s="101"/>
      <c r="V1720" s="101"/>
      <c r="W1720" s="101"/>
      <c r="X1720" s="101"/>
      <c r="Y1720" s="101"/>
      <c r="Z1720" s="101"/>
      <c r="AA1720" s="101"/>
      <c r="AB1720" s="101"/>
      <c r="AC1720" s="101"/>
      <c r="AD1720" s="101"/>
      <c r="AE1720" s="101"/>
      <c r="AF1720" s="101"/>
      <c r="AG1720" s="101"/>
      <c r="AH1720" s="101"/>
      <c r="AI1720" s="102"/>
      <c r="AJ1720" s="102"/>
      <c r="AK1720" s="102"/>
      <c r="AL1720" s="102"/>
      <c r="AM1720" s="102"/>
      <c r="AN1720" s="102"/>
      <c r="AO1720" s="102"/>
      <c r="AP1720" s="102"/>
      <c r="AQ1720" s="102"/>
      <c r="AR1720" s="102"/>
      <c r="AS1720" s="102"/>
      <c r="AT1720" s="102"/>
      <c r="AU1720" s="102"/>
      <c r="AV1720" s="102"/>
      <c r="AW1720" s="102"/>
      <c r="AX1720" s="102"/>
      <c r="AY1720" s="102"/>
      <c r="AZ1720" s="101"/>
      <c r="BB1720" s="101"/>
      <c r="BD1720" s="101"/>
      <c r="BQ1720" s="159"/>
    </row>
    <row r="1721" spans="2:69" s="103" customFormat="1" ht="13.5">
      <c r="B1721" s="141" t="s">
        <v>2525</v>
      </c>
      <c r="D1721" s="101" t="s">
        <v>45</v>
      </c>
      <c r="E1721" s="102"/>
      <c r="F1721" s="101"/>
      <c r="G1721" s="101"/>
      <c r="H1721" s="101"/>
      <c r="J1721" s="101"/>
      <c r="K1721" s="101"/>
      <c r="L1721" s="102"/>
      <c r="M1721" s="102"/>
      <c r="N1721" s="101"/>
      <c r="O1721" s="102"/>
      <c r="R1721" s="101" t="s">
        <v>42</v>
      </c>
      <c r="S1721" s="101"/>
      <c r="T1721" s="101" t="s">
        <v>35</v>
      </c>
      <c r="U1721" s="101"/>
      <c r="V1721" s="101"/>
      <c r="W1721" s="101"/>
      <c r="X1721" s="101"/>
      <c r="Y1721" s="101"/>
      <c r="Z1721" s="101"/>
      <c r="AA1721" s="101"/>
      <c r="AB1721" s="101"/>
      <c r="AC1721" s="101"/>
      <c r="AD1721" s="101"/>
      <c r="AE1721" s="101"/>
      <c r="AF1721" s="101"/>
      <c r="AG1721" s="101"/>
      <c r="AH1721" s="101"/>
      <c r="AI1721" s="102"/>
      <c r="AJ1721" s="102"/>
      <c r="AK1721" s="102"/>
      <c r="AL1721" s="102"/>
      <c r="AM1721" s="102"/>
      <c r="AN1721" s="102"/>
      <c r="AO1721" s="102"/>
      <c r="AP1721" s="102"/>
      <c r="AQ1721" s="102"/>
      <c r="AR1721" s="102"/>
      <c r="AS1721" s="102"/>
      <c r="AT1721" s="102"/>
      <c r="AU1721" s="102"/>
      <c r="AV1721" s="102"/>
      <c r="AW1721" s="102"/>
      <c r="AX1721" s="102"/>
      <c r="AY1721" s="102"/>
      <c r="AZ1721" s="101"/>
      <c r="BB1721" s="101"/>
      <c r="BD1721" s="101"/>
      <c r="BQ1721" s="159"/>
    </row>
    <row r="1722" spans="2:69" s="103" customFormat="1" ht="13.5">
      <c r="B1722" s="141" t="s">
        <v>2526</v>
      </c>
      <c r="D1722" s="101" t="s">
        <v>45</v>
      </c>
      <c r="E1722" s="102"/>
      <c r="F1722" s="101"/>
      <c r="G1722" s="101"/>
      <c r="H1722" s="101"/>
      <c r="J1722" s="101"/>
      <c r="K1722" s="101"/>
      <c r="L1722" s="102"/>
      <c r="M1722" s="102"/>
      <c r="N1722" s="101"/>
      <c r="O1722" s="102"/>
      <c r="R1722" s="101" t="s">
        <v>42</v>
      </c>
      <c r="S1722" s="101"/>
      <c r="T1722" s="101" t="s">
        <v>35</v>
      </c>
      <c r="U1722" s="101"/>
      <c r="V1722" s="101"/>
      <c r="W1722" s="101"/>
      <c r="X1722" s="101"/>
      <c r="Y1722" s="101"/>
      <c r="Z1722" s="101"/>
      <c r="AA1722" s="101"/>
      <c r="AB1722" s="101"/>
      <c r="AC1722" s="101"/>
      <c r="AD1722" s="101"/>
      <c r="AE1722" s="101"/>
      <c r="AF1722" s="101"/>
      <c r="AG1722" s="101"/>
      <c r="AH1722" s="101"/>
      <c r="AI1722" s="102"/>
      <c r="AJ1722" s="102"/>
      <c r="AK1722" s="102"/>
      <c r="AL1722" s="102"/>
      <c r="AM1722" s="102"/>
      <c r="AN1722" s="102"/>
      <c r="AO1722" s="102"/>
      <c r="AP1722" s="102"/>
      <c r="AQ1722" s="102"/>
      <c r="AR1722" s="102"/>
      <c r="AS1722" s="102"/>
      <c r="AT1722" s="102"/>
      <c r="AU1722" s="102"/>
      <c r="AV1722" s="102"/>
      <c r="AW1722" s="102"/>
      <c r="AX1722" s="102"/>
      <c r="AY1722" s="102"/>
      <c r="AZ1722" s="101"/>
      <c r="BB1722" s="101"/>
      <c r="BD1722" s="101"/>
      <c r="BQ1722" s="159"/>
    </row>
    <row r="1723" spans="2:69" s="103" customFormat="1" ht="13.5">
      <c r="B1723" s="141"/>
      <c r="D1723" s="101" t="s">
        <v>45</v>
      </c>
      <c r="F1723" s="101"/>
      <c r="G1723" s="101"/>
      <c r="H1723" s="101"/>
      <c r="J1723" s="101"/>
      <c r="K1723" s="101"/>
      <c r="N1723" s="101"/>
      <c r="R1723" s="101" t="s">
        <v>42</v>
      </c>
      <c r="S1723" s="101"/>
      <c r="T1723" s="101" t="s">
        <v>35</v>
      </c>
      <c r="U1723" s="101"/>
      <c r="V1723" s="101"/>
      <c r="W1723" s="101"/>
      <c r="X1723" s="101"/>
      <c r="Y1723" s="101"/>
      <c r="Z1723" s="101"/>
      <c r="AA1723" s="101"/>
      <c r="AB1723" s="101"/>
      <c r="AC1723" s="101"/>
      <c r="AD1723" s="101"/>
      <c r="AE1723" s="101"/>
      <c r="AF1723" s="101"/>
      <c r="AG1723" s="101"/>
      <c r="AH1723" s="101"/>
      <c r="AZ1723" s="101"/>
      <c r="BB1723" s="101"/>
      <c r="BD1723" s="101"/>
      <c r="BQ1723" s="159"/>
    </row>
    <row r="1724" spans="2:69" s="103" customFormat="1" ht="13.5">
      <c r="B1724" s="141" t="s">
        <v>2527</v>
      </c>
      <c r="D1724" s="101" t="s">
        <v>1532</v>
      </c>
      <c r="E1724" s="102"/>
      <c r="F1724" s="101"/>
      <c r="G1724" s="101"/>
      <c r="H1724" s="101"/>
      <c r="J1724" s="101"/>
      <c r="K1724" s="101"/>
      <c r="L1724" s="102"/>
      <c r="M1724" s="102"/>
      <c r="N1724" s="101"/>
      <c r="O1724" s="102"/>
      <c r="R1724" s="101" t="s">
        <v>48</v>
      </c>
      <c r="S1724" s="101"/>
      <c r="T1724" s="101" t="s">
        <v>47</v>
      </c>
      <c r="U1724" s="101"/>
      <c r="V1724" s="101"/>
      <c r="W1724" s="101"/>
      <c r="X1724" s="101"/>
      <c r="Y1724" s="101"/>
      <c r="Z1724" s="101"/>
      <c r="AA1724" s="101"/>
      <c r="AB1724" s="101"/>
      <c r="AC1724" s="101"/>
      <c r="AD1724" s="101"/>
      <c r="AE1724" s="101"/>
      <c r="AF1724" s="101"/>
      <c r="AG1724" s="101"/>
      <c r="AH1724" s="101"/>
      <c r="AI1724" s="102"/>
      <c r="AJ1724" s="102"/>
      <c r="AK1724" s="102"/>
      <c r="AL1724" s="102"/>
      <c r="AM1724" s="102"/>
      <c r="AN1724" s="102"/>
      <c r="AO1724" s="102"/>
      <c r="AP1724" s="102"/>
      <c r="AQ1724" s="102"/>
      <c r="AR1724" s="102"/>
      <c r="AS1724" s="102"/>
      <c r="AT1724" s="102"/>
      <c r="AU1724" s="102"/>
      <c r="AV1724" s="102"/>
      <c r="AW1724" s="102"/>
      <c r="AX1724" s="102"/>
      <c r="AY1724" s="102"/>
      <c r="AZ1724" s="101"/>
      <c r="BB1724" s="101"/>
      <c r="BD1724" s="101"/>
      <c r="BQ1724" s="159"/>
    </row>
    <row r="1725" spans="2:69" s="103" customFormat="1" ht="13.5">
      <c r="B1725" s="141" t="s">
        <v>2528</v>
      </c>
      <c r="D1725" s="101" t="s">
        <v>1532</v>
      </c>
      <c r="E1725" s="102"/>
      <c r="F1725" s="101"/>
      <c r="G1725" s="101"/>
      <c r="H1725" s="101"/>
      <c r="J1725" s="101"/>
      <c r="K1725" s="101"/>
      <c r="L1725" s="102"/>
      <c r="M1725" s="102"/>
      <c r="N1725" s="101"/>
      <c r="O1725" s="102"/>
      <c r="R1725" s="101" t="s">
        <v>49</v>
      </c>
      <c r="S1725" s="101"/>
      <c r="T1725" s="101" t="s">
        <v>47</v>
      </c>
      <c r="U1725" s="101"/>
      <c r="V1725" s="101"/>
      <c r="W1725" s="101"/>
      <c r="X1725" s="101"/>
      <c r="Y1725" s="101"/>
      <c r="Z1725" s="101"/>
      <c r="AA1725" s="101"/>
      <c r="AB1725" s="101"/>
      <c r="AC1725" s="101"/>
      <c r="AD1725" s="101"/>
      <c r="AE1725" s="101"/>
      <c r="AF1725" s="101"/>
      <c r="AG1725" s="101"/>
      <c r="AH1725" s="101"/>
      <c r="AI1725" s="102"/>
      <c r="AJ1725" s="102"/>
      <c r="AK1725" s="102"/>
      <c r="AL1725" s="102"/>
      <c r="AM1725" s="102"/>
      <c r="AN1725" s="102"/>
      <c r="AO1725" s="102"/>
      <c r="AP1725" s="102"/>
      <c r="AQ1725" s="102"/>
      <c r="AR1725" s="102"/>
      <c r="AS1725" s="102"/>
      <c r="AT1725" s="102"/>
      <c r="AU1725" s="102"/>
      <c r="AV1725" s="102"/>
      <c r="AW1725" s="102"/>
      <c r="AX1725" s="102"/>
      <c r="AY1725" s="102"/>
      <c r="AZ1725" s="101"/>
      <c r="BB1725" s="101"/>
      <c r="BD1725" s="101"/>
      <c r="BQ1725" s="159"/>
    </row>
    <row r="1726" spans="2:69" s="103" customFormat="1" ht="13.5">
      <c r="B1726" s="141" t="s">
        <v>2529</v>
      </c>
      <c r="D1726" s="101" t="s">
        <v>1532</v>
      </c>
      <c r="E1726" s="102"/>
      <c r="F1726" s="101"/>
      <c r="G1726" s="101"/>
      <c r="H1726" s="101"/>
      <c r="J1726" s="101"/>
      <c r="K1726" s="101"/>
      <c r="L1726" s="102"/>
      <c r="M1726" s="102"/>
      <c r="N1726" s="101"/>
      <c r="O1726" s="102"/>
      <c r="R1726" s="101" t="s">
        <v>49</v>
      </c>
      <c r="S1726" s="101"/>
      <c r="T1726" s="101" t="s">
        <v>47</v>
      </c>
      <c r="U1726" s="101"/>
      <c r="V1726" s="101"/>
      <c r="W1726" s="101"/>
      <c r="X1726" s="101"/>
      <c r="Y1726" s="101"/>
      <c r="Z1726" s="101"/>
      <c r="AA1726" s="101"/>
      <c r="AB1726" s="101"/>
      <c r="AC1726" s="101"/>
      <c r="AD1726" s="101"/>
      <c r="AE1726" s="101"/>
      <c r="AF1726" s="101"/>
      <c r="AG1726" s="101"/>
      <c r="AH1726" s="101"/>
      <c r="AI1726" s="102"/>
      <c r="AJ1726" s="102"/>
      <c r="AK1726" s="102"/>
      <c r="AL1726" s="102"/>
      <c r="AM1726" s="102"/>
      <c r="AN1726" s="102"/>
      <c r="AO1726" s="102"/>
      <c r="AP1726" s="102"/>
      <c r="AQ1726" s="102"/>
      <c r="AR1726" s="102"/>
      <c r="AS1726" s="102"/>
      <c r="AT1726" s="102"/>
      <c r="AU1726" s="102"/>
      <c r="AV1726" s="102"/>
      <c r="AW1726" s="102"/>
      <c r="AX1726" s="102"/>
      <c r="AY1726" s="102"/>
      <c r="AZ1726" s="101"/>
      <c r="BB1726" s="101"/>
      <c r="BD1726" s="101"/>
      <c r="BQ1726" s="159"/>
    </row>
    <row r="1727" spans="2:69" s="103" customFormat="1" ht="13.5">
      <c r="B1727" s="141" t="s">
        <v>2530</v>
      </c>
      <c r="D1727" s="101" t="s">
        <v>1532</v>
      </c>
      <c r="E1727" s="102"/>
      <c r="F1727" s="101"/>
      <c r="G1727" s="101"/>
      <c r="H1727" s="101"/>
      <c r="J1727" s="101"/>
      <c r="K1727" s="101"/>
      <c r="L1727" s="102"/>
      <c r="M1727" s="102"/>
      <c r="N1727" s="101"/>
      <c r="O1727" s="102"/>
      <c r="R1727" s="101" t="s">
        <v>48</v>
      </c>
      <c r="S1727" s="101"/>
      <c r="T1727" s="101" t="s">
        <v>47</v>
      </c>
      <c r="U1727" s="101"/>
      <c r="V1727" s="101"/>
      <c r="W1727" s="101"/>
      <c r="X1727" s="101"/>
      <c r="Y1727" s="101"/>
      <c r="Z1727" s="101"/>
      <c r="AA1727" s="101"/>
      <c r="AB1727" s="101"/>
      <c r="AC1727" s="101"/>
      <c r="AD1727" s="101"/>
      <c r="AE1727" s="101"/>
      <c r="AF1727" s="101"/>
      <c r="AG1727" s="101"/>
      <c r="AH1727" s="101"/>
      <c r="AI1727" s="102"/>
      <c r="AJ1727" s="102"/>
      <c r="AK1727" s="102"/>
      <c r="AL1727" s="102"/>
      <c r="AM1727" s="102"/>
      <c r="AN1727" s="102"/>
      <c r="AO1727" s="102"/>
      <c r="AP1727" s="102"/>
      <c r="AQ1727" s="102"/>
      <c r="AR1727" s="102"/>
      <c r="AS1727" s="102"/>
      <c r="AT1727" s="102"/>
      <c r="AU1727" s="102"/>
      <c r="AV1727" s="102"/>
      <c r="AW1727" s="102"/>
      <c r="AX1727" s="102"/>
      <c r="AY1727" s="102"/>
      <c r="AZ1727" s="101"/>
      <c r="BB1727" s="101"/>
      <c r="BD1727" s="101"/>
      <c r="BQ1727" s="159"/>
    </row>
    <row r="1728" spans="2:69" s="103" customFormat="1" ht="13.5">
      <c r="B1728" s="141" t="s">
        <v>2531</v>
      </c>
      <c r="D1728" s="101" t="s">
        <v>1532</v>
      </c>
      <c r="E1728" s="102"/>
      <c r="F1728" s="101"/>
      <c r="G1728" s="101"/>
      <c r="H1728" s="101"/>
      <c r="J1728" s="101"/>
      <c r="K1728" s="101"/>
      <c r="L1728" s="102"/>
      <c r="M1728" s="102"/>
      <c r="N1728" s="101"/>
      <c r="O1728" s="102"/>
      <c r="R1728" s="101" t="s">
        <v>48</v>
      </c>
      <c r="S1728" s="101"/>
      <c r="T1728" s="101" t="s">
        <v>47</v>
      </c>
      <c r="U1728" s="101"/>
      <c r="V1728" s="101"/>
      <c r="W1728" s="101"/>
      <c r="X1728" s="101"/>
      <c r="Y1728" s="101"/>
      <c r="Z1728" s="101"/>
      <c r="AA1728" s="101"/>
      <c r="AB1728" s="101"/>
      <c r="AC1728" s="101"/>
      <c r="AD1728" s="101"/>
      <c r="AE1728" s="101"/>
      <c r="AF1728" s="101"/>
      <c r="AG1728" s="101"/>
      <c r="AH1728" s="101"/>
      <c r="AI1728" s="102"/>
      <c r="AJ1728" s="102"/>
      <c r="AK1728" s="102"/>
      <c r="AL1728" s="102"/>
      <c r="AM1728" s="102"/>
      <c r="AN1728" s="102"/>
      <c r="AO1728" s="102"/>
      <c r="AP1728" s="102"/>
      <c r="AQ1728" s="102"/>
      <c r="AR1728" s="102"/>
      <c r="AS1728" s="102"/>
      <c r="AT1728" s="102"/>
      <c r="AU1728" s="102"/>
      <c r="AV1728" s="102"/>
      <c r="AW1728" s="102"/>
      <c r="AX1728" s="102"/>
      <c r="AY1728" s="102"/>
      <c r="AZ1728" s="101"/>
      <c r="BB1728" s="101"/>
      <c r="BD1728" s="101"/>
      <c r="BQ1728" s="159"/>
    </row>
    <row r="1729" spans="2:69" s="103" customFormat="1" ht="13.5">
      <c r="B1729" s="141" t="s">
        <v>2532</v>
      </c>
      <c r="D1729" s="101" t="s">
        <v>1532</v>
      </c>
      <c r="E1729" s="102"/>
      <c r="F1729" s="101"/>
      <c r="G1729" s="101"/>
      <c r="H1729" s="101"/>
      <c r="J1729" s="101"/>
      <c r="K1729" s="101"/>
      <c r="L1729" s="102"/>
      <c r="M1729" s="102"/>
      <c r="N1729" s="101"/>
      <c r="O1729" s="102"/>
      <c r="R1729" s="101" t="s">
        <v>48</v>
      </c>
      <c r="S1729" s="101"/>
      <c r="T1729" s="101" t="s">
        <v>47</v>
      </c>
      <c r="U1729" s="101"/>
      <c r="V1729" s="101"/>
      <c r="W1729" s="101"/>
      <c r="X1729" s="101"/>
      <c r="Y1729" s="101"/>
      <c r="Z1729" s="101"/>
      <c r="AA1729" s="101"/>
      <c r="AB1729" s="101"/>
      <c r="AC1729" s="101"/>
      <c r="AD1729" s="101"/>
      <c r="AE1729" s="101"/>
      <c r="AF1729" s="101"/>
      <c r="AG1729" s="101"/>
      <c r="AH1729" s="101"/>
      <c r="AI1729" s="102"/>
      <c r="AJ1729" s="102"/>
      <c r="AK1729" s="102"/>
      <c r="AL1729" s="102"/>
      <c r="AM1729" s="102"/>
      <c r="AN1729" s="102"/>
      <c r="AO1729" s="102"/>
      <c r="AP1729" s="102"/>
      <c r="AQ1729" s="102"/>
      <c r="AR1729" s="102"/>
      <c r="AS1729" s="102"/>
      <c r="AT1729" s="102"/>
      <c r="AU1729" s="102"/>
      <c r="AV1729" s="102"/>
      <c r="AW1729" s="102"/>
      <c r="AX1729" s="102"/>
      <c r="AY1729" s="102"/>
      <c r="AZ1729" s="101"/>
      <c r="BB1729" s="101"/>
      <c r="BD1729" s="101"/>
      <c r="BQ1729" s="159"/>
    </row>
    <row r="1730" spans="2:69" s="103" customFormat="1" ht="13.5">
      <c r="B1730" s="141" t="s">
        <v>2533</v>
      </c>
      <c r="C1730" s="101"/>
      <c r="D1730" s="101"/>
      <c r="E1730" s="102"/>
      <c r="F1730" s="101"/>
      <c r="G1730" s="101"/>
      <c r="H1730" s="101"/>
      <c r="J1730" s="101"/>
      <c r="K1730" s="101"/>
      <c r="L1730" s="102"/>
      <c r="M1730" s="102"/>
      <c r="N1730" s="101"/>
      <c r="O1730" s="102"/>
      <c r="S1730" s="101"/>
      <c r="T1730" s="101"/>
      <c r="AI1730" s="102"/>
      <c r="AJ1730" s="102"/>
      <c r="AK1730" s="102"/>
      <c r="AL1730" s="102"/>
      <c r="AM1730" s="102"/>
      <c r="AN1730" s="102"/>
      <c r="AO1730" s="102"/>
      <c r="AP1730" s="102"/>
      <c r="AQ1730" s="102"/>
      <c r="AR1730" s="102"/>
      <c r="AS1730" s="102"/>
      <c r="AT1730" s="102"/>
      <c r="AU1730" s="102"/>
      <c r="AV1730" s="102"/>
      <c r="AW1730" s="102"/>
      <c r="AX1730" s="102"/>
      <c r="AY1730" s="102"/>
      <c r="AZ1730" s="101"/>
      <c r="BB1730" s="101"/>
      <c r="BD1730" s="101"/>
      <c r="BQ1730" s="159"/>
    </row>
    <row r="1731" spans="2:69" s="103" customFormat="1" ht="13.5">
      <c r="B1731" s="141" t="s">
        <v>2534</v>
      </c>
      <c r="C1731" s="101"/>
      <c r="D1731" s="101"/>
      <c r="E1731" s="102"/>
      <c r="F1731" s="101"/>
      <c r="G1731" s="101"/>
      <c r="H1731" s="101"/>
      <c r="J1731" s="101"/>
      <c r="K1731" s="101"/>
      <c r="L1731" s="102"/>
      <c r="M1731" s="102"/>
      <c r="N1731" s="101"/>
      <c r="O1731" s="102"/>
      <c r="S1731" s="101"/>
      <c r="T1731" s="101"/>
      <c r="AI1731" s="102"/>
      <c r="AJ1731" s="102"/>
      <c r="AK1731" s="102"/>
      <c r="AL1731" s="102"/>
      <c r="AM1731" s="102"/>
      <c r="AN1731" s="102"/>
      <c r="AO1731" s="102"/>
      <c r="AP1731" s="102"/>
      <c r="AQ1731" s="102"/>
      <c r="AR1731" s="102"/>
      <c r="AS1731" s="102"/>
      <c r="AT1731" s="102"/>
      <c r="AU1731" s="102"/>
      <c r="AV1731" s="102"/>
      <c r="AW1731" s="102"/>
      <c r="AX1731" s="102"/>
      <c r="AY1731" s="102"/>
      <c r="AZ1731" s="101"/>
      <c r="BB1731" s="101"/>
      <c r="BD1731" s="101"/>
      <c r="BQ1731" s="159"/>
    </row>
    <row r="1732" spans="2:69" s="103" customFormat="1" ht="13.5">
      <c r="B1732" s="141" t="s">
        <v>2535</v>
      </c>
      <c r="C1732" s="101"/>
      <c r="D1732" s="101"/>
      <c r="E1732" s="102"/>
      <c r="F1732" s="101"/>
      <c r="G1732" s="101"/>
      <c r="H1732" s="101"/>
      <c r="J1732" s="101"/>
      <c r="K1732" s="101"/>
      <c r="L1732" s="102"/>
      <c r="M1732" s="102"/>
      <c r="N1732" s="101"/>
      <c r="O1732" s="102"/>
      <c r="S1732" s="101"/>
      <c r="T1732" s="101"/>
      <c r="AI1732" s="102"/>
      <c r="AJ1732" s="102"/>
      <c r="AK1732" s="102"/>
      <c r="AL1732" s="102"/>
      <c r="AM1732" s="102"/>
      <c r="AN1732" s="102"/>
      <c r="AO1732" s="102"/>
      <c r="AP1732" s="102"/>
      <c r="AQ1732" s="102"/>
      <c r="AR1732" s="102"/>
      <c r="AS1732" s="102"/>
      <c r="AT1732" s="102"/>
      <c r="AU1732" s="102"/>
      <c r="AV1732" s="102"/>
      <c r="AW1732" s="102"/>
      <c r="AX1732" s="102"/>
      <c r="AY1732" s="102"/>
      <c r="AZ1732" s="101"/>
      <c r="BB1732" s="101"/>
      <c r="BD1732" s="101"/>
      <c r="BQ1732" s="159"/>
    </row>
    <row r="1733" spans="2:69" s="103" customFormat="1" ht="13.5">
      <c r="B1733" s="141" t="s">
        <v>2536</v>
      </c>
      <c r="C1733" s="101"/>
      <c r="D1733" s="101"/>
      <c r="E1733" s="102"/>
      <c r="F1733" s="101"/>
      <c r="G1733" s="101"/>
      <c r="H1733" s="101"/>
      <c r="J1733" s="101"/>
      <c r="K1733" s="101"/>
      <c r="L1733" s="102"/>
      <c r="M1733" s="102"/>
      <c r="N1733" s="101"/>
      <c r="O1733" s="102"/>
      <c r="S1733" s="101"/>
      <c r="T1733" s="101"/>
      <c r="AI1733" s="102"/>
      <c r="AJ1733" s="102"/>
      <c r="AK1733" s="102"/>
      <c r="AL1733" s="102"/>
      <c r="AM1733" s="102"/>
      <c r="AN1733" s="102"/>
      <c r="AO1733" s="102"/>
      <c r="AP1733" s="102"/>
      <c r="AQ1733" s="102"/>
      <c r="AR1733" s="102"/>
      <c r="AS1733" s="102"/>
      <c r="AT1733" s="102"/>
      <c r="AU1733" s="102"/>
      <c r="AV1733" s="102"/>
      <c r="AW1733" s="102"/>
      <c r="AX1733" s="102"/>
      <c r="AY1733" s="102"/>
      <c r="AZ1733" s="101"/>
      <c r="BB1733" s="101"/>
      <c r="BD1733" s="101"/>
      <c r="BQ1733" s="159"/>
    </row>
    <row r="1734" spans="2:69" s="103" customFormat="1" ht="13.5">
      <c r="B1734" s="141" t="s">
        <v>2537</v>
      </c>
      <c r="C1734" s="101"/>
      <c r="D1734" s="101"/>
      <c r="E1734" s="102"/>
      <c r="F1734" s="101"/>
      <c r="G1734" s="101"/>
      <c r="H1734" s="101"/>
      <c r="J1734" s="101"/>
      <c r="K1734" s="101"/>
      <c r="L1734" s="102"/>
      <c r="M1734" s="102"/>
      <c r="N1734" s="101"/>
      <c r="O1734" s="102"/>
      <c r="S1734" s="101"/>
      <c r="T1734" s="101"/>
      <c r="AI1734" s="102"/>
      <c r="AJ1734" s="102"/>
      <c r="AK1734" s="102"/>
      <c r="AL1734" s="102"/>
      <c r="AM1734" s="102"/>
      <c r="AN1734" s="102"/>
      <c r="AO1734" s="102"/>
      <c r="AP1734" s="102"/>
      <c r="AQ1734" s="102"/>
      <c r="AR1734" s="102"/>
      <c r="AS1734" s="102"/>
      <c r="AT1734" s="102"/>
      <c r="AU1734" s="102"/>
      <c r="AV1734" s="102"/>
      <c r="AW1734" s="102"/>
      <c r="AX1734" s="102"/>
      <c r="AY1734" s="102"/>
      <c r="AZ1734" s="101"/>
      <c r="BB1734" s="101"/>
      <c r="BD1734" s="101"/>
      <c r="BQ1734" s="159"/>
    </row>
    <row r="1735" spans="2:69" s="103" customFormat="1" ht="13.5">
      <c r="B1735" s="141" t="s">
        <v>2538</v>
      </c>
      <c r="C1735" s="101"/>
      <c r="D1735" s="101"/>
      <c r="E1735" s="102"/>
      <c r="F1735" s="101"/>
      <c r="G1735" s="101"/>
      <c r="H1735" s="101"/>
      <c r="J1735" s="101"/>
      <c r="K1735" s="101"/>
      <c r="L1735" s="102"/>
      <c r="M1735" s="102"/>
      <c r="N1735" s="101"/>
      <c r="O1735" s="102"/>
      <c r="S1735" s="101"/>
      <c r="T1735" s="101"/>
      <c r="AI1735" s="102"/>
      <c r="AJ1735" s="102"/>
      <c r="AK1735" s="102"/>
      <c r="AL1735" s="102"/>
      <c r="AM1735" s="102"/>
      <c r="AN1735" s="102"/>
      <c r="AO1735" s="102"/>
      <c r="AP1735" s="102"/>
      <c r="AQ1735" s="102"/>
      <c r="AR1735" s="102"/>
      <c r="AS1735" s="102"/>
      <c r="AT1735" s="102"/>
      <c r="AU1735" s="102"/>
      <c r="AV1735" s="102"/>
      <c r="AW1735" s="102"/>
      <c r="AX1735" s="102"/>
      <c r="AY1735" s="102"/>
      <c r="AZ1735" s="101"/>
      <c r="BB1735" s="101"/>
      <c r="BD1735" s="101"/>
      <c r="BQ1735" s="159"/>
    </row>
    <row r="1736" spans="2:69" s="103" customFormat="1" ht="13.5">
      <c r="B1736" s="141" t="s">
        <v>2539</v>
      </c>
      <c r="C1736" s="101"/>
      <c r="D1736" s="101"/>
      <c r="E1736" s="102"/>
      <c r="F1736" s="101"/>
      <c r="G1736" s="101"/>
      <c r="H1736" s="101"/>
      <c r="J1736" s="101"/>
      <c r="K1736" s="101"/>
      <c r="L1736" s="102"/>
      <c r="M1736" s="102"/>
      <c r="N1736" s="101"/>
      <c r="O1736" s="102"/>
      <c r="S1736" s="101"/>
      <c r="T1736" s="101"/>
      <c r="AI1736" s="102"/>
      <c r="AJ1736" s="102"/>
      <c r="AK1736" s="102"/>
      <c r="AL1736" s="102"/>
      <c r="AM1736" s="102"/>
      <c r="AN1736" s="102"/>
      <c r="AO1736" s="102"/>
      <c r="AP1736" s="102"/>
      <c r="AQ1736" s="102"/>
      <c r="AR1736" s="102"/>
      <c r="AS1736" s="102"/>
      <c r="AT1736" s="102"/>
      <c r="AU1736" s="102"/>
      <c r="AV1736" s="102"/>
      <c r="AW1736" s="102"/>
      <c r="AX1736" s="102"/>
      <c r="AY1736" s="102"/>
      <c r="AZ1736" s="101"/>
      <c r="BB1736" s="101"/>
      <c r="BD1736" s="101"/>
      <c r="BQ1736" s="159"/>
    </row>
    <row r="1737" spans="2:69" s="103" customFormat="1" ht="13.5">
      <c r="B1737" s="141" t="s">
        <v>2540</v>
      </c>
      <c r="C1737" s="101"/>
      <c r="D1737" s="101"/>
      <c r="E1737" s="102"/>
      <c r="F1737" s="101"/>
      <c r="G1737" s="101"/>
      <c r="H1737" s="101"/>
      <c r="J1737" s="101"/>
      <c r="K1737" s="101"/>
      <c r="L1737" s="102"/>
      <c r="M1737" s="102"/>
      <c r="N1737" s="101"/>
      <c r="O1737" s="102"/>
      <c r="S1737" s="101"/>
      <c r="T1737" s="101"/>
      <c r="AI1737" s="102"/>
      <c r="AJ1737" s="102"/>
      <c r="AK1737" s="102"/>
      <c r="AL1737" s="102"/>
      <c r="AM1737" s="102"/>
      <c r="AN1737" s="102"/>
      <c r="AO1737" s="102"/>
      <c r="AP1737" s="102"/>
      <c r="AQ1737" s="102"/>
      <c r="AR1737" s="102"/>
      <c r="AS1737" s="102"/>
      <c r="AT1737" s="102"/>
      <c r="AU1737" s="102"/>
      <c r="AV1737" s="102"/>
      <c r="AW1737" s="102"/>
      <c r="AX1737" s="102"/>
      <c r="AY1737" s="102"/>
      <c r="AZ1737" s="101"/>
      <c r="BB1737" s="101"/>
      <c r="BD1737" s="101"/>
      <c r="BQ1737" s="159"/>
    </row>
    <row r="1738" spans="2:69" s="103" customFormat="1" ht="13.5">
      <c r="B1738" s="141" t="s">
        <v>2541</v>
      </c>
      <c r="C1738" s="101"/>
      <c r="D1738" s="101"/>
      <c r="E1738" s="102"/>
      <c r="F1738" s="101"/>
      <c r="G1738" s="101"/>
      <c r="H1738" s="101"/>
      <c r="J1738" s="101"/>
      <c r="K1738" s="101"/>
      <c r="L1738" s="102"/>
      <c r="M1738" s="102"/>
      <c r="N1738" s="101" t="s">
        <v>48</v>
      </c>
      <c r="O1738" s="102"/>
      <c r="S1738" s="101"/>
      <c r="T1738" s="101" t="s">
        <v>47</v>
      </c>
      <c r="AI1738" s="102"/>
      <c r="AJ1738" s="102"/>
      <c r="AK1738" s="102"/>
      <c r="AL1738" s="102"/>
      <c r="AM1738" s="102"/>
      <c r="AN1738" s="102"/>
      <c r="AO1738" s="102"/>
      <c r="AP1738" s="102"/>
      <c r="AQ1738" s="102"/>
      <c r="AR1738" s="102"/>
      <c r="AS1738" s="102"/>
      <c r="AT1738" s="102"/>
      <c r="AU1738" s="102"/>
      <c r="AV1738" s="102"/>
      <c r="AW1738" s="102"/>
      <c r="AX1738" s="102"/>
      <c r="AY1738" s="102"/>
      <c r="AZ1738" s="101"/>
      <c r="BB1738" s="101"/>
      <c r="BD1738" s="101"/>
      <c r="BQ1738" s="159"/>
    </row>
    <row r="1739" spans="2:69" s="103" customFormat="1" ht="13.5">
      <c r="B1739" s="141" t="s">
        <v>2542</v>
      </c>
      <c r="C1739" s="101"/>
      <c r="D1739" s="101"/>
      <c r="E1739" s="102"/>
      <c r="F1739" s="101"/>
      <c r="G1739" s="101"/>
      <c r="H1739" s="101"/>
      <c r="J1739" s="101"/>
      <c r="K1739" s="101"/>
      <c r="L1739" s="102"/>
      <c r="M1739" s="102"/>
      <c r="N1739" s="101" t="s">
        <v>48</v>
      </c>
      <c r="O1739" s="102"/>
      <c r="S1739" s="101"/>
      <c r="T1739" s="101" t="s">
        <v>47</v>
      </c>
      <c r="AI1739" s="102"/>
      <c r="AJ1739" s="102"/>
      <c r="AK1739" s="102"/>
      <c r="AL1739" s="102"/>
      <c r="AM1739" s="102"/>
      <c r="AN1739" s="102"/>
      <c r="AO1739" s="102"/>
      <c r="AP1739" s="102"/>
      <c r="AQ1739" s="102"/>
      <c r="AR1739" s="102"/>
      <c r="AS1739" s="102"/>
      <c r="AT1739" s="102"/>
      <c r="AU1739" s="102"/>
      <c r="AV1739" s="102"/>
      <c r="AW1739" s="102"/>
      <c r="AX1739" s="102"/>
      <c r="AY1739" s="102"/>
      <c r="AZ1739" s="101"/>
      <c r="BB1739" s="101"/>
      <c r="BD1739" s="101"/>
      <c r="BQ1739" s="159"/>
    </row>
    <row r="1740" spans="2:69" s="103" customFormat="1" ht="13.5">
      <c r="B1740" s="141" t="s">
        <v>2543</v>
      </c>
      <c r="C1740" s="101"/>
      <c r="D1740" s="101"/>
      <c r="E1740" s="102"/>
      <c r="F1740" s="101"/>
      <c r="G1740" s="101"/>
      <c r="H1740" s="101"/>
      <c r="J1740" s="101"/>
      <c r="K1740" s="101"/>
      <c r="L1740" s="102"/>
      <c r="M1740" s="102"/>
      <c r="N1740" s="101" t="s">
        <v>48</v>
      </c>
      <c r="O1740" s="102"/>
      <c r="S1740" s="101"/>
      <c r="T1740" s="101" t="s">
        <v>47</v>
      </c>
      <c r="AI1740" s="102"/>
      <c r="AJ1740" s="102"/>
      <c r="AK1740" s="102"/>
      <c r="AL1740" s="102"/>
      <c r="AM1740" s="102"/>
      <c r="AN1740" s="102"/>
      <c r="AO1740" s="102"/>
      <c r="AP1740" s="102"/>
      <c r="AQ1740" s="102"/>
      <c r="AR1740" s="102"/>
      <c r="AS1740" s="102"/>
      <c r="AT1740" s="102"/>
      <c r="AU1740" s="102"/>
      <c r="AV1740" s="102"/>
      <c r="AW1740" s="102"/>
      <c r="AX1740" s="102"/>
      <c r="AY1740" s="102"/>
      <c r="AZ1740" s="101"/>
      <c r="BB1740" s="101"/>
      <c r="BD1740" s="101"/>
      <c r="BQ1740" s="159"/>
    </row>
    <row r="1741" spans="2:69" s="103" customFormat="1" ht="13.5">
      <c r="B1741" s="141" t="s">
        <v>2544</v>
      </c>
      <c r="C1741" s="101"/>
      <c r="D1741" s="101"/>
      <c r="E1741" s="102"/>
      <c r="F1741" s="101"/>
      <c r="G1741" s="101"/>
      <c r="H1741" s="101"/>
      <c r="I1741" s="101"/>
      <c r="J1741" s="101"/>
      <c r="K1741" s="101"/>
      <c r="L1741" s="102"/>
      <c r="M1741" s="102"/>
      <c r="N1741" s="101" t="s">
        <v>46</v>
      </c>
      <c r="O1741" s="102"/>
      <c r="S1741" s="104"/>
      <c r="AI1741" s="102"/>
      <c r="AJ1741" s="102"/>
      <c r="AK1741" s="102"/>
      <c r="AL1741" s="102"/>
      <c r="AM1741" s="102"/>
      <c r="AN1741" s="102"/>
      <c r="AO1741" s="102"/>
      <c r="AP1741" s="102"/>
      <c r="AQ1741" s="102"/>
      <c r="AR1741" s="102"/>
      <c r="AS1741" s="102"/>
      <c r="AT1741" s="102"/>
      <c r="AU1741" s="102"/>
      <c r="AV1741" s="102"/>
      <c r="AW1741" s="102"/>
      <c r="AX1741" s="102"/>
      <c r="AY1741" s="102"/>
      <c r="AZ1741" s="101">
        <v>1</v>
      </c>
      <c r="BB1741" s="101"/>
      <c r="BD1741" s="101">
        <v>2015</v>
      </c>
      <c r="BQ1741" s="159"/>
    </row>
    <row r="1742" spans="2:69" s="103" customFormat="1" ht="13.5">
      <c r="B1742" s="141" t="s">
        <v>2545</v>
      </c>
      <c r="C1742" s="101"/>
      <c r="D1742" s="101"/>
      <c r="E1742" s="102"/>
      <c r="F1742" s="101"/>
      <c r="G1742" s="101"/>
      <c r="H1742" s="101"/>
      <c r="I1742" s="101"/>
      <c r="J1742" s="101"/>
      <c r="K1742" s="101"/>
      <c r="L1742" s="102"/>
      <c r="M1742" s="102"/>
      <c r="N1742" s="101" t="s">
        <v>42</v>
      </c>
      <c r="O1742" s="102"/>
      <c r="S1742" s="104"/>
      <c r="AI1742" s="102"/>
      <c r="AJ1742" s="102"/>
      <c r="AK1742" s="102"/>
      <c r="AL1742" s="102"/>
      <c r="AM1742" s="102"/>
      <c r="AN1742" s="102"/>
      <c r="AO1742" s="102"/>
      <c r="AP1742" s="102"/>
      <c r="AQ1742" s="102"/>
      <c r="AR1742" s="102"/>
      <c r="AS1742" s="102"/>
      <c r="AT1742" s="102"/>
      <c r="AU1742" s="102"/>
      <c r="AV1742" s="102"/>
      <c r="AW1742" s="102"/>
      <c r="AX1742" s="102"/>
      <c r="AY1742" s="102"/>
      <c r="AZ1742" s="101">
        <v>1</v>
      </c>
      <c r="BB1742" s="101"/>
      <c r="BD1742" s="101">
        <v>2010</v>
      </c>
      <c r="BQ1742" s="159"/>
    </row>
    <row r="1743" spans="2:69" s="103" customFormat="1" ht="13.5">
      <c r="B1743" s="141"/>
      <c r="C1743" s="101"/>
      <c r="D1743" s="101"/>
      <c r="E1743" s="102"/>
      <c r="F1743" s="101"/>
      <c r="G1743" s="101"/>
      <c r="H1743" s="101"/>
      <c r="I1743" s="101"/>
      <c r="J1743" s="101"/>
      <c r="K1743" s="101"/>
      <c r="L1743" s="102"/>
      <c r="M1743" s="102"/>
      <c r="N1743" s="101"/>
      <c r="O1743" s="102"/>
      <c r="S1743" s="101"/>
      <c r="AI1743" s="102"/>
      <c r="AJ1743" s="102"/>
      <c r="AK1743" s="102"/>
      <c r="AL1743" s="102"/>
      <c r="AM1743" s="102"/>
      <c r="AN1743" s="102"/>
      <c r="AO1743" s="102"/>
      <c r="AP1743" s="102"/>
      <c r="AQ1743" s="102"/>
      <c r="AR1743" s="102"/>
      <c r="AS1743" s="102"/>
      <c r="AT1743" s="102"/>
      <c r="AU1743" s="102"/>
      <c r="AV1743" s="102"/>
      <c r="AW1743" s="102"/>
      <c r="AX1743" s="102"/>
      <c r="AY1743" s="102"/>
      <c r="AZ1743" s="101"/>
      <c r="BB1743" s="101"/>
      <c r="BD1743" s="101"/>
      <c r="BQ1743" s="159"/>
    </row>
    <row r="1744" spans="2:69" s="103" customFormat="1" ht="13.5">
      <c r="B1744" s="141"/>
      <c r="C1744" s="101"/>
      <c r="D1744" s="101"/>
      <c r="E1744" s="102"/>
      <c r="F1744" s="101"/>
      <c r="G1744" s="101"/>
      <c r="H1744" s="101"/>
      <c r="I1744" s="101"/>
      <c r="J1744" s="101"/>
      <c r="K1744" s="101"/>
      <c r="L1744" s="102"/>
      <c r="M1744" s="102"/>
      <c r="N1744" s="101"/>
      <c r="O1744" s="102"/>
      <c r="S1744" s="101"/>
      <c r="AI1744" s="102"/>
      <c r="AJ1744" s="102"/>
      <c r="AK1744" s="102"/>
      <c r="AL1744" s="102"/>
      <c r="AM1744" s="102"/>
      <c r="AN1744" s="102"/>
      <c r="AO1744" s="102"/>
      <c r="AP1744" s="102"/>
      <c r="AQ1744" s="102"/>
      <c r="AR1744" s="102"/>
      <c r="AS1744" s="102"/>
      <c r="AT1744" s="102"/>
      <c r="AU1744" s="102"/>
      <c r="AV1744" s="102"/>
      <c r="AW1744" s="102"/>
      <c r="AX1744" s="102"/>
      <c r="AY1744" s="102"/>
      <c r="AZ1744" s="101"/>
      <c r="BB1744" s="101"/>
      <c r="BD1744" s="101"/>
      <c r="BQ1744" s="159"/>
    </row>
    <row r="1745" spans="2:69" s="103" customFormat="1" ht="13.5">
      <c r="B1745" s="141" t="s">
        <v>2546</v>
      </c>
      <c r="C1745" s="101"/>
      <c r="D1745" s="101"/>
      <c r="E1745" s="102"/>
      <c r="F1745" s="101"/>
      <c r="G1745" s="101"/>
      <c r="H1745" s="101"/>
      <c r="I1745" s="101"/>
      <c r="J1745" s="101"/>
      <c r="K1745" s="101"/>
      <c r="L1745" s="102"/>
      <c r="M1745" s="102"/>
      <c r="N1745" s="101"/>
      <c r="O1745" s="102"/>
      <c r="S1745" s="101"/>
      <c r="AI1745" s="102"/>
      <c r="AJ1745" s="102"/>
      <c r="AK1745" s="102"/>
      <c r="AL1745" s="102"/>
      <c r="AM1745" s="102"/>
      <c r="AN1745" s="102"/>
      <c r="AO1745" s="102"/>
      <c r="AP1745" s="102"/>
      <c r="AQ1745" s="102"/>
      <c r="AR1745" s="102"/>
      <c r="AS1745" s="102"/>
      <c r="AT1745" s="102"/>
      <c r="AU1745" s="102"/>
      <c r="AV1745" s="102"/>
      <c r="AW1745" s="102"/>
      <c r="AX1745" s="102"/>
      <c r="AY1745" s="102"/>
      <c r="AZ1745" s="101"/>
      <c r="BB1745" s="101"/>
      <c r="BD1745" s="101"/>
      <c r="BQ1745" s="159"/>
    </row>
    <row r="1746" spans="2:69" s="103" customFormat="1" ht="13.5">
      <c r="B1746" s="141" t="s">
        <v>2547</v>
      </c>
      <c r="C1746" s="101"/>
      <c r="D1746" s="101"/>
      <c r="E1746" s="102"/>
      <c r="F1746" s="101"/>
      <c r="G1746" s="101"/>
      <c r="H1746" s="101"/>
      <c r="I1746" s="101"/>
      <c r="J1746" s="101"/>
      <c r="K1746" s="101"/>
      <c r="L1746" s="102"/>
      <c r="M1746" s="102"/>
      <c r="N1746" s="101"/>
      <c r="O1746" s="102"/>
      <c r="S1746" s="101"/>
      <c r="AI1746" s="102"/>
      <c r="AJ1746" s="102"/>
      <c r="AK1746" s="102"/>
      <c r="AL1746" s="102"/>
      <c r="AM1746" s="102"/>
      <c r="AN1746" s="102"/>
      <c r="AO1746" s="102"/>
      <c r="AP1746" s="102"/>
      <c r="AQ1746" s="102"/>
      <c r="AR1746" s="102"/>
      <c r="AS1746" s="102"/>
      <c r="AT1746" s="102"/>
      <c r="AU1746" s="102"/>
      <c r="AV1746" s="102"/>
      <c r="AW1746" s="102"/>
      <c r="AX1746" s="102"/>
      <c r="AY1746" s="102"/>
      <c r="AZ1746" s="101"/>
      <c r="BB1746" s="101"/>
      <c r="BD1746" s="101"/>
      <c r="BQ1746" s="159"/>
    </row>
    <row r="1747" spans="2:69" s="103" customFormat="1" ht="13.5">
      <c r="B1747" s="141" t="s">
        <v>2548</v>
      </c>
      <c r="C1747" s="101"/>
      <c r="D1747" s="101"/>
      <c r="E1747" s="102"/>
      <c r="F1747" s="101"/>
      <c r="G1747" s="101"/>
      <c r="H1747" s="101"/>
      <c r="I1747" s="101"/>
      <c r="J1747" s="101"/>
      <c r="K1747" s="101"/>
      <c r="L1747" s="102"/>
      <c r="M1747" s="102"/>
      <c r="N1747" s="101"/>
      <c r="O1747" s="102"/>
      <c r="S1747" s="101"/>
      <c r="AI1747" s="102"/>
      <c r="AJ1747" s="102"/>
      <c r="AK1747" s="102"/>
      <c r="AL1747" s="102"/>
      <c r="AM1747" s="102"/>
      <c r="AN1747" s="102"/>
      <c r="AO1747" s="102"/>
      <c r="AP1747" s="102"/>
      <c r="AQ1747" s="102"/>
      <c r="AR1747" s="102"/>
      <c r="AS1747" s="102"/>
      <c r="AT1747" s="102"/>
      <c r="AU1747" s="102"/>
      <c r="AV1747" s="102"/>
      <c r="AW1747" s="102"/>
      <c r="AX1747" s="102"/>
      <c r="AY1747" s="102"/>
      <c r="AZ1747" s="101"/>
      <c r="BB1747" s="101"/>
      <c r="BD1747" s="101"/>
      <c r="BQ1747" s="159"/>
    </row>
    <row r="1748" spans="2:69" s="103" customFormat="1" ht="13.5">
      <c r="B1748" s="141" t="s">
        <v>2549</v>
      </c>
      <c r="C1748" s="101"/>
      <c r="D1748" s="101"/>
      <c r="E1748" s="102"/>
      <c r="F1748" s="101"/>
      <c r="G1748" s="101"/>
      <c r="H1748" s="101"/>
      <c r="I1748" s="101"/>
      <c r="J1748" s="101"/>
      <c r="K1748" s="101"/>
      <c r="L1748" s="102"/>
      <c r="M1748" s="102"/>
      <c r="N1748" s="101"/>
      <c r="O1748" s="102"/>
      <c r="S1748" s="101"/>
      <c r="AI1748" s="102"/>
      <c r="AJ1748" s="102"/>
      <c r="AK1748" s="102"/>
      <c r="AL1748" s="102"/>
      <c r="AM1748" s="102"/>
      <c r="AN1748" s="102"/>
      <c r="AO1748" s="102"/>
      <c r="AP1748" s="102"/>
      <c r="AQ1748" s="102"/>
      <c r="AR1748" s="102"/>
      <c r="AS1748" s="102"/>
      <c r="AT1748" s="102"/>
      <c r="AU1748" s="102"/>
      <c r="AV1748" s="102"/>
      <c r="AW1748" s="102"/>
      <c r="AX1748" s="102"/>
      <c r="AY1748" s="102"/>
      <c r="AZ1748" s="101"/>
      <c r="BB1748" s="101"/>
      <c r="BD1748" s="101"/>
      <c r="BQ1748" s="159"/>
    </row>
    <row r="1749" spans="2:69" s="103" customFormat="1" ht="13.5">
      <c r="B1749" s="141" t="s">
        <v>2550</v>
      </c>
      <c r="C1749" s="101"/>
      <c r="D1749" s="101"/>
      <c r="E1749" s="102"/>
      <c r="F1749" s="101"/>
      <c r="G1749" s="101"/>
      <c r="H1749" s="101"/>
      <c r="I1749" s="101"/>
      <c r="J1749" s="101"/>
      <c r="K1749" s="101"/>
      <c r="L1749" s="102"/>
      <c r="M1749" s="102"/>
      <c r="N1749" s="101"/>
      <c r="O1749" s="102"/>
      <c r="S1749" s="101"/>
      <c r="AI1749" s="102"/>
      <c r="AJ1749" s="102"/>
      <c r="AK1749" s="102"/>
      <c r="AL1749" s="102"/>
      <c r="AM1749" s="102"/>
      <c r="AN1749" s="102"/>
      <c r="AO1749" s="102"/>
      <c r="AP1749" s="102"/>
      <c r="AQ1749" s="102"/>
      <c r="AR1749" s="102"/>
      <c r="AS1749" s="102"/>
      <c r="AT1749" s="102"/>
      <c r="AU1749" s="102"/>
      <c r="AV1749" s="102"/>
      <c r="AW1749" s="102"/>
      <c r="AX1749" s="102"/>
      <c r="AY1749" s="102"/>
      <c r="AZ1749" s="101"/>
      <c r="BB1749" s="101"/>
      <c r="BD1749" s="101"/>
      <c r="BQ1749" s="159"/>
    </row>
    <row r="1750" spans="2:69" s="103" customFormat="1" ht="13.5">
      <c r="B1750" s="141" t="s">
        <v>2551</v>
      </c>
      <c r="C1750" s="101"/>
      <c r="D1750" s="101"/>
      <c r="E1750" s="102"/>
      <c r="F1750" s="101"/>
      <c r="G1750" s="101"/>
      <c r="H1750" s="101"/>
      <c r="I1750" s="101"/>
      <c r="J1750" s="101"/>
      <c r="K1750" s="101"/>
      <c r="L1750" s="102"/>
      <c r="M1750" s="102"/>
      <c r="N1750" s="101"/>
      <c r="O1750" s="102"/>
      <c r="S1750" s="101"/>
      <c r="AI1750" s="102"/>
      <c r="AJ1750" s="102"/>
      <c r="AK1750" s="102"/>
      <c r="AL1750" s="102"/>
      <c r="AM1750" s="102"/>
      <c r="AN1750" s="102"/>
      <c r="AO1750" s="102"/>
      <c r="AP1750" s="102"/>
      <c r="AQ1750" s="102"/>
      <c r="AR1750" s="102"/>
      <c r="AS1750" s="102"/>
      <c r="AT1750" s="102"/>
      <c r="AU1750" s="102"/>
      <c r="AV1750" s="102"/>
      <c r="AW1750" s="102"/>
      <c r="AX1750" s="102"/>
      <c r="AY1750" s="102"/>
      <c r="AZ1750" s="101"/>
      <c r="BB1750" s="101"/>
      <c r="BD1750" s="101"/>
      <c r="BQ1750" s="159"/>
    </row>
    <row r="1751" spans="2:69" s="103" customFormat="1" ht="13.5">
      <c r="B1751" s="141" t="s">
        <v>2552</v>
      </c>
      <c r="C1751" s="101"/>
      <c r="D1751" s="101"/>
      <c r="E1751" s="102"/>
      <c r="F1751" s="101"/>
      <c r="G1751" s="101"/>
      <c r="H1751" s="101"/>
      <c r="I1751" s="101"/>
      <c r="J1751" s="101"/>
      <c r="K1751" s="101"/>
      <c r="L1751" s="102"/>
      <c r="M1751" s="102"/>
      <c r="N1751" s="101"/>
      <c r="O1751" s="102"/>
      <c r="S1751" s="101"/>
      <c r="AI1751" s="102"/>
      <c r="AJ1751" s="102"/>
      <c r="AK1751" s="102"/>
      <c r="AL1751" s="102"/>
      <c r="AM1751" s="102"/>
      <c r="AN1751" s="102"/>
      <c r="AO1751" s="102"/>
      <c r="AP1751" s="102"/>
      <c r="AQ1751" s="102"/>
      <c r="AR1751" s="102"/>
      <c r="AS1751" s="102"/>
      <c r="AT1751" s="102"/>
      <c r="AU1751" s="102"/>
      <c r="AV1751" s="102"/>
      <c r="AW1751" s="102"/>
      <c r="AX1751" s="102"/>
      <c r="AY1751" s="102"/>
      <c r="AZ1751" s="101"/>
      <c r="BB1751" s="101"/>
      <c r="BD1751" s="101"/>
      <c r="BQ1751" s="159"/>
    </row>
    <row r="1752" spans="2:69" s="103" customFormat="1" ht="27">
      <c r="B1752" s="141" t="s">
        <v>2553</v>
      </c>
      <c r="C1752" s="101"/>
      <c r="D1752" s="101"/>
      <c r="E1752" s="102"/>
      <c r="F1752" s="101"/>
      <c r="G1752" s="101"/>
      <c r="H1752" s="101"/>
      <c r="I1752" s="101"/>
      <c r="J1752" s="101"/>
      <c r="K1752" s="101"/>
      <c r="L1752" s="102"/>
      <c r="M1752" s="102"/>
      <c r="N1752" s="101"/>
      <c r="O1752" s="102"/>
      <c r="S1752" s="101"/>
      <c r="AI1752" s="102"/>
      <c r="AJ1752" s="102"/>
      <c r="AK1752" s="102"/>
      <c r="AL1752" s="102"/>
      <c r="AM1752" s="102"/>
      <c r="AN1752" s="102"/>
      <c r="AO1752" s="102"/>
      <c r="AP1752" s="102"/>
      <c r="AQ1752" s="102"/>
      <c r="AR1752" s="102"/>
      <c r="AS1752" s="102"/>
      <c r="AT1752" s="102"/>
      <c r="AU1752" s="102"/>
      <c r="AV1752" s="102"/>
      <c r="AW1752" s="102"/>
      <c r="AX1752" s="102"/>
      <c r="AY1752" s="102"/>
      <c r="AZ1752" s="101"/>
      <c r="BB1752" s="101"/>
      <c r="BD1752" s="101"/>
      <c r="BQ1752" s="159"/>
    </row>
    <row r="1753" spans="2:69" s="103" customFormat="1" ht="13.5">
      <c r="B1753" s="141" t="s">
        <v>2554</v>
      </c>
      <c r="C1753" s="101"/>
      <c r="D1753" s="101"/>
      <c r="E1753" s="102"/>
      <c r="F1753" s="101"/>
      <c r="G1753" s="101"/>
      <c r="H1753" s="101"/>
      <c r="I1753" s="101"/>
      <c r="J1753" s="101"/>
      <c r="K1753" s="101"/>
      <c r="L1753" s="102"/>
      <c r="M1753" s="102"/>
      <c r="N1753" s="101"/>
      <c r="O1753" s="102"/>
      <c r="S1753" s="101"/>
      <c r="AI1753" s="102"/>
      <c r="AJ1753" s="102"/>
      <c r="AK1753" s="102"/>
      <c r="AL1753" s="102"/>
      <c r="AM1753" s="102"/>
      <c r="AN1753" s="102"/>
      <c r="AO1753" s="102"/>
      <c r="AP1753" s="102"/>
      <c r="AQ1753" s="102"/>
      <c r="AR1753" s="102"/>
      <c r="AS1753" s="102"/>
      <c r="AT1753" s="102"/>
      <c r="AU1753" s="102"/>
      <c r="AV1753" s="102"/>
      <c r="AW1753" s="102"/>
      <c r="AX1753" s="102"/>
      <c r="AY1753" s="102"/>
      <c r="AZ1753" s="101"/>
      <c r="BB1753" s="101"/>
      <c r="BD1753" s="101"/>
      <c r="BQ1753" s="159"/>
    </row>
    <row r="1754" spans="2:69" s="103" customFormat="1" ht="13.5">
      <c r="B1754" s="141" t="s">
        <v>2555</v>
      </c>
      <c r="C1754" s="101"/>
      <c r="D1754" s="101"/>
      <c r="E1754" s="102"/>
      <c r="F1754" s="101"/>
      <c r="G1754" s="101"/>
      <c r="H1754" s="101"/>
      <c r="I1754" s="101"/>
      <c r="J1754" s="101"/>
      <c r="K1754" s="101"/>
      <c r="L1754" s="102"/>
      <c r="M1754" s="102"/>
      <c r="N1754" s="101"/>
      <c r="O1754" s="102"/>
      <c r="S1754" s="101"/>
      <c r="AI1754" s="102"/>
      <c r="AJ1754" s="102"/>
      <c r="AK1754" s="102"/>
      <c r="AL1754" s="102"/>
      <c r="AM1754" s="102"/>
      <c r="AN1754" s="102"/>
      <c r="AO1754" s="102"/>
      <c r="AP1754" s="102"/>
      <c r="AQ1754" s="102"/>
      <c r="AR1754" s="102"/>
      <c r="AS1754" s="102"/>
      <c r="AT1754" s="102"/>
      <c r="AU1754" s="102"/>
      <c r="AV1754" s="102"/>
      <c r="AW1754" s="102"/>
      <c r="AX1754" s="102"/>
      <c r="AY1754" s="102"/>
      <c r="AZ1754" s="101"/>
      <c r="BB1754" s="101"/>
      <c r="BD1754" s="101"/>
      <c r="BQ1754" s="159"/>
    </row>
    <row r="1755" spans="2:69" s="103" customFormat="1" ht="13.5">
      <c r="B1755" s="141" t="s">
        <v>2556</v>
      </c>
      <c r="C1755" s="101"/>
      <c r="D1755" s="101"/>
      <c r="E1755" s="102"/>
      <c r="F1755" s="101"/>
      <c r="G1755" s="101"/>
      <c r="H1755" s="101"/>
      <c r="I1755" s="101"/>
      <c r="J1755" s="101"/>
      <c r="K1755" s="101"/>
      <c r="L1755" s="102"/>
      <c r="M1755" s="102"/>
      <c r="N1755" s="101"/>
      <c r="O1755" s="102"/>
      <c r="S1755" s="101"/>
      <c r="AI1755" s="102"/>
      <c r="AJ1755" s="102"/>
      <c r="AK1755" s="102"/>
      <c r="AL1755" s="102"/>
      <c r="AM1755" s="102"/>
      <c r="AN1755" s="102"/>
      <c r="AO1755" s="102"/>
      <c r="AP1755" s="102"/>
      <c r="AQ1755" s="102"/>
      <c r="AR1755" s="102"/>
      <c r="AS1755" s="102"/>
      <c r="AT1755" s="102"/>
      <c r="AU1755" s="102"/>
      <c r="AV1755" s="102"/>
      <c r="AW1755" s="102"/>
      <c r="AX1755" s="102"/>
      <c r="AY1755" s="102"/>
      <c r="AZ1755" s="101"/>
      <c r="BB1755" s="101"/>
      <c r="BD1755" s="101"/>
      <c r="BQ1755" s="159"/>
    </row>
    <row r="1756" spans="2:69" s="103" customFormat="1" ht="13.5">
      <c r="B1756" s="141"/>
      <c r="C1756" s="101"/>
      <c r="D1756" s="101"/>
      <c r="E1756" s="101"/>
      <c r="F1756" s="101"/>
      <c r="G1756" s="101"/>
      <c r="H1756" s="101"/>
      <c r="I1756" s="101"/>
      <c r="J1756" s="101"/>
      <c r="K1756" s="101"/>
      <c r="L1756" s="102"/>
      <c r="M1756" s="102"/>
      <c r="N1756" s="101"/>
      <c r="O1756" s="102"/>
      <c r="S1756" s="101"/>
      <c r="AI1756" s="102"/>
      <c r="AJ1756" s="102"/>
      <c r="AK1756" s="102"/>
      <c r="AL1756" s="102"/>
      <c r="AM1756" s="102"/>
      <c r="AN1756" s="102"/>
      <c r="AO1756" s="102"/>
      <c r="AP1756" s="102"/>
      <c r="AQ1756" s="102"/>
      <c r="AR1756" s="102"/>
      <c r="AS1756" s="102"/>
      <c r="AT1756" s="102"/>
      <c r="AU1756" s="102"/>
      <c r="AV1756" s="102"/>
      <c r="AW1756" s="102"/>
      <c r="AX1756" s="102"/>
      <c r="AY1756" s="102"/>
      <c r="AZ1756" s="101"/>
      <c r="BB1756" s="101"/>
      <c r="BD1756" s="101"/>
      <c r="BQ1756" s="159"/>
    </row>
    <row r="1757" spans="2:69" s="103" customFormat="1" ht="13.5">
      <c r="B1757" s="141"/>
      <c r="C1757" s="101"/>
      <c r="D1757" s="101"/>
      <c r="E1757" s="101"/>
      <c r="F1757" s="101"/>
      <c r="G1757" s="101"/>
      <c r="H1757" s="101"/>
      <c r="I1757" s="101"/>
      <c r="J1757" s="101"/>
      <c r="K1757" s="101"/>
      <c r="L1757" s="102"/>
      <c r="M1757" s="102"/>
      <c r="N1757" s="101"/>
      <c r="O1757" s="102"/>
      <c r="S1757" s="101"/>
      <c r="AI1757" s="102"/>
      <c r="AJ1757" s="102"/>
      <c r="AK1757" s="102"/>
      <c r="AL1757" s="102"/>
      <c r="AM1757" s="102"/>
      <c r="AN1757" s="102"/>
      <c r="AO1757" s="102"/>
      <c r="AP1757" s="102"/>
      <c r="AQ1757" s="102"/>
      <c r="AR1757" s="102"/>
      <c r="AS1757" s="102"/>
      <c r="AT1757" s="102"/>
      <c r="AU1757" s="102"/>
      <c r="AV1757" s="102"/>
      <c r="AW1757" s="102"/>
      <c r="AX1757" s="102"/>
      <c r="AY1757" s="102"/>
      <c r="AZ1757" s="101"/>
      <c r="BB1757" s="101"/>
      <c r="BD1757" s="101"/>
      <c r="BQ1757" s="159"/>
    </row>
    <row r="1758" spans="2:69" s="103" customFormat="1" ht="13.5">
      <c r="B1758" s="141"/>
      <c r="C1758" s="101"/>
      <c r="D1758" s="102"/>
      <c r="E1758" s="101"/>
      <c r="F1758" s="101"/>
      <c r="G1758" s="101"/>
      <c r="H1758" s="101"/>
      <c r="I1758" s="101"/>
      <c r="J1758" s="101"/>
      <c r="K1758" s="102"/>
      <c r="L1758" s="102"/>
      <c r="M1758" s="102"/>
      <c r="N1758" s="101"/>
      <c r="O1758" s="102"/>
      <c r="S1758" s="101"/>
      <c r="AI1758" s="102"/>
      <c r="AJ1758" s="102"/>
      <c r="AK1758" s="102"/>
      <c r="AL1758" s="102"/>
      <c r="AM1758" s="102"/>
      <c r="AN1758" s="102"/>
      <c r="AO1758" s="102"/>
      <c r="AP1758" s="102"/>
      <c r="AQ1758" s="102"/>
      <c r="AR1758" s="102"/>
      <c r="AS1758" s="102"/>
      <c r="AT1758" s="102"/>
      <c r="AU1758" s="102"/>
      <c r="AV1758" s="102"/>
      <c r="AW1758" s="102"/>
      <c r="AX1758" s="102"/>
      <c r="AY1758" s="102"/>
      <c r="AZ1758" s="101"/>
      <c r="BB1758" s="101"/>
      <c r="BD1758" s="101"/>
      <c r="BQ1758" s="159"/>
    </row>
    <row r="1759" spans="2:69" s="103" customFormat="1" ht="13.5">
      <c r="B1759" s="141"/>
      <c r="C1759" s="101"/>
      <c r="D1759" s="102"/>
      <c r="E1759" s="101"/>
      <c r="F1759" s="101"/>
      <c r="G1759" s="101"/>
      <c r="H1759" s="101"/>
      <c r="I1759" s="101"/>
      <c r="J1759" s="101"/>
      <c r="K1759" s="102"/>
      <c r="L1759" s="102"/>
      <c r="M1759" s="102"/>
      <c r="N1759" s="101"/>
      <c r="O1759" s="102"/>
      <c r="S1759" s="101"/>
      <c r="AI1759" s="102"/>
      <c r="AJ1759" s="102"/>
      <c r="AK1759" s="102"/>
      <c r="AL1759" s="102"/>
      <c r="AM1759" s="102"/>
      <c r="AN1759" s="102"/>
      <c r="AO1759" s="102"/>
      <c r="AP1759" s="102"/>
      <c r="AQ1759" s="102"/>
      <c r="AR1759" s="102"/>
      <c r="AS1759" s="102"/>
      <c r="AT1759" s="102"/>
      <c r="AU1759" s="102"/>
      <c r="AV1759" s="102"/>
      <c r="AW1759" s="102"/>
      <c r="AX1759" s="102"/>
      <c r="AY1759" s="102"/>
      <c r="AZ1759" s="101"/>
      <c r="BB1759" s="101"/>
      <c r="BD1759" s="101"/>
      <c r="BQ1759" s="159"/>
    </row>
    <row r="1760" spans="2:69" s="103" customFormat="1" ht="13.5">
      <c r="B1760" s="141"/>
      <c r="C1760" s="101"/>
      <c r="D1760" s="102"/>
      <c r="E1760" s="101"/>
      <c r="F1760" s="101"/>
      <c r="G1760" s="101"/>
      <c r="H1760" s="101"/>
      <c r="I1760" s="101"/>
      <c r="J1760" s="101"/>
      <c r="K1760" s="102"/>
      <c r="L1760" s="102"/>
      <c r="M1760" s="102"/>
      <c r="N1760" s="101"/>
      <c r="O1760" s="102"/>
      <c r="S1760" s="101"/>
      <c r="AI1760" s="102"/>
      <c r="AJ1760" s="102"/>
      <c r="AK1760" s="102"/>
      <c r="AL1760" s="102"/>
      <c r="AM1760" s="102"/>
      <c r="AN1760" s="102"/>
      <c r="AO1760" s="102"/>
      <c r="AP1760" s="102"/>
      <c r="AQ1760" s="102"/>
      <c r="AR1760" s="102"/>
      <c r="AS1760" s="102"/>
      <c r="AT1760" s="102"/>
      <c r="AU1760" s="102"/>
      <c r="AV1760" s="102"/>
      <c r="AW1760" s="102"/>
      <c r="AX1760" s="102"/>
      <c r="AY1760" s="102"/>
      <c r="AZ1760" s="101"/>
      <c r="BB1760" s="101"/>
      <c r="BD1760" s="101"/>
      <c r="BQ1760" s="159"/>
    </row>
    <row r="1761" spans="2:69" s="138" customFormat="1" ht="13.5">
      <c r="B1761" s="141" t="s">
        <v>2557</v>
      </c>
      <c r="C1761" s="137"/>
      <c r="D1761" s="137" t="s">
        <v>34</v>
      </c>
      <c r="E1761" s="136"/>
      <c r="H1761" s="137"/>
      <c r="J1761" s="137"/>
      <c r="K1761" s="137"/>
      <c r="L1761" s="136"/>
      <c r="M1761" s="136"/>
      <c r="N1761" s="137"/>
      <c r="O1761" s="136"/>
      <c r="R1761" s="137" t="s">
        <v>44</v>
      </c>
      <c r="S1761" s="137"/>
      <c r="T1761" s="137" t="s">
        <v>35</v>
      </c>
      <c r="AI1761" s="136"/>
      <c r="AJ1761" s="136"/>
      <c r="AK1761" s="136"/>
      <c r="AL1761" s="136"/>
      <c r="AM1761" s="136"/>
      <c r="AN1761" s="136"/>
      <c r="AO1761" s="136"/>
      <c r="AP1761" s="136"/>
      <c r="AQ1761" s="136"/>
      <c r="AR1761" s="136"/>
      <c r="AS1761" s="136"/>
      <c r="AT1761" s="136"/>
      <c r="AU1761" s="136"/>
      <c r="AV1761" s="136"/>
      <c r="AW1761" s="136"/>
      <c r="AX1761" s="136"/>
      <c r="AY1761" s="136"/>
      <c r="AZ1761" s="137"/>
      <c r="BB1761" s="137"/>
      <c r="BD1761" s="137"/>
      <c r="BQ1761" s="160"/>
    </row>
    <row r="1762" spans="2:69" s="103" customFormat="1" ht="13.5">
      <c r="B1762" s="141" t="s">
        <v>2558</v>
      </c>
      <c r="C1762" s="101"/>
      <c r="D1762" s="101" t="s">
        <v>34</v>
      </c>
      <c r="E1762" s="102"/>
      <c r="H1762" s="101"/>
      <c r="J1762" s="101"/>
      <c r="K1762" s="101"/>
      <c r="L1762" s="102"/>
      <c r="M1762" s="102"/>
      <c r="N1762" s="101"/>
      <c r="O1762" s="102"/>
      <c r="R1762" s="101" t="s">
        <v>42</v>
      </c>
      <c r="S1762" s="101"/>
      <c r="T1762" s="101" t="s">
        <v>35</v>
      </c>
      <c r="AI1762" s="102"/>
      <c r="AJ1762" s="102"/>
      <c r="AK1762" s="102"/>
      <c r="AL1762" s="102"/>
      <c r="AM1762" s="102"/>
      <c r="AN1762" s="102"/>
      <c r="AO1762" s="102"/>
      <c r="AP1762" s="102"/>
      <c r="AQ1762" s="102"/>
      <c r="AR1762" s="102"/>
      <c r="AS1762" s="102"/>
      <c r="AT1762" s="102"/>
      <c r="AU1762" s="102"/>
      <c r="AV1762" s="102"/>
      <c r="AW1762" s="102"/>
      <c r="AX1762" s="102"/>
      <c r="AY1762" s="102"/>
      <c r="AZ1762" s="101"/>
      <c r="BB1762" s="101"/>
      <c r="BD1762" s="101"/>
      <c r="BQ1762" s="159"/>
    </row>
    <row r="1763" spans="2:69" s="103" customFormat="1" ht="13.5">
      <c r="B1763" s="141" t="s">
        <v>2559</v>
      </c>
      <c r="C1763" s="101"/>
      <c r="D1763" s="101" t="s">
        <v>34</v>
      </c>
      <c r="E1763" s="102"/>
      <c r="H1763" s="101"/>
      <c r="J1763" s="101"/>
      <c r="K1763" s="101"/>
      <c r="L1763" s="102"/>
      <c r="M1763" s="102"/>
      <c r="N1763" s="101"/>
      <c r="O1763" s="102"/>
      <c r="R1763" s="101" t="s">
        <v>42</v>
      </c>
      <c r="S1763" s="101"/>
      <c r="T1763" s="101" t="s">
        <v>35</v>
      </c>
      <c r="AI1763" s="102"/>
      <c r="AJ1763" s="102"/>
      <c r="AK1763" s="102"/>
      <c r="AL1763" s="102"/>
      <c r="AM1763" s="102"/>
      <c r="AN1763" s="102"/>
      <c r="AO1763" s="102"/>
      <c r="AP1763" s="102"/>
      <c r="AQ1763" s="102"/>
      <c r="AR1763" s="102"/>
      <c r="AS1763" s="102"/>
      <c r="AT1763" s="102"/>
      <c r="AU1763" s="102"/>
      <c r="AV1763" s="102"/>
      <c r="AW1763" s="102"/>
      <c r="AX1763" s="102"/>
      <c r="AY1763" s="102"/>
      <c r="AZ1763" s="101"/>
      <c r="BB1763" s="101"/>
      <c r="BD1763" s="101"/>
      <c r="BQ1763" s="159"/>
    </row>
    <row r="1764" spans="2:69" s="103" customFormat="1" ht="13.5">
      <c r="B1764" s="141" t="s">
        <v>2560</v>
      </c>
      <c r="C1764" s="101"/>
      <c r="D1764" s="101" t="s">
        <v>34</v>
      </c>
      <c r="E1764" s="102"/>
      <c r="H1764" s="101"/>
      <c r="J1764" s="101"/>
      <c r="K1764" s="101"/>
      <c r="L1764" s="102"/>
      <c r="M1764" s="102"/>
      <c r="N1764" s="101"/>
      <c r="O1764" s="102"/>
      <c r="R1764" s="101" t="s">
        <v>42</v>
      </c>
      <c r="S1764" s="101"/>
      <c r="T1764" s="101" t="s">
        <v>35</v>
      </c>
      <c r="AI1764" s="102"/>
      <c r="AJ1764" s="102"/>
      <c r="AK1764" s="102"/>
      <c r="AL1764" s="102"/>
      <c r="AM1764" s="102"/>
      <c r="AN1764" s="102"/>
      <c r="AO1764" s="102"/>
      <c r="AP1764" s="102"/>
      <c r="AQ1764" s="102"/>
      <c r="AR1764" s="102"/>
      <c r="AS1764" s="102"/>
      <c r="AT1764" s="102"/>
      <c r="AU1764" s="102"/>
      <c r="AV1764" s="102"/>
      <c r="AW1764" s="102"/>
      <c r="AX1764" s="102"/>
      <c r="AY1764" s="102"/>
      <c r="AZ1764" s="101"/>
      <c r="BB1764" s="101"/>
      <c r="BD1764" s="101"/>
      <c r="BQ1764" s="159"/>
    </row>
    <row r="1765" spans="2:69" s="103" customFormat="1" ht="13.5">
      <c r="B1765" s="141" t="s">
        <v>2561</v>
      </c>
      <c r="C1765" s="101"/>
      <c r="D1765" s="101" t="s">
        <v>34</v>
      </c>
      <c r="E1765" s="102"/>
      <c r="H1765" s="101"/>
      <c r="J1765" s="101"/>
      <c r="K1765" s="101"/>
      <c r="L1765" s="102"/>
      <c r="M1765" s="102"/>
      <c r="N1765" s="101"/>
      <c r="O1765" s="102"/>
      <c r="R1765" s="101" t="s">
        <v>44</v>
      </c>
      <c r="S1765" s="101"/>
      <c r="T1765" s="101" t="s">
        <v>35</v>
      </c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02"/>
      <c r="AV1765" s="102"/>
      <c r="AW1765" s="102"/>
      <c r="AX1765" s="102"/>
      <c r="AY1765" s="102"/>
      <c r="AZ1765" s="101"/>
      <c r="BB1765" s="101"/>
      <c r="BD1765" s="101"/>
      <c r="BQ1765" s="159"/>
    </row>
    <row r="1766" spans="2:69" s="103" customFormat="1" ht="13.5">
      <c r="B1766" s="141" t="s">
        <v>2562</v>
      </c>
      <c r="C1766" s="101"/>
      <c r="D1766" s="101" t="s">
        <v>34</v>
      </c>
      <c r="E1766" s="102"/>
      <c r="H1766" s="101"/>
      <c r="J1766" s="101"/>
      <c r="K1766" s="101"/>
      <c r="L1766" s="102"/>
      <c r="M1766" s="102"/>
      <c r="N1766" s="101"/>
      <c r="O1766" s="102"/>
      <c r="R1766" s="101" t="s">
        <v>44</v>
      </c>
      <c r="S1766" s="101"/>
      <c r="T1766" s="101" t="s">
        <v>35</v>
      </c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02"/>
      <c r="AV1766" s="102"/>
      <c r="AW1766" s="102"/>
      <c r="AX1766" s="102"/>
      <c r="AY1766" s="102"/>
      <c r="AZ1766" s="101"/>
      <c r="BB1766" s="101"/>
      <c r="BD1766" s="101"/>
      <c r="BQ1766" s="159"/>
    </row>
    <row r="1767" spans="2:69" s="103" customFormat="1" ht="13.5">
      <c r="B1767" s="141" t="s">
        <v>2563</v>
      </c>
      <c r="C1767" s="101"/>
      <c r="D1767" s="101" t="s">
        <v>34</v>
      </c>
      <c r="E1767" s="102"/>
      <c r="H1767" s="101"/>
      <c r="J1767" s="101"/>
      <c r="K1767" s="101"/>
      <c r="L1767" s="102"/>
      <c r="M1767" s="102"/>
      <c r="N1767" s="101"/>
      <c r="O1767" s="102"/>
      <c r="R1767" s="101" t="s">
        <v>44</v>
      </c>
      <c r="S1767" s="101"/>
      <c r="T1767" s="101" t="s">
        <v>35</v>
      </c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02"/>
      <c r="AV1767" s="102"/>
      <c r="AW1767" s="102"/>
      <c r="AX1767" s="102"/>
      <c r="AY1767" s="102"/>
      <c r="AZ1767" s="101"/>
      <c r="BB1767" s="101"/>
      <c r="BD1767" s="101"/>
      <c r="BQ1767" s="159"/>
    </row>
    <row r="1768" spans="2:69" s="103" customFormat="1" ht="13.5">
      <c r="B1768" s="141" t="s">
        <v>2564</v>
      </c>
      <c r="C1768" s="101"/>
      <c r="D1768" s="101" t="s">
        <v>34</v>
      </c>
      <c r="E1768" s="102"/>
      <c r="H1768" s="101"/>
      <c r="J1768" s="101"/>
      <c r="K1768" s="101"/>
      <c r="L1768" s="102"/>
      <c r="M1768" s="102"/>
      <c r="N1768" s="101"/>
      <c r="O1768" s="102"/>
      <c r="R1768" s="101" t="s">
        <v>42</v>
      </c>
      <c r="S1768" s="101"/>
      <c r="T1768" s="101" t="s">
        <v>35</v>
      </c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02"/>
      <c r="AV1768" s="102"/>
      <c r="AW1768" s="102"/>
      <c r="AX1768" s="102"/>
      <c r="AY1768" s="102"/>
      <c r="AZ1768" s="101"/>
      <c r="BB1768" s="101"/>
      <c r="BD1768" s="101"/>
      <c r="BQ1768" s="159"/>
    </row>
    <row r="1769" spans="2:69" s="103" customFormat="1" ht="13.5">
      <c r="B1769" s="141" t="s">
        <v>2565</v>
      </c>
      <c r="C1769" s="101"/>
      <c r="D1769" s="101" t="s">
        <v>34</v>
      </c>
      <c r="E1769" s="102"/>
      <c r="H1769" s="101"/>
      <c r="J1769" s="101"/>
      <c r="K1769" s="101"/>
      <c r="L1769" s="102"/>
      <c r="M1769" s="102"/>
      <c r="N1769" s="101"/>
      <c r="O1769" s="102"/>
      <c r="R1769" s="101" t="s">
        <v>43</v>
      </c>
      <c r="S1769" s="101"/>
      <c r="T1769" s="101" t="s">
        <v>35</v>
      </c>
      <c r="AI1769" s="102"/>
      <c r="AJ1769" s="102"/>
      <c r="AK1769" s="102"/>
      <c r="AL1769" s="102"/>
      <c r="AM1769" s="102"/>
      <c r="AN1769" s="102"/>
      <c r="AO1769" s="102"/>
      <c r="AP1769" s="102"/>
      <c r="AQ1769" s="102"/>
      <c r="AR1769" s="102"/>
      <c r="AS1769" s="102"/>
      <c r="AT1769" s="102"/>
      <c r="AU1769" s="102"/>
      <c r="AV1769" s="102"/>
      <c r="AW1769" s="102"/>
      <c r="AX1769" s="102"/>
      <c r="AY1769" s="102"/>
      <c r="AZ1769" s="101"/>
      <c r="BB1769" s="101"/>
      <c r="BD1769" s="101"/>
      <c r="BQ1769" s="159"/>
    </row>
    <row r="1770" spans="2:69" s="103" customFormat="1" ht="13.5">
      <c r="B1770" s="141" t="s">
        <v>2566</v>
      </c>
      <c r="C1770" s="101"/>
      <c r="D1770" s="101" t="s">
        <v>34</v>
      </c>
      <c r="E1770" s="102"/>
      <c r="H1770" s="101"/>
      <c r="J1770" s="101"/>
      <c r="K1770" s="101"/>
      <c r="L1770" s="102"/>
      <c r="M1770" s="102"/>
      <c r="N1770" s="101"/>
      <c r="O1770" s="102"/>
      <c r="R1770" s="101" t="s">
        <v>44</v>
      </c>
      <c r="S1770" s="101"/>
      <c r="T1770" s="101" t="s">
        <v>35</v>
      </c>
      <c r="AI1770" s="102"/>
      <c r="AJ1770" s="102"/>
      <c r="AK1770" s="102"/>
      <c r="AL1770" s="102"/>
      <c r="AM1770" s="102"/>
      <c r="AN1770" s="102"/>
      <c r="AO1770" s="102"/>
      <c r="AP1770" s="102"/>
      <c r="AQ1770" s="102"/>
      <c r="AR1770" s="102"/>
      <c r="AS1770" s="102"/>
      <c r="AT1770" s="102"/>
      <c r="AU1770" s="102"/>
      <c r="AV1770" s="102"/>
      <c r="AW1770" s="102"/>
      <c r="AX1770" s="102"/>
      <c r="AY1770" s="102"/>
      <c r="AZ1770" s="101"/>
      <c r="BB1770" s="101"/>
      <c r="BD1770" s="101"/>
      <c r="BQ1770" s="159"/>
    </row>
    <row r="1771" spans="2:69" s="103" customFormat="1" ht="13.5">
      <c r="B1771" s="141" t="s">
        <v>2567</v>
      </c>
      <c r="C1771" s="101"/>
      <c r="D1771" s="101" t="s">
        <v>34</v>
      </c>
      <c r="E1771" s="102"/>
      <c r="H1771" s="101"/>
      <c r="J1771" s="101"/>
      <c r="K1771" s="101"/>
      <c r="L1771" s="102"/>
      <c r="M1771" s="102"/>
      <c r="N1771" s="101"/>
      <c r="O1771" s="102"/>
      <c r="R1771" s="101" t="s">
        <v>44</v>
      </c>
      <c r="S1771" s="101"/>
      <c r="T1771" s="101" t="s">
        <v>35</v>
      </c>
      <c r="AI1771" s="102"/>
      <c r="AJ1771" s="102"/>
      <c r="AK1771" s="102"/>
      <c r="AL1771" s="102"/>
      <c r="AM1771" s="102"/>
      <c r="AN1771" s="102"/>
      <c r="AO1771" s="102"/>
      <c r="AP1771" s="102"/>
      <c r="AQ1771" s="102"/>
      <c r="AR1771" s="102"/>
      <c r="AS1771" s="102"/>
      <c r="AT1771" s="102"/>
      <c r="AU1771" s="102"/>
      <c r="AV1771" s="102"/>
      <c r="AW1771" s="102"/>
      <c r="AX1771" s="102"/>
      <c r="AY1771" s="102"/>
      <c r="AZ1771" s="101"/>
      <c r="BB1771" s="101"/>
      <c r="BD1771" s="101"/>
      <c r="BQ1771" s="159"/>
    </row>
    <row r="1772" spans="2:69" s="103" customFormat="1" ht="13.5">
      <c r="B1772" s="141" t="s">
        <v>2568</v>
      </c>
      <c r="C1772" s="101"/>
      <c r="D1772" s="101" t="s">
        <v>34</v>
      </c>
      <c r="E1772" s="102"/>
      <c r="H1772" s="101"/>
      <c r="J1772" s="101"/>
      <c r="K1772" s="101"/>
      <c r="L1772" s="102"/>
      <c r="M1772" s="102"/>
      <c r="N1772" s="101"/>
      <c r="O1772" s="102"/>
      <c r="R1772" s="101" t="s">
        <v>44</v>
      </c>
      <c r="S1772" s="101"/>
      <c r="T1772" s="101" t="s">
        <v>35</v>
      </c>
      <c r="AI1772" s="102"/>
      <c r="AJ1772" s="102"/>
      <c r="AK1772" s="102"/>
      <c r="AL1772" s="102"/>
      <c r="AM1772" s="102"/>
      <c r="AN1772" s="102"/>
      <c r="AO1772" s="102"/>
      <c r="AP1772" s="102"/>
      <c r="AQ1772" s="102"/>
      <c r="AR1772" s="102"/>
      <c r="AS1772" s="102"/>
      <c r="AT1772" s="102"/>
      <c r="AU1772" s="102"/>
      <c r="AV1772" s="102"/>
      <c r="AW1772" s="102"/>
      <c r="AX1772" s="102"/>
      <c r="AY1772" s="102"/>
      <c r="AZ1772" s="101"/>
      <c r="BB1772" s="101"/>
      <c r="BD1772" s="101"/>
      <c r="BQ1772" s="159"/>
    </row>
    <row r="1773" spans="2:69" s="103" customFormat="1" ht="13.5">
      <c r="B1773" s="141" t="s">
        <v>2569</v>
      </c>
      <c r="C1773" s="101"/>
      <c r="D1773" s="101" t="s">
        <v>34</v>
      </c>
      <c r="E1773" s="102"/>
      <c r="H1773" s="101"/>
      <c r="J1773" s="101"/>
      <c r="K1773" s="101"/>
      <c r="L1773" s="102"/>
      <c r="M1773" s="102"/>
      <c r="N1773" s="101"/>
      <c r="O1773" s="102"/>
      <c r="R1773" s="101" t="s">
        <v>44</v>
      </c>
      <c r="S1773" s="101"/>
      <c r="T1773" s="101" t="s">
        <v>35</v>
      </c>
      <c r="AI1773" s="102"/>
      <c r="AJ1773" s="102"/>
      <c r="AK1773" s="102"/>
      <c r="AL1773" s="102"/>
      <c r="AM1773" s="102"/>
      <c r="AN1773" s="102"/>
      <c r="AO1773" s="102"/>
      <c r="AP1773" s="102"/>
      <c r="AQ1773" s="102"/>
      <c r="AR1773" s="102"/>
      <c r="AS1773" s="102"/>
      <c r="AT1773" s="102"/>
      <c r="AU1773" s="102"/>
      <c r="AV1773" s="102"/>
      <c r="AW1773" s="102"/>
      <c r="AX1773" s="102"/>
      <c r="AY1773" s="102"/>
      <c r="AZ1773" s="101"/>
      <c r="BB1773" s="101"/>
      <c r="BD1773" s="101"/>
      <c r="BQ1773" s="159"/>
    </row>
    <row r="1774" spans="2:69" s="103" customFormat="1" ht="13.5">
      <c r="B1774" s="141" t="s">
        <v>2570</v>
      </c>
      <c r="C1774" s="101"/>
      <c r="D1774" s="101" t="s">
        <v>34</v>
      </c>
      <c r="E1774" s="102"/>
      <c r="H1774" s="101"/>
      <c r="J1774" s="101"/>
      <c r="K1774" s="101"/>
      <c r="L1774" s="102"/>
      <c r="M1774" s="102"/>
      <c r="N1774" s="101"/>
      <c r="O1774" s="102"/>
      <c r="R1774" s="101" t="s">
        <v>43</v>
      </c>
      <c r="S1774" s="101"/>
      <c r="T1774" s="101" t="s">
        <v>35</v>
      </c>
      <c r="AI1774" s="102"/>
      <c r="AJ1774" s="102"/>
      <c r="AK1774" s="102"/>
      <c r="AL1774" s="102"/>
      <c r="AM1774" s="102"/>
      <c r="AN1774" s="102"/>
      <c r="AO1774" s="102"/>
      <c r="AP1774" s="102"/>
      <c r="AQ1774" s="102"/>
      <c r="AR1774" s="102"/>
      <c r="AS1774" s="102"/>
      <c r="AT1774" s="102"/>
      <c r="AU1774" s="102"/>
      <c r="AV1774" s="102"/>
      <c r="AW1774" s="102"/>
      <c r="AX1774" s="102"/>
      <c r="AY1774" s="102"/>
      <c r="AZ1774" s="101"/>
      <c r="BB1774" s="101"/>
      <c r="BD1774" s="101"/>
      <c r="BQ1774" s="159"/>
    </row>
    <row r="1775" spans="2:69" s="103" customFormat="1" ht="13.5">
      <c r="B1775" s="141" t="s">
        <v>2571</v>
      </c>
      <c r="C1775" s="101"/>
      <c r="D1775" s="101" t="s">
        <v>34</v>
      </c>
      <c r="E1775" s="102"/>
      <c r="H1775" s="101"/>
      <c r="J1775" s="101"/>
      <c r="K1775" s="101"/>
      <c r="L1775" s="102"/>
      <c r="M1775" s="102"/>
      <c r="N1775" s="101"/>
      <c r="O1775" s="102"/>
      <c r="R1775" s="101" t="s">
        <v>42</v>
      </c>
      <c r="S1775" s="101"/>
      <c r="T1775" s="101" t="s">
        <v>35</v>
      </c>
      <c r="AI1775" s="102"/>
      <c r="AJ1775" s="102"/>
      <c r="AK1775" s="102"/>
      <c r="AL1775" s="102"/>
      <c r="AM1775" s="102"/>
      <c r="AN1775" s="102"/>
      <c r="AO1775" s="102"/>
      <c r="AP1775" s="102"/>
      <c r="AQ1775" s="102"/>
      <c r="AR1775" s="102"/>
      <c r="AS1775" s="102"/>
      <c r="AT1775" s="102"/>
      <c r="AU1775" s="102"/>
      <c r="AV1775" s="102"/>
      <c r="AW1775" s="102"/>
      <c r="AX1775" s="102"/>
      <c r="AY1775" s="102"/>
      <c r="AZ1775" s="101"/>
      <c r="BB1775" s="101"/>
      <c r="BD1775" s="101"/>
      <c r="BQ1775" s="159"/>
    </row>
    <row r="1776" spans="2:69" s="103" customFormat="1" ht="13.5">
      <c r="B1776" s="141" t="s">
        <v>2572</v>
      </c>
      <c r="C1776" s="101"/>
      <c r="D1776" s="101" t="s">
        <v>34</v>
      </c>
      <c r="E1776" s="102"/>
      <c r="H1776" s="101"/>
      <c r="J1776" s="101"/>
      <c r="K1776" s="101"/>
      <c r="L1776" s="102"/>
      <c r="M1776" s="102"/>
      <c r="N1776" s="101"/>
      <c r="O1776" s="102"/>
      <c r="R1776" s="101" t="s">
        <v>44</v>
      </c>
      <c r="S1776" s="101"/>
      <c r="T1776" s="101" t="s">
        <v>35</v>
      </c>
      <c r="AI1776" s="102"/>
      <c r="AJ1776" s="102"/>
      <c r="AK1776" s="102"/>
      <c r="AL1776" s="102"/>
      <c r="AM1776" s="102"/>
      <c r="AN1776" s="102"/>
      <c r="AO1776" s="102"/>
      <c r="AP1776" s="102"/>
      <c r="AQ1776" s="102"/>
      <c r="AR1776" s="102"/>
      <c r="AS1776" s="102"/>
      <c r="AT1776" s="102"/>
      <c r="AU1776" s="102"/>
      <c r="AV1776" s="102"/>
      <c r="AW1776" s="102"/>
      <c r="AX1776" s="102"/>
      <c r="AY1776" s="102"/>
      <c r="AZ1776" s="101"/>
      <c r="BB1776" s="101"/>
      <c r="BD1776" s="101"/>
      <c r="BQ1776" s="159"/>
    </row>
    <row r="1777" spans="2:69" s="103" customFormat="1" ht="13.5">
      <c r="B1777" s="141" t="s">
        <v>2573</v>
      </c>
      <c r="C1777" s="101"/>
      <c r="D1777" s="101" t="s">
        <v>34</v>
      </c>
      <c r="E1777" s="102"/>
      <c r="H1777" s="101"/>
      <c r="J1777" s="101"/>
      <c r="K1777" s="101"/>
      <c r="L1777" s="102"/>
      <c r="M1777" s="102"/>
      <c r="N1777" s="101"/>
      <c r="O1777" s="102"/>
      <c r="R1777" s="101" t="s">
        <v>42</v>
      </c>
      <c r="S1777" s="101"/>
      <c r="T1777" s="101" t="s">
        <v>35</v>
      </c>
      <c r="AI1777" s="102"/>
      <c r="AJ1777" s="102"/>
      <c r="AK1777" s="102"/>
      <c r="AL1777" s="102"/>
      <c r="AM1777" s="102"/>
      <c r="AN1777" s="102"/>
      <c r="AO1777" s="102"/>
      <c r="AP1777" s="102"/>
      <c r="AQ1777" s="102"/>
      <c r="AR1777" s="102"/>
      <c r="AS1777" s="102"/>
      <c r="AT1777" s="102"/>
      <c r="AU1777" s="102"/>
      <c r="AV1777" s="102"/>
      <c r="AW1777" s="102"/>
      <c r="AX1777" s="102"/>
      <c r="AY1777" s="102"/>
      <c r="AZ1777" s="101"/>
      <c r="BB1777" s="101"/>
      <c r="BD1777" s="101"/>
      <c r="BQ1777" s="159"/>
    </row>
    <row r="1778" spans="2:69" s="103" customFormat="1" ht="13.5">
      <c r="B1778" s="141" t="s">
        <v>2574</v>
      </c>
      <c r="C1778" s="101"/>
      <c r="D1778" s="101" t="s">
        <v>34</v>
      </c>
      <c r="E1778" s="102"/>
      <c r="H1778" s="101"/>
      <c r="J1778" s="101"/>
      <c r="K1778" s="101"/>
      <c r="L1778" s="102"/>
      <c r="M1778" s="102"/>
      <c r="N1778" s="101"/>
      <c r="O1778" s="102"/>
      <c r="R1778" s="101" t="s">
        <v>43</v>
      </c>
      <c r="S1778" s="101"/>
      <c r="T1778" s="101" t="s">
        <v>35</v>
      </c>
      <c r="AI1778" s="102"/>
      <c r="AJ1778" s="102"/>
      <c r="AK1778" s="102"/>
      <c r="AL1778" s="102"/>
      <c r="AM1778" s="102"/>
      <c r="AN1778" s="102"/>
      <c r="AO1778" s="102"/>
      <c r="AP1778" s="102"/>
      <c r="AQ1778" s="102"/>
      <c r="AR1778" s="102"/>
      <c r="AS1778" s="102"/>
      <c r="AT1778" s="102"/>
      <c r="AU1778" s="102"/>
      <c r="AV1778" s="102"/>
      <c r="AW1778" s="102"/>
      <c r="AX1778" s="102"/>
      <c r="AY1778" s="102"/>
      <c r="AZ1778" s="101"/>
      <c r="BB1778" s="101"/>
      <c r="BD1778" s="101"/>
      <c r="BQ1778" s="159"/>
    </row>
    <row r="1779" spans="2:69" s="103" customFormat="1" ht="13.5">
      <c r="B1779" s="141" t="s">
        <v>2575</v>
      </c>
      <c r="C1779" s="101"/>
      <c r="D1779" s="101" t="s">
        <v>34</v>
      </c>
      <c r="E1779" s="102"/>
      <c r="H1779" s="101"/>
      <c r="J1779" s="101"/>
      <c r="K1779" s="101"/>
      <c r="L1779" s="102"/>
      <c r="M1779" s="102"/>
      <c r="N1779" s="101"/>
      <c r="O1779" s="102"/>
      <c r="R1779" s="101"/>
      <c r="S1779" s="101"/>
      <c r="T1779" s="101" t="s">
        <v>35</v>
      </c>
      <c r="AI1779" s="102"/>
      <c r="AJ1779" s="102"/>
      <c r="AK1779" s="102"/>
      <c r="AL1779" s="102"/>
      <c r="AM1779" s="102"/>
      <c r="AN1779" s="102"/>
      <c r="AO1779" s="102"/>
      <c r="AP1779" s="102"/>
      <c r="AQ1779" s="102"/>
      <c r="AR1779" s="102"/>
      <c r="AS1779" s="102"/>
      <c r="AT1779" s="102"/>
      <c r="AU1779" s="102"/>
      <c r="AV1779" s="102"/>
      <c r="AW1779" s="102"/>
      <c r="AX1779" s="102"/>
      <c r="AY1779" s="102"/>
      <c r="AZ1779" s="101"/>
      <c r="BB1779" s="101"/>
      <c r="BD1779" s="101"/>
      <c r="BQ1779" s="159"/>
    </row>
    <row r="1780" spans="2:69" s="103" customFormat="1" ht="13.5">
      <c r="B1780" s="141" t="s">
        <v>2575</v>
      </c>
      <c r="C1780" s="101"/>
      <c r="D1780" s="101" t="s">
        <v>34</v>
      </c>
      <c r="E1780" s="102"/>
      <c r="H1780" s="101"/>
      <c r="J1780" s="101"/>
      <c r="K1780" s="101"/>
      <c r="L1780" s="102"/>
      <c r="M1780" s="102"/>
      <c r="N1780" s="101"/>
      <c r="O1780" s="102"/>
      <c r="R1780" s="101"/>
      <c r="S1780" s="101"/>
      <c r="T1780" s="101"/>
      <c r="AI1780" s="102"/>
      <c r="AJ1780" s="102"/>
      <c r="AK1780" s="102"/>
      <c r="AL1780" s="102"/>
      <c r="AM1780" s="102"/>
      <c r="AN1780" s="102"/>
      <c r="AO1780" s="102"/>
      <c r="AP1780" s="102"/>
      <c r="AQ1780" s="102"/>
      <c r="AR1780" s="102"/>
      <c r="AS1780" s="102"/>
      <c r="AT1780" s="102"/>
      <c r="AU1780" s="102"/>
      <c r="AV1780" s="102"/>
      <c r="AW1780" s="102"/>
      <c r="AX1780" s="102"/>
      <c r="AY1780" s="102"/>
      <c r="AZ1780" s="101"/>
      <c r="BB1780" s="101"/>
      <c r="BD1780" s="101"/>
      <c r="BQ1780" s="159"/>
    </row>
    <row r="1781" spans="2:69" s="103" customFormat="1" ht="13.5">
      <c r="B1781" s="141" t="s">
        <v>2576</v>
      </c>
      <c r="C1781" s="101"/>
      <c r="D1781" s="101" t="s">
        <v>34</v>
      </c>
      <c r="E1781" s="102"/>
      <c r="H1781" s="101"/>
      <c r="J1781" s="101"/>
      <c r="K1781" s="101"/>
      <c r="L1781" s="102"/>
      <c r="M1781" s="102"/>
      <c r="N1781" s="101"/>
      <c r="O1781" s="102"/>
      <c r="R1781" s="101" t="s">
        <v>42</v>
      </c>
      <c r="S1781" s="101"/>
      <c r="T1781" s="101"/>
      <c r="AI1781" s="102"/>
      <c r="AJ1781" s="102"/>
      <c r="AK1781" s="102"/>
      <c r="AL1781" s="102"/>
      <c r="AM1781" s="102"/>
      <c r="AN1781" s="102"/>
      <c r="AO1781" s="102"/>
      <c r="AP1781" s="102"/>
      <c r="AQ1781" s="102"/>
      <c r="AR1781" s="102"/>
      <c r="AS1781" s="102"/>
      <c r="AT1781" s="102"/>
      <c r="AU1781" s="102"/>
      <c r="AV1781" s="102"/>
      <c r="AW1781" s="102"/>
      <c r="AX1781" s="102"/>
      <c r="AY1781" s="102"/>
      <c r="AZ1781" s="101"/>
      <c r="BB1781" s="101"/>
      <c r="BD1781" s="101"/>
      <c r="BQ1781" s="159"/>
    </row>
    <row r="1782" spans="2:69" s="103" customFormat="1" ht="13.5">
      <c r="B1782" s="141" t="s">
        <v>2577</v>
      </c>
      <c r="C1782" s="101"/>
      <c r="D1782" s="101"/>
      <c r="E1782" s="102"/>
      <c r="H1782" s="101"/>
      <c r="J1782" s="101"/>
      <c r="K1782" s="101"/>
      <c r="L1782" s="102"/>
      <c r="M1782" s="102"/>
      <c r="N1782" s="101"/>
      <c r="O1782" s="102"/>
      <c r="R1782" s="101" t="s">
        <v>42</v>
      </c>
      <c r="S1782" s="101"/>
      <c r="T1782" s="101"/>
      <c r="AI1782" s="102"/>
      <c r="AJ1782" s="102"/>
      <c r="AK1782" s="102"/>
      <c r="AL1782" s="102"/>
      <c r="AM1782" s="102"/>
      <c r="AN1782" s="102"/>
      <c r="AO1782" s="102"/>
      <c r="AP1782" s="102"/>
      <c r="AQ1782" s="102"/>
      <c r="AR1782" s="102"/>
      <c r="AS1782" s="102"/>
      <c r="AT1782" s="102"/>
      <c r="AU1782" s="102"/>
      <c r="AV1782" s="102"/>
      <c r="AW1782" s="102"/>
      <c r="AX1782" s="102"/>
      <c r="AY1782" s="102"/>
      <c r="AZ1782" s="101"/>
      <c r="BB1782" s="101"/>
      <c r="BD1782" s="101"/>
      <c r="BQ1782" s="159"/>
    </row>
    <row r="1783" spans="2:69" s="103" customFormat="1" ht="13.5">
      <c r="B1783" s="141" t="s">
        <v>2578</v>
      </c>
      <c r="C1783" s="101"/>
      <c r="D1783" s="101"/>
      <c r="E1783" s="102"/>
      <c r="H1783" s="101"/>
      <c r="J1783" s="101"/>
      <c r="K1783" s="101"/>
      <c r="L1783" s="102"/>
      <c r="M1783" s="102"/>
      <c r="N1783" s="101"/>
      <c r="O1783" s="102"/>
      <c r="R1783" s="101" t="s">
        <v>42</v>
      </c>
      <c r="S1783" s="101"/>
      <c r="T1783" s="101"/>
      <c r="AI1783" s="102"/>
      <c r="AJ1783" s="102"/>
      <c r="AK1783" s="102"/>
      <c r="AL1783" s="102"/>
      <c r="AM1783" s="102"/>
      <c r="AN1783" s="102"/>
      <c r="AO1783" s="102"/>
      <c r="AP1783" s="102"/>
      <c r="AQ1783" s="102"/>
      <c r="AR1783" s="102"/>
      <c r="AS1783" s="102"/>
      <c r="AT1783" s="102"/>
      <c r="AU1783" s="102"/>
      <c r="AV1783" s="102"/>
      <c r="AW1783" s="102"/>
      <c r="AX1783" s="102"/>
      <c r="AY1783" s="102"/>
      <c r="AZ1783" s="101"/>
      <c r="BB1783" s="101"/>
      <c r="BD1783" s="101"/>
      <c r="BQ1783" s="159"/>
    </row>
    <row r="1784" spans="2:69" s="103" customFormat="1" ht="13.5">
      <c r="B1784" s="141" t="s">
        <v>2579</v>
      </c>
      <c r="C1784" s="101"/>
      <c r="D1784" s="101"/>
      <c r="E1784" s="102"/>
      <c r="H1784" s="101"/>
      <c r="J1784" s="101"/>
      <c r="K1784" s="101"/>
      <c r="L1784" s="102"/>
      <c r="M1784" s="102"/>
      <c r="N1784" s="101"/>
      <c r="O1784" s="102"/>
      <c r="R1784" s="101"/>
      <c r="S1784" s="101"/>
      <c r="T1784" s="101"/>
      <c r="AI1784" s="102"/>
      <c r="AJ1784" s="102"/>
      <c r="AK1784" s="102"/>
      <c r="AL1784" s="102"/>
      <c r="AM1784" s="102"/>
      <c r="AN1784" s="102"/>
      <c r="AO1784" s="102"/>
      <c r="AP1784" s="102"/>
      <c r="AQ1784" s="102"/>
      <c r="AR1784" s="102"/>
      <c r="AS1784" s="102"/>
      <c r="AT1784" s="102"/>
      <c r="AU1784" s="102"/>
      <c r="AV1784" s="102"/>
      <c r="AW1784" s="102"/>
      <c r="AX1784" s="102"/>
      <c r="AY1784" s="102"/>
      <c r="AZ1784" s="101"/>
      <c r="BB1784" s="101"/>
      <c r="BD1784" s="101"/>
      <c r="BQ1784" s="159"/>
    </row>
    <row r="1785" spans="2:69" s="103" customFormat="1" ht="13.5">
      <c r="B1785" s="141" t="s">
        <v>2580</v>
      </c>
      <c r="C1785" s="101"/>
      <c r="D1785" s="101" t="s">
        <v>1532</v>
      </c>
      <c r="E1785" s="102"/>
      <c r="H1785" s="101"/>
      <c r="J1785" s="101"/>
      <c r="K1785" s="101"/>
      <c r="L1785" s="102"/>
      <c r="M1785" s="102"/>
      <c r="N1785" s="101"/>
      <c r="O1785" s="102"/>
      <c r="R1785" s="101" t="s">
        <v>42</v>
      </c>
      <c r="S1785" s="101"/>
      <c r="T1785" s="101"/>
      <c r="AI1785" s="102"/>
      <c r="AJ1785" s="102"/>
      <c r="AK1785" s="102"/>
      <c r="AL1785" s="102"/>
      <c r="AM1785" s="102"/>
      <c r="AN1785" s="102"/>
      <c r="AO1785" s="102"/>
      <c r="AP1785" s="102"/>
      <c r="AQ1785" s="102"/>
      <c r="AR1785" s="102"/>
      <c r="AS1785" s="102"/>
      <c r="AT1785" s="102"/>
      <c r="AU1785" s="102"/>
      <c r="AV1785" s="102"/>
      <c r="AW1785" s="102"/>
      <c r="AX1785" s="102"/>
      <c r="AY1785" s="102"/>
      <c r="AZ1785" s="101"/>
      <c r="BB1785" s="101"/>
      <c r="BD1785" s="101"/>
      <c r="BQ1785" s="159"/>
    </row>
    <row r="1786" spans="2:69" s="103" customFormat="1" ht="13.5">
      <c r="B1786" s="141"/>
      <c r="C1786" s="101"/>
      <c r="D1786" s="101"/>
      <c r="E1786" s="102"/>
      <c r="H1786" s="101"/>
      <c r="J1786" s="101"/>
      <c r="K1786" s="101"/>
      <c r="L1786" s="102"/>
      <c r="M1786" s="102"/>
      <c r="N1786" s="101"/>
      <c r="O1786" s="102"/>
      <c r="R1786" s="101"/>
      <c r="S1786" s="101"/>
      <c r="T1786" s="101"/>
      <c r="AI1786" s="102"/>
      <c r="AJ1786" s="102"/>
      <c r="AK1786" s="102"/>
      <c r="AL1786" s="102"/>
      <c r="AM1786" s="102"/>
      <c r="AN1786" s="102"/>
      <c r="AO1786" s="102"/>
      <c r="AP1786" s="102"/>
      <c r="AQ1786" s="102"/>
      <c r="AR1786" s="102"/>
      <c r="AS1786" s="102"/>
      <c r="AT1786" s="102"/>
      <c r="AU1786" s="102"/>
      <c r="AV1786" s="102"/>
      <c r="AW1786" s="102"/>
      <c r="AX1786" s="102"/>
      <c r="AY1786" s="102"/>
      <c r="AZ1786" s="101"/>
      <c r="BB1786" s="101"/>
      <c r="BD1786" s="101"/>
      <c r="BQ1786" s="159"/>
    </row>
    <row r="1787" spans="2:69" s="103" customFormat="1" ht="13.5">
      <c r="B1787" s="141" t="s">
        <v>2527</v>
      </c>
      <c r="C1787" s="101"/>
      <c r="D1787" s="101"/>
      <c r="E1787" s="105"/>
      <c r="H1787" s="101"/>
      <c r="J1787" s="101"/>
      <c r="K1787" s="101"/>
      <c r="L1787" s="105"/>
      <c r="M1787" s="105"/>
      <c r="N1787" s="101"/>
      <c r="O1787" s="105"/>
      <c r="R1787" s="101"/>
      <c r="S1787" s="101"/>
      <c r="T1787" s="101"/>
      <c r="AI1787" s="105"/>
      <c r="AJ1787" s="105"/>
      <c r="AK1787" s="105"/>
      <c r="AL1787" s="105"/>
      <c r="AM1787" s="105"/>
      <c r="AN1787" s="105"/>
      <c r="AO1787" s="105"/>
      <c r="AP1787" s="105"/>
      <c r="AQ1787" s="105"/>
      <c r="AR1787" s="105"/>
      <c r="AS1787" s="105"/>
      <c r="AT1787" s="105"/>
      <c r="AU1787" s="105"/>
      <c r="AV1787" s="105"/>
      <c r="AW1787" s="105"/>
      <c r="AX1787" s="105"/>
      <c r="AY1787" s="105"/>
      <c r="AZ1787" s="101"/>
      <c r="BB1787" s="101"/>
      <c r="BD1787" s="101"/>
      <c r="BQ1787" s="159"/>
    </row>
    <row r="1788" spans="2:69" s="103" customFormat="1" ht="13.5">
      <c r="B1788" s="141" t="s">
        <v>2528</v>
      </c>
      <c r="C1788" s="101"/>
      <c r="D1788" s="101"/>
      <c r="E1788" s="105"/>
      <c r="H1788" s="101"/>
      <c r="J1788" s="101"/>
      <c r="K1788" s="101"/>
      <c r="L1788" s="105"/>
      <c r="M1788" s="105"/>
      <c r="N1788" s="101"/>
      <c r="O1788" s="105"/>
      <c r="R1788" s="101"/>
      <c r="S1788" s="101"/>
      <c r="T1788" s="101"/>
      <c r="AI1788" s="105"/>
      <c r="AJ1788" s="105"/>
      <c r="AK1788" s="105"/>
      <c r="AL1788" s="105"/>
      <c r="AM1788" s="105"/>
      <c r="AN1788" s="105"/>
      <c r="AO1788" s="105"/>
      <c r="AP1788" s="105"/>
      <c r="AQ1788" s="105"/>
      <c r="AR1788" s="105"/>
      <c r="AS1788" s="105"/>
      <c r="AT1788" s="105"/>
      <c r="AU1788" s="105"/>
      <c r="AV1788" s="105"/>
      <c r="AW1788" s="105"/>
      <c r="AX1788" s="105"/>
      <c r="AY1788" s="105"/>
      <c r="AZ1788" s="101"/>
      <c r="BB1788" s="101"/>
      <c r="BD1788" s="101"/>
      <c r="BQ1788" s="159"/>
    </row>
    <row r="1789" spans="2:69" s="103" customFormat="1" ht="13.5">
      <c r="B1789" s="141" t="s">
        <v>2529</v>
      </c>
      <c r="C1789" s="101"/>
      <c r="D1789" s="101"/>
      <c r="E1789" s="105"/>
      <c r="H1789" s="101"/>
      <c r="J1789" s="101"/>
      <c r="K1789" s="101"/>
      <c r="L1789" s="105"/>
      <c r="M1789" s="105"/>
      <c r="N1789" s="101"/>
      <c r="O1789" s="105"/>
      <c r="R1789" s="101"/>
      <c r="S1789" s="101"/>
      <c r="T1789" s="101"/>
      <c r="AI1789" s="105"/>
      <c r="AJ1789" s="105"/>
      <c r="AK1789" s="105"/>
      <c r="AL1789" s="105"/>
      <c r="AM1789" s="105"/>
      <c r="AN1789" s="105"/>
      <c r="AO1789" s="105"/>
      <c r="AP1789" s="105"/>
      <c r="AQ1789" s="105"/>
      <c r="AR1789" s="105"/>
      <c r="AS1789" s="105"/>
      <c r="AT1789" s="105"/>
      <c r="AU1789" s="105"/>
      <c r="AV1789" s="105"/>
      <c r="AW1789" s="105"/>
      <c r="AX1789" s="105"/>
      <c r="AY1789" s="105"/>
      <c r="AZ1789" s="101"/>
      <c r="BB1789" s="101"/>
      <c r="BD1789" s="101"/>
      <c r="BQ1789" s="159"/>
    </row>
    <row r="1790" spans="2:69" s="103" customFormat="1" ht="13.5">
      <c r="B1790" s="141" t="s">
        <v>2542</v>
      </c>
      <c r="C1790" s="101"/>
      <c r="D1790" s="101"/>
      <c r="E1790" s="105"/>
      <c r="H1790" s="101"/>
      <c r="J1790" s="101"/>
      <c r="K1790" s="101"/>
      <c r="L1790" s="105"/>
      <c r="M1790" s="105"/>
      <c r="N1790" s="101"/>
      <c r="O1790" s="105"/>
      <c r="R1790" s="101"/>
      <c r="S1790" s="101"/>
      <c r="T1790" s="101"/>
      <c r="AI1790" s="105"/>
      <c r="AJ1790" s="105"/>
      <c r="AK1790" s="105"/>
      <c r="AL1790" s="105"/>
      <c r="AM1790" s="105"/>
      <c r="AN1790" s="105"/>
      <c r="AO1790" s="105"/>
      <c r="AP1790" s="105"/>
      <c r="AQ1790" s="105"/>
      <c r="AR1790" s="105"/>
      <c r="AS1790" s="105"/>
      <c r="AT1790" s="105"/>
      <c r="AU1790" s="105"/>
      <c r="AV1790" s="105"/>
      <c r="AW1790" s="105"/>
      <c r="AX1790" s="105"/>
      <c r="AY1790" s="105"/>
      <c r="AZ1790" s="101"/>
      <c r="BB1790" s="101"/>
      <c r="BD1790" s="101"/>
      <c r="BQ1790" s="159"/>
    </row>
    <row r="1791" spans="2:69" s="103" customFormat="1" ht="13.5">
      <c r="B1791" s="141" t="s">
        <v>2543</v>
      </c>
      <c r="C1791" s="101"/>
      <c r="D1791" s="101"/>
      <c r="E1791" s="105"/>
      <c r="H1791" s="101"/>
      <c r="J1791" s="101"/>
      <c r="K1791" s="101"/>
      <c r="L1791" s="105"/>
      <c r="M1791" s="105"/>
      <c r="N1791" s="101"/>
      <c r="O1791" s="105"/>
      <c r="R1791" s="101"/>
      <c r="S1791" s="101"/>
      <c r="T1791" s="101"/>
      <c r="AI1791" s="105"/>
      <c r="AJ1791" s="105"/>
      <c r="AK1791" s="105"/>
      <c r="AL1791" s="105"/>
      <c r="AM1791" s="105"/>
      <c r="AN1791" s="105"/>
      <c r="AO1791" s="105"/>
      <c r="AP1791" s="105"/>
      <c r="AQ1791" s="105"/>
      <c r="AR1791" s="105"/>
      <c r="AS1791" s="105"/>
      <c r="AT1791" s="105"/>
      <c r="AU1791" s="105"/>
      <c r="AV1791" s="105"/>
      <c r="AW1791" s="105"/>
      <c r="AX1791" s="105"/>
      <c r="AY1791" s="105"/>
      <c r="AZ1791" s="101"/>
      <c r="BB1791" s="101"/>
      <c r="BD1791" s="101"/>
      <c r="BQ1791" s="159"/>
    </row>
    <row r="1792" spans="2:69" s="103" customFormat="1" ht="13.5">
      <c r="B1792" s="141"/>
      <c r="C1792" s="101"/>
      <c r="D1792" s="101"/>
      <c r="E1792" s="105"/>
      <c r="H1792" s="101"/>
      <c r="J1792" s="101"/>
      <c r="K1792" s="101"/>
      <c r="L1792" s="105"/>
      <c r="M1792" s="105"/>
      <c r="N1792" s="101"/>
      <c r="O1792" s="105"/>
      <c r="R1792" s="101"/>
      <c r="S1792" s="101"/>
      <c r="T1792" s="101"/>
      <c r="AI1792" s="105"/>
      <c r="AJ1792" s="105"/>
      <c r="AK1792" s="105"/>
      <c r="AL1792" s="105"/>
      <c r="AM1792" s="105"/>
      <c r="AN1792" s="105"/>
      <c r="AO1792" s="105"/>
      <c r="AP1792" s="105"/>
      <c r="AQ1792" s="105"/>
      <c r="AR1792" s="105"/>
      <c r="AS1792" s="105"/>
      <c r="AT1792" s="105"/>
      <c r="AU1792" s="105"/>
      <c r="AV1792" s="105"/>
      <c r="AW1792" s="105"/>
      <c r="AX1792" s="105"/>
      <c r="AY1792" s="105"/>
      <c r="AZ1792" s="101"/>
      <c r="BB1792" s="101"/>
      <c r="BD1792" s="101"/>
      <c r="BQ1792" s="159"/>
    </row>
    <row r="1793" spans="2:69" s="103" customFormat="1" ht="13.5">
      <c r="B1793" s="141" t="s">
        <v>2530</v>
      </c>
      <c r="C1793" s="101"/>
      <c r="D1793" s="101"/>
      <c r="E1793" s="105"/>
      <c r="H1793" s="101"/>
      <c r="J1793" s="101"/>
      <c r="K1793" s="101"/>
      <c r="L1793" s="105"/>
      <c r="M1793" s="105"/>
      <c r="N1793" s="101"/>
      <c r="O1793" s="105"/>
      <c r="R1793" s="101"/>
      <c r="S1793" s="101"/>
      <c r="T1793" s="101"/>
      <c r="AI1793" s="105"/>
      <c r="AJ1793" s="105"/>
      <c r="AK1793" s="105"/>
      <c r="AL1793" s="105"/>
      <c r="AM1793" s="105"/>
      <c r="AN1793" s="105"/>
      <c r="AO1793" s="105"/>
      <c r="AP1793" s="105"/>
      <c r="AQ1793" s="105"/>
      <c r="AR1793" s="105"/>
      <c r="AS1793" s="105"/>
      <c r="AT1793" s="105"/>
      <c r="AU1793" s="105"/>
      <c r="AV1793" s="105"/>
      <c r="AW1793" s="105"/>
      <c r="AX1793" s="105"/>
      <c r="AY1793" s="105"/>
      <c r="AZ1793" s="101"/>
      <c r="BB1793" s="101"/>
      <c r="BD1793" s="101"/>
      <c r="BQ1793" s="159"/>
    </row>
    <row r="1794" spans="2:69" s="103" customFormat="1" ht="13.5">
      <c r="B1794" s="141" t="s">
        <v>2581</v>
      </c>
      <c r="C1794" s="101"/>
      <c r="D1794" s="101"/>
      <c r="E1794" s="105"/>
      <c r="H1794" s="101"/>
      <c r="J1794" s="101"/>
      <c r="K1794" s="101"/>
      <c r="L1794" s="105"/>
      <c r="M1794" s="105"/>
      <c r="N1794" s="101"/>
      <c r="O1794" s="105"/>
      <c r="R1794" s="101"/>
      <c r="S1794" s="101"/>
      <c r="T1794" s="101"/>
      <c r="AI1794" s="105"/>
      <c r="AJ1794" s="105"/>
      <c r="AK1794" s="105"/>
      <c r="AL1794" s="105"/>
      <c r="AM1794" s="105"/>
      <c r="AN1794" s="105"/>
      <c r="AO1794" s="105"/>
      <c r="AP1794" s="105"/>
      <c r="AQ1794" s="105"/>
      <c r="AR1794" s="105"/>
      <c r="AS1794" s="105"/>
      <c r="AT1794" s="105"/>
      <c r="AU1794" s="105"/>
      <c r="AV1794" s="105"/>
      <c r="AW1794" s="105"/>
      <c r="AX1794" s="105"/>
      <c r="AY1794" s="105"/>
      <c r="AZ1794" s="101"/>
      <c r="BB1794" s="101"/>
      <c r="BD1794" s="101"/>
      <c r="BQ1794" s="159"/>
    </row>
    <row r="1795" spans="2:69" s="103" customFormat="1" ht="13.5">
      <c r="B1795" s="141"/>
      <c r="C1795" s="101"/>
      <c r="D1795" s="101"/>
      <c r="E1795" s="105"/>
      <c r="H1795" s="101"/>
      <c r="J1795" s="101"/>
      <c r="K1795" s="101"/>
      <c r="L1795" s="105"/>
      <c r="M1795" s="105"/>
      <c r="N1795" s="101"/>
      <c r="O1795" s="105"/>
      <c r="R1795" s="101"/>
      <c r="S1795" s="101"/>
      <c r="T1795" s="101"/>
      <c r="AI1795" s="105"/>
      <c r="AJ1795" s="105"/>
      <c r="AK1795" s="105"/>
      <c r="AL1795" s="105"/>
      <c r="AM1795" s="105"/>
      <c r="AN1795" s="105"/>
      <c r="AO1795" s="105"/>
      <c r="AP1795" s="105"/>
      <c r="AQ1795" s="105"/>
      <c r="AR1795" s="105"/>
      <c r="AS1795" s="105"/>
      <c r="AT1795" s="105"/>
      <c r="AU1795" s="105"/>
      <c r="AV1795" s="105"/>
      <c r="AW1795" s="105"/>
      <c r="AX1795" s="105"/>
      <c r="AY1795" s="105"/>
      <c r="AZ1795" s="101"/>
      <c r="BB1795" s="101"/>
      <c r="BD1795" s="101"/>
      <c r="BQ1795" s="159"/>
    </row>
    <row r="1796" spans="2:69" s="103" customFormat="1" ht="13.5">
      <c r="B1796" s="141" t="s">
        <v>2546</v>
      </c>
      <c r="C1796" s="101"/>
      <c r="D1796" s="101"/>
      <c r="E1796" s="105"/>
      <c r="H1796" s="101"/>
      <c r="J1796" s="101"/>
      <c r="K1796" s="101"/>
      <c r="L1796" s="105"/>
      <c r="M1796" s="105"/>
      <c r="N1796" s="101"/>
      <c r="O1796" s="105"/>
      <c r="R1796" s="101"/>
      <c r="S1796" s="101"/>
      <c r="T1796" s="101"/>
      <c r="AI1796" s="105"/>
      <c r="AJ1796" s="105"/>
      <c r="AK1796" s="105"/>
      <c r="AL1796" s="105"/>
      <c r="AM1796" s="105"/>
      <c r="AN1796" s="105"/>
      <c r="AO1796" s="105"/>
      <c r="AP1796" s="105"/>
      <c r="AQ1796" s="105"/>
      <c r="AR1796" s="105"/>
      <c r="AS1796" s="105"/>
      <c r="AT1796" s="105"/>
      <c r="AU1796" s="105"/>
      <c r="AV1796" s="105"/>
      <c r="AW1796" s="105"/>
      <c r="AX1796" s="105"/>
      <c r="AY1796" s="105"/>
      <c r="AZ1796" s="101"/>
      <c r="BB1796" s="101"/>
      <c r="BD1796" s="101"/>
      <c r="BQ1796" s="159"/>
    </row>
    <row r="1797" spans="2:69" s="103" customFormat="1" ht="13.5">
      <c r="B1797" s="141" t="s">
        <v>2582</v>
      </c>
      <c r="C1797" s="101"/>
      <c r="D1797" s="101"/>
      <c r="E1797" s="105"/>
      <c r="H1797" s="101"/>
      <c r="J1797" s="101"/>
      <c r="K1797" s="101"/>
      <c r="L1797" s="105"/>
      <c r="M1797" s="105"/>
      <c r="N1797" s="101"/>
      <c r="O1797" s="105"/>
      <c r="R1797" s="101"/>
      <c r="S1797" s="101"/>
      <c r="T1797" s="101"/>
      <c r="AI1797" s="105"/>
      <c r="AJ1797" s="105"/>
      <c r="AK1797" s="105"/>
      <c r="AL1797" s="105"/>
      <c r="AM1797" s="105"/>
      <c r="AN1797" s="105"/>
      <c r="AO1797" s="105"/>
      <c r="AP1797" s="105"/>
      <c r="AQ1797" s="105"/>
      <c r="AR1797" s="105"/>
      <c r="AS1797" s="105"/>
      <c r="AT1797" s="105"/>
      <c r="AU1797" s="105"/>
      <c r="AV1797" s="105"/>
      <c r="AW1797" s="105"/>
      <c r="AX1797" s="105"/>
      <c r="AY1797" s="105"/>
      <c r="AZ1797" s="101"/>
      <c r="BB1797" s="101"/>
      <c r="BD1797" s="101"/>
      <c r="BQ1797" s="159"/>
    </row>
    <row r="1798" spans="2:69" s="103" customFormat="1" ht="13.5">
      <c r="B1798" s="141" t="s">
        <v>2548</v>
      </c>
      <c r="C1798" s="101"/>
      <c r="D1798" s="101"/>
      <c r="E1798" s="105"/>
      <c r="H1798" s="101"/>
      <c r="J1798" s="101"/>
      <c r="K1798" s="101"/>
      <c r="L1798" s="105"/>
      <c r="M1798" s="105"/>
      <c r="N1798" s="101"/>
      <c r="O1798" s="105"/>
      <c r="R1798" s="101"/>
      <c r="S1798" s="101"/>
      <c r="T1798" s="101"/>
      <c r="AI1798" s="105"/>
      <c r="AJ1798" s="105"/>
      <c r="AK1798" s="105"/>
      <c r="AL1798" s="105"/>
      <c r="AM1798" s="105"/>
      <c r="AN1798" s="105"/>
      <c r="AO1798" s="105"/>
      <c r="AP1798" s="105"/>
      <c r="AQ1798" s="105"/>
      <c r="AR1798" s="105"/>
      <c r="AS1798" s="105"/>
      <c r="AT1798" s="105"/>
      <c r="AU1798" s="105"/>
      <c r="AV1798" s="105"/>
      <c r="AW1798" s="105"/>
      <c r="AX1798" s="105"/>
      <c r="AY1798" s="105"/>
      <c r="AZ1798" s="101"/>
      <c r="BB1798" s="101"/>
      <c r="BD1798" s="101"/>
      <c r="BQ1798" s="159"/>
    </row>
    <row r="1799" spans="2:69" s="103" customFormat="1" ht="13.5">
      <c r="B1799" s="141" t="s">
        <v>2549</v>
      </c>
      <c r="C1799" s="101"/>
      <c r="D1799" s="101"/>
      <c r="E1799" s="105"/>
      <c r="H1799" s="101"/>
      <c r="J1799" s="101"/>
      <c r="K1799" s="101"/>
      <c r="L1799" s="105"/>
      <c r="M1799" s="105"/>
      <c r="N1799" s="101"/>
      <c r="O1799" s="105"/>
      <c r="R1799" s="101"/>
      <c r="S1799" s="101"/>
      <c r="T1799" s="101"/>
      <c r="AI1799" s="105"/>
      <c r="AJ1799" s="105"/>
      <c r="AK1799" s="105"/>
      <c r="AL1799" s="105"/>
      <c r="AM1799" s="105"/>
      <c r="AN1799" s="105"/>
      <c r="AO1799" s="105"/>
      <c r="AP1799" s="105"/>
      <c r="AQ1799" s="105"/>
      <c r="AR1799" s="105"/>
      <c r="AS1799" s="105"/>
      <c r="AT1799" s="105"/>
      <c r="AU1799" s="105"/>
      <c r="AV1799" s="105"/>
      <c r="AW1799" s="105"/>
      <c r="AX1799" s="105"/>
      <c r="AY1799" s="105"/>
      <c r="AZ1799" s="101"/>
      <c r="BB1799" s="101"/>
      <c r="BD1799" s="101"/>
      <c r="BQ1799" s="159"/>
    </row>
    <row r="1800" spans="2:69" s="103" customFormat="1" ht="13.5">
      <c r="B1800" s="141" t="s">
        <v>2550</v>
      </c>
      <c r="C1800" s="101"/>
      <c r="D1800" s="101"/>
      <c r="E1800" s="105"/>
      <c r="H1800" s="101"/>
      <c r="J1800" s="101"/>
      <c r="K1800" s="101"/>
      <c r="L1800" s="105"/>
      <c r="M1800" s="105"/>
      <c r="N1800" s="101"/>
      <c r="O1800" s="105"/>
      <c r="R1800" s="101"/>
      <c r="S1800" s="101"/>
      <c r="T1800" s="101"/>
      <c r="AI1800" s="105"/>
      <c r="AJ1800" s="105"/>
      <c r="AK1800" s="105"/>
      <c r="AL1800" s="105"/>
      <c r="AM1800" s="105"/>
      <c r="AN1800" s="105"/>
      <c r="AO1800" s="105"/>
      <c r="AP1800" s="105"/>
      <c r="AQ1800" s="105"/>
      <c r="AR1800" s="105"/>
      <c r="AS1800" s="105"/>
      <c r="AT1800" s="105"/>
      <c r="AU1800" s="105"/>
      <c r="AV1800" s="105"/>
      <c r="AW1800" s="105"/>
      <c r="AX1800" s="105"/>
      <c r="AY1800" s="105"/>
      <c r="AZ1800" s="101"/>
      <c r="BB1800" s="101"/>
      <c r="BD1800" s="101"/>
      <c r="BQ1800" s="159"/>
    </row>
    <row r="1801" spans="2:69" s="103" customFormat="1" ht="13.5">
      <c r="B1801" s="141" t="s">
        <v>2551</v>
      </c>
      <c r="C1801" s="101"/>
      <c r="D1801" s="101"/>
      <c r="E1801" s="105"/>
      <c r="H1801" s="101"/>
      <c r="J1801" s="101"/>
      <c r="K1801" s="101"/>
      <c r="L1801" s="105"/>
      <c r="M1801" s="105"/>
      <c r="N1801" s="101"/>
      <c r="O1801" s="105"/>
      <c r="R1801" s="101"/>
      <c r="S1801" s="101"/>
      <c r="T1801" s="101"/>
      <c r="AI1801" s="105"/>
      <c r="AJ1801" s="105"/>
      <c r="AK1801" s="105"/>
      <c r="AL1801" s="105"/>
      <c r="AM1801" s="105"/>
      <c r="AN1801" s="105"/>
      <c r="AO1801" s="105"/>
      <c r="AP1801" s="105"/>
      <c r="AQ1801" s="105"/>
      <c r="AR1801" s="105"/>
      <c r="AS1801" s="105"/>
      <c r="AT1801" s="105"/>
      <c r="AU1801" s="105"/>
      <c r="AV1801" s="105"/>
      <c r="AW1801" s="105"/>
      <c r="AX1801" s="105"/>
      <c r="AY1801" s="105"/>
      <c r="AZ1801" s="101"/>
      <c r="BB1801" s="101"/>
      <c r="BD1801" s="101"/>
      <c r="BQ1801" s="159"/>
    </row>
    <row r="1802" spans="2:69" s="103" customFormat="1" ht="13.5">
      <c r="B1802" s="141" t="s">
        <v>2552</v>
      </c>
      <c r="C1802" s="101"/>
      <c r="D1802" s="101"/>
      <c r="E1802" s="105"/>
      <c r="H1802" s="101"/>
      <c r="J1802" s="101"/>
      <c r="K1802" s="101"/>
      <c r="L1802" s="105"/>
      <c r="M1802" s="105"/>
      <c r="N1802" s="101"/>
      <c r="O1802" s="105"/>
      <c r="R1802" s="101"/>
      <c r="S1802" s="101"/>
      <c r="T1802" s="101"/>
      <c r="AI1802" s="105"/>
      <c r="AJ1802" s="105"/>
      <c r="AK1802" s="105"/>
      <c r="AL1802" s="105"/>
      <c r="AM1802" s="105"/>
      <c r="AN1802" s="105"/>
      <c r="AO1802" s="105"/>
      <c r="AP1802" s="105"/>
      <c r="AQ1802" s="105"/>
      <c r="AR1802" s="105"/>
      <c r="AS1802" s="105"/>
      <c r="AT1802" s="105"/>
      <c r="AU1802" s="105"/>
      <c r="AV1802" s="105"/>
      <c r="AW1802" s="105"/>
      <c r="AX1802" s="105"/>
      <c r="AY1802" s="105"/>
      <c r="AZ1802" s="101"/>
      <c r="BB1802" s="101"/>
      <c r="BD1802" s="101"/>
      <c r="BQ1802" s="159"/>
    </row>
    <row r="1803" spans="2:69" s="103" customFormat="1" ht="27">
      <c r="B1803" s="141" t="s">
        <v>2553</v>
      </c>
      <c r="C1803" s="101"/>
      <c r="D1803" s="101"/>
      <c r="E1803" s="105"/>
      <c r="H1803" s="101"/>
      <c r="J1803" s="101"/>
      <c r="K1803" s="101"/>
      <c r="L1803" s="105"/>
      <c r="M1803" s="105"/>
      <c r="N1803" s="101"/>
      <c r="O1803" s="105"/>
      <c r="R1803" s="101"/>
      <c r="S1803" s="101"/>
      <c r="T1803" s="101"/>
      <c r="AI1803" s="105"/>
      <c r="AJ1803" s="105"/>
      <c r="AK1803" s="105"/>
      <c r="AL1803" s="105"/>
      <c r="AM1803" s="105"/>
      <c r="AN1803" s="105"/>
      <c r="AO1803" s="105"/>
      <c r="AP1803" s="105"/>
      <c r="AQ1803" s="105"/>
      <c r="AR1803" s="105"/>
      <c r="AS1803" s="105"/>
      <c r="AT1803" s="105"/>
      <c r="AU1803" s="105"/>
      <c r="AV1803" s="105"/>
      <c r="AW1803" s="105"/>
      <c r="AX1803" s="105"/>
      <c r="AY1803" s="105"/>
      <c r="AZ1803" s="101"/>
      <c r="BB1803" s="101"/>
      <c r="BD1803" s="101"/>
      <c r="BQ1803" s="159"/>
    </row>
    <row r="1804" spans="2:69" s="103" customFormat="1" ht="13.5">
      <c r="B1804" s="141" t="s">
        <v>2554</v>
      </c>
      <c r="C1804" s="101"/>
      <c r="D1804" s="101"/>
      <c r="E1804" s="105"/>
      <c r="H1804" s="101"/>
      <c r="J1804" s="101"/>
      <c r="K1804" s="101"/>
      <c r="L1804" s="105"/>
      <c r="M1804" s="105"/>
      <c r="N1804" s="101"/>
      <c r="O1804" s="105"/>
      <c r="R1804" s="101"/>
      <c r="S1804" s="101"/>
      <c r="T1804" s="101"/>
      <c r="AI1804" s="105"/>
      <c r="AJ1804" s="105"/>
      <c r="AK1804" s="105"/>
      <c r="AL1804" s="105"/>
      <c r="AM1804" s="105"/>
      <c r="AN1804" s="105"/>
      <c r="AO1804" s="105"/>
      <c r="AP1804" s="105"/>
      <c r="AQ1804" s="105"/>
      <c r="AR1804" s="105"/>
      <c r="AS1804" s="105"/>
      <c r="AT1804" s="105"/>
      <c r="AU1804" s="105"/>
      <c r="AV1804" s="105"/>
      <c r="AW1804" s="105"/>
      <c r="AX1804" s="105"/>
      <c r="AY1804" s="105"/>
      <c r="AZ1804" s="101"/>
      <c r="BB1804" s="101"/>
      <c r="BD1804" s="101"/>
      <c r="BQ1804" s="159"/>
    </row>
    <row r="1805" spans="2:69" s="103" customFormat="1" ht="13.5">
      <c r="B1805" s="141" t="s">
        <v>2555</v>
      </c>
      <c r="C1805" s="101"/>
      <c r="D1805" s="101"/>
      <c r="E1805" s="105"/>
      <c r="H1805" s="101"/>
      <c r="J1805" s="101"/>
      <c r="K1805" s="101"/>
      <c r="L1805" s="105"/>
      <c r="M1805" s="105"/>
      <c r="N1805" s="101"/>
      <c r="O1805" s="105"/>
      <c r="R1805" s="101"/>
      <c r="S1805" s="101"/>
      <c r="T1805" s="101"/>
      <c r="AI1805" s="105"/>
      <c r="AJ1805" s="105"/>
      <c r="AK1805" s="105"/>
      <c r="AL1805" s="105"/>
      <c r="AM1805" s="105"/>
      <c r="AN1805" s="105"/>
      <c r="AO1805" s="105"/>
      <c r="AP1805" s="105"/>
      <c r="AQ1805" s="105"/>
      <c r="AR1805" s="105"/>
      <c r="AS1805" s="105"/>
      <c r="AT1805" s="105"/>
      <c r="AU1805" s="105"/>
      <c r="AV1805" s="105"/>
      <c r="AW1805" s="105"/>
      <c r="AX1805" s="105"/>
      <c r="AY1805" s="105"/>
      <c r="AZ1805" s="101"/>
      <c r="BB1805" s="101"/>
      <c r="BD1805" s="101"/>
      <c r="BQ1805" s="159"/>
    </row>
    <row r="1806" spans="2:69" s="103" customFormat="1" ht="13.5">
      <c r="B1806" s="141"/>
      <c r="C1806" s="101"/>
      <c r="D1806" s="101"/>
      <c r="E1806" s="105"/>
      <c r="H1806" s="101"/>
      <c r="J1806" s="101"/>
      <c r="K1806" s="101"/>
      <c r="L1806" s="105"/>
      <c r="M1806" s="105"/>
      <c r="N1806" s="101"/>
      <c r="O1806" s="105"/>
      <c r="R1806" s="101"/>
      <c r="S1806" s="101"/>
      <c r="T1806" s="101"/>
      <c r="AI1806" s="105"/>
      <c r="AJ1806" s="105"/>
      <c r="AK1806" s="105"/>
      <c r="AL1806" s="105"/>
      <c r="AM1806" s="105"/>
      <c r="AN1806" s="105"/>
      <c r="AO1806" s="105"/>
      <c r="AP1806" s="105"/>
      <c r="AQ1806" s="105"/>
      <c r="AR1806" s="105"/>
      <c r="AS1806" s="105"/>
      <c r="AT1806" s="105"/>
      <c r="AU1806" s="105"/>
      <c r="AV1806" s="105"/>
      <c r="AW1806" s="105"/>
      <c r="AX1806" s="105"/>
      <c r="AY1806" s="105"/>
      <c r="AZ1806" s="101"/>
      <c r="BB1806" s="101"/>
      <c r="BD1806" s="101"/>
      <c r="BQ1806" s="159"/>
    </row>
    <row r="1807" spans="2:69" s="103" customFormat="1" ht="13.5">
      <c r="B1807" s="141" t="s">
        <v>2583</v>
      </c>
      <c r="C1807" s="101"/>
      <c r="D1807" s="101"/>
      <c r="E1807" s="105"/>
      <c r="H1807" s="101"/>
      <c r="J1807" s="101"/>
      <c r="K1807" s="101"/>
      <c r="L1807" s="105"/>
      <c r="M1807" s="105"/>
      <c r="N1807" s="101"/>
      <c r="O1807" s="105"/>
      <c r="R1807" s="101"/>
      <c r="S1807" s="101"/>
      <c r="T1807" s="101"/>
      <c r="AI1807" s="105"/>
      <c r="AJ1807" s="105"/>
      <c r="AK1807" s="105"/>
      <c r="AL1807" s="105"/>
      <c r="AM1807" s="105"/>
      <c r="AN1807" s="105"/>
      <c r="AO1807" s="105"/>
      <c r="AP1807" s="105"/>
      <c r="AQ1807" s="105"/>
      <c r="AR1807" s="105"/>
      <c r="AS1807" s="105"/>
      <c r="AT1807" s="105"/>
      <c r="AU1807" s="105"/>
      <c r="AV1807" s="105"/>
      <c r="AW1807" s="105"/>
      <c r="AX1807" s="105"/>
      <c r="AY1807" s="105"/>
      <c r="AZ1807" s="101"/>
      <c r="BB1807" s="101"/>
      <c r="BD1807" s="101"/>
      <c r="BQ1807" s="159"/>
    </row>
    <row r="1808" spans="2:69" s="103" customFormat="1" ht="13.5">
      <c r="B1808" s="141" t="s">
        <v>2584</v>
      </c>
      <c r="C1808" s="101"/>
      <c r="D1808" s="101"/>
      <c r="E1808" s="105"/>
      <c r="H1808" s="101"/>
      <c r="J1808" s="101"/>
      <c r="K1808" s="101"/>
      <c r="L1808" s="105"/>
      <c r="M1808" s="105"/>
      <c r="N1808" s="101"/>
      <c r="O1808" s="105"/>
      <c r="R1808" s="101"/>
      <c r="S1808" s="101"/>
      <c r="T1808" s="101"/>
      <c r="AI1808" s="105"/>
      <c r="AJ1808" s="105"/>
      <c r="AK1808" s="105"/>
      <c r="AL1808" s="105"/>
      <c r="AM1808" s="105"/>
      <c r="AN1808" s="105"/>
      <c r="AO1808" s="105"/>
      <c r="AP1808" s="105"/>
      <c r="AQ1808" s="105"/>
      <c r="AR1808" s="105"/>
      <c r="AS1808" s="105"/>
      <c r="AT1808" s="105"/>
      <c r="AU1808" s="105"/>
      <c r="AV1808" s="105"/>
      <c r="AW1808" s="105"/>
      <c r="AX1808" s="105"/>
      <c r="AY1808" s="105"/>
      <c r="AZ1808" s="101"/>
      <c r="BB1808" s="101"/>
      <c r="BD1808" s="101"/>
      <c r="BQ1808" s="159"/>
    </row>
    <row r="1809" spans="2:69" s="103" customFormat="1" ht="13.5">
      <c r="B1809" s="141" t="s">
        <v>2585</v>
      </c>
      <c r="C1809" s="101"/>
      <c r="D1809" s="101"/>
      <c r="E1809" s="105"/>
      <c r="H1809" s="101"/>
      <c r="J1809" s="101"/>
      <c r="K1809" s="101"/>
      <c r="L1809" s="105"/>
      <c r="M1809" s="105"/>
      <c r="N1809" s="101"/>
      <c r="O1809" s="105"/>
      <c r="R1809" s="101"/>
      <c r="S1809" s="101"/>
      <c r="T1809" s="101"/>
      <c r="AI1809" s="105"/>
      <c r="AJ1809" s="105"/>
      <c r="AK1809" s="105"/>
      <c r="AL1809" s="105"/>
      <c r="AM1809" s="105"/>
      <c r="AN1809" s="105"/>
      <c r="AO1809" s="105"/>
      <c r="AP1809" s="105"/>
      <c r="AQ1809" s="105"/>
      <c r="AR1809" s="105"/>
      <c r="AS1809" s="105"/>
      <c r="AT1809" s="105"/>
      <c r="AU1809" s="105"/>
      <c r="AV1809" s="105"/>
      <c r="AW1809" s="105"/>
      <c r="AX1809" s="105"/>
      <c r="AY1809" s="105"/>
      <c r="AZ1809" s="101"/>
      <c r="BB1809" s="101"/>
      <c r="BD1809" s="101"/>
      <c r="BQ1809" s="159"/>
    </row>
    <row r="1810" spans="2:69" s="103" customFormat="1" ht="13.5">
      <c r="B1810" s="141" t="s">
        <v>2586</v>
      </c>
      <c r="C1810" s="101"/>
      <c r="D1810" s="101"/>
      <c r="E1810" s="105"/>
      <c r="H1810" s="101"/>
      <c r="J1810" s="101"/>
      <c r="K1810" s="101"/>
      <c r="L1810" s="105"/>
      <c r="M1810" s="105"/>
      <c r="N1810" s="101"/>
      <c r="O1810" s="105"/>
      <c r="R1810" s="101"/>
      <c r="S1810" s="101"/>
      <c r="T1810" s="101"/>
      <c r="AI1810" s="105"/>
      <c r="AJ1810" s="105"/>
      <c r="AK1810" s="105"/>
      <c r="AL1810" s="105"/>
      <c r="AM1810" s="105"/>
      <c r="AN1810" s="105"/>
      <c r="AO1810" s="105"/>
      <c r="AP1810" s="105"/>
      <c r="AQ1810" s="105"/>
      <c r="AR1810" s="105"/>
      <c r="AS1810" s="105"/>
      <c r="AT1810" s="105"/>
      <c r="AU1810" s="105"/>
      <c r="AV1810" s="105"/>
      <c r="AW1810" s="105"/>
      <c r="AX1810" s="105"/>
      <c r="AY1810" s="105"/>
      <c r="AZ1810" s="101"/>
      <c r="BB1810" s="101"/>
      <c r="BD1810" s="101"/>
      <c r="BQ1810" s="159"/>
    </row>
    <row r="1811" spans="2:69" s="103" customFormat="1" ht="13.5">
      <c r="B1811" s="141" t="s">
        <v>2587</v>
      </c>
      <c r="C1811" s="101"/>
      <c r="D1811" s="101"/>
      <c r="E1811" s="105"/>
      <c r="H1811" s="101"/>
      <c r="J1811" s="101"/>
      <c r="K1811" s="101"/>
      <c r="L1811" s="105"/>
      <c r="M1811" s="105"/>
      <c r="N1811" s="101"/>
      <c r="O1811" s="105"/>
      <c r="R1811" s="101"/>
      <c r="S1811" s="101"/>
      <c r="T1811" s="101"/>
      <c r="AI1811" s="105"/>
      <c r="AJ1811" s="105"/>
      <c r="AK1811" s="105"/>
      <c r="AL1811" s="105"/>
      <c r="AM1811" s="105"/>
      <c r="AN1811" s="105"/>
      <c r="AO1811" s="105"/>
      <c r="AP1811" s="105"/>
      <c r="AQ1811" s="105"/>
      <c r="AR1811" s="105"/>
      <c r="AS1811" s="105"/>
      <c r="AT1811" s="105"/>
      <c r="AU1811" s="105"/>
      <c r="AV1811" s="105"/>
      <c r="AW1811" s="105"/>
      <c r="AX1811" s="105"/>
      <c r="AY1811" s="105"/>
      <c r="AZ1811" s="101"/>
      <c r="BB1811" s="101"/>
      <c r="BD1811" s="101"/>
      <c r="BQ1811" s="159"/>
    </row>
    <row r="1812" spans="2:69" s="103" customFormat="1" ht="13.5">
      <c r="B1812" s="141" t="s">
        <v>2588</v>
      </c>
      <c r="C1812" s="101"/>
      <c r="D1812" s="101"/>
      <c r="E1812" s="105"/>
      <c r="H1812" s="101"/>
      <c r="J1812" s="101"/>
      <c r="K1812" s="101"/>
      <c r="L1812" s="105"/>
      <c r="M1812" s="105"/>
      <c r="N1812" s="101"/>
      <c r="O1812" s="105"/>
      <c r="R1812" s="101"/>
      <c r="S1812" s="101"/>
      <c r="T1812" s="101"/>
      <c r="AI1812" s="105"/>
      <c r="AJ1812" s="105"/>
      <c r="AK1812" s="105"/>
      <c r="AL1812" s="105"/>
      <c r="AM1812" s="105"/>
      <c r="AN1812" s="105"/>
      <c r="AO1812" s="105"/>
      <c r="AP1812" s="105"/>
      <c r="AQ1812" s="105"/>
      <c r="AR1812" s="105"/>
      <c r="AS1812" s="105"/>
      <c r="AT1812" s="105"/>
      <c r="AU1812" s="105"/>
      <c r="AV1812" s="105"/>
      <c r="AW1812" s="105"/>
      <c r="AX1812" s="105"/>
      <c r="AY1812" s="105"/>
      <c r="AZ1812" s="101"/>
      <c r="BB1812" s="101"/>
      <c r="BD1812" s="101"/>
      <c r="BQ1812" s="159"/>
    </row>
    <row r="1813" spans="2:69" s="103" customFormat="1" ht="13.5">
      <c r="B1813" s="141"/>
      <c r="C1813" s="101"/>
      <c r="D1813" s="101"/>
      <c r="E1813" s="102"/>
      <c r="H1813" s="101"/>
      <c r="J1813" s="101"/>
      <c r="K1813" s="101"/>
      <c r="L1813" s="102"/>
      <c r="M1813" s="102"/>
      <c r="N1813" s="101"/>
      <c r="O1813" s="102"/>
      <c r="R1813" s="101"/>
      <c r="S1813" s="101"/>
      <c r="T1813" s="101"/>
      <c r="AI1813" s="102"/>
      <c r="AJ1813" s="102"/>
      <c r="AK1813" s="102"/>
      <c r="AL1813" s="102"/>
      <c r="AM1813" s="102"/>
      <c r="AN1813" s="102"/>
      <c r="AO1813" s="102"/>
      <c r="AP1813" s="102"/>
      <c r="AQ1813" s="102"/>
      <c r="AR1813" s="102"/>
      <c r="AS1813" s="102"/>
      <c r="AT1813" s="102"/>
      <c r="AU1813" s="102"/>
      <c r="AV1813" s="102"/>
      <c r="AW1813" s="102"/>
      <c r="AX1813" s="102"/>
      <c r="AY1813" s="102"/>
      <c r="AZ1813" s="101"/>
      <c r="BB1813" s="101"/>
      <c r="BD1813" s="101"/>
      <c r="BQ1813" s="159"/>
    </row>
    <row r="1814" spans="2:69" s="103" customFormat="1" ht="13.5">
      <c r="B1814" s="141"/>
      <c r="C1814" s="101"/>
      <c r="D1814" s="101"/>
      <c r="E1814" s="102"/>
      <c r="H1814" s="101"/>
      <c r="J1814" s="101"/>
      <c r="K1814" s="101"/>
      <c r="L1814" s="102"/>
      <c r="M1814" s="102"/>
      <c r="N1814" s="101"/>
      <c r="O1814" s="102"/>
      <c r="R1814" s="101"/>
      <c r="S1814" s="101"/>
      <c r="T1814" s="101"/>
      <c r="AI1814" s="102"/>
      <c r="AJ1814" s="102"/>
      <c r="AK1814" s="102"/>
      <c r="AL1814" s="102"/>
      <c r="AM1814" s="102"/>
      <c r="AN1814" s="102"/>
      <c r="AO1814" s="102"/>
      <c r="AP1814" s="102"/>
      <c r="AQ1814" s="102"/>
      <c r="AR1814" s="102"/>
      <c r="AS1814" s="102"/>
      <c r="AT1814" s="102"/>
      <c r="AU1814" s="102"/>
      <c r="AV1814" s="102"/>
      <c r="AW1814" s="102"/>
      <c r="AX1814" s="102"/>
      <c r="AY1814" s="102"/>
      <c r="AZ1814" s="101"/>
      <c r="BB1814" s="101"/>
      <c r="BD1814" s="101"/>
      <c r="BQ1814" s="159"/>
    </row>
    <row r="1815" spans="2:69" s="103" customFormat="1" ht="13.5">
      <c r="B1815" s="141"/>
      <c r="C1815" s="101"/>
      <c r="D1815" s="101"/>
      <c r="E1815" s="102"/>
      <c r="H1815" s="101"/>
      <c r="J1815" s="101"/>
      <c r="K1815" s="101"/>
      <c r="L1815" s="102"/>
      <c r="M1815" s="102"/>
      <c r="N1815" s="101"/>
      <c r="O1815" s="102"/>
      <c r="R1815" s="101"/>
      <c r="S1815" s="101"/>
      <c r="T1815" s="101"/>
      <c r="AI1815" s="102"/>
      <c r="AJ1815" s="102"/>
      <c r="AK1815" s="102"/>
      <c r="AL1815" s="102"/>
      <c r="AM1815" s="102"/>
      <c r="AN1815" s="102"/>
      <c r="AO1815" s="102"/>
      <c r="AP1815" s="102"/>
      <c r="AQ1815" s="102"/>
      <c r="AR1815" s="102"/>
      <c r="AS1815" s="102"/>
      <c r="AT1815" s="102"/>
      <c r="AU1815" s="102"/>
      <c r="AV1815" s="102"/>
      <c r="AW1815" s="102"/>
      <c r="AX1815" s="102"/>
      <c r="AY1815" s="102"/>
      <c r="AZ1815" s="101"/>
      <c r="BB1815" s="101"/>
      <c r="BD1815" s="101"/>
      <c r="BQ1815" s="159"/>
    </row>
    <row r="1816" spans="2:69" s="107" customFormat="1" ht="13.5">
      <c r="B1816" s="141"/>
      <c r="C1816" s="106"/>
      <c r="D1816" s="106"/>
      <c r="E1816" s="106"/>
      <c r="H1816" s="106"/>
      <c r="J1816" s="106"/>
      <c r="K1816" s="106"/>
      <c r="L1816" s="106"/>
      <c r="M1816" s="106"/>
      <c r="N1816" s="106"/>
      <c r="O1816" s="106"/>
      <c r="R1816" s="106"/>
      <c r="S1816" s="106"/>
      <c r="T1816" s="106"/>
      <c r="AI1816" s="106"/>
      <c r="AJ1816" s="106"/>
      <c r="AK1816" s="106"/>
      <c r="AL1816" s="106"/>
      <c r="AM1816" s="106"/>
      <c r="AN1816" s="106"/>
      <c r="AO1816" s="106"/>
      <c r="AP1816" s="106"/>
      <c r="AQ1816" s="106"/>
      <c r="AR1816" s="106"/>
      <c r="AS1816" s="106"/>
      <c r="AT1816" s="106"/>
      <c r="AU1816" s="106"/>
      <c r="AV1816" s="106"/>
      <c r="AW1816" s="106"/>
      <c r="AX1816" s="106"/>
      <c r="AY1816" s="106"/>
      <c r="AZ1816" s="106"/>
      <c r="BD1816" s="106"/>
      <c r="BQ1816" s="161"/>
    </row>
    <row r="1817" spans="2:69" s="109" customFormat="1" ht="13.5">
      <c r="B1817" s="141" t="s">
        <v>2499</v>
      </c>
      <c r="C1817" s="107"/>
      <c r="D1817" s="107" t="s">
        <v>45</v>
      </c>
      <c r="E1817" s="108"/>
      <c r="H1817" s="107"/>
      <c r="J1817" s="107"/>
      <c r="K1817" s="107"/>
      <c r="L1817" s="108"/>
      <c r="M1817" s="108"/>
      <c r="N1817" s="107"/>
      <c r="O1817" s="108"/>
      <c r="R1817" s="107" t="s">
        <v>42</v>
      </c>
      <c r="S1817" s="107"/>
      <c r="T1817" s="107" t="s">
        <v>35</v>
      </c>
      <c r="AI1817" s="108"/>
      <c r="AJ1817" s="108"/>
      <c r="AK1817" s="108"/>
      <c r="AL1817" s="108"/>
      <c r="AM1817" s="108"/>
      <c r="AN1817" s="108"/>
      <c r="AO1817" s="108"/>
      <c r="AP1817" s="108"/>
      <c r="AQ1817" s="108"/>
      <c r="AR1817" s="108"/>
      <c r="AS1817" s="108"/>
      <c r="AT1817" s="108"/>
      <c r="AU1817" s="108"/>
      <c r="AV1817" s="108"/>
      <c r="AW1817" s="108"/>
      <c r="AX1817" s="108"/>
      <c r="AY1817" s="108"/>
      <c r="AZ1817" s="107"/>
      <c r="BB1817" s="107"/>
      <c r="BD1817" s="107"/>
      <c r="BQ1817" s="161"/>
    </row>
    <row r="1818" spans="2:69" s="109" customFormat="1" ht="13.5">
      <c r="B1818" s="141" t="s">
        <v>2500</v>
      </c>
      <c r="C1818" s="107"/>
      <c r="D1818" s="107" t="s">
        <v>45</v>
      </c>
      <c r="E1818" s="108"/>
      <c r="H1818" s="107"/>
      <c r="J1818" s="107"/>
      <c r="K1818" s="107"/>
      <c r="L1818" s="108"/>
      <c r="M1818" s="108"/>
      <c r="N1818" s="107"/>
      <c r="O1818" s="108"/>
      <c r="R1818" s="107" t="s">
        <v>42</v>
      </c>
      <c r="S1818" s="107"/>
      <c r="T1818" s="107" t="s">
        <v>35</v>
      </c>
      <c r="AI1818" s="108"/>
      <c r="AJ1818" s="108"/>
      <c r="AK1818" s="108"/>
      <c r="AL1818" s="108"/>
      <c r="AM1818" s="108"/>
      <c r="AN1818" s="108"/>
      <c r="AO1818" s="108"/>
      <c r="AP1818" s="108"/>
      <c r="AQ1818" s="108"/>
      <c r="AR1818" s="108"/>
      <c r="AS1818" s="108"/>
      <c r="AT1818" s="108"/>
      <c r="AU1818" s="108"/>
      <c r="AV1818" s="108"/>
      <c r="AW1818" s="108"/>
      <c r="AX1818" s="108"/>
      <c r="AY1818" s="108"/>
      <c r="AZ1818" s="107"/>
      <c r="BB1818" s="107"/>
      <c r="BD1818" s="107"/>
      <c r="BQ1818" s="161"/>
    </row>
    <row r="1819" spans="2:69" s="109" customFormat="1" ht="13.5">
      <c r="B1819" s="141" t="s">
        <v>2501</v>
      </c>
      <c r="C1819" s="107"/>
      <c r="D1819" s="107" t="s">
        <v>45</v>
      </c>
      <c r="H1819" s="107"/>
      <c r="J1819" s="107"/>
      <c r="K1819" s="107"/>
      <c r="N1819" s="107"/>
      <c r="R1819" s="107" t="s">
        <v>42</v>
      </c>
      <c r="S1819" s="107"/>
      <c r="T1819" s="107" t="s">
        <v>35</v>
      </c>
      <c r="AZ1819" s="107"/>
      <c r="BB1819" s="107"/>
      <c r="BD1819" s="107"/>
      <c r="BQ1819" s="161"/>
    </row>
    <row r="1820" spans="2:69" s="109" customFormat="1" ht="13.5">
      <c r="B1820" s="141" t="s">
        <v>2502</v>
      </c>
      <c r="C1820" s="107"/>
      <c r="D1820" s="107" t="s">
        <v>45</v>
      </c>
      <c r="E1820" s="108"/>
      <c r="H1820" s="107"/>
      <c r="J1820" s="107"/>
      <c r="K1820" s="107"/>
      <c r="L1820" s="108"/>
      <c r="M1820" s="108"/>
      <c r="N1820" s="107"/>
      <c r="O1820" s="108"/>
      <c r="R1820" s="107" t="s">
        <v>42</v>
      </c>
      <c r="S1820" s="107"/>
      <c r="T1820" s="107" t="s">
        <v>35</v>
      </c>
      <c r="AI1820" s="108"/>
      <c r="AJ1820" s="108"/>
      <c r="AK1820" s="108"/>
      <c r="AL1820" s="108"/>
      <c r="AM1820" s="108"/>
      <c r="AN1820" s="108"/>
      <c r="AO1820" s="108"/>
      <c r="AP1820" s="108"/>
      <c r="AQ1820" s="108"/>
      <c r="AR1820" s="108"/>
      <c r="AS1820" s="108"/>
      <c r="AT1820" s="108"/>
      <c r="AU1820" s="108"/>
      <c r="AV1820" s="108"/>
      <c r="AW1820" s="108"/>
      <c r="AX1820" s="108"/>
      <c r="AY1820" s="108"/>
      <c r="AZ1820" s="107"/>
      <c r="BB1820" s="107"/>
      <c r="BD1820" s="107"/>
      <c r="BQ1820" s="161"/>
    </row>
    <row r="1821" spans="2:69" s="109" customFormat="1" ht="13.5">
      <c r="B1821" s="141" t="s">
        <v>2503</v>
      </c>
      <c r="C1821" s="107"/>
      <c r="D1821" s="107" t="s">
        <v>45</v>
      </c>
      <c r="E1821" s="108"/>
      <c r="H1821" s="107"/>
      <c r="J1821" s="107"/>
      <c r="K1821" s="107"/>
      <c r="L1821" s="108"/>
      <c r="M1821" s="108"/>
      <c r="N1821" s="107"/>
      <c r="O1821" s="108"/>
      <c r="R1821" s="107" t="s">
        <v>42</v>
      </c>
      <c r="S1821" s="107"/>
      <c r="T1821" s="107" t="s">
        <v>35</v>
      </c>
      <c r="AI1821" s="108"/>
      <c r="AJ1821" s="108"/>
      <c r="AK1821" s="108"/>
      <c r="AL1821" s="108"/>
      <c r="AM1821" s="108"/>
      <c r="AN1821" s="108"/>
      <c r="AO1821" s="108"/>
      <c r="AP1821" s="108"/>
      <c r="AQ1821" s="108"/>
      <c r="AR1821" s="108"/>
      <c r="AS1821" s="108"/>
      <c r="AT1821" s="108"/>
      <c r="AU1821" s="108"/>
      <c r="AV1821" s="108"/>
      <c r="AW1821" s="108"/>
      <c r="AX1821" s="108"/>
      <c r="AY1821" s="108"/>
      <c r="AZ1821" s="107"/>
      <c r="BB1821" s="107"/>
      <c r="BD1821" s="107"/>
      <c r="BQ1821" s="161"/>
    </row>
    <row r="1822" spans="2:69" s="109" customFormat="1" ht="13.5">
      <c r="B1822" s="141" t="s">
        <v>2504</v>
      </c>
      <c r="C1822" s="107"/>
      <c r="D1822" s="107" t="s">
        <v>45</v>
      </c>
      <c r="E1822" s="108"/>
      <c r="H1822" s="107"/>
      <c r="J1822" s="107"/>
      <c r="K1822" s="107"/>
      <c r="L1822" s="108"/>
      <c r="M1822" s="108"/>
      <c r="N1822" s="107"/>
      <c r="O1822" s="108"/>
      <c r="R1822" s="107" t="s">
        <v>42</v>
      </c>
      <c r="S1822" s="107"/>
      <c r="T1822" s="107" t="s">
        <v>35</v>
      </c>
      <c r="AI1822" s="108"/>
      <c r="AJ1822" s="108"/>
      <c r="AK1822" s="108"/>
      <c r="AL1822" s="108"/>
      <c r="AM1822" s="108"/>
      <c r="AN1822" s="108"/>
      <c r="AO1822" s="108"/>
      <c r="AP1822" s="108"/>
      <c r="AQ1822" s="108"/>
      <c r="AR1822" s="108"/>
      <c r="AS1822" s="108"/>
      <c r="AT1822" s="108"/>
      <c r="AU1822" s="108"/>
      <c r="AV1822" s="108"/>
      <c r="AW1822" s="108"/>
      <c r="AX1822" s="108"/>
      <c r="AY1822" s="108"/>
      <c r="AZ1822" s="107">
        <v>1</v>
      </c>
      <c r="BB1822" s="107"/>
      <c r="BD1822" s="107"/>
      <c r="BQ1822" s="161"/>
    </row>
    <row r="1823" spans="2:69" s="109" customFormat="1" ht="13.5">
      <c r="B1823" s="141" t="s">
        <v>2505</v>
      </c>
      <c r="C1823" s="107"/>
      <c r="D1823" s="107" t="s">
        <v>45</v>
      </c>
      <c r="E1823" s="108"/>
      <c r="H1823" s="107"/>
      <c r="J1823" s="107"/>
      <c r="K1823" s="107"/>
      <c r="L1823" s="108"/>
      <c r="M1823" s="108"/>
      <c r="N1823" s="107"/>
      <c r="O1823" s="108"/>
      <c r="R1823" s="107" t="s">
        <v>42</v>
      </c>
      <c r="S1823" s="107"/>
      <c r="T1823" s="107" t="s">
        <v>35</v>
      </c>
      <c r="AI1823" s="108"/>
      <c r="AJ1823" s="108"/>
      <c r="AK1823" s="108"/>
      <c r="AL1823" s="108"/>
      <c r="AM1823" s="108"/>
      <c r="AN1823" s="108"/>
      <c r="AO1823" s="108"/>
      <c r="AP1823" s="108"/>
      <c r="AQ1823" s="108"/>
      <c r="AR1823" s="108"/>
      <c r="AS1823" s="108"/>
      <c r="AT1823" s="108"/>
      <c r="AU1823" s="108"/>
      <c r="AV1823" s="108"/>
      <c r="AW1823" s="108"/>
      <c r="AX1823" s="108"/>
      <c r="AY1823" s="108"/>
      <c r="AZ1823" s="107">
        <v>2</v>
      </c>
      <c r="BB1823" s="107"/>
      <c r="BD1823" s="107"/>
      <c r="BQ1823" s="161"/>
    </row>
    <row r="1824" spans="2:69" s="109" customFormat="1" ht="13.5">
      <c r="B1824" s="141" t="s">
        <v>2506</v>
      </c>
      <c r="C1824" s="107"/>
      <c r="D1824" s="107" t="s">
        <v>45</v>
      </c>
      <c r="E1824" s="108"/>
      <c r="H1824" s="107"/>
      <c r="J1824" s="107"/>
      <c r="K1824" s="107"/>
      <c r="L1824" s="108"/>
      <c r="M1824" s="108"/>
      <c r="N1824" s="107"/>
      <c r="O1824" s="108"/>
      <c r="R1824" s="107" t="s">
        <v>42</v>
      </c>
      <c r="S1824" s="107"/>
      <c r="T1824" s="107" t="s">
        <v>35</v>
      </c>
      <c r="AI1824" s="108"/>
      <c r="AJ1824" s="108"/>
      <c r="AK1824" s="108"/>
      <c r="AL1824" s="108"/>
      <c r="AM1824" s="108"/>
      <c r="AN1824" s="108"/>
      <c r="AO1824" s="108"/>
      <c r="AP1824" s="108"/>
      <c r="AQ1824" s="108"/>
      <c r="AR1824" s="108"/>
      <c r="AS1824" s="108"/>
      <c r="AT1824" s="108"/>
      <c r="AU1824" s="108"/>
      <c r="AV1824" s="108"/>
      <c r="AW1824" s="108"/>
      <c r="AX1824" s="108"/>
      <c r="AY1824" s="108"/>
      <c r="AZ1824" s="107"/>
      <c r="BB1824" s="107"/>
      <c r="BD1824" s="107"/>
      <c r="BQ1824" s="161"/>
    </row>
    <row r="1825" spans="2:69" s="109" customFormat="1" ht="13.5">
      <c r="B1825" s="141" t="s">
        <v>2507</v>
      </c>
      <c r="C1825" s="107"/>
      <c r="D1825" s="107" t="s">
        <v>45</v>
      </c>
      <c r="E1825" s="108"/>
      <c r="H1825" s="107"/>
      <c r="J1825" s="107"/>
      <c r="K1825" s="107"/>
      <c r="L1825" s="108"/>
      <c r="M1825" s="108"/>
      <c r="N1825" s="107"/>
      <c r="O1825" s="108"/>
      <c r="R1825" s="107" t="s">
        <v>42</v>
      </c>
      <c r="S1825" s="107"/>
      <c r="T1825" s="107" t="s">
        <v>35</v>
      </c>
      <c r="AI1825" s="108"/>
      <c r="AJ1825" s="108"/>
      <c r="AK1825" s="108"/>
      <c r="AL1825" s="108"/>
      <c r="AM1825" s="108"/>
      <c r="AN1825" s="108"/>
      <c r="AO1825" s="108"/>
      <c r="AP1825" s="108"/>
      <c r="AQ1825" s="108"/>
      <c r="AR1825" s="108"/>
      <c r="AS1825" s="108"/>
      <c r="AT1825" s="108"/>
      <c r="AU1825" s="108"/>
      <c r="AV1825" s="108"/>
      <c r="AW1825" s="108"/>
      <c r="AX1825" s="108"/>
      <c r="AY1825" s="108"/>
      <c r="AZ1825" s="107"/>
      <c r="BB1825" s="107"/>
      <c r="BD1825" s="107"/>
      <c r="BQ1825" s="161"/>
    </row>
    <row r="1826" spans="2:69" s="109" customFormat="1" ht="13.5">
      <c r="B1826" s="141" t="s">
        <v>2508</v>
      </c>
      <c r="C1826" s="107"/>
      <c r="D1826" s="107" t="s">
        <v>45</v>
      </c>
      <c r="E1826" s="108"/>
      <c r="H1826" s="107"/>
      <c r="J1826" s="107"/>
      <c r="K1826" s="107"/>
      <c r="L1826" s="108"/>
      <c r="M1826" s="108"/>
      <c r="N1826" s="107"/>
      <c r="O1826" s="108"/>
      <c r="R1826" s="107" t="s">
        <v>42</v>
      </c>
      <c r="S1826" s="107"/>
      <c r="T1826" s="107" t="s">
        <v>35</v>
      </c>
      <c r="AI1826" s="108"/>
      <c r="AJ1826" s="108"/>
      <c r="AK1826" s="108"/>
      <c r="AL1826" s="108"/>
      <c r="AM1826" s="108"/>
      <c r="AN1826" s="108"/>
      <c r="AO1826" s="108"/>
      <c r="AP1826" s="108"/>
      <c r="AQ1826" s="108"/>
      <c r="AR1826" s="108"/>
      <c r="AS1826" s="108"/>
      <c r="AT1826" s="108"/>
      <c r="AU1826" s="108"/>
      <c r="AV1826" s="108"/>
      <c r="AW1826" s="108"/>
      <c r="AX1826" s="108"/>
      <c r="AY1826" s="108"/>
      <c r="AZ1826" s="107"/>
      <c r="BB1826" s="107"/>
      <c r="BD1826" s="107"/>
      <c r="BQ1826" s="161"/>
    </row>
    <row r="1827" spans="2:69" s="109" customFormat="1" ht="13.5">
      <c r="B1827" s="141" t="s">
        <v>2509</v>
      </c>
      <c r="C1827" s="107"/>
      <c r="D1827" s="107" t="s">
        <v>45</v>
      </c>
      <c r="E1827" s="108"/>
      <c r="H1827" s="107"/>
      <c r="J1827" s="107"/>
      <c r="K1827" s="107"/>
      <c r="L1827" s="108"/>
      <c r="M1827" s="108"/>
      <c r="N1827" s="107"/>
      <c r="O1827" s="108"/>
      <c r="R1827" s="107" t="s">
        <v>42</v>
      </c>
      <c r="S1827" s="107"/>
      <c r="T1827" s="107" t="s">
        <v>35</v>
      </c>
      <c r="AI1827" s="108"/>
      <c r="AJ1827" s="108"/>
      <c r="AK1827" s="108"/>
      <c r="AL1827" s="108"/>
      <c r="AM1827" s="108"/>
      <c r="AN1827" s="108"/>
      <c r="AO1827" s="108"/>
      <c r="AP1827" s="108"/>
      <c r="AQ1827" s="108"/>
      <c r="AR1827" s="108"/>
      <c r="AS1827" s="108"/>
      <c r="AT1827" s="108"/>
      <c r="AU1827" s="108"/>
      <c r="AV1827" s="108"/>
      <c r="AW1827" s="108"/>
      <c r="AX1827" s="108"/>
      <c r="AY1827" s="108"/>
      <c r="AZ1827" s="107"/>
      <c r="BB1827" s="107"/>
      <c r="BD1827" s="107"/>
      <c r="BQ1827" s="161"/>
    </row>
    <row r="1828" spans="2:69" s="109" customFormat="1" ht="13.5">
      <c r="B1828" s="141" t="s">
        <v>2510</v>
      </c>
      <c r="C1828" s="107"/>
      <c r="D1828" s="107" t="s">
        <v>45</v>
      </c>
      <c r="E1828" s="108"/>
      <c r="H1828" s="107"/>
      <c r="J1828" s="107"/>
      <c r="K1828" s="107"/>
      <c r="L1828" s="108"/>
      <c r="M1828" s="108"/>
      <c r="N1828" s="107"/>
      <c r="O1828" s="108"/>
      <c r="R1828" s="107" t="s">
        <v>42</v>
      </c>
      <c r="S1828" s="107"/>
      <c r="T1828" s="107" t="s">
        <v>35</v>
      </c>
      <c r="AI1828" s="108"/>
      <c r="AJ1828" s="108"/>
      <c r="AK1828" s="108"/>
      <c r="AL1828" s="108"/>
      <c r="AM1828" s="108"/>
      <c r="AN1828" s="108"/>
      <c r="AO1828" s="108"/>
      <c r="AP1828" s="108"/>
      <c r="AQ1828" s="108"/>
      <c r="AR1828" s="108"/>
      <c r="AS1828" s="108"/>
      <c r="AT1828" s="108"/>
      <c r="AU1828" s="108"/>
      <c r="AV1828" s="108"/>
      <c r="AW1828" s="108"/>
      <c r="AX1828" s="108"/>
      <c r="AY1828" s="108"/>
      <c r="AZ1828" s="107"/>
      <c r="BB1828" s="107"/>
      <c r="BD1828" s="107"/>
      <c r="BQ1828" s="161"/>
    </row>
    <row r="1829" spans="2:69" s="109" customFormat="1" ht="13.5">
      <c r="B1829" s="141" t="s">
        <v>2511</v>
      </c>
      <c r="C1829" s="107"/>
      <c r="D1829" s="107" t="s">
        <v>45</v>
      </c>
      <c r="E1829" s="108"/>
      <c r="H1829" s="107"/>
      <c r="J1829" s="107"/>
      <c r="K1829" s="107"/>
      <c r="L1829" s="108"/>
      <c r="M1829" s="108"/>
      <c r="N1829" s="107"/>
      <c r="O1829" s="108"/>
      <c r="R1829" s="107" t="s">
        <v>42</v>
      </c>
      <c r="S1829" s="107"/>
      <c r="T1829" s="107" t="s">
        <v>35</v>
      </c>
      <c r="AI1829" s="108"/>
      <c r="AJ1829" s="108"/>
      <c r="AK1829" s="108"/>
      <c r="AL1829" s="108"/>
      <c r="AM1829" s="108"/>
      <c r="AN1829" s="108"/>
      <c r="AO1829" s="108"/>
      <c r="AP1829" s="108"/>
      <c r="AQ1829" s="108"/>
      <c r="AR1829" s="108"/>
      <c r="AS1829" s="108"/>
      <c r="AT1829" s="108"/>
      <c r="AU1829" s="108"/>
      <c r="AV1829" s="108"/>
      <c r="AW1829" s="108"/>
      <c r="AX1829" s="108"/>
      <c r="AY1829" s="108"/>
      <c r="AZ1829" s="107"/>
      <c r="BB1829" s="107"/>
      <c r="BD1829" s="107"/>
      <c r="BQ1829" s="161"/>
    </row>
    <row r="1830" spans="2:69" s="109" customFormat="1" ht="13.5">
      <c r="B1830" s="141" t="s">
        <v>2512</v>
      </c>
      <c r="C1830" s="107"/>
      <c r="D1830" s="107" t="s">
        <v>45</v>
      </c>
      <c r="E1830" s="108"/>
      <c r="H1830" s="107"/>
      <c r="J1830" s="107"/>
      <c r="K1830" s="107"/>
      <c r="L1830" s="108"/>
      <c r="M1830" s="108"/>
      <c r="N1830" s="107"/>
      <c r="O1830" s="108"/>
      <c r="R1830" s="107" t="s">
        <v>42</v>
      </c>
      <c r="S1830" s="107"/>
      <c r="T1830" s="107" t="s">
        <v>35</v>
      </c>
      <c r="AI1830" s="108"/>
      <c r="AJ1830" s="108"/>
      <c r="AK1830" s="108"/>
      <c r="AL1830" s="108"/>
      <c r="AM1830" s="108"/>
      <c r="AN1830" s="108"/>
      <c r="AO1830" s="108"/>
      <c r="AP1830" s="108"/>
      <c r="AQ1830" s="108"/>
      <c r="AR1830" s="108"/>
      <c r="AS1830" s="108"/>
      <c r="AT1830" s="108"/>
      <c r="AU1830" s="108"/>
      <c r="AV1830" s="108"/>
      <c r="AW1830" s="108"/>
      <c r="AX1830" s="108"/>
      <c r="AY1830" s="108"/>
      <c r="AZ1830" s="107"/>
      <c r="BB1830" s="107"/>
      <c r="BD1830" s="107"/>
      <c r="BQ1830" s="161"/>
    </row>
    <row r="1831" spans="2:69" s="109" customFormat="1" ht="13.5">
      <c r="B1831" s="141" t="s">
        <v>2513</v>
      </c>
      <c r="C1831" s="107"/>
      <c r="D1831" s="107" t="s">
        <v>45</v>
      </c>
      <c r="E1831" s="108"/>
      <c r="H1831" s="107"/>
      <c r="J1831" s="107"/>
      <c r="K1831" s="107"/>
      <c r="L1831" s="108"/>
      <c r="M1831" s="108"/>
      <c r="N1831" s="107"/>
      <c r="O1831" s="108"/>
      <c r="R1831" s="107" t="s">
        <v>42</v>
      </c>
      <c r="S1831" s="107"/>
      <c r="T1831" s="107" t="s">
        <v>35</v>
      </c>
      <c r="AI1831" s="108"/>
      <c r="AJ1831" s="108"/>
      <c r="AK1831" s="108"/>
      <c r="AL1831" s="108"/>
      <c r="AM1831" s="108"/>
      <c r="AN1831" s="108"/>
      <c r="AO1831" s="108"/>
      <c r="AP1831" s="108"/>
      <c r="AQ1831" s="108"/>
      <c r="AR1831" s="108"/>
      <c r="AS1831" s="108"/>
      <c r="AT1831" s="108"/>
      <c r="AU1831" s="108"/>
      <c r="AV1831" s="108"/>
      <c r="AW1831" s="108"/>
      <c r="AX1831" s="108"/>
      <c r="AY1831" s="108"/>
      <c r="AZ1831" s="107"/>
      <c r="BB1831" s="107"/>
      <c r="BD1831" s="107"/>
      <c r="BQ1831" s="161"/>
    </row>
    <row r="1832" spans="2:69" s="109" customFormat="1" ht="13.5">
      <c r="B1832" s="141" t="s">
        <v>2514</v>
      </c>
      <c r="C1832" s="107"/>
      <c r="D1832" s="107" t="s">
        <v>45</v>
      </c>
      <c r="E1832" s="108"/>
      <c r="H1832" s="107"/>
      <c r="J1832" s="107"/>
      <c r="K1832" s="107"/>
      <c r="L1832" s="108"/>
      <c r="M1832" s="108"/>
      <c r="N1832" s="107"/>
      <c r="O1832" s="108"/>
      <c r="R1832" s="107" t="s">
        <v>42</v>
      </c>
      <c r="S1832" s="107"/>
      <c r="T1832" s="107" t="s">
        <v>35</v>
      </c>
      <c r="AI1832" s="108"/>
      <c r="AJ1832" s="108"/>
      <c r="AK1832" s="108"/>
      <c r="AL1832" s="108"/>
      <c r="AM1832" s="108"/>
      <c r="AN1832" s="108"/>
      <c r="AO1832" s="108"/>
      <c r="AP1832" s="108"/>
      <c r="AQ1832" s="108"/>
      <c r="AR1832" s="108"/>
      <c r="AS1832" s="108"/>
      <c r="AT1832" s="108"/>
      <c r="AU1832" s="108"/>
      <c r="AV1832" s="108"/>
      <c r="AW1832" s="108"/>
      <c r="AX1832" s="108"/>
      <c r="AY1832" s="108"/>
      <c r="AZ1832" s="107"/>
      <c r="BB1832" s="107"/>
      <c r="BD1832" s="107"/>
      <c r="BQ1832" s="161"/>
    </row>
    <row r="1833" spans="2:69" s="109" customFormat="1" ht="13.5">
      <c r="B1833" s="141" t="s">
        <v>2515</v>
      </c>
      <c r="C1833" s="107"/>
      <c r="D1833" s="107" t="s">
        <v>45</v>
      </c>
      <c r="E1833" s="108"/>
      <c r="H1833" s="107"/>
      <c r="J1833" s="107"/>
      <c r="K1833" s="107"/>
      <c r="L1833" s="108"/>
      <c r="M1833" s="108"/>
      <c r="N1833" s="107"/>
      <c r="O1833" s="108"/>
      <c r="R1833" s="107" t="s">
        <v>42</v>
      </c>
      <c r="S1833" s="107"/>
      <c r="T1833" s="107" t="s">
        <v>35</v>
      </c>
      <c r="AI1833" s="108"/>
      <c r="AJ1833" s="108"/>
      <c r="AK1833" s="108"/>
      <c r="AL1833" s="108"/>
      <c r="AM1833" s="108"/>
      <c r="AN1833" s="108"/>
      <c r="AO1833" s="108"/>
      <c r="AP1833" s="108"/>
      <c r="AQ1833" s="108"/>
      <c r="AR1833" s="108"/>
      <c r="AS1833" s="108"/>
      <c r="AT1833" s="108"/>
      <c r="AU1833" s="108"/>
      <c r="AV1833" s="108"/>
      <c r="AW1833" s="108"/>
      <c r="AX1833" s="108"/>
      <c r="AY1833" s="108"/>
      <c r="AZ1833" s="107"/>
      <c r="BB1833" s="107"/>
      <c r="BD1833" s="107"/>
      <c r="BQ1833" s="161"/>
    </row>
    <row r="1834" spans="2:69" s="109" customFormat="1" ht="13.5">
      <c r="B1834" s="141" t="s">
        <v>2516</v>
      </c>
      <c r="C1834" s="107"/>
      <c r="D1834" s="107" t="s">
        <v>45</v>
      </c>
      <c r="E1834" s="108"/>
      <c r="H1834" s="107"/>
      <c r="J1834" s="107"/>
      <c r="K1834" s="107"/>
      <c r="L1834" s="108"/>
      <c r="M1834" s="108"/>
      <c r="N1834" s="107"/>
      <c r="O1834" s="108"/>
      <c r="R1834" s="107" t="s">
        <v>42</v>
      </c>
      <c r="S1834" s="107"/>
      <c r="T1834" s="107" t="s">
        <v>35</v>
      </c>
      <c r="AI1834" s="108"/>
      <c r="AJ1834" s="108"/>
      <c r="AK1834" s="108"/>
      <c r="AL1834" s="108"/>
      <c r="AM1834" s="108"/>
      <c r="AN1834" s="108"/>
      <c r="AO1834" s="108"/>
      <c r="AP1834" s="108"/>
      <c r="AQ1834" s="108"/>
      <c r="AR1834" s="108"/>
      <c r="AS1834" s="108"/>
      <c r="AT1834" s="108"/>
      <c r="AU1834" s="108"/>
      <c r="AV1834" s="108"/>
      <c r="AW1834" s="108"/>
      <c r="AX1834" s="108"/>
      <c r="AY1834" s="108"/>
      <c r="AZ1834" s="107"/>
      <c r="BB1834" s="107"/>
      <c r="BD1834" s="107"/>
      <c r="BQ1834" s="161"/>
    </row>
    <row r="1835" spans="2:69" s="109" customFormat="1">
      <c r="B1835" s="141" t="s">
        <v>2517</v>
      </c>
      <c r="C1835" s="107"/>
      <c r="D1835" s="107" t="s">
        <v>45</v>
      </c>
      <c r="E1835" s="108"/>
      <c r="H1835" s="107"/>
      <c r="J1835" s="107"/>
      <c r="K1835" s="107"/>
      <c r="L1835" s="108"/>
      <c r="M1835" s="108"/>
      <c r="N1835" s="107"/>
      <c r="O1835" s="108"/>
      <c r="R1835" s="107" t="s">
        <v>42</v>
      </c>
      <c r="S1835" s="107"/>
      <c r="T1835" s="107" t="s">
        <v>35</v>
      </c>
      <c r="AI1835" s="108"/>
      <c r="AJ1835" s="108"/>
      <c r="AK1835" s="108"/>
      <c r="AL1835" s="108"/>
      <c r="AM1835" s="108"/>
      <c r="AN1835" s="108"/>
      <c r="AO1835" s="108"/>
      <c r="AP1835" s="108"/>
      <c r="AQ1835" s="108"/>
      <c r="AR1835" s="108"/>
      <c r="AS1835" s="108"/>
      <c r="AT1835" s="108"/>
      <c r="AU1835" s="108"/>
      <c r="AV1835" s="108"/>
      <c r="AW1835" s="108"/>
      <c r="AX1835" s="108"/>
      <c r="AY1835" s="108"/>
      <c r="AZ1835" s="107"/>
      <c r="BB1835" s="107"/>
      <c r="BD1835" s="107"/>
      <c r="BQ1835" s="161"/>
    </row>
    <row r="1836" spans="2:69" s="109" customFormat="1" ht="13.5">
      <c r="B1836" s="141" t="s">
        <v>2518</v>
      </c>
      <c r="C1836" s="107"/>
      <c r="D1836" s="107" t="s">
        <v>45</v>
      </c>
      <c r="E1836" s="108"/>
      <c r="H1836" s="107"/>
      <c r="J1836" s="107"/>
      <c r="K1836" s="107"/>
      <c r="L1836" s="108"/>
      <c r="M1836" s="108"/>
      <c r="N1836" s="107"/>
      <c r="O1836" s="108"/>
      <c r="R1836" s="107" t="s">
        <v>42</v>
      </c>
      <c r="S1836" s="107"/>
      <c r="T1836" s="107" t="s">
        <v>35</v>
      </c>
      <c r="AI1836" s="108"/>
      <c r="AJ1836" s="108"/>
      <c r="AK1836" s="108"/>
      <c r="AL1836" s="108"/>
      <c r="AM1836" s="108"/>
      <c r="AN1836" s="108"/>
      <c r="AO1836" s="108"/>
      <c r="AP1836" s="108"/>
      <c r="AQ1836" s="108"/>
      <c r="AR1836" s="108"/>
      <c r="AS1836" s="108"/>
      <c r="AT1836" s="108"/>
      <c r="AU1836" s="108"/>
      <c r="AV1836" s="108"/>
      <c r="AW1836" s="108"/>
      <c r="AX1836" s="108"/>
      <c r="AY1836" s="108"/>
      <c r="AZ1836" s="107"/>
      <c r="BB1836" s="107"/>
      <c r="BD1836" s="107"/>
      <c r="BQ1836" s="161"/>
    </row>
    <row r="1837" spans="2:69" s="109" customFormat="1" ht="13.5">
      <c r="B1837" s="141" t="s">
        <v>2519</v>
      </c>
      <c r="C1837" s="107"/>
      <c r="D1837" s="107" t="s">
        <v>45</v>
      </c>
      <c r="E1837" s="108"/>
      <c r="H1837" s="107"/>
      <c r="J1837" s="107"/>
      <c r="K1837" s="107"/>
      <c r="L1837" s="108"/>
      <c r="M1837" s="108"/>
      <c r="N1837" s="107"/>
      <c r="O1837" s="108"/>
      <c r="R1837" s="107" t="s">
        <v>42</v>
      </c>
      <c r="S1837" s="107"/>
      <c r="T1837" s="107" t="s">
        <v>35</v>
      </c>
      <c r="AI1837" s="108"/>
      <c r="AJ1837" s="108"/>
      <c r="AK1837" s="108"/>
      <c r="AL1837" s="108"/>
      <c r="AM1837" s="108"/>
      <c r="AN1837" s="108"/>
      <c r="AO1837" s="108"/>
      <c r="AP1837" s="108"/>
      <c r="AQ1837" s="108"/>
      <c r="AR1837" s="108"/>
      <c r="AS1837" s="108"/>
      <c r="AT1837" s="108"/>
      <c r="AU1837" s="108"/>
      <c r="AV1837" s="108"/>
      <c r="AW1837" s="108"/>
      <c r="AX1837" s="108"/>
      <c r="AY1837" s="108"/>
      <c r="AZ1837" s="107"/>
      <c r="BB1837" s="107"/>
      <c r="BD1837" s="107"/>
      <c r="BQ1837" s="161"/>
    </row>
    <row r="1838" spans="2:69" s="109" customFormat="1" ht="13.5">
      <c r="B1838" s="141" t="s">
        <v>2520</v>
      </c>
      <c r="C1838" s="107"/>
      <c r="D1838" s="107" t="s">
        <v>45</v>
      </c>
      <c r="E1838" s="108"/>
      <c r="H1838" s="107"/>
      <c r="J1838" s="107"/>
      <c r="K1838" s="107"/>
      <c r="L1838" s="108"/>
      <c r="M1838" s="108"/>
      <c r="N1838" s="107"/>
      <c r="O1838" s="108"/>
      <c r="R1838" s="107" t="s">
        <v>42</v>
      </c>
      <c r="S1838" s="107"/>
      <c r="T1838" s="107" t="s">
        <v>35</v>
      </c>
      <c r="AI1838" s="108"/>
      <c r="AJ1838" s="108"/>
      <c r="AK1838" s="108"/>
      <c r="AL1838" s="108"/>
      <c r="AM1838" s="108"/>
      <c r="AN1838" s="108"/>
      <c r="AO1838" s="108"/>
      <c r="AP1838" s="108"/>
      <c r="AQ1838" s="108"/>
      <c r="AR1838" s="108"/>
      <c r="AS1838" s="108"/>
      <c r="AT1838" s="108"/>
      <c r="AU1838" s="108"/>
      <c r="AV1838" s="108"/>
      <c r="AW1838" s="108"/>
      <c r="AX1838" s="108"/>
      <c r="AY1838" s="108"/>
      <c r="AZ1838" s="107"/>
      <c r="BB1838" s="107"/>
      <c r="BD1838" s="107"/>
      <c r="BQ1838" s="161"/>
    </row>
    <row r="1839" spans="2:69" s="109" customFormat="1" ht="13.5">
      <c r="B1839" s="141" t="s">
        <v>2521</v>
      </c>
      <c r="C1839" s="107"/>
      <c r="D1839" s="107" t="s">
        <v>45</v>
      </c>
      <c r="E1839" s="108"/>
      <c r="H1839" s="107"/>
      <c r="J1839" s="107"/>
      <c r="K1839" s="107"/>
      <c r="L1839" s="108"/>
      <c r="M1839" s="108"/>
      <c r="N1839" s="107"/>
      <c r="O1839" s="108"/>
      <c r="R1839" s="107" t="s">
        <v>42</v>
      </c>
      <c r="S1839" s="107"/>
      <c r="T1839" s="107" t="s">
        <v>35</v>
      </c>
      <c r="AI1839" s="108"/>
      <c r="AJ1839" s="108"/>
      <c r="AK1839" s="108"/>
      <c r="AL1839" s="108"/>
      <c r="AM1839" s="108"/>
      <c r="AN1839" s="108"/>
      <c r="AO1839" s="108"/>
      <c r="AP1839" s="108"/>
      <c r="AQ1839" s="108"/>
      <c r="AR1839" s="108"/>
      <c r="AS1839" s="108"/>
      <c r="AT1839" s="108"/>
      <c r="AU1839" s="108"/>
      <c r="AV1839" s="108"/>
      <c r="AW1839" s="108"/>
      <c r="AX1839" s="108"/>
      <c r="AY1839" s="108"/>
      <c r="AZ1839" s="107"/>
      <c r="BB1839" s="107"/>
      <c r="BD1839" s="107"/>
      <c r="BQ1839" s="161"/>
    </row>
    <row r="1840" spans="2:69" s="109" customFormat="1" ht="13.5">
      <c r="B1840" s="141" t="s">
        <v>2522</v>
      </c>
      <c r="C1840" s="107"/>
      <c r="D1840" s="107" t="s">
        <v>45</v>
      </c>
      <c r="E1840" s="108"/>
      <c r="H1840" s="107"/>
      <c r="J1840" s="107"/>
      <c r="K1840" s="107"/>
      <c r="L1840" s="108"/>
      <c r="M1840" s="108"/>
      <c r="N1840" s="107"/>
      <c r="O1840" s="108"/>
      <c r="R1840" s="107" t="s">
        <v>42</v>
      </c>
      <c r="S1840" s="107"/>
      <c r="T1840" s="107" t="s">
        <v>35</v>
      </c>
      <c r="AI1840" s="108"/>
      <c r="AJ1840" s="108"/>
      <c r="AK1840" s="108"/>
      <c r="AL1840" s="108"/>
      <c r="AM1840" s="108"/>
      <c r="AN1840" s="108"/>
      <c r="AO1840" s="108"/>
      <c r="AP1840" s="108"/>
      <c r="AQ1840" s="108"/>
      <c r="AR1840" s="108"/>
      <c r="AS1840" s="108"/>
      <c r="AT1840" s="108"/>
      <c r="AU1840" s="108"/>
      <c r="AV1840" s="108"/>
      <c r="AW1840" s="108"/>
      <c r="AX1840" s="108"/>
      <c r="AY1840" s="108"/>
      <c r="AZ1840" s="107"/>
      <c r="BB1840" s="107"/>
      <c r="BD1840" s="107"/>
      <c r="BQ1840" s="161"/>
    </row>
    <row r="1841" spans="2:69" s="109" customFormat="1" ht="13.5">
      <c r="B1841" s="141" t="s">
        <v>2523</v>
      </c>
      <c r="C1841" s="107"/>
      <c r="D1841" s="107" t="s">
        <v>45</v>
      </c>
      <c r="E1841" s="108"/>
      <c r="H1841" s="107"/>
      <c r="J1841" s="107"/>
      <c r="K1841" s="107"/>
      <c r="L1841" s="108"/>
      <c r="M1841" s="108"/>
      <c r="N1841" s="107"/>
      <c r="O1841" s="108"/>
      <c r="R1841" s="107" t="s">
        <v>42</v>
      </c>
      <c r="S1841" s="107"/>
      <c r="T1841" s="107" t="s">
        <v>35</v>
      </c>
      <c r="AI1841" s="108"/>
      <c r="AJ1841" s="108"/>
      <c r="AK1841" s="108"/>
      <c r="AL1841" s="108"/>
      <c r="AM1841" s="108"/>
      <c r="AN1841" s="108"/>
      <c r="AO1841" s="108"/>
      <c r="AP1841" s="108"/>
      <c r="AQ1841" s="108"/>
      <c r="AR1841" s="108"/>
      <c r="AS1841" s="108"/>
      <c r="AT1841" s="108"/>
      <c r="AU1841" s="108"/>
      <c r="AV1841" s="108"/>
      <c r="AW1841" s="108"/>
      <c r="AX1841" s="108"/>
      <c r="AY1841" s="108"/>
      <c r="AZ1841" s="107"/>
      <c r="BB1841" s="107"/>
      <c r="BD1841" s="107"/>
      <c r="BQ1841" s="161"/>
    </row>
    <row r="1842" spans="2:69" s="109" customFormat="1" ht="13.5">
      <c r="B1842" s="141" t="s">
        <v>2524</v>
      </c>
      <c r="C1842" s="107"/>
      <c r="D1842" s="107" t="s">
        <v>45</v>
      </c>
      <c r="E1842" s="108"/>
      <c r="H1842" s="107"/>
      <c r="J1842" s="107"/>
      <c r="K1842" s="107"/>
      <c r="L1842" s="108"/>
      <c r="M1842" s="108"/>
      <c r="N1842" s="107"/>
      <c r="O1842" s="108"/>
      <c r="R1842" s="107" t="s">
        <v>42</v>
      </c>
      <c r="S1842" s="107"/>
      <c r="T1842" s="107" t="s">
        <v>35</v>
      </c>
      <c r="AI1842" s="108"/>
      <c r="AJ1842" s="108"/>
      <c r="AK1842" s="108"/>
      <c r="AL1842" s="108"/>
      <c r="AM1842" s="108"/>
      <c r="AN1842" s="108"/>
      <c r="AO1842" s="108"/>
      <c r="AP1842" s="108"/>
      <c r="AQ1842" s="108"/>
      <c r="AR1842" s="108"/>
      <c r="AS1842" s="108"/>
      <c r="AT1842" s="108"/>
      <c r="AU1842" s="108"/>
      <c r="AV1842" s="108"/>
      <c r="AW1842" s="108"/>
      <c r="AX1842" s="108"/>
      <c r="AY1842" s="108"/>
      <c r="AZ1842" s="107"/>
      <c r="BB1842" s="107"/>
      <c r="BD1842" s="107"/>
      <c r="BQ1842" s="161"/>
    </row>
    <row r="1843" spans="2:69" s="109" customFormat="1" ht="13.5">
      <c r="B1843" s="141" t="s">
        <v>2525</v>
      </c>
      <c r="C1843" s="107"/>
      <c r="D1843" s="107" t="s">
        <v>45</v>
      </c>
      <c r="E1843" s="108"/>
      <c r="H1843" s="107"/>
      <c r="J1843" s="107"/>
      <c r="K1843" s="107"/>
      <c r="L1843" s="108"/>
      <c r="M1843" s="108"/>
      <c r="N1843" s="107"/>
      <c r="O1843" s="108"/>
      <c r="R1843" s="107" t="s">
        <v>42</v>
      </c>
      <c r="S1843" s="107"/>
      <c r="T1843" s="107" t="s">
        <v>35</v>
      </c>
      <c r="AI1843" s="108"/>
      <c r="AJ1843" s="108"/>
      <c r="AK1843" s="108"/>
      <c r="AL1843" s="108"/>
      <c r="AM1843" s="108"/>
      <c r="AN1843" s="108"/>
      <c r="AO1843" s="108"/>
      <c r="AP1843" s="108"/>
      <c r="AQ1843" s="108"/>
      <c r="AR1843" s="108"/>
      <c r="AS1843" s="108"/>
      <c r="AT1843" s="108"/>
      <c r="AU1843" s="108"/>
      <c r="AV1843" s="108"/>
      <c r="AW1843" s="108"/>
      <c r="AX1843" s="108"/>
      <c r="AY1843" s="108"/>
      <c r="AZ1843" s="107"/>
      <c r="BB1843" s="107"/>
      <c r="BD1843" s="107"/>
      <c r="BQ1843" s="161"/>
    </row>
    <row r="1844" spans="2:69" s="109" customFormat="1" ht="13.5">
      <c r="B1844" s="141" t="s">
        <v>2526</v>
      </c>
      <c r="C1844" s="107"/>
      <c r="D1844" s="107" t="s">
        <v>45</v>
      </c>
      <c r="E1844" s="108"/>
      <c r="H1844" s="107"/>
      <c r="J1844" s="107"/>
      <c r="K1844" s="107"/>
      <c r="L1844" s="108"/>
      <c r="M1844" s="108"/>
      <c r="N1844" s="107"/>
      <c r="O1844" s="108"/>
      <c r="R1844" s="107" t="s">
        <v>42</v>
      </c>
      <c r="S1844" s="107"/>
      <c r="T1844" s="107" t="s">
        <v>35</v>
      </c>
      <c r="AI1844" s="108"/>
      <c r="AJ1844" s="108"/>
      <c r="AK1844" s="108"/>
      <c r="AL1844" s="108"/>
      <c r="AM1844" s="108"/>
      <c r="AN1844" s="108"/>
      <c r="AO1844" s="108"/>
      <c r="AP1844" s="108"/>
      <c r="AQ1844" s="108"/>
      <c r="AR1844" s="108"/>
      <c r="AS1844" s="108"/>
      <c r="AT1844" s="108"/>
      <c r="AU1844" s="108"/>
      <c r="AV1844" s="108"/>
      <c r="AW1844" s="108"/>
      <c r="AX1844" s="108"/>
      <c r="AY1844" s="108"/>
      <c r="AZ1844" s="107"/>
      <c r="BB1844" s="107"/>
      <c r="BD1844" s="107"/>
      <c r="BQ1844" s="161"/>
    </row>
    <row r="1845" spans="2:69" s="109" customFormat="1" ht="13.5">
      <c r="B1845" s="141"/>
      <c r="C1845" s="107"/>
      <c r="D1845" s="107" t="s">
        <v>45</v>
      </c>
      <c r="H1845" s="107"/>
      <c r="J1845" s="107"/>
      <c r="K1845" s="107"/>
      <c r="N1845" s="107"/>
      <c r="R1845" s="107" t="s">
        <v>42</v>
      </c>
      <c r="S1845" s="107"/>
      <c r="T1845" s="107" t="s">
        <v>35</v>
      </c>
      <c r="AZ1845" s="107"/>
      <c r="BB1845" s="107"/>
      <c r="BD1845" s="107"/>
      <c r="BQ1845" s="161"/>
    </row>
    <row r="1846" spans="2:69" s="109" customFormat="1" ht="13.5">
      <c r="B1846" s="141"/>
      <c r="C1846" s="107"/>
      <c r="D1846" s="107" t="s">
        <v>45</v>
      </c>
      <c r="H1846" s="107"/>
      <c r="J1846" s="107"/>
      <c r="K1846" s="107"/>
      <c r="N1846" s="107"/>
      <c r="R1846" s="107" t="s">
        <v>42</v>
      </c>
      <c r="S1846" s="107"/>
      <c r="T1846" s="107" t="s">
        <v>35</v>
      </c>
      <c r="AZ1846" s="107"/>
      <c r="BB1846" s="107"/>
      <c r="BD1846" s="107"/>
      <c r="BQ1846" s="161"/>
    </row>
    <row r="1847" spans="2:69" s="109" customFormat="1" ht="13.5">
      <c r="B1847" s="141"/>
      <c r="C1847" s="107"/>
      <c r="D1847" s="107" t="s">
        <v>45</v>
      </c>
      <c r="H1847" s="107"/>
      <c r="J1847" s="107"/>
      <c r="K1847" s="107"/>
      <c r="N1847" s="107"/>
      <c r="R1847" s="107" t="s">
        <v>42</v>
      </c>
      <c r="S1847" s="107"/>
      <c r="T1847" s="107" t="s">
        <v>35</v>
      </c>
      <c r="AZ1847" s="107"/>
      <c r="BB1847" s="107"/>
      <c r="BD1847" s="107"/>
      <c r="BQ1847" s="161"/>
    </row>
    <row r="1848" spans="2:69" s="109" customFormat="1" ht="13.5">
      <c r="B1848" s="141"/>
      <c r="C1848" s="107"/>
      <c r="D1848" s="107" t="s">
        <v>45</v>
      </c>
      <c r="H1848" s="107"/>
      <c r="J1848" s="107"/>
      <c r="K1848" s="107"/>
      <c r="N1848" s="107"/>
      <c r="R1848" s="107" t="s">
        <v>42</v>
      </c>
      <c r="S1848" s="107"/>
      <c r="T1848" s="107" t="s">
        <v>35</v>
      </c>
      <c r="AZ1848" s="107"/>
      <c r="BB1848" s="107"/>
      <c r="BD1848" s="107"/>
      <c r="BQ1848" s="161"/>
    </row>
    <row r="1849" spans="2:69" s="109" customFormat="1" ht="13.5">
      <c r="B1849" s="141"/>
      <c r="C1849" s="107"/>
      <c r="D1849" s="107" t="s">
        <v>45</v>
      </c>
      <c r="H1849" s="107"/>
      <c r="J1849" s="107"/>
      <c r="K1849" s="107"/>
      <c r="N1849" s="107"/>
      <c r="R1849" s="107" t="s">
        <v>42</v>
      </c>
      <c r="S1849" s="107"/>
      <c r="T1849" s="107" t="s">
        <v>35</v>
      </c>
      <c r="AZ1849" s="107"/>
      <c r="BB1849" s="107"/>
      <c r="BD1849" s="107"/>
      <c r="BQ1849" s="161"/>
    </row>
    <row r="1850" spans="2:69" s="109" customFormat="1" ht="13.5">
      <c r="B1850" s="141"/>
      <c r="C1850" s="107"/>
      <c r="D1850" s="107" t="s">
        <v>45</v>
      </c>
      <c r="H1850" s="107"/>
      <c r="J1850" s="107"/>
      <c r="K1850" s="107"/>
      <c r="N1850" s="107"/>
      <c r="R1850" s="107" t="s">
        <v>42</v>
      </c>
      <c r="S1850" s="107"/>
      <c r="T1850" s="107" t="s">
        <v>35</v>
      </c>
      <c r="AZ1850" s="107"/>
      <c r="BB1850" s="107"/>
      <c r="BD1850" s="107"/>
      <c r="BQ1850" s="161"/>
    </row>
    <row r="1851" spans="2:69" s="109" customFormat="1" ht="13.5">
      <c r="B1851" s="141"/>
      <c r="C1851" s="107"/>
      <c r="D1851" s="107" t="s">
        <v>45</v>
      </c>
      <c r="H1851" s="107"/>
      <c r="J1851" s="107"/>
      <c r="K1851" s="107"/>
      <c r="N1851" s="107"/>
      <c r="R1851" s="107" t="s">
        <v>42</v>
      </c>
      <c r="S1851" s="107"/>
      <c r="T1851" s="107" t="s">
        <v>35</v>
      </c>
      <c r="AZ1851" s="107"/>
      <c r="BB1851" s="107"/>
      <c r="BD1851" s="107"/>
      <c r="BQ1851" s="161"/>
    </row>
    <row r="1852" spans="2:69" s="109" customFormat="1" ht="13.5">
      <c r="B1852" s="141"/>
      <c r="C1852" s="107"/>
      <c r="D1852" s="107"/>
      <c r="H1852" s="107"/>
      <c r="J1852" s="107"/>
      <c r="K1852" s="107"/>
      <c r="N1852" s="107"/>
      <c r="R1852" s="107"/>
      <c r="S1852" s="107"/>
      <c r="T1852" s="107" t="s">
        <v>35</v>
      </c>
      <c r="AZ1852" s="107"/>
      <c r="BB1852" s="107"/>
      <c r="BD1852" s="107"/>
      <c r="BQ1852" s="161"/>
    </row>
    <row r="1853" spans="2:69" s="109" customFormat="1" ht="13.5">
      <c r="B1853" s="141" t="s">
        <v>2557</v>
      </c>
      <c r="C1853" s="107"/>
      <c r="D1853" s="107" t="s">
        <v>34</v>
      </c>
      <c r="E1853" s="108"/>
      <c r="H1853" s="107"/>
      <c r="J1853" s="107"/>
      <c r="K1853" s="107"/>
      <c r="L1853" s="108"/>
      <c r="M1853" s="108"/>
      <c r="N1853" s="107"/>
      <c r="O1853" s="108"/>
      <c r="R1853" s="107" t="s">
        <v>44</v>
      </c>
      <c r="S1853" s="107"/>
      <c r="T1853" s="107" t="s">
        <v>35</v>
      </c>
      <c r="AI1853" s="108"/>
      <c r="AJ1853" s="108"/>
      <c r="AK1853" s="108"/>
      <c r="AL1853" s="108"/>
      <c r="AM1853" s="108"/>
      <c r="AN1853" s="108"/>
      <c r="AO1853" s="108"/>
      <c r="AP1853" s="108"/>
      <c r="AQ1853" s="108"/>
      <c r="AR1853" s="108"/>
      <c r="AS1853" s="108"/>
      <c r="AT1853" s="108"/>
      <c r="AU1853" s="108"/>
      <c r="AV1853" s="108"/>
      <c r="AW1853" s="108"/>
      <c r="AX1853" s="108"/>
      <c r="AY1853" s="108"/>
      <c r="AZ1853" s="107"/>
      <c r="BB1853" s="107"/>
      <c r="BD1853" s="107"/>
      <c r="BQ1853" s="161"/>
    </row>
    <row r="1854" spans="2:69" s="109" customFormat="1" ht="13.5">
      <c r="B1854" s="141" t="s">
        <v>2558</v>
      </c>
      <c r="C1854" s="107"/>
      <c r="D1854" s="107" t="s">
        <v>34</v>
      </c>
      <c r="E1854" s="108"/>
      <c r="H1854" s="107"/>
      <c r="J1854" s="107"/>
      <c r="K1854" s="107"/>
      <c r="L1854" s="108"/>
      <c r="M1854" s="108"/>
      <c r="N1854" s="107"/>
      <c r="O1854" s="108"/>
      <c r="R1854" s="107" t="s">
        <v>42</v>
      </c>
      <c r="S1854" s="107"/>
      <c r="T1854" s="107" t="s">
        <v>35</v>
      </c>
      <c r="AI1854" s="108"/>
      <c r="AJ1854" s="108"/>
      <c r="AK1854" s="108"/>
      <c r="AL1854" s="108"/>
      <c r="AM1854" s="108"/>
      <c r="AN1854" s="108"/>
      <c r="AO1854" s="108"/>
      <c r="AP1854" s="108"/>
      <c r="AQ1854" s="108"/>
      <c r="AR1854" s="108"/>
      <c r="AS1854" s="108"/>
      <c r="AT1854" s="108"/>
      <c r="AU1854" s="108"/>
      <c r="AV1854" s="108"/>
      <c r="AW1854" s="108"/>
      <c r="AX1854" s="108"/>
      <c r="AY1854" s="108"/>
      <c r="AZ1854" s="107"/>
      <c r="BB1854" s="107"/>
      <c r="BD1854" s="107"/>
      <c r="BQ1854" s="161"/>
    </row>
    <row r="1855" spans="2:69" s="109" customFormat="1" ht="13.5">
      <c r="B1855" s="141" t="s">
        <v>2559</v>
      </c>
      <c r="C1855" s="107"/>
      <c r="D1855" s="107" t="s">
        <v>34</v>
      </c>
      <c r="E1855" s="108"/>
      <c r="H1855" s="107"/>
      <c r="J1855" s="107"/>
      <c r="K1855" s="107"/>
      <c r="L1855" s="108"/>
      <c r="M1855" s="108"/>
      <c r="N1855" s="107"/>
      <c r="O1855" s="108"/>
      <c r="R1855" s="107" t="s">
        <v>42</v>
      </c>
      <c r="S1855" s="107"/>
      <c r="T1855" s="107" t="s">
        <v>35</v>
      </c>
      <c r="AI1855" s="108"/>
      <c r="AJ1855" s="108"/>
      <c r="AK1855" s="108"/>
      <c r="AL1855" s="108"/>
      <c r="AM1855" s="108"/>
      <c r="AN1855" s="108"/>
      <c r="AO1855" s="108"/>
      <c r="AP1855" s="108"/>
      <c r="AQ1855" s="108"/>
      <c r="AR1855" s="108"/>
      <c r="AS1855" s="108"/>
      <c r="AT1855" s="108"/>
      <c r="AU1855" s="108"/>
      <c r="AV1855" s="108"/>
      <c r="AW1855" s="108"/>
      <c r="AX1855" s="108"/>
      <c r="AY1855" s="108"/>
      <c r="AZ1855" s="107"/>
      <c r="BB1855" s="107"/>
      <c r="BD1855" s="107"/>
      <c r="BQ1855" s="161"/>
    </row>
    <row r="1856" spans="2:69" s="109" customFormat="1" ht="13.5">
      <c r="B1856" s="141" t="s">
        <v>2560</v>
      </c>
      <c r="C1856" s="107"/>
      <c r="D1856" s="107" t="s">
        <v>34</v>
      </c>
      <c r="E1856" s="108"/>
      <c r="H1856" s="107"/>
      <c r="J1856" s="107"/>
      <c r="K1856" s="107"/>
      <c r="L1856" s="108"/>
      <c r="M1856" s="108"/>
      <c r="N1856" s="107"/>
      <c r="O1856" s="108"/>
      <c r="R1856" s="107" t="s">
        <v>42</v>
      </c>
      <c r="S1856" s="107"/>
      <c r="T1856" s="107" t="s">
        <v>35</v>
      </c>
      <c r="AI1856" s="108"/>
      <c r="AJ1856" s="108"/>
      <c r="AK1856" s="108"/>
      <c r="AL1856" s="108"/>
      <c r="AM1856" s="108"/>
      <c r="AN1856" s="108"/>
      <c r="AO1856" s="108"/>
      <c r="AP1856" s="108"/>
      <c r="AQ1856" s="108"/>
      <c r="AR1856" s="108"/>
      <c r="AS1856" s="108"/>
      <c r="AT1856" s="108"/>
      <c r="AU1856" s="108"/>
      <c r="AV1856" s="108"/>
      <c r="AW1856" s="108"/>
      <c r="AX1856" s="108"/>
      <c r="AY1856" s="108"/>
      <c r="AZ1856" s="107"/>
      <c r="BB1856" s="107"/>
      <c r="BD1856" s="107"/>
      <c r="BQ1856" s="161"/>
    </row>
    <row r="1857" spans="2:69" s="109" customFormat="1" ht="13.5">
      <c r="B1857" s="141" t="s">
        <v>2561</v>
      </c>
      <c r="C1857" s="107"/>
      <c r="D1857" s="107" t="s">
        <v>34</v>
      </c>
      <c r="E1857" s="108"/>
      <c r="H1857" s="107"/>
      <c r="J1857" s="107"/>
      <c r="K1857" s="107"/>
      <c r="L1857" s="108"/>
      <c r="M1857" s="108"/>
      <c r="N1857" s="107"/>
      <c r="O1857" s="108"/>
      <c r="R1857" s="107" t="s">
        <v>44</v>
      </c>
      <c r="S1857" s="107"/>
      <c r="T1857" s="107" t="s">
        <v>35</v>
      </c>
      <c r="AI1857" s="108"/>
      <c r="AJ1857" s="108"/>
      <c r="AK1857" s="108"/>
      <c r="AL1857" s="108"/>
      <c r="AM1857" s="108"/>
      <c r="AN1857" s="108"/>
      <c r="AO1857" s="108"/>
      <c r="AP1857" s="108"/>
      <c r="AQ1857" s="108"/>
      <c r="AR1857" s="108"/>
      <c r="AS1857" s="108"/>
      <c r="AT1857" s="108"/>
      <c r="AU1857" s="108"/>
      <c r="AV1857" s="108"/>
      <c r="AW1857" s="108"/>
      <c r="AX1857" s="108"/>
      <c r="AY1857" s="108"/>
      <c r="AZ1857" s="107"/>
      <c r="BB1857" s="107"/>
      <c r="BD1857" s="107"/>
      <c r="BQ1857" s="161"/>
    </row>
    <row r="1858" spans="2:69" s="109" customFormat="1" ht="13.5">
      <c r="B1858" s="141" t="s">
        <v>2562</v>
      </c>
      <c r="C1858" s="107"/>
      <c r="D1858" s="107" t="s">
        <v>34</v>
      </c>
      <c r="E1858" s="108"/>
      <c r="H1858" s="107"/>
      <c r="J1858" s="107"/>
      <c r="K1858" s="107"/>
      <c r="L1858" s="108"/>
      <c r="M1858" s="108"/>
      <c r="N1858" s="107"/>
      <c r="O1858" s="108"/>
      <c r="R1858" s="107" t="s">
        <v>44</v>
      </c>
      <c r="S1858" s="107"/>
      <c r="T1858" s="107" t="s">
        <v>35</v>
      </c>
      <c r="AI1858" s="108"/>
      <c r="AJ1858" s="108"/>
      <c r="AK1858" s="108"/>
      <c r="AL1858" s="108"/>
      <c r="AM1858" s="108"/>
      <c r="AN1858" s="108"/>
      <c r="AO1858" s="108"/>
      <c r="AP1858" s="108"/>
      <c r="AQ1858" s="108"/>
      <c r="AR1858" s="108"/>
      <c r="AS1858" s="108"/>
      <c r="AT1858" s="108"/>
      <c r="AU1858" s="108"/>
      <c r="AV1858" s="108"/>
      <c r="AW1858" s="108"/>
      <c r="AX1858" s="108"/>
      <c r="AY1858" s="108"/>
      <c r="AZ1858" s="107"/>
      <c r="BB1858" s="107"/>
      <c r="BD1858" s="107"/>
      <c r="BQ1858" s="161"/>
    </row>
    <row r="1859" spans="2:69" s="109" customFormat="1" ht="13.5">
      <c r="B1859" s="141" t="s">
        <v>2563</v>
      </c>
      <c r="C1859" s="107"/>
      <c r="D1859" s="107" t="s">
        <v>34</v>
      </c>
      <c r="E1859" s="108"/>
      <c r="H1859" s="107"/>
      <c r="J1859" s="107"/>
      <c r="K1859" s="107"/>
      <c r="L1859" s="108"/>
      <c r="M1859" s="108"/>
      <c r="N1859" s="107"/>
      <c r="O1859" s="108"/>
      <c r="R1859" s="107" t="s">
        <v>44</v>
      </c>
      <c r="S1859" s="107"/>
      <c r="T1859" s="107" t="s">
        <v>35</v>
      </c>
      <c r="AI1859" s="108"/>
      <c r="AJ1859" s="108"/>
      <c r="AK1859" s="108"/>
      <c r="AL1859" s="108"/>
      <c r="AM1859" s="108"/>
      <c r="AN1859" s="108"/>
      <c r="AO1859" s="108"/>
      <c r="AP1859" s="108"/>
      <c r="AQ1859" s="108"/>
      <c r="AR1859" s="108"/>
      <c r="AS1859" s="108"/>
      <c r="AT1859" s="108"/>
      <c r="AU1859" s="108"/>
      <c r="AV1859" s="108"/>
      <c r="AW1859" s="108"/>
      <c r="AX1859" s="108"/>
      <c r="AY1859" s="108"/>
      <c r="AZ1859" s="107"/>
      <c r="BB1859" s="107"/>
      <c r="BD1859" s="107"/>
      <c r="BQ1859" s="161"/>
    </row>
    <row r="1860" spans="2:69" s="109" customFormat="1" ht="13.5">
      <c r="B1860" s="141" t="s">
        <v>2564</v>
      </c>
      <c r="C1860" s="107"/>
      <c r="D1860" s="107" t="s">
        <v>34</v>
      </c>
      <c r="E1860" s="108"/>
      <c r="H1860" s="107"/>
      <c r="J1860" s="107"/>
      <c r="K1860" s="107"/>
      <c r="L1860" s="108"/>
      <c r="M1860" s="108"/>
      <c r="N1860" s="107"/>
      <c r="O1860" s="108"/>
      <c r="R1860" s="107" t="s">
        <v>42</v>
      </c>
      <c r="S1860" s="107"/>
      <c r="T1860" s="107" t="s">
        <v>35</v>
      </c>
      <c r="AI1860" s="108"/>
      <c r="AJ1860" s="108"/>
      <c r="AK1860" s="108"/>
      <c r="AL1860" s="108"/>
      <c r="AM1860" s="108"/>
      <c r="AN1860" s="108"/>
      <c r="AO1860" s="108"/>
      <c r="AP1860" s="108"/>
      <c r="AQ1860" s="108"/>
      <c r="AR1860" s="108"/>
      <c r="AS1860" s="108"/>
      <c r="AT1860" s="108"/>
      <c r="AU1860" s="108"/>
      <c r="AV1860" s="108"/>
      <c r="AW1860" s="108"/>
      <c r="AX1860" s="108"/>
      <c r="AY1860" s="108"/>
      <c r="AZ1860" s="107"/>
      <c r="BB1860" s="107"/>
      <c r="BD1860" s="107"/>
      <c r="BQ1860" s="161"/>
    </row>
    <row r="1861" spans="2:69" s="109" customFormat="1" ht="13.5">
      <c r="B1861" s="141" t="s">
        <v>2565</v>
      </c>
      <c r="C1861" s="107"/>
      <c r="D1861" s="107" t="s">
        <v>34</v>
      </c>
      <c r="E1861" s="108"/>
      <c r="H1861" s="107"/>
      <c r="J1861" s="107"/>
      <c r="K1861" s="107"/>
      <c r="L1861" s="108"/>
      <c r="M1861" s="108"/>
      <c r="N1861" s="107"/>
      <c r="O1861" s="108"/>
      <c r="R1861" s="107" t="s">
        <v>43</v>
      </c>
      <c r="S1861" s="107"/>
      <c r="T1861" s="107" t="s">
        <v>35</v>
      </c>
      <c r="AI1861" s="108"/>
      <c r="AJ1861" s="108"/>
      <c r="AK1861" s="108"/>
      <c r="AL1861" s="108"/>
      <c r="AM1861" s="108"/>
      <c r="AN1861" s="108"/>
      <c r="AO1861" s="108"/>
      <c r="AP1861" s="108"/>
      <c r="AQ1861" s="108"/>
      <c r="AR1861" s="108"/>
      <c r="AS1861" s="108"/>
      <c r="AT1861" s="108"/>
      <c r="AU1861" s="108"/>
      <c r="AV1861" s="108"/>
      <c r="AW1861" s="108"/>
      <c r="AX1861" s="108"/>
      <c r="AY1861" s="108"/>
      <c r="AZ1861" s="107"/>
      <c r="BB1861" s="107"/>
      <c r="BD1861" s="107"/>
      <c r="BQ1861" s="161"/>
    </row>
    <row r="1862" spans="2:69" s="109" customFormat="1" ht="13.5">
      <c r="B1862" s="141" t="s">
        <v>2566</v>
      </c>
      <c r="C1862" s="107"/>
      <c r="D1862" s="107" t="s">
        <v>34</v>
      </c>
      <c r="E1862" s="108"/>
      <c r="H1862" s="107"/>
      <c r="J1862" s="107"/>
      <c r="K1862" s="107"/>
      <c r="L1862" s="108"/>
      <c r="M1862" s="108"/>
      <c r="N1862" s="107"/>
      <c r="O1862" s="108"/>
      <c r="R1862" s="107" t="s">
        <v>44</v>
      </c>
      <c r="S1862" s="107"/>
      <c r="T1862" s="107" t="s">
        <v>35</v>
      </c>
      <c r="AI1862" s="108"/>
      <c r="AJ1862" s="108"/>
      <c r="AK1862" s="108"/>
      <c r="AL1862" s="108"/>
      <c r="AM1862" s="108"/>
      <c r="AN1862" s="108"/>
      <c r="AO1862" s="108"/>
      <c r="AP1862" s="108"/>
      <c r="AQ1862" s="108"/>
      <c r="AR1862" s="108"/>
      <c r="AS1862" s="108"/>
      <c r="AT1862" s="108"/>
      <c r="AU1862" s="108"/>
      <c r="AV1862" s="108"/>
      <c r="AW1862" s="108"/>
      <c r="AX1862" s="108"/>
      <c r="AY1862" s="108"/>
      <c r="AZ1862" s="107"/>
      <c r="BB1862" s="107"/>
      <c r="BD1862" s="107"/>
      <c r="BQ1862" s="161"/>
    </row>
    <row r="1863" spans="2:69" s="109" customFormat="1" ht="13.5">
      <c r="B1863" s="141" t="s">
        <v>2567</v>
      </c>
      <c r="C1863" s="107"/>
      <c r="D1863" s="107" t="s">
        <v>34</v>
      </c>
      <c r="E1863" s="108"/>
      <c r="H1863" s="107"/>
      <c r="J1863" s="107"/>
      <c r="K1863" s="107"/>
      <c r="L1863" s="108"/>
      <c r="M1863" s="108"/>
      <c r="N1863" s="107"/>
      <c r="O1863" s="108"/>
      <c r="R1863" s="107" t="s">
        <v>44</v>
      </c>
      <c r="S1863" s="107"/>
      <c r="T1863" s="107" t="s">
        <v>35</v>
      </c>
      <c r="AI1863" s="108"/>
      <c r="AJ1863" s="108"/>
      <c r="AK1863" s="108"/>
      <c r="AL1863" s="108"/>
      <c r="AM1863" s="108"/>
      <c r="AN1863" s="108"/>
      <c r="AO1863" s="108"/>
      <c r="AP1863" s="108"/>
      <c r="AQ1863" s="108"/>
      <c r="AR1863" s="108"/>
      <c r="AS1863" s="108"/>
      <c r="AT1863" s="108"/>
      <c r="AU1863" s="108"/>
      <c r="AV1863" s="108"/>
      <c r="AW1863" s="108"/>
      <c r="AX1863" s="108"/>
      <c r="AY1863" s="108"/>
      <c r="AZ1863" s="107"/>
      <c r="BB1863" s="107"/>
      <c r="BD1863" s="107"/>
      <c r="BQ1863" s="161"/>
    </row>
    <row r="1864" spans="2:69" s="109" customFormat="1" ht="13.5">
      <c r="B1864" s="141" t="s">
        <v>2568</v>
      </c>
      <c r="C1864" s="107"/>
      <c r="D1864" s="107" t="s">
        <v>34</v>
      </c>
      <c r="E1864" s="108"/>
      <c r="H1864" s="107"/>
      <c r="J1864" s="107"/>
      <c r="K1864" s="107"/>
      <c r="L1864" s="108"/>
      <c r="M1864" s="108"/>
      <c r="N1864" s="107"/>
      <c r="O1864" s="108"/>
      <c r="R1864" s="107" t="s">
        <v>44</v>
      </c>
      <c r="S1864" s="107"/>
      <c r="T1864" s="107" t="s">
        <v>35</v>
      </c>
      <c r="AI1864" s="108"/>
      <c r="AJ1864" s="108"/>
      <c r="AK1864" s="108"/>
      <c r="AL1864" s="108"/>
      <c r="AM1864" s="108"/>
      <c r="AN1864" s="108"/>
      <c r="AO1864" s="108"/>
      <c r="AP1864" s="108"/>
      <c r="AQ1864" s="108"/>
      <c r="AR1864" s="108"/>
      <c r="AS1864" s="108"/>
      <c r="AT1864" s="108"/>
      <c r="AU1864" s="108"/>
      <c r="AV1864" s="108"/>
      <c r="AW1864" s="108"/>
      <c r="AX1864" s="108"/>
      <c r="AY1864" s="108"/>
      <c r="AZ1864" s="107"/>
      <c r="BB1864" s="107"/>
      <c r="BD1864" s="107"/>
      <c r="BQ1864" s="161"/>
    </row>
    <row r="1865" spans="2:69" s="109" customFormat="1" ht="13.5">
      <c r="B1865" s="141" t="s">
        <v>2569</v>
      </c>
      <c r="C1865" s="107"/>
      <c r="D1865" s="107" t="s">
        <v>34</v>
      </c>
      <c r="E1865" s="108"/>
      <c r="H1865" s="107"/>
      <c r="J1865" s="107"/>
      <c r="K1865" s="107"/>
      <c r="L1865" s="108"/>
      <c r="M1865" s="108"/>
      <c r="N1865" s="107"/>
      <c r="O1865" s="108"/>
      <c r="R1865" s="107" t="s">
        <v>44</v>
      </c>
      <c r="S1865" s="107"/>
      <c r="T1865" s="107" t="s">
        <v>35</v>
      </c>
      <c r="AI1865" s="108"/>
      <c r="AJ1865" s="108"/>
      <c r="AK1865" s="108"/>
      <c r="AL1865" s="108"/>
      <c r="AM1865" s="108"/>
      <c r="AN1865" s="108"/>
      <c r="AO1865" s="108"/>
      <c r="AP1865" s="108"/>
      <c r="AQ1865" s="108"/>
      <c r="AR1865" s="108"/>
      <c r="AS1865" s="108"/>
      <c r="AT1865" s="108"/>
      <c r="AU1865" s="108"/>
      <c r="AV1865" s="108"/>
      <c r="AW1865" s="108"/>
      <c r="AX1865" s="108"/>
      <c r="AY1865" s="108"/>
      <c r="AZ1865" s="107"/>
      <c r="BB1865" s="107"/>
      <c r="BD1865" s="107"/>
      <c r="BQ1865" s="161"/>
    </row>
    <row r="1866" spans="2:69" s="109" customFormat="1" ht="13.5">
      <c r="B1866" s="141" t="s">
        <v>2570</v>
      </c>
      <c r="C1866" s="107"/>
      <c r="D1866" s="107" t="s">
        <v>34</v>
      </c>
      <c r="E1866" s="108"/>
      <c r="H1866" s="107"/>
      <c r="J1866" s="107"/>
      <c r="K1866" s="107"/>
      <c r="L1866" s="108"/>
      <c r="M1866" s="108"/>
      <c r="N1866" s="107"/>
      <c r="O1866" s="108"/>
      <c r="R1866" s="107" t="s">
        <v>43</v>
      </c>
      <c r="S1866" s="107"/>
      <c r="T1866" s="107" t="s">
        <v>35</v>
      </c>
      <c r="AI1866" s="108"/>
      <c r="AJ1866" s="108"/>
      <c r="AK1866" s="108"/>
      <c r="AL1866" s="108"/>
      <c r="AM1866" s="108"/>
      <c r="AN1866" s="108"/>
      <c r="AO1866" s="108"/>
      <c r="AP1866" s="108"/>
      <c r="AQ1866" s="108"/>
      <c r="AR1866" s="108"/>
      <c r="AS1866" s="108"/>
      <c r="AT1866" s="108"/>
      <c r="AU1866" s="108"/>
      <c r="AV1866" s="108"/>
      <c r="AW1866" s="108"/>
      <c r="AX1866" s="108"/>
      <c r="AY1866" s="108"/>
      <c r="AZ1866" s="107"/>
      <c r="BB1866" s="107"/>
      <c r="BD1866" s="107"/>
      <c r="BQ1866" s="161"/>
    </row>
    <row r="1867" spans="2:69" s="109" customFormat="1" ht="13.5">
      <c r="B1867" s="141" t="s">
        <v>2571</v>
      </c>
      <c r="C1867" s="107"/>
      <c r="D1867" s="107" t="s">
        <v>34</v>
      </c>
      <c r="E1867" s="108"/>
      <c r="H1867" s="107"/>
      <c r="J1867" s="107"/>
      <c r="K1867" s="107"/>
      <c r="L1867" s="108"/>
      <c r="M1867" s="108"/>
      <c r="N1867" s="107"/>
      <c r="O1867" s="108"/>
      <c r="R1867" s="107" t="s">
        <v>42</v>
      </c>
      <c r="S1867" s="107"/>
      <c r="T1867" s="107" t="s">
        <v>35</v>
      </c>
      <c r="AI1867" s="108"/>
      <c r="AJ1867" s="108"/>
      <c r="AK1867" s="108"/>
      <c r="AL1867" s="108"/>
      <c r="AM1867" s="108"/>
      <c r="AN1867" s="108"/>
      <c r="AO1867" s="108"/>
      <c r="AP1867" s="108"/>
      <c r="AQ1867" s="108"/>
      <c r="AR1867" s="108"/>
      <c r="AS1867" s="108"/>
      <c r="AT1867" s="108"/>
      <c r="AU1867" s="108"/>
      <c r="AV1867" s="108"/>
      <c r="AW1867" s="108"/>
      <c r="AX1867" s="108"/>
      <c r="AY1867" s="108"/>
      <c r="AZ1867" s="107"/>
      <c r="BB1867" s="107"/>
      <c r="BD1867" s="107"/>
      <c r="BQ1867" s="161"/>
    </row>
    <row r="1868" spans="2:69" s="109" customFormat="1" ht="13.5">
      <c r="B1868" s="141" t="s">
        <v>2572</v>
      </c>
      <c r="C1868" s="107"/>
      <c r="D1868" s="107" t="s">
        <v>34</v>
      </c>
      <c r="E1868" s="108"/>
      <c r="H1868" s="107"/>
      <c r="J1868" s="107"/>
      <c r="K1868" s="107"/>
      <c r="L1868" s="108"/>
      <c r="M1868" s="108"/>
      <c r="N1868" s="107"/>
      <c r="O1868" s="108"/>
      <c r="R1868" s="107" t="s">
        <v>44</v>
      </c>
      <c r="S1868" s="107"/>
      <c r="T1868" s="107" t="s">
        <v>35</v>
      </c>
      <c r="AI1868" s="108"/>
      <c r="AJ1868" s="108"/>
      <c r="AK1868" s="108"/>
      <c r="AL1868" s="108"/>
      <c r="AM1868" s="108"/>
      <c r="AN1868" s="108"/>
      <c r="AO1868" s="108"/>
      <c r="AP1868" s="108"/>
      <c r="AQ1868" s="108"/>
      <c r="AR1868" s="108"/>
      <c r="AS1868" s="108"/>
      <c r="AT1868" s="108"/>
      <c r="AU1868" s="108"/>
      <c r="AV1868" s="108"/>
      <c r="AW1868" s="108"/>
      <c r="AX1868" s="108"/>
      <c r="AY1868" s="108"/>
      <c r="AZ1868" s="107"/>
      <c r="BB1868" s="107"/>
      <c r="BD1868" s="107"/>
      <c r="BQ1868" s="161"/>
    </row>
    <row r="1869" spans="2:69" s="109" customFormat="1" ht="13.5">
      <c r="B1869" s="141" t="s">
        <v>2573</v>
      </c>
      <c r="C1869" s="107"/>
      <c r="D1869" s="107" t="s">
        <v>34</v>
      </c>
      <c r="E1869" s="108"/>
      <c r="H1869" s="107"/>
      <c r="J1869" s="107"/>
      <c r="K1869" s="107"/>
      <c r="L1869" s="108"/>
      <c r="M1869" s="108"/>
      <c r="N1869" s="107"/>
      <c r="O1869" s="108"/>
      <c r="R1869" s="107" t="s">
        <v>42</v>
      </c>
      <c r="S1869" s="107"/>
      <c r="T1869" s="107" t="s">
        <v>35</v>
      </c>
      <c r="AI1869" s="108"/>
      <c r="AJ1869" s="108"/>
      <c r="AK1869" s="108"/>
      <c r="AL1869" s="108"/>
      <c r="AM1869" s="108"/>
      <c r="AN1869" s="108"/>
      <c r="AO1869" s="108"/>
      <c r="AP1869" s="108"/>
      <c r="AQ1869" s="108"/>
      <c r="AR1869" s="108"/>
      <c r="AS1869" s="108"/>
      <c r="AT1869" s="108"/>
      <c r="AU1869" s="108"/>
      <c r="AV1869" s="108"/>
      <c r="AW1869" s="108"/>
      <c r="AX1869" s="108"/>
      <c r="AY1869" s="108"/>
      <c r="AZ1869" s="107"/>
      <c r="BB1869" s="107"/>
      <c r="BD1869" s="107"/>
      <c r="BQ1869" s="161"/>
    </row>
    <row r="1870" spans="2:69" s="109" customFormat="1" ht="13.5">
      <c r="B1870" s="141" t="s">
        <v>2574</v>
      </c>
      <c r="C1870" s="107"/>
      <c r="D1870" s="107" t="s">
        <v>34</v>
      </c>
      <c r="E1870" s="108"/>
      <c r="H1870" s="107"/>
      <c r="J1870" s="107"/>
      <c r="K1870" s="107"/>
      <c r="L1870" s="108"/>
      <c r="M1870" s="108"/>
      <c r="N1870" s="107"/>
      <c r="O1870" s="108"/>
      <c r="R1870" s="107" t="s">
        <v>43</v>
      </c>
      <c r="S1870" s="107"/>
      <c r="T1870" s="107" t="s">
        <v>35</v>
      </c>
      <c r="AI1870" s="108"/>
      <c r="AJ1870" s="108"/>
      <c r="AK1870" s="108"/>
      <c r="AL1870" s="108"/>
      <c r="AM1870" s="108"/>
      <c r="AN1870" s="108"/>
      <c r="AO1870" s="108"/>
      <c r="AP1870" s="108"/>
      <c r="AQ1870" s="108"/>
      <c r="AR1870" s="108"/>
      <c r="AS1870" s="108"/>
      <c r="AT1870" s="108"/>
      <c r="AU1870" s="108"/>
      <c r="AV1870" s="108"/>
      <c r="AW1870" s="108"/>
      <c r="AX1870" s="108"/>
      <c r="AY1870" s="108"/>
      <c r="AZ1870" s="107"/>
      <c r="BB1870" s="107"/>
      <c r="BD1870" s="107"/>
      <c r="BQ1870" s="161"/>
    </row>
    <row r="1871" spans="2:69" s="109" customFormat="1" ht="13.5">
      <c r="B1871" s="141" t="s">
        <v>2575</v>
      </c>
      <c r="C1871" s="107"/>
      <c r="D1871" s="107" t="s">
        <v>34</v>
      </c>
      <c r="E1871" s="108"/>
      <c r="H1871" s="107"/>
      <c r="J1871" s="107"/>
      <c r="K1871" s="107"/>
      <c r="L1871" s="108"/>
      <c r="M1871" s="108"/>
      <c r="N1871" s="107"/>
      <c r="O1871" s="108"/>
      <c r="R1871" s="107"/>
      <c r="S1871" s="107"/>
      <c r="T1871" s="107" t="s">
        <v>35</v>
      </c>
      <c r="AI1871" s="108"/>
      <c r="AJ1871" s="108"/>
      <c r="AK1871" s="108"/>
      <c r="AL1871" s="108"/>
      <c r="AM1871" s="108"/>
      <c r="AN1871" s="108"/>
      <c r="AO1871" s="108"/>
      <c r="AP1871" s="108"/>
      <c r="AQ1871" s="108"/>
      <c r="AR1871" s="108"/>
      <c r="AS1871" s="108"/>
      <c r="AT1871" s="108"/>
      <c r="AU1871" s="108"/>
      <c r="AV1871" s="108"/>
      <c r="AW1871" s="108"/>
      <c r="AX1871" s="108"/>
      <c r="AY1871" s="108"/>
      <c r="AZ1871" s="107"/>
      <c r="BB1871" s="107"/>
      <c r="BD1871" s="107"/>
      <c r="BQ1871" s="161"/>
    </row>
    <row r="1872" spans="2:69" s="109" customFormat="1" ht="13.5">
      <c r="B1872" s="141" t="s">
        <v>2575</v>
      </c>
      <c r="C1872" s="107"/>
      <c r="D1872" s="107" t="s">
        <v>34</v>
      </c>
      <c r="E1872" s="108"/>
      <c r="H1872" s="107"/>
      <c r="J1872" s="107"/>
      <c r="K1872" s="107"/>
      <c r="L1872" s="108"/>
      <c r="M1872" s="108"/>
      <c r="N1872" s="107"/>
      <c r="O1872" s="108"/>
      <c r="R1872" s="107"/>
      <c r="S1872" s="107"/>
      <c r="T1872" s="107"/>
      <c r="AI1872" s="108"/>
      <c r="AJ1872" s="108"/>
      <c r="AK1872" s="108"/>
      <c r="AL1872" s="108"/>
      <c r="AM1872" s="108"/>
      <c r="AN1872" s="108"/>
      <c r="AO1872" s="108"/>
      <c r="AP1872" s="108"/>
      <c r="AQ1872" s="108"/>
      <c r="AR1872" s="108"/>
      <c r="AS1872" s="108"/>
      <c r="AT1872" s="108"/>
      <c r="AU1872" s="108"/>
      <c r="AV1872" s="108"/>
      <c r="AW1872" s="108"/>
      <c r="AX1872" s="108"/>
      <c r="AY1872" s="108"/>
      <c r="AZ1872" s="107"/>
      <c r="BB1872" s="107"/>
      <c r="BD1872" s="107"/>
      <c r="BQ1872" s="161"/>
    </row>
    <row r="1873" spans="2:69" s="109" customFormat="1" ht="13.5">
      <c r="B1873" s="141" t="s">
        <v>2576</v>
      </c>
      <c r="C1873" s="107"/>
      <c r="D1873" s="107" t="s">
        <v>34</v>
      </c>
      <c r="E1873" s="108"/>
      <c r="H1873" s="107"/>
      <c r="J1873" s="107"/>
      <c r="K1873" s="107"/>
      <c r="L1873" s="108"/>
      <c r="M1873" s="108"/>
      <c r="N1873" s="107"/>
      <c r="O1873" s="108"/>
      <c r="R1873" s="107" t="s">
        <v>42</v>
      </c>
      <c r="S1873" s="107"/>
      <c r="AI1873" s="108"/>
      <c r="AJ1873" s="108"/>
      <c r="AK1873" s="108"/>
      <c r="AL1873" s="108"/>
      <c r="AM1873" s="108"/>
      <c r="AN1873" s="108"/>
      <c r="AO1873" s="108"/>
      <c r="AP1873" s="108"/>
      <c r="AQ1873" s="108"/>
      <c r="AR1873" s="108"/>
      <c r="AS1873" s="108"/>
      <c r="AT1873" s="108"/>
      <c r="AU1873" s="108"/>
      <c r="AV1873" s="108"/>
      <c r="AW1873" s="108"/>
      <c r="AX1873" s="108"/>
      <c r="AY1873" s="108"/>
      <c r="AZ1873" s="107"/>
      <c r="BB1873" s="107"/>
      <c r="BD1873" s="107"/>
      <c r="BQ1873" s="161"/>
    </row>
    <row r="1874" spans="2:69" s="109" customFormat="1" ht="13.5">
      <c r="B1874" s="141" t="s">
        <v>2577</v>
      </c>
      <c r="C1874" s="107"/>
      <c r="D1874" s="107"/>
      <c r="E1874" s="108"/>
      <c r="H1874" s="107"/>
      <c r="J1874" s="107"/>
      <c r="K1874" s="107"/>
      <c r="L1874" s="108"/>
      <c r="M1874" s="108"/>
      <c r="N1874" s="107"/>
      <c r="O1874" s="108"/>
      <c r="R1874" s="107" t="s">
        <v>42</v>
      </c>
      <c r="S1874" s="107"/>
      <c r="AI1874" s="108"/>
      <c r="AJ1874" s="108"/>
      <c r="AK1874" s="108"/>
      <c r="AL1874" s="108"/>
      <c r="AM1874" s="108"/>
      <c r="AN1874" s="108"/>
      <c r="AO1874" s="108"/>
      <c r="AP1874" s="108"/>
      <c r="AQ1874" s="108"/>
      <c r="AR1874" s="108"/>
      <c r="AS1874" s="108"/>
      <c r="AT1874" s="108"/>
      <c r="AU1874" s="108"/>
      <c r="AV1874" s="108"/>
      <c r="AW1874" s="108"/>
      <c r="AX1874" s="108"/>
      <c r="AY1874" s="108"/>
      <c r="AZ1874" s="107"/>
      <c r="BB1874" s="107"/>
      <c r="BD1874" s="107"/>
      <c r="BQ1874" s="161"/>
    </row>
    <row r="1875" spans="2:69" s="109" customFormat="1" ht="13.5">
      <c r="B1875" s="141" t="s">
        <v>2578</v>
      </c>
      <c r="C1875" s="107"/>
      <c r="D1875" s="107"/>
      <c r="E1875" s="108"/>
      <c r="H1875" s="107"/>
      <c r="J1875" s="107"/>
      <c r="K1875" s="107"/>
      <c r="L1875" s="108"/>
      <c r="M1875" s="108"/>
      <c r="N1875" s="107"/>
      <c r="O1875" s="108"/>
      <c r="R1875" s="107" t="s">
        <v>42</v>
      </c>
      <c r="S1875" s="107"/>
      <c r="AI1875" s="108"/>
      <c r="AJ1875" s="108"/>
      <c r="AK1875" s="108"/>
      <c r="AL1875" s="108"/>
      <c r="AM1875" s="108"/>
      <c r="AN1875" s="108"/>
      <c r="AO1875" s="108"/>
      <c r="AP1875" s="108"/>
      <c r="AQ1875" s="108"/>
      <c r="AR1875" s="108"/>
      <c r="AS1875" s="108"/>
      <c r="AT1875" s="108"/>
      <c r="AU1875" s="108"/>
      <c r="AV1875" s="108"/>
      <c r="AW1875" s="108"/>
      <c r="AX1875" s="108"/>
      <c r="AY1875" s="108"/>
      <c r="AZ1875" s="107"/>
      <c r="BB1875" s="107"/>
      <c r="BD1875" s="107"/>
      <c r="BQ1875" s="161"/>
    </row>
    <row r="1876" spans="2:69" s="109" customFormat="1" ht="13.5">
      <c r="B1876" s="141"/>
      <c r="C1876" s="107"/>
      <c r="D1876" s="107"/>
      <c r="E1876" s="108"/>
      <c r="H1876" s="107"/>
      <c r="J1876" s="107"/>
      <c r="K1876" s="107"/>
      <c r="L1876" s="108"/>
      <c r="M1876" s="108"/>
      <c r="N1876" s="107"/>
      <c r="O1876" s="108"/>
      <c r="R1876" s="107"/>
      <c r="S1876" s="107"/>
      <c r="AI1876" s="108"/>
      <c r="AJ1876" s="108"/>
      <c r="AK1876" s="108"/>
      <c r="AL1876" s="108"/>
      <c r="AM1876" s="108"/>
      <c r="AN1876" s="108"/>
      <c r="AO1876" s="108"/>
      <c r="AP1876" s="108"/>
      <c r="AQ1876" s="108"/>
      <c r="AR1876" s="108"/>
      <c r="AS1876" s="108"/>
      <c r="AT1876" s="108"/>
      <c r="AU1876" s="108"/>
      <c r="AV1876" s="108"/>
      <c r="AW1876" s="108"/>
      <c r="AX1876" s="108"/>
      <c r="AY1876" s="108"/>
      <c r="AZ1876" s="107"/>
      <c r="BB1876" s="107"/>
      <c r="BD1876" s="107"/>
      <c r="BQ1876" s="161"/>
    </row>
    <row r="1877" spans="2:69" s="109" customFormat="1" ht="13.5">
      <c r="B1877" s="141" t="s">
        <v>2580</v>
      </c>
      <c r="C1877" s="107"/>
      <c r="D1877" s="107" t="s">
        <v>1532</v>
      </c>
      <c r="E1877" s="108"/>
      <c r="H1877" s="107"/>
      <c r="J1877" s="107"/>
      <c r="K1877" s="107"/>
      <c r="L1877" s="108"/>
      <c r="M1877" s="108"/>
      <c r="N1877" s="107"/>
      <c r="O1877" s="108"/>
      <c r="R1877" s="107" t="s">
        <v>42</v>
      </c>
      <c r="S1877" s="107"/>
      <c r="AI1877" s="108"/>
      <c r="AJ1877" s="108"/>
      <c r="AK1877" s="108"/>
      <c r="AL1877" s="108"/>
      <c r="AM1877" s="108"/>
      <c r="AN1877" s="108"/>
      <c r="AO1877" s="108"/>
      <c r="AP1877" s="108"/>
      <c r="AQ1877" s="108"/>
      <c r="AR1877" s="108"/>
      <c r="AS1877" s="108"/>
      <c r="AT1877" s="108"/>
      <c r="AU1877" s="108"/>
      <c r="AV1877" s="108"/>
      <c r="AW1877" s="108"/>
      <c r="AX1877" s="108"/>
      <c r="AY1877" s="108"/>
      <c r="AZ1877" s="107"/>
      <c r="BB1877" s="107"/>
      <c r="BD1877" s="107"/>
      <c r="BQ1877" s="161"/>
    </row>
    <row r="1878" spans="2:69" s="109" customFormat="1" ht="13.5">
      <c r="B1878" s="141"/>
      <c r="C1878" s="107"/>
      <c r="D1878" s="107"/>
      <c r="E1878" s="108"/>
      <c r="H1878" s="107"/>
      <c r="J1878" s="107"/>
      <c r="K1878" s="107"/>
      <c r="L1878" s="108"/>
      <c r="M1878" s="108"/>
      <c r="N1878" s="107"/>
      <c r="O1878" s="108"/>
      <c r="R1878" s="107"/>
      <c r="S1878" s="107"/>
      <c r="AI1878" s="108"/>
      <c r="AJ1878" s="108"/>
      <c r="AK1878" s="108"/>
      <c r="AL1878" s="108"/>
      <c r="AM1878" s="108"/>
      <c r="AN1878" s="108"/>
      <c r="AO1878" s="108"/>
      <c r="AP1878" s="108"/>
      <c r="AQ1878" s="108"/>
      <c r="AR1878" s="108"/>
      <c r="AS1878" s="108"/>
      <c r="AT1878" s="108"/>
      <c r="AU1878" s="108"/>
      <c r="AV1878" s="108"/>
      <c r="AW1878" s="108"/>
      <c r="AX1878" s="108"/>
      <c r="AY1878" s="108"/>
      <c r="AZ1878" s="107"/>
      <c r="BB1878" s="107"/>
      <c r="BD1878" s="107"/>
      <c r="BQ1878" s="161"/>
    </row>
    <row r="1879" spans="2:69" s="109" customFormat="1" ht="27">
      <c r="B1879" s="141" t="s">
        <v>2589</v>
      </c>
      <c r="C1879" s="107"/>
      <c r="D1879" s="107"/>
      <c r="E1879" s="110"/>
      <c r="H1879" s="107"/>
      <c r="J1879" s="107"/>
      <c r="K1879" s="107"/>
      <c r="L1879" s="110"/>
      <c r="M1879" s="110"/>
      <c r="N1879" s="107"/>
      <c r="O1879" s="110"/>
      <c r="R1879" s="107"/>
      <c r="S1879" s="107"/>
      <c r="AI1879" s="110"/>
      <c r="AJ1879" s="110"/>
      <c r="AK1879" s="110"/>
      <c r="AL1879" s="110"/>
      <c r="AM1879" s="110"/>
      <c r="AN1879" s="110"/>
      <c r="AO1879" s="110"/>
      <c r="AP1879" s="110"/>
      <c r="AQ1879" s="110"/>
      <c r="AR1879" s="110"/>
      <c r="AS1879" s="110"/>
      <c r="AT1879" s="110"/>
      <c r="AU1879" s="110"/>
      <c r="AV1879" s="110"/>
      <c r="AW1879" s="110"/>
      <c r="AX1879" s="110"/>
      <c r="AY1879" s="110"/>
      <c r="AZ1879" s="107"/>
      <c r="BB1879" s="107"/>
      <c r="BD1879" s="107"/>
      <c r="BQ1879" s="161"/>
    </row>
    <row r="1880" spans="2:69" s="109" customFormat="1">
      <c r="B1880" s="141" t="s">
        <v>2590</v>
      </c>
      <c r="C1880" s="107"/>
      <c r="D1880" s="107"/>
      <c r="E1880" s="110"/>
      <c r="H1880" s="107"/>
      <c r="J1880" s="107"/>
      <c r="K1880" s="107"/>
      <c r="L1880" s="110"/>
      <c r="M1880" s="110"/>
      <c r="N1880" s="107"/>
      <c r="O1880" s="110"/>
      <c r="R1880" s="107"/>
      <c r="S1880" s="107"/>
      <c r="AI1880" s="110"/>
      <c r="AJ1880" s="110"/>
      <c r="AK1880" s="110"/>
      <c r="AL1880" s="110"/>
      <c r="AM1880" s="110"/>
      <c r="AN1880" s="110"/>
      <c r="AO1880" s="110"/>
      <c r="AP1880" s="110"/>
      <c r="AQ1880" s="110"/>
      <c r="AR1880" s="110"/>
      <c r="AS1880" s="110"/>
      <c r="AT1880" s="110"/>
      <c r="AU1880" s="110"/>
      <c r="AV1880" s="110"/>
      <c r="AW1880" s="110"/>
      <c r="AX1880" s="110"/>
      <c r="AY1880" s="110"/>
      <c r="AZ1880" s="107"/>
      <c r="BB1880" s="107"/>
      <c r="BD1880" s="107"/>
      <c r="BQ1880" s="161"/>
    </row>
    <row r="1881" spans="2:69" s="109" customFormat="1">
      <c r="B1881" s="141" t="s">
        <v>2591</v>
      </c>
      <c r="C1881" s="107"/>
      <c r="D1881" s="107"/>
      <c r="E1881" s="110"/>
      <c r="H1881" s="107"/>
      <c r="J1881" s="107"/>
      <c r="K1881" s="107"/>
      <c r="L1881" s="110"/>
      <c r="M1881" s="110"/>
      <c r="N1881" s="107"/>
      <c r="O1881" s="110"/>
      <c r="R1881" s="107"/>
      <c r="S1881" s="107"/>
      <c r="AI1881" s="110"/>
      <c r="AJ1881" s="110"/>
      <c r="AK1881" s="110"/>
      <c r="AL1881" s="110"/>
      <c r="AM1881" s="110"/>
      <c r="AN1881" s="110"/>
      <c r="AO1881" s="110"/>
      <c r="AP1881" s="110"/>
      <c r="AQ1881" s="110"/>
      <c r="AR1881" s="110"/>
      <c r="AS1881" s="110"/>
      <c r="AT1881" s="110"/>
      <c r="AU1881" s="110"/>
      <c r="AV1881" s="110"/>
      <c r="AW1881" s="110"/>
      <c r="AX1881" s="110"/>
      <c r="AY1881" s="110"/>
      <c r="AZ1881" s="107"/>
      <c r="BB1881" s="107"/>
      <c r="BD1881" s="107"/>
      <c r="BQ1881" s="161"/>
    </row>
    <row r="1882" spans="2:69" s="109" customFormat="1">
      <c r="B1882" s="141"/>
      <c r="C1882" s="107"/>
      <c r="D1882" s="107"/>
      <c r="E1882" s="110"/>
      <c r="H1882" s="107"/>
      <c r="J1882" s="107"/>
      <c r="K1882" s="107"/>
      <c r="L1882" s="110"/>
      <c r="M1882" s="110"/>
      <c r="N1882" s="107"/>
      <c r="O1882" s="110"/>
      <c r="R1882" s="107"/>
      <c r="S1882" s="107"/>
      <c r="AI1882" s="110"/>
      <c r="AJ1882" s="110"/>
      <c r="AK1882" s="110"/>
      <c r="AL1882" s="110"/>
      <c r="AM1882" s="110"/>
      <c r="AN1882" s="110"/>
      <c r="AO1882" s="110"/>
      <c r="AP1882" s="110"/>
      <c r="AQ1882" s="110"/>
      <c r="AR1882" s="110"/>
      <c r="AS1882" s="110"/>
      <c r="AT1882" s="110"/>
      <c r="AU1882" s="110"/>
      <c r="AV1882" s="110"/>
      <c r="AW1882" s="110"/>
      <c r="AX1882" s="110"/>
      <c r="AY1882" s="110"/>
      <c r="AZ1882" s="107"/>
      <c r="BB1882" s="107"/>
      <c r="BD1882" s="107"/>
      <c r="BQ1882" s="161"/>
    </row>
    <row r="1883" spans="2:69" s="109" customFormat="1">
      <c r="B1883" s="141" t="s">
        <v>2592</v>
      </c>
      <c r="C1883" s="107"/>
      <c r="D1883" s="107"/>
      <c r="E1883" s="110"/>
      <c r="H1883" s="107"/>
      <c r="J1883" s="107"/>
      <c r="K1883" s="107"/>
      <c r="L1883" s="110"/>
      <c r="M1883" s="110"/>
      <c r="N1883" s="107"/>
      <c r="O1883" s="110"/>
      <c r="R1883" s="107"/>
      <c r="S1883" s="107"/>
      <c r="AI1883" s="110"/>
      <c r="AJ1883" s="110"/>
      <c r="AK1883" s="110"/>
      <c r="AL1883" s="110"/>
      <c r="AM1883" s="110"/>
      <c r="AN1883" s="110"/>
      <c r="AO1883" s="110"/>
      <c r="AP1883" s="110"/>
      <c r="AQ1883" s="110"/>
      <c r="AR1883" s="110"/>
      <c r="AS1883" s="110"/>
      <c r="AT1883" s="110"/>
      <c r="AU1883" s="110"/>
      <c r="AV1883" s="110"/>
      <c r="AW1883" s="110"/>
      <c r="AX1883" s="110"/>
      <c r="AY1883" s="110"/>
      <c r="AZ1883" s="107"/>
      <c r="BB1883" s="107"/>
      <c r="BD1883" s="107"/>
      <c r="BQ1883" s="161"/>
    </row>
    <row r="1884" spans="2:69" s="109" customFormat="1">
      <c r="B1884" s="141" t="s">
        <v>2593</v>
      </c>
      <c r="C1884" s="107"/>
      <c r="D1884" s="107"/>
      <c r="E1884" s="110"/>
      <c r="H1884" s="107"/>
      <c r="J1884" s="107"/>
      <c r="K1884" s="107"/>
      <c r="L1884" s="110"/>
      <c r="M1884" s="110"/>
      <c r="N1884" s="107"/>
      <c r="O1884" s="110"/>
      <c r="R1884" s="107"/>
      <c r="S1884" s="107"/>
      <c r="AI1884" s="110"/>
      <c r="AJ1884" s="110"/>
      <c r="AK1884" s="110"/>
      <c r="AL1884" s="110"/>
      <c r="AM1884" s="110"/>
      <c r="AN1884" s="110"/>
      <c r="AO1884" s="110"/>
      <c r="AP1884" s="110"/>
      <c r="AQ1884" s="110"/>
      <c r="AR1884" s="110"/>
      <c r="AS1884" s="110"/>
      <c r="AT1884" s="110"/>
      <c r="AU1884" s="110"/>
      <c r="AV1884" s="110"/>
      <c r="AW1884" s="110"/>
      <c r="AX1884" s="110"/>
      <c r="AY1884" s="110"/>
      <c r="AZ1884" s="107"/>
      <c r="BB1884" s="107"/>
      <c r="BD1884" s="107"/>
      <c r="BQ1884" s="161"/>
    </row>
    <row r="1885" spans="2:69" s="109" customFormat="1" ht="27">
      <c r="B1885" s="141" t="s">
        <v>2594</v>
      </c>
      <c r="C1885" s="107"/>
      <c r="D1885" s="107"/>
      <c r="E1885" s="110"/>
      <c r="H1885" s="107"/>
      <c r="J1885" s="107"/>
      <c r="K1885" s="107"/>
      <c r="L1885" s="110"/>
      <c r="M1885" s="110"/>
      <c r="N1885" s="107"/>
      <c r="O1885" s="110"/>
      <c r="R1885" s="107"/>
      <c r="S1885" s="107"/>
      <c r="AI1885" s="110"/>
      <c r="AJ1885" s="110"/>
      <c r="AK1885" s="110"/>
      <c r="AL1885" s="110"/>
      <c r="AM1885" s="110"/>
      <c r="AN1885" s="110"/>
      <c r="AO1885" s="110"/>
      <c r="AP1885" s="110"/>
      <c r="AQ1885" s="110"/>
      <c r="AR1885" s="110"/>
      <c r="AS1885" s="110"/>
      <c r="AT1885" s="110"/>
      <c r="AU1885" s="110"/>
      <c r="AV1885" s="110"/>
      <c r="AW1885" s="110"/>
      <c r="AX1885" s="110"/>
      <c r="AY1885" s="110"/>
      <c r="AZ1885" s="107"/>
      <c r="BB1885" s="107"/>
      <c r="BD1885" s="107"/>
      <c r="BQ1885" s="161"/>
    </row>
    <row r="1886" spans="2:69" s="109" customFormat="1">
      <c r="B1886" s="141" t="s">
        <v>2595</v>
      </c>
      <c r="C1886" s="107"/>
      <c r="D1886" s="107"/>
      <c r="E1886" s="110"/>
      <c r="H1886" s="107"/>
      <c r="J1886" s="107"/>
      <c r="K1886" s="107"/>
      <c r="L1886" s="110"/>
      <c r="M1886" s="110"/>
      <c r="N1886" s="107"/>
      <c r="O1886" s="110"/>
      <c r="R1886" s="107"/>
      <c r="S1886" s="107"/>
      <c r="AI1886" s="110"/>
      <c r="AJ1886" s="110"/>
      <c r="AK1886" s="110"/>
      <c r="AL1886" s="110"/>
      <c r="AM1886" s="110"/>
      <c r="AN1886" s="110"/>
      <c r="AO1886" s="110"/>
      <c r="AP1886" s="110"/>
      <c r="AQ1886" s="110"/>
      <c r="AR1886" s="110"/>
      <c r="AS1886" s="110"/>
      <c r="AT1886" s="110"/>
      <c r="AU1886" s="110"/>
      <c r="AV1886" s="110"/>
      <c r="AW1886" s="110"/>
      <c r="AX1886" s="110"/>
      <c r="AY1886" s="110"/>
      <c r="AZ1886" s="107"/>
      <c r="BB1886" s="107"/>
      <c r="BD1886" s="107"/>
      <c r="BQ1886" s="161"/>
    </row>
    <row r="1887" spans="2:69" s="109" customFormat="1">
      <c r="B1887" s="141" t="s">
        <v>2596</v>
      </c>
      <c r="C1887" s="107"/>
      <c r="D1887" s="107"/>
      <c r="E1887" s="110"/>
      <c r="H1887" s="107"/>
      <c r="J1887" s="107"/>
      <c r="K1887" s="107"/>
      <c r="L1887" s="110"/>
      <c r="M1887" s="110"/>
      <c r="N1887" s="107"/>
      <c r="O1887" s="110"/>
      <c r="R1887" s="107"/>
      <c r="S1887" s="107"/>
      <c r="AI1887" s="110"/>
      <c r="AJ1887" s="110"/>
      <c r="AK1887" s="110"/>
      <c r="AL1887" s="110"/>
      <c r="AM1887" s="110"/>
      <c r="AN1887" s="110"/>
      <c r="AO1887" s="110"/>
      <c r="AP1887" s="110"/>
      <c r="AQ1887" s="110"/>
      <c r="AR1887" s="110"/>
      <c r="AS1887" s="110"/>
      <c r="AT1887" s="110"/>
      <c r="AU1887" s="110"/>
      <c r="AV1887" s="110"/>
      <c r="AW1887" s="110"/>
      <c r="AX1887" s="110"/>
      <c r="AY1887" s="110"/>
      <c r="AZ1887" s="107"/>
      <c r="BB1887" s="107"/>
      <c r="BD1887" s="107"/>
      <c r="BQ1887" s="161"/>
    </row>
    <row r="1888" spans="2:69" s="109" customFormat="1">
      <c r="B1888" s="141" t="s">
        <v>2597</v>
      </c>
      <c r="C1888" s="107"/>
      <c r="D1888" s="107"/>
      <c r="E1888" s="110"/>
      <c r="H1888" s="107"/>
      <c r="J1888" s="107"/>
      <c r="K1888" s="107"/>
      <c r="L1888" s="110"/>
      <c r="M1888" s="110"/>
      <c r="N1888" s="107"/>
      <c r="O1888" s="110"/>
      <c r="R1888" s="107"/>
      <c r="S1888" s="107"/>
      <c r="AI1888" s="110"/>
      <c r="AJ1888" s="110"/>
      <c r="AK1888" s="110"/>
      <c r="AL1888" s="110"/>
      <c r="AM1888" s="110"/>
      <c r="AN1888" s="110"/>
      <c r="AO1888" s="110"/>
      <c r="AP1888" s="110"/>
      <c r="AQ1888" s="110"/>
      <c r="AR1888" s="110"/>
      <c r="AS1888" s="110"/>
      <c r="AT1888" s="110"/>
      <c r="AU1888" s="110"/>
      <c r="AV1888" s="110"/>
      <c r="AW1888" s="110"/>
      <c r="AX1888" s="110"/>
      <c r="AY1888" s="110"/>
      <c r="AZ1888" s="107"/>
      <c r="BB1888" s="107"/>
      <c r="BD1888" s="107"/>
      <c r="BQ1888" s="161"/>
    </row>
    <row r="1889" spans="2:69" s="109" customFormat="1">
      <c r="B1889" s="141" t="s">
        <v>2598</v>
      </c>
      <c r="C1889" s="107"/>
      <c r="D1889" s="107"/>
      <c r="E1889" s="110"/>
      <c r="H1889" s="107"/>
      <c r="J1889" s="107"/>
      <c r="K1889" s="107"/>
      <c r="L1889" s="110"/>
      <c r="M1889" s="110"/>
      <c r="N1889" s="107"/>
      <c r="O1889" s="110"/>
      <c r="R1889" s="107"/>
      <c r="S1889" s="107"/>
      <c r="AI1889" s="110"/>
      <c r="AJ1889" s="110"/>
      <c r="AK1889" s="110"/>
      <c r="AL1889" s="110"/>
      <c r="AM1889" s="110"/>
      <c r="AN1889" s="110"/>
      <c r="AO1889" s="110"/>
      <c r="AP1889" s="110"/>
      <c r="AQ1889" s="110"/>
      <c r="AR1889" s="110"/>
      <c r="AS1889" s="110"/>
      <c r="AT1889" s="110"/>
      <c r="AU1889" s="110"/>
      <c r="AV1889" s="110"/>
      <c r="AW1889" s="110"/>
      <c r="AX1889" s="110"/>
      <c r="AY1889" s="110"/>
      <c r="AZ1889" s="107"/>
      <c r="BB1889" s="107"/>
      <c r="BD1889" s="107"/>
      <c r="BQ1889" s="161"/>
    </row>
    <row r="1890" spans="2:69" s="109" customFormat="1">
      <c r="B1890" s="141" t="s">
        <v>2599</v>
      </c>
      <c r="C1890" s="107"/>
      <c r="D1890" s="107"/>
      <c r="E1890" s="110"/>
      <c r="H1890" s="107"/>
      <c r="J1890" s="107"/>
      <c r="K1890" s="107"/>
      <c r="L1890" s="110"/>
      <c r="M1890" s="110"/>
      <c r="N1890" s="107"/>
      <c r="O1890" s="110"/>
      <c r="R1890" s="107"/>
      <c r="S1890" s="107"/>
      <c r="AI1890" s="110"/>
      <c r="AJ1890" s="110"/>
      <c r="AK1890" s="110"/>
      <c r="AL1890" s="110"/>
      <c r="AM1890" s="110"/>
      <c r="AN1890" s="110"/>
      <c r="AO1890" s="110"/>
      <c r="AP1890" s="110"/>
      <c r="AQ1890" s="110"/>
      <c r="AR1890" s="110"/>
      <c r="AS1890" s="110"/>
      <c r="AT1890" s="110"/>
      <c r="AU1890" s="110"/>
      <c r="AV1890" s="110"/>
      <c r="AW1890" s="110"/>
      <c r="AX1890" s="110"/>
      <c r="AY1890" s="110"/>
      <c r="AZ1890" s="107"/>
      <c r="BB1890" s="107"/>
      <c r="BD1890" s="107"/>
      <c r="BQ1890" s="161"/>
    </row>
    <row r="1891" spans="2:69" s="109" customFormat="1" ht="13.5">
      <c r="B1891" s="141"/>
      <c r="C1891" s="107"/>
      <c r="D1891" s="107"/>
      <c r="E1891" s="108"/>
      <c r="H1891" s="107"/>
      <c r="J1891" s="107"/>
      <c r="K1891" s="107"/>
      <c r="L1891" s="108"/>
      <c r="M1891" s="108"/>
      <c r="N1891" s="107"/>
      <c r="O1891" s="108"/>
      <c r="R1891" s="107"/>
      <c r="S1891" s="107"/>
      <c r="AI1891" s="108"/>
      <c r="AJ1891" s="108"/>
      <c r="AK1891" s="108"/>
      <c r="AL1891" s="108"/>
      <c r="AM1891" s="108"/>
      <c r="AN1891" s="108"/>
      <c r="AO1891" s="108"/>
      <c r="AP1891" s="108"/>
      <c r="AQ1891" s="108"/>
      <c r="AR1891" s="108"/>
      <c r="AS1891" s="108"/>
      <c r="AT1891" s="108"/>
      <c r="AU1891" s="108"/>
      <c r="AV1891" s="108"/>
      <c r="AW1891" s="108"/>
      <c r="AX1891" s="108"/>
      <c r="AY1891" s="108"/>
      <c r="AZ1891" s="107"/>
      <c r="BB1891" s="107"/>
      <c r="BD1891" s="107"/>
      <c r="BQ1891" s="161"/>
    </row>
    <row r="1892" spans="2:69" s="109" customFormat="1" ht="13.5">
      <c r="B1892" s="141"/>
      <c r="C1892" s="107"/>
      <c r="D1892" s="107"/>
      <c r="E1892" s="108"/>
      <c r="H1892" s="107"/>
      <c r="J1892" s="107"/>
      <c r="K1892" s="107"/>
      <c r="L1892" s="108"/>
      <c r="M1892" s="108"/>
      <c r="N1892" s="107"/>
      <c r="O1892" s="108"/>
      <c r="R1892" s="107"/>
      <c r="S1892" s="107"/>
      <c r="AI1892" s="108"/>
      <c r="AJ1892" s="108"/>
      <c r="AK1892" s="108"/>
      <c r="AL1892" s="108"/>
      <c r="AM1892" s="108"/>
      <c r="AN1892" s="108"/>
      <c r="AO1892" s="108"/>
      <c r="AP1892" s="108"/>
      <c r="AQ1892" s="108"/>
      <c r="AR1892" s="108"/>
      <c r="AS1892" s="108"/>
      <c r="AT1892" s="108"/>
      <c r="AU1892" s="108"/>
      <c r="AV1892" s="108"/>
      <c r="AW1892" s="108"/>
      <c r="AX1892" s="108"/>
      <c r="AY1892" s="108"/>
      <c r="AZ1892" s="107"/>
      <c r="BB1892" s="107"/>
      <c r="BD1892" s="107"/>
      <c r="BQ1892" s="161"/>
    </row>
    <row r="1893" spans="2:69" s="84" customFormat="1">
      <c r="B1893" s="141" t="s">
        <v>2527</v>
      </c>
      <c r="C1893" s="111"/>
      <c r="D1893" s="111"/>
      <c r="E1893" s="111"/>
      <c r="H1893" s="111"/>
      <c r="J1893" s="111"/>
      <c r="K1893" s="111"/>
      <c r="L1893" s="111"/>
      <c r="M1893" s="111"/>
      <c r="N1893" s="111"/>
      <c r="O1893" s="111"/>
      <c r="AI1893" s="111"/>
      <c r="AJ1893" s="111"/>
      <c r="AK1893" s="111"/>
      <c r="AL1893" s="111"/>
      <c r="AM1893" s="111"/>
      <c r="AN1893" s="111"/>
      <c r="AO1893" s="111"/>
      <c r="AP1893" s="111"/>
      <c r="AQ1893" s="111"/>
      <c r="AR1893" s="111"/>
      <c r="AS1893" s="111"/>
      <c r="AT1893" s="111"/>
      <c r="AU1893" s="111"/>
      <c r="AV1893" s="111"/>
      <c r="AW1893" s="111"/>
      <c r="AX1893" s="111"/>
      <c r="AY1893" s="111"/>
      <c r="BQ1893" s="152"/>
    </row>
    <row r="1894" spans="2:69" s="84" customFormat="1">
      <c r="B1894" s="141" t="s">
        <v>2528</v>
      </c>
      <c r="C1894" s="111"/>
      <c r="D1894" s="111"/>
      <c r="E1894" s="111"/>
      <c r="H1894" s="111"/>
      <c r="J1894" s="111"/>
      <c r="K1894" s="111"/>
      <c r="L1894" s="111"/>
      <c r="M1894" s="111"/>
      <c r="N1894" s="111"/>
      <c r="O1894" s="111"/>
      <c r="AI1894" s="111"/>
      <c r="AJ1894" s="111"/>
      <c r="AK1894" s="111"/>
      <c r="AL1894" s="111"/>
      <c r="AM1894" s="111"/>
      <c r="AN1894" s="111"/>
      <c r="AO1894" s="111"/>
      <c r="AP1894" s="111"/>
      <c r="AQ1894" s="111"/>
      <c r="AR1894" s="111"/>
      <c r="AS1894" s="111"/>
      <c r="AT1894" s="111"/>
      <c r="AU1894" s="111"/>
      <c r="AV1894" s="111"/>
      <c r="AW1894" s="111"/>
      <c r="AX1894" s="111"/>
      <c r="AY1894" s="111"/>
      <c r="BQ1894" s="152"/>
    </row>
    <row r="1895" spans="2:69" s="84" customFormat="1">
      <c r="B1895" s="141" t="s">
        <v>2529</v>
      </c>
      <c r="C1895" s="111"/>
      <c r="D1895" s="111"/>
      <c r="E1895" s="111"/>
      <c r="H1895" s="111"/>
      <c r="J1895" s="111"/>
      <c r="K1895" s="111"/>
      <c r="L1895" s="111"/>
      <c r="M1895" s="111"/>
      <c r="N1895" s="111"/>
      <c r="O1895" s="111"/>
      <c r="AI1895" s="111"/>
      <c r="AJ1895" s="111"/>
      <c r="AK1895" s="111"/>
      <c r="AL1895" s="111"/>
      <c r="AM1895" s="111"/>
      <c r="AN1895" s="111"/>
      <c r="AO1895" s="111"/>
      <c r="AP1895" s="111"/>
      <c r="AQ1895" s="111"/>
      <c r="AR1895" s="111"/>
      <c r="AS1895" s="111"/>
      <c r="AT1895" s="111"/>
      <c r="AU1895" s="111"/>
      <c r="AV1895" s="111"/>
      <c r="AW1895" s="111"/>
      <c r="AX1895" s="111"/>
      <c r="AY1895" s="111"/>
      <c r="BQ1895" s="152"/>
    </row>
    <row r="1896" spans="2:69" s="84" customFormat="1">
      <c r="B1896" s="141" t="s">
        <v>2542</v>
      </c>
      <c r="C1896" s="111"/>
      <c r="D1896" s="111"/>
      <c r="E1896" s="111"/>
      <c r="H1896" s="111"/>
      <c r="J1896" s="111"/>
      <c r="K1896" s="111"/>
      <c r="L1896" s="111"/>
      <c r="M1896" s="111"/>
      <c r="N1896" s="111"/>
      <c r="O1896" s="111"/>
      <c r="AI1896" s="111"/>
      <c r="AJ1896" s="111"/>
      <c r="AK1896" s="111"/>
      <c r="AL1896" s="111"/>
      <c r="AM1896" s="111"/>
      <c r="AN1896" s="111"/>
      <c r="AO1896" s="111"/>
      <c r="AP1896" s="111"/>
      <c r="AQ1896" s="111"/>
      <c r="AR1896" s="111"/>
      <c r="AS1896" s="111"/>
      <c r="AT1896" s="111"/>
      <c r="AU1896" s="111"/>
      <c r="AV1896" s="111"/>
      <c r="AW1896" s="111"/>
      <c r="AX1896" s="111"/>
      <c r="AY1896" s="111"/>
      <c r="BQ1896" s="152"/>
    </row>
    <row r="1897" spans="2:69" s="84" customFormat="1">
      <c r="B1897" s="141" t="s">
        <v>2543</v>
      </c>
      <c r="C1897" s="111"/>
      <c r="D1897" s="111"/>
      <c r="E1897" s="111"/>
      <c r="H1897" s="111"/>
      <c r="J1897" s="111"/>
      <c r="K1897" s="111"/>
      <c r="L1897" s="111"/>
      <c r="M1897" s="111"/>
      <c r="N1897" s="111"/>
      <c r="O1897" s="111"/>
      <c r="AI1897" s="111"/>
      <c r="AJ1897" s="111"/>
      <c r="AK1897" s="111"/>
      <c r="AL1897" s="111"/>
      <c r="AM1897" s="111"/>
      <c r="AN1897" s="111"/>
      <c r="AO1897" s="111"/>
      <c r="AP1897" s="111"/>
      <c r="AQ1897" s="111"/>
      <c r="AR1897" s="111"/>
      <c r="AS1897" s="111"/>
      <c r="AT1897" s="111"/>
      <c r="AU1897" s="111"/>
      <c r="AV1897" s="111"/>
      <c r="AW1897" s="111"/>
      <c r="AX1897" s="111"/>
      <c r="AY1897" s="111"/>
      <c r="BQ1897" s="152"/>
    </row>
    <row r="1898" spans="2:69" s="84" customFormat="1">
      <c r="B1898" s="141"/>
      <c r="C1898" s="111"/>
      <c r="D1898" s="111"/>
      <c r="E1898" s="111"/>
      <c r="H1898" s="111"/>
      <c r="J1898" s="111"/>
      <c r="K1898" s="111"/>
      <c r="L1898" s="111"/>
      <c r="M1898" s="111"/>
      <c r="N1898" s="111"/>
      <c r="O1898" s="111"/>
      <c r="AI1898" s="111"/>
      <c r="AJ1898" s="111"/>
      <c r="AK1898" s="111"/>
      <c r="AL1898" s="111"/>
      <c r="AM1898" s="111"/>
      <c r="AN1898" s="111"/>
      <c r="AO1898" s="111"/>
      <c r="AP1898" s="111"/>
      <c r="AQ1898" s="111"/>
      <c r="AR1898" s="111"/>
      <c r="AS1898" s="111"/>
      <c r="AT1898" s="111"/>
      <c r="AU1898" s="111"/>
      <c r="AV1898" s="111"/>
      <c r="AW1898" s="111"/>
      <c r="AX1898" s="111"/>
      <c r="AY1898" s="111"/>
      <c r="BQ1898" s="152"/>
    </row>
    <row r="1899" spans="2:69" s="84" customFormat="1">
      <c r="B1899" s="141" t="s">
        <v>2530</v>
      </c>
      <c r="C1899" s="111"/>
      <c r="D1899" s="111"/>
      <c r="E1899" s="111"/>
      <c r="H1899" s="111"/>
      <c r="J1899" s="111"/>
      <c r="K1899" s="111"/>
      <c r="L1899" s="111"/>
      <c r="M1899" s="111"/>
      <c r="N1899" s="111"/>
      <c r="O1899" s="111"/>
      <c r="AI1899" s="111"/>
      <c r="AJ1899" s="111"/>
      <c r="AK1899" s="111"/>
      <c r="AL1899" s="111"/>
      <c r="AM1899" s="111"/>
      <c r="AN1899" s="111"/>
      <c r="AO1899" s="111"/>
      <c r="AP1899" s="111"/>
      <c r="AQ1899" s="111"/>
      <c r="AR1899" s="111"/>
      <c r="AS1899" s="111"/>
      <c r="AT1899" s="111"/>
      <c r="AU1899" s="111"/>
      <c r="AV1899" s="111"/>
      <c r="AW1899" s="111"/>
      <c r="AX1899" s="111"/>
      <c r="AY1899" s="111"/>
      <c r="BQ1899" s="152"/>
    </row>
    <row r="1900" spans="2:69" s="84" customFormat="1">
      <c r="B1900" s="141" t="s">
        <v>2581</v>
      </c>
      <c r="C1900" s="111"/>
      <c r="D1900" s="111"/>
      <c r="E1900" s="111"/>
      <c r="H1900" s="111"/>
      <c r="J1900" s="111"/>
      <c r="K1900" s="111"/>
      <c r="L1900" s="111"/>
      <c r="M1900" s="111"/>
      <c r="N1900" s="111"/>
      <c r="O1900" s="111"/>
      <c r="AI1900" s="111"/>
      <c r="AJ1900" s="111"/>
      <c r="AK1900" s="111"/>
      <c r="AL1900" s="111"/>
      <c r="AM1900" s="111"/>
      <c r="AN1900" s="111"/>
      <c r="AO1900" s="111"/>
      <c r="AP1900" s="111"/>
      <c r="AQ1900" s="111"/>
      <c r="AR1900" s="111"/>
      <c r="AS1900" s="111"/>
      <c r="AT1900" s="111"/>
      <c r="AU1900" s="111"/>
      <c r="AV1900" s="111"/>
      <c r="AW1900" s="111"/>
      <c r="AX1900" s="111"/>
      <c r="AY1900" s="111"/>
      <c r="BQ1900" s="152"/>
    </row>
    <row r="1901" spans="2:69" s="84" customFormat="1">
      <c r="B1901" s="141"/>
      <c r="C1901" s="111"/>
      <c r="D1901" s="111"/>
      <c r="E1901" s="111"/>
      <c r="H1901" s="111"/>
      <c r="J1901" s="111"/>
      <c r="K1901" s="111"/>
      <c r="L1901" s="111"/>
      <c r="M1901" s="111"/>
      <c r="N1901" s="111"/>
      <c r="O1901" s="111"/>
      <c r="AI1901" s="111"/>
      <c r="AJ1901" s="111"/>
      <c r="AK1901" s="111"/>
      <c r="AL1901" s="111"/>
      <c r="AM1901" s="111"/>
      <c r="AN1901" s="111"/>
      <c r="AO1901" s="111"/>
      <c r="AP1901" s="111"/>
      <c r="AQ1901" s="111"/>
      <c r="AR1901" s="111"/>
      <c r="AS1901" s="111"/>
      <c r="AT1901" s="111"/>
      <c r="AU1901" s="111"/>
      <c r="AV1901" s="111"/>
      <c r="AW1901" s="111"/>
      <c r="AX1901" s="111"/>
      <c r="AY1901" s="111"/>
      <c r="BQ1901" s="152"/>
    </row>
    <row r="1902" spans="2:69" s="84" customFormat="1">
      <c r="B1902" s="141" t="s">
        <v>2546</v>
      </c>
      <c r="C1902" s="111"/>
      <c r="D1902" s="111"/>
      <c r="E1902" s="111"/>
      <c r="H1902" s="111"/>
      <c r="J1902" s="111"/>
      <c r="K1902" s="111"/>
      <c r="L1902" s="111"/>
      <c r="M1902" s="111"/>
      <c r="N1902" s="111"/>
      <c r="O1902" s="111"/>
      <c r="AI1902" s="111"/>
      <c r="AJ1902" s="111"/>
      <c r="AK1902" s="111"/>
      <c r="AL1902" s="111"/>
      <c r="AM1902" s="111"/>
      <c r="AN1902" s="111"/>
      <c r="AO1902" s="111"/>
      <c r="AP1902" s="111"/>
      <c r="AQ1902" s="111"/>
      <c r="AR1902" s="111"/>
      <c r="AS1902" s="111"/>
      <c r="AT1902" s="111"/>
      <c r="AU1902" s="111"/>
      <c r="AV1902" s="111"/>
      <c r="AW1902" s="111"/>
      <c r="AX1902" s="111"/>
      <c r="AY1902" s="111"/>
      <c r="BQ1902" s="152"/>
    </row>
    <row r="1903" spans="2:69" s="84" customFormat="1">
      <c r="B1903" s="141" t="s">
        <v>2582</v>
      </c>
      <c r="C1903" s="111"/>
      <c r="D1903" s="111"/>
      <c r="E1903" s="111"/>
      <c r="H1903" s="111"/>
      <c r="J1903" s="111"/>
      <c r="K1903" s="111"/>
      <c r="L1903" s="111"/>
      <c r="M1903" s="111"/>
      <c r="N1903" s="111"/>
      <c r="O1903" s="111"/>
      <c r="AI1903" s="111"/>
      <c r="AJ1903" s="111"/>
      <c r="AK1903" s="111"/>
      <c r="AL1903" s="111"/>
      <c r="AM1903" s="111"/>
      <c r="AN1903" s="111"/>
      <c r="AO1903" s="111"/>
      <c r="AP1903" s="111"/>
      <c r="AQ1903" s="111"/>
      <c r="AR1903" s="111"/>
      <c r="AS1903" s="111"/>
      <c r="AT1903" s="111"/>
      <c r="AU1903" s="111"/>
      <c r="AV1903" s="111"/>
      <c r="AW1903" s="111"/>
      <c r="AX1903" s="111"/>
      <c r="AY1903" s="111"/>
      <c r="BQ1903" s="152"/>
    </row>
    <row r="1904" spans="2:69" s="84" customFormat="1">
      <c r="B1904" s="141" t="s">
        <v>2548</v>
      </c>
      <c r="C1904" s="111"/>
      <c r="D1904" s="111"/>
      <c r="E1904" s="111"/>
      <c r="H1904" s="111"/>
      <c r="J1904" s="111"/>
      <c r="K1904" s="111"/>
      <c r="L1904" s="111"/>
      <c r="M1904" s="111"/>
      <c r="N1904" s="111"/>
      <c r="O1904" s="111"/>
      <c r="AI1904" s="111"/>
      <c r="AJ1904" s="111"/>
      <c r="AK1904" s="111"/>
      <c r="AL1904" s="111"/>
      <c r="AM1904" s="111"/>
      <c r="AN1904" s="111"/>
      <c r="AO1904" s="111"/>
      <c r="AP1904" s="111"/>
      <c r="AQ1904" s="111"/>
      <c r="AR1904" s="111"/>
      <c r="AS1904" s="111"/>
      <c r="AT1904" s="111"/>
      <c r="AU1904" s="111"/>
      <c r="AV1904" s="111"/>
      <c r="AW1904" s="111"/>
      <c r="AX1904" s="111"/>
      <c r="AY1904" s="111"/>
      <c r="BQ1904" s="152"/>
    </row>
    <row r="1905" spans="2:69" s="84" customFormat="1">
      <c r="B1905" s="141" t="s">
        <v>2549</v>
      </c>
      <c r="C1905" s="111"/>
      <c r="D1905" s="111"/>
      <c r="E1905" s="111"/>
      <c r="H1905" s="111"/>
      <c r="J1905" s="111"/>
      <c r="K1905" s="111"/>
      <c r="L1905" s="111"/>
      <c r="M1905" s="111"/>
      <c r="N1905" s="111"/>
      <c r="O1905" s="111"/>
      <c r="AI1905" s="111"/>
      <c r="AJ1905" s="111"/>
      <c r="AK1905" s="111"/>
      <c r="AL1905" s="111"/>
      <c r="AM1905" s="111"/>
      <c r="AN1905" s="111"/>
      <c r="AO1905" s="111"/>
      <c r="AP1905" s="111"/>
      <c r="AQ1905" s="111"/>
      <c r="AR1905" s="111"/>
      <c r="AS1905" s="111"/>
      <c r="AT1905" s="111"/>
      <c r="AU1905" s="111"/>
      <c r="AV1905" s="111"/>
      <c r="AW1905" s="111"/>
      <c r="AX1905" s="111"/>
      <c r="AY1905" s="111"/>
      <c r="BQ1905" s="152"/>
    </row>
    <row r="1906" spans="2:69" s="84" customFormat="1">
      <c r="B1906" s="141" t="s">
        <v>2550</v>
      </c>
      <c r="C1906" s="111"/>
      <c r="D1906" s="111"/>
      <c r="E1906" s="111"/>
      <c r="H1906" s="111"/>
      <c r="J1906" s="111"/>
      <c r="K1906" s="111"/>
      <c r="L1906" s="111"/>
      <c r="M1906" s="111"/>
      <c r="N1906" s="111"/>
      <c r="O1906" s="111"/>
      <c r="AI1906" s="111"/>
      <c r="AJ1906" s="111"/>
      <c r="AK1906" s="111"/>
      <c r="AL1906" s="111"/>
      <c r="AM1906" s="111"/>
      <c r="AN1906" s="111"/>
      <c r="AO1906" s="111"/>
      <c r="AP1906" s="111"/>
      <c r="AQ1906" s="111"/>
      <c r="AR1906" s="111"/>
      <c r="AS1906" s="111"/>
      <c r="AT1906" s="111"/>
      <c r="AU1906" s="111"/>
      <c r="AV1906" s="111"/>
      <c r="AW1906" s="111"/>
      <c r="AX1906" s="111"/>
      <c r="AY1906" s="111"/>
      <c r="BQ1906" s="152"/>
    </row>
    <row r="1907" spans="2:69" s="84" customFormat="1">
      <c r="B1907" s="141" t="s">
        <v>2551</v>
      </c>
      <c r="C1907" s="111"/>
      <c r="D1907" s="111"/>
      <c r="E1907" s="111"/>
      <c r="H1907" s="111"/>
      <c r="J1907" s="111"/>
      <c r="K1907" s="111"/>
      <c r="L1907" s="111"/>
      <c r="M1907" s="111"/>
      <c r="N1907" s="111"/>
      <c r="O1907" s="111"/>
      <c r="AI1907" s="111"/>
      <c r="AJ1907" s="111"/>
      <c r="AK1907" s="111"/>
      <c r="AL1907" s="111"/>
      <c r="AM1907" s="111"/>
      <c r="AN1907" s="111"/>
      <c r="AO1907" s="111"/>
      <c r="AP1907" s="111"/>
      <c r="AQ1907" s="111"/>
      <c r="AR1907" s="111"/>
      <c r="AS1907" s="111"/>
      <c r="AT1907" s="111"/>
      <c r="AU1907" s="111"/>
      <c r="AV1907" s="111"/>
      <c r="AW1907" s="111"/>
      <c r="AX1907" s="111"/>
      <c r="AY1907" s="111"/>
      <c r="BQ1907" s="152"/>
    </row>
    <row r="1908" spans="2:69" s="84" customFormat="1">
      <c r="B1908" s="141" t="s">
        <v>2552</v>
      </c>
      <c r="C1908" s="111"/>
      <c r="D1908" s="111"/>
      <c r="E1908" s="111"/>
      <c r="H1908" s="111"/>
      <c r="J1908" s="111"/>
      <c r="K1908" s="111"/>
      <c r="L1908" s="111"/>
      <c r="M1908" s="111"/>
      <c r="N1908" s="111"/>
      <c r="O1908" s="111"/>
      <c r="AI1908" s="111"/>
      <c r="AJ1908" s="111"/>
      <c r="AK1908" s="111"/>
      <c r="AL1908" s="111"/>
      <c r="AM1908" s="111"/>
      <c r="AN1908" s="111"/>
      <c r="AO1908" s="111"/>
      <c r="AP1908" s="111"/>
      <c r="AQ1908" s="111"/>
      <c r="AR1908" s="111"/>
      <c r="AS1908" s="111"/>
      <c r="AT1908" s="111"/>
      <c r="AU1908" s="111"/>
      <c r="AV1908" s="111"/>
      <c r="AW1908" s="111"/>
      <c r="AX1908" s="111"/>
      <c r="AY1908" s="111"/>
      <c r="BQ1908" s="152"/>
    </row>
    <row r="1909" spans="2:69" s="84" customFormat="1" ht="27">
      <c r="B1909" s="141" t="s">
        <v>2553</v>
      </c>
      <c r="C1909" s="111"/>
      <c r="D1909" s="111"/>
      <c r="E1909" s="111"/>
      <c r="H1909" s="111"/>
      <c r="J1909" s="111"/>
      <c r="K1909" s="111"/>
      <c r="L1909" s="111"/>
      <c r="M1909" s="111"/>
      <c r="N1909" s="111"/>
      <c r="O1909" s="111"/>
      <c r="AI1909" s="111"/>
      <c r="AJ1909" s="111"/>
      <c r="AK1909" s="111"/>
      <c r="AL1909" s="111"/>
      <c r="AM1909" s="111"/>
      <c r="AN1909" s="111"/>
      <c r="AO1909" s="111"/>
      <c r="AP1909" s="111"/>
      <c r="AQ1909" s="111"/>
      <c r="AR1909" s="111"/>
      <c r="AS1909" s="111"/>
      <c r="AT1909" s="111"/>
      <c r="AU1909" s="111"/>
      <c r="AV1909" s="111"/>
      <c r="AW1909" s="111"/>
      <c r="AX1909" s="111"/>
      <c r="AY1909" s="111"/>
      <c r="BQ1909" s="152"/>
    </row>
    <row r="1910" spans="2:69" s="84" customFormat="1">
      <c r="B1910" s="141" t="s">
        <v>2554</v>
      </c>
      <c r="C1910" s="111"/>
      <c r="D1910" s="111"/>
      <c r="E1910" s="111"/>
      <c r="H1910" s="111"/>
      <c r="J1910" s="111"/>
      <c r="K1910" s="111"/>
      <c r="L1910" s="111"/>
      <c r="M1910" s="111"/>
      <c r="N1910" s="111"/>
      <c r="O1910" s="111"/>
      <c r="AI1910" s="111"/>
      <c r="AJ1910" s="111"/>
      <c r="AK1910" s="111"/>
      <c r="AL1910" s="111"/>
      <c r="AM1910" s="111"/>
      <c r="AN1910" s="111"/>
      <c r="AO1910" s="111"/>
      <c r="AP1910" s="111"/>
      <c r="AQ1910" s="111"/>
      <c r="AR1910" s="111"/>
      <c r="AS1910" s="111"/>
      <c r="AT1910" s="111"/>
      <c r="AU1910" s="111"/>
      <c r="AV1910" s="111"/>
      <c r="AW1910" s="111"/>
      <c r="AX1910" s="111"/>
      <c r="AY1910" s="111"/>
      <c r="BQ1910" s="152"/>
    </row>
    <row r="1911" spans="2:69" s="84" customFormat="1">
      <c r="B1911" s="141" t="s">
        <v>2555</v>
      </c>
      <c r="C1911" s="111"/>
      <c r="D1911" s="111"/>
      <c r="E1911" s="111"/>
      <c r="H1911" s="111"/>
      <c r="J1911" s="111"/>
      <c r="K1911" s="111"/>
      <c r="L1911" s="111"/>
      <c r="M1911" s="111"/>
      <c r="N1911" s="111"/>
      <c r="O1911" s="111"/>
      <c r="AI1911" s="111"/>
      <c r="AJ1911" s="111"/>
      <c r="AK1911" s="111"/>
      <c r="AL1911" s="111"/>
      <c r="AM1911" s="111"/>
      <c r="AN1911" s="111"/>
      <c r="AO1911" s="111"/>
      <c r="AP1911" s="111"/>
      <c r="AQ1911" s="111"/>
      <c r="AR1911" s="111"/>
      <c r="AS1911" s="111"/>
      <c r="AT1911" s="111"/>
      <c r="AU1911" s="111"/>
      <c r="AV1911" s="111"/>
      <c r="AW1911" s="111"/>
      <c r="AX1911" s="111"/>
      <c r="AY1911" s="111"/>
      <c r="BQ1911" s="152"/>
    </row>
    <row r="1912" spans="2:69" s="84" customFormat="1">
      <c r="B1912" s="141"/>
      <c r="C1912" s="111"/>
      <c r="D1912" s="111"/>
      <c r="E1912" s="111"/>
      <c r="H1912" s="111"/>
      <c r="J1912" s="111"/>
      <c r="K1912" s="111"/>
      <c r="L1912" s="111"/>
      <c r="M1912" s="111"/>
      <c r="N1912" s="111"/>
      <c r="O1912" s="111"/>
      <c r="AI1912" s="111"/>
      <c r="AJ1912" s="111"/>
      <c r="AK1912" s="111"/>
      <c r="AL1912" s="111"/>
      <c r="AM1912" s="111"/>
      <c r="AN1912" s="111"/>
      <c r="AO1912" s="111"/>
      <c r="AP1912" s="111"/>
      <c r="AQ1912" s="111"/>
      <c r="AR1912" s="111"/>
      <c r="AS1912" s="111"/>
      <c r="AT1912" s="111"/>
      <c r="AU1912" s="111"/>
      <c r="AV1912" s="111"/>
      <c r="AW1912" s="111"/>
      <c r="AX1912" s="111"/>
      <c r="AY1912" s="111"/>
      <c r="BQ1912" s="152"/>
    </row>
    <row r="1913" spans="2:69" s="84" customFormat="1">
      <c r="B1913" s="141" t="s">
        <v>2583</v>
      </c>
      <c r="C1913" s="111"/>
      <c r="D1913" s="111"/>
      <c r="E1913" s="111"/>
      <c r="H1913" s="111"/>
      <c r="J1913" s="111"/>
      <c r="K1913" s="111"/>
      <c r="L1913" s="111"/>
      <c r="M1913" s="111"/>
      <c r="N1913" s="111"/>
      <c r="O1913" s="111"/>
      <c r="AI1913" s="111"/>
      <c r="AJ1913" s="111"/>
      <c r="AK1913" s="111"/>
      <c r="AL1913" s="111"/>
      <c r="AM1913" s="111"/>
      <c r="AN1913" s="111"/>
      <c r="AO1913" s="111"/>
      <c r="AP1913" s="111"/>
      <c r="AQ1913" s="111"/>
      <c r="AR1913" s="111"/>
      <c r="AS1913" s="111"/>
      <c r="AT1913" s="111"/>
      <c r="AU1913" s="111"/>
      <c r="AV1913" s="111"/>
      <c r="AW1913" s="111"/>
      <c r="AX1913" s="111"/>
      <c r="AY1913" s="111"/>
      <c r="BQ1913" s="152"/>
    </row>
    <row r="1914" spans="2:69" s="84" customFormat="1">
      <c r="B1914" s="141" t="s">
        <v>2584</v>
      </c>
      <c r="C1914" s="111"/>
      <c r="D1914" s="111"/>
      <c r="E1914" s="111"/>
      <c r="H1914" s="111"/>
      <c r="J1914" s="111"/>
      <c r="K1914" s="111"/>
      <c r="L1914" s="111"/>
      <c r="M1914" s="111"/>
      <c r="N1914" s="111"/>
      <c r="O1914" s="111"/>
      <c r="AI1914" s="111"/>
      <c r="AJ1914" s="111"/>
      <c r="AK1914" s="111"/>
      <c r="AL1914" s="111"/>
      <c r="AM1914" s="111"/>
      <c r="AN1914" s="111"/>
      <c r="AO1914" s="111"/>
      <c r="AP1914" s="111"/>
      <c r="AQ1914" s="111"/>
      <c r="AR1914" s="111"/>
      <c r="AS1914" s="111"/>
      <c r="AT1914" s="111"/>
      <c r="AU1914" s="111"/>
      <c r="AV1914" s="111"/>
      <c r="AW1914" s="111"/>
      <c r="AX1914" s="111"/>
      <c r="AY1914" s="111"/>
      <c r="BQ1914" s="152"/>
    </row>
    <row r="1915" spans="2:69" s="84" customFormat="1">
      <c r="B1915" s="141" t="s">
        <v>2585</v>
      </c>
      <c r="C1915" s="111"/>
      <c r="D1915" s="111"/>
      <c r="E1915" s="111"/>
      <c r="H1915" s="111"/>
      <c r="J1915" s="111"/>
      <c r="K1915" s="111"/>
      <c r="L1915" s="111"/>
      <c r="M1915" s="111"/>
      <c r="N1915" s="111"/>
      <c r="O1915" s="111"/>
      <c r="AI1915" s="111"/>
      <c r="AJ1915" s="111"/>
      <c r="AK1915" s="111"/>
      <c r="AL1915" s="111"/>
      <c r="AM1915" s="111"/>
      <c r="AN1915" s="111"/>
      <c r="AO1915" s="111"/>
      <c r="AP1915" s="111"/>
      <c r="AQ1915" s="111"/>
      <c r="AR1915" s="111"/>
      <c r="AS1915" s="111"/>
      <c r="AT1915" s="111"/>
      <c r="AU1915" s="111"/>
      <c r="AV1915" s="111"/>
      <c r="AW1915" s="111"/>
      <c r="AX1915" s="111"/>
      <c r="AY1915" s="111"/>
      <c r="BQ1915" s="152"/>
    </row>
    <row r="1916" spans="2:69" s="84" customFormat="1">
      <c r="B1916" s="141" t="s">
        <v>2586</v>
      </c>
      <c r="C1916" s="111"/>
      <c r="D1916" s="111"/>
      <c r="E1916" s="111"/>
      <c r="H1916" s="111"/>
      <c r="J1916" s="111"/>
      <c r="K1916" s="111"/>
      <c r="L1916" s="111"/>
      <c r="M1916" s="111"/>
      <c r="N1916" s="111"/>
      <c r="O1916" s="111"/>
      <c r="AI1916" s="111"/>
      <c r="AJ1916" s="111"/>
      <c r="AK1916" s="111"/>
      <c r="AL1916" s="111"/>
      <c r="AM1916" s="111"/>
      <c r="AN1916" s="111"/>
      <c r="AO1916" s="111"/>
      <c r="AP1916" s="111"/>
      <c r="AQ1916" s="111"/>
      <c r="AR1916" s="111"/>
      <c r="AS1916" s="111"/>
      <c r="AT1916" s="111"/>
      <c r="AU1916" s="111"/>
      <c r="AV1916" s="111"/>
      <c r="AW1916" s="111"/>
      <c r="AX1916" s="111"/>
      <c r="AY1916" s="111"/>
      <c r="BQ1916" s="152"/>
    </row>
    <row r="1917" spans="2:69" s="84" customFormat="1">
      <c r="B1917" s="141" t="s">
        <v>2587</v>
      </c>
      <c r="C1917" s="111"/>
      <c r="D1917" s="111"/>
      <c r="E1917" s="111"/>
      <c r="H1917" s="111"/>
      <c r="J1917" s="111"/>
      <c r="K1917" s="111"/>
      <c r="L1917" s="111"/>
      <c r="M1917" s="111"/>
      <c r="N1917" s="111"/>
      <c r="O1917" s="111"/>
      <c r="AI1917" s="111"/>
      <c r="AJ1917" s="111"/>
      <c r="AK1917" s="111"/>
      <c r="AL1917" s="111"/>
      <c r="AM1917" s="111"/>
      <c r="AN1917" s="111"/>
      <c r="AO1917" s="111"/>
      <c r="AP1917" s="111"/>
      <c r="AQ1917" s="111"/>
      <c r="AR1917" s="111"/>
      <c r="AS1917" s="111"/>
      <c r="AT1917" s="111"/>
      <c r="AU1917" s="111"/>
      <c r="AV1917" s="111"/>
      <c r="AW1917" s="111"/>
      <c r="AX1917" s="111"/>
      <c r="AY1917" s="111"/>
      <c r="BQ1917" s="152"/>
    </row>
    <row r="1918" spans="2:69" s="84" customFormat="1">
      <c r="B1918" s="141" t="s">
        <v>2588</v>
      </c>
      <c r="C1918" s="111"/>
      <c r="D1918" s="111"/>
      <c r="E1918" s="111"/>
      <c r="H1918" s="111"/>
      <c r="J1918" s="111"/>
      <c r="K1918" s="111"/>
      <c r="L1918" s="111"/>
      <c r="M1918" s="111"/>
      <c r="N1918" s="111"/>
      <c r="O1918" s="111"/>
      <c r="AI1918" s="111"/>
      <c r="AJ1918" s="111"/>
      <c r="AK1918" s="111"/>
      <c r="AL1918" s="111"/>
      <c r="AM1918" s="111"/>
      <c r="AN1918" s="111"/>
      <c r="AO1918" s="111"/>
      <c r="AP1918" s="111"/>
      <c r="AQ1918" s="111"/>
      <c r="AR1918" s="111"/>
      <c r="AS1918" s="111"/>
      <c r="AT1918" s="111"/>
      <c r="AU1918" s="111"/>
      <c r="AV1918" s="111"/>
      <c r="AW1918" s="111"/>
      <c r="AX1918" s="111"/>
      <c r="AY1918" s="111"/>
      <c r="BQ1918" s="152"/>
    </row>
    <row r="1919" spans="2:69" s="109" customFormat="1" ht="13.5">
      <c r="B1919" s="141"/>
      <c r="C1919" s="107"/>
      <c r="D1919" s="107"/>
      <c r="E1919" s="108"/>
      <c r="H1919" s="107"/>
      <c r="J1919" s="107"/>
      <c r="K1919" s="107"/>
      <c r="L1919" s="108"/>
      <c r="M1919" s="108"/>
      <c r="N1919" s="107"/>
      <c r="O1919" s="108"/>
      <c r="R1919" s="107"/>
      <c r="S1919" s="107"/>
      <c r="AI1919" s="108"/>
      <c r="AJ1919" s="108"/>
      <c r="AK1919" s="108"/>
      <c r="AL1919" s="108"/>
      <c r="AM1919" s="108"/>
      <c r="AN1919" s="108"/>
      <c r="AO1919" s="108"/>
      <c r="AP1919" s="108"/>
      <c r="AQ1919" s="108"/>
      <c r="AR1919" s="108"/>
      <c r="AS1919" s="108"/>
      <c r="AT1919" s="108"/>
      <c r="AU1919" s="108"/>
      <c r="AV1919" s="108"/>
      <c r="AW1919" s="108"/>
      <c r="AX1919" s="108"/>
      <c r="AY1919" s="108"/>
      <c r="AZ1919" s="107"/>
      <c r="BB1919" s="107"/>
      <c r="BD1919" s="107"/>
      <c r="BQ1919" s="161"/>
    </row>
    <row r="1920" spans="2:69" s="109" customFormat="1" ht="13.5">
      <c r="B1920" s="141"/>
      <c r="C1920" s="107"/>
      <c r="D1920" s="107"/>
      <c r="E1920" s="108"/>
      <c r="H1920" s="107"/>
      <c r="J1920" s="107"/>
      <c r="K1920" s="107"/>
      <c r="L1920" s="108"/>
      <c r="M1920" s="108"/>
      <c r="N1920" s="107"/>
      <c r="O1920" s="108"/>
      <c r="R1920" s="107"/>
      <c r="S1920" s="107"/>
      <c r="AI1920" s="108"/>
      <c r="AJ1920" s="108"/>
      <c r="AK1920" s="108"/>
      <c r="AL1920" s="108"/>
      <c r="AM1920" s="108"/>
      <c r="AN1920" s="108"/>
      <c r="AO1920" s="108"/>
      <c r="AP1920" s="108"/>
      <c r="AQ1920" s="108"/>
      <c r="AR1920" s="108"/>
      <c r="AS1920" s="108"/>
      <c r="AT1920" s="108"/>
      <c r="AU1920" s="108"/>
      <c r="AV1920" s="108"/>
      <c r="AW1920" s="108"/>
      <c r="AX1920" s="108"/>
      <c r="AY1920" s="108"/>
      <c r="AZ1920" s="107"/>
      <c r="BB1920" s="107"/>
      <c r="BD1920" s="107"/>
      <c r="BQ1920" s="161"/>
    </row>
    <row r="1921" spans="2:69" s="101" customFormat="1" ht="13.5">
      <c r="B1921" s="141"/>
      <c r="C1921" s="100"/>
      <c r="D1921" s="100"/>
      <c r="E1921" s="100"/>
      <c r="H1921" s="100"/>
      <c r="J1921" s="100"/>
      <c r="K1921" s="100"/>
      <c r="L1921" s="100"/>
      <c r="M1921" s="100"/>
      <c r="N1921" s="100"/>
      <c r="O1921" s="100"/>
      <c r="R1921" s="100"/>
      <c r="S1921" s="100"/>
      <c r="T1921" s="100"/>
      <c r="AI1921" s="100"/>
      <c r="AJ1921" s="100"/>
      <c r="AK1921" s="100"/>
      <c r="AL1921" s="100"/>
      <c r="AM1921" s="100"/>
      <c r="AN1921" s="100"/>
      <c r="AO1921" s="100"/>
      <c r="AP1921" s="100"/>
      <c r="AQ1921" s="100"/>
      <c r="AR1921" s="100"/>
      <c r="AS1921" s="100"/>
      <c r="AT1921" s="100"/>
      <c r="AU1921" s="100"/>
      <c r="AV1921" s="100"/>
      <c r="AW1921" s="100"/>
      <c r="AX1921" s="100"/>
      <c r="AY1921" s="100"/>
      <c r="AZ1921" s="100"/>
      <c r="BB1921" s="100"/>
      <c r="BD1921" s="100"/>
      <c r="BF1921" s="100"/>
      <c r="BQ1921" s="159"/>
    </row>
    <row r="1922" spans="2:69" s="103" customFormat="1" ht="13.5">
      <c r="B1922" s="141" t="s">
        <v>2600</v>
      </c>
      <c r="C1922" s="101"/>
      <c r="D1922" s="101" t="s">
        <v>34</v>
      </c>
      <c r="E1922" s="102"/>
      <c r="H1922" s="101"/>
      <c r="J1922" s="101"/>
      <c r="K1922" s="101"/>
      <c r="L1922" s="102"/>
      <c r="M1922" s="102"/>
      <c r="N1922" s="101"/>
      <c r="O1922" s="102"/>
      <c r="R1922" s="101" t="s">
        <v>36</v>
      </c>
      <c r="S1922" s="101"/>
      <c r="T1922" s="101" t="s">
        <v>35</v>
      </c>
      <c r="AI1922" s="102"/>
      <c r="AJ1922" s="102"/>
      <c r="AK1922" s="102"/>
      <c r="AL1922" s="102"/>
      <c r="AM1922" s="102"/>
      <c r="AN1922" s="102"/>
      <c r="AO1922" s="102"/>
      <c r="AP1922" s="102"/>
      <c r="AQ1922" s="102"/>
      <c r="AR1922" s="102"/>
      <c r="AS1922" s="102"/>
      <c r="AT1922" s="102"/>
      <c r="AU1922" s="102"/>
      <c r="AV1922" s="102"/>
      <c r="AW1922" s="102"/>
      <c r="AX1922" s="102"/>
      <c r="AY1922" s="102"/>
      <c r="AZ1922" s="101"/>
      <c r="BB1922" s="101"/>
      <c r="BD1922" s="101"/>
      <c r="BF1922" s="101" t="s">
        <v>41</v>
      </c>
      <c r="BQ1922" s="159"/>
    </row>
    <row r="1923" spans="2:69" s="103" customFormat="1" ht="13.5">
      <c r="B1923" s="141" t="s">
        <v>2601</v>
      </c>
      <c r="C1923" s="101"/>
      <c r="D1923" s="101" t="s">
        <v>34</v>
      </c>
      <c r="E1923" s="102"/>
      <c r="H1923" s="101"/>
      <c r="J1923" s="101"/>
      <c r="K1923" s="101"/>
      <c r="L1923" s="102"/>
      <c r="M1923" s="102"/>
      <c r="N1923" s="101"/>
      <c r="O1923" s="102"/>
      <c r="R1923" s="101" t="s">
        <v>36</v>
      </c>
      <c r="S1923" s="101"/>
      <c r="T1923" s="101" t="s">
        <v>35</v>
      </c>
      <c r="AI1923" s="102"/>
      <c r="AJ1923" s="102"/>
      <c r="AK1923" s="102"/>
      <c r="AL1923" s="102"/>
      <c r="AM1923" s="102"/>
      <c r="AN1923" s="102"/>
      <c r="AO1923" s="102"/>
      <c r="AP1923" s="102"/>
      <c r="AQ1923" s="102"/>
      <c r="AR1923" s="102"/>
      <c r="AS1923" s="102"/>
      <c r="AT1923" s="102"/>
      <c r="AU1923" s="102"/>
      <c r="AV1923" s="102"/>
      <c r="AW1923" s="102"/>
      <c r="AX1923" s="102"/>
      <c r="AY1923" s="102"/>
      <c r="AZ1923" s="101"/>
      <c r="BB1923" s="101"/>
      <c r="BD1923" s="101"/>
      <c r="BF1923" s="101" t="s">
        <v>41</v>
      </c>
      <c r="BQ1923" s="159"/>
    </row>
    <row r="1924" spans="2:69" s="103" customFormat="1" ht="13.5">
      <c r="B1924" s="141" t="s">
        <v>2602</v>
      </c>
      <c r="C1924" s="101"/>
      <c r="D1924" s="101" t="s">
        <v>34</v>
      </c>
      <c r="E1924" s="102"/>
      <c r="H1924" s="101"/>
      <c r="J1924" s="101"/>
      <c r="K1924" s="101"/>
      <c r="L1924" s="102"/>
      <c r="M1924" s="102"/>
      <c r="N1924" s="101"/>
      <c r="O1924" s="102"/>
      <c r="R1924" s="101" t="s">
        <v>36</v>
      </c>
      <c r="S1924" s="101"/>
      <c r="T1924" s="101" t="s">
        <v>35</v>
      </c>
      <c r="AI1924" s="102"/>
      <c r="AJ1924" s="102"/>
      <c r="AK1924" s="102"/>
      <c r="AL1924" s="102"/>
      <c r="AM1924" s="102"/>
      <c r="AN1924" s="102"/>
      <c r="AO1924" s="102"/>
      <c r="AP1924" s="102"/>
      <c r="AQ1924" s="102"/>
      <c r="AR1924" s="102"/>
      <c r="AS1924" s="102"/>
      <c r="AT1924" s="102"/>
      <c r="AU1924" s="102"/>
      <c r="AV1924" s="102"/>
      <c r="AW1924" s="102"/>
      <c r="AX1924" s="102"/>
      <c r="AY1924" s="102"/>
      <c r="AZ1924" s="101"/>
      <c r="BB1924" s="101"/>
      <c r="BD1924" s="101"/>
      <c r="BF1924" s="101" t="s">
        <v>41</v>
      </c>
      <c r="BQ1924" s="159"/>
    </row>
    <row r="1925" spans="2:69" s="103" customFormat="1" ht="13.5">
      <c r="B1925" s="141" t="s">
        <v>2603</v>
      </c>
      <c r="C1925" s="101"/>
      <c r="D1925" s="101" t="s">
        <v>34</v>
      </c>
      <c r="E1925" s="102"/>
      <c r="H1925" s="101"/>
      <c r="J1925" s="101"/>
      <c r="K1925" s="101"/>
      <c r="L1925" s="102"/>
      <c r="M1925" s="102"/>
      <c r="N1925" s="101"/>
      <c r="O1925" s="102"/>
      <c r="R1925" s="101" t="s">
        <v>36</v>
      </c>
      <c r="S1925" s="101"/>
      <c r="T1925" s="101" t="s">
        <v>35</v>
      </c>
      <c r="AI1925" s="102"/>
      <c r="AJ1925" s="102"/>
      <c r="AK1925" s="102"/>
      <c r="AL1925" s="102"/>
      <c r="AM1925" s="102"/>
      <c r="AN1925" s="102"/>
      <c r="AO1925" s="102"/>
      <c r="AP1925" s="102"/>
      <c r="AQ1925" s="102"/>
      <c r="AR1925" s="102"/>
      <c r="AS1925" s="102"/>
      <c r="AT1925" s="102"/>
      <c r="AU1925" s="102"/>
      <c r="AV1925" s="102"/>
      <c r="AW1925" s="102"/>
      <c r="AX1925" s="102"/>
      <c r="AY1925" s="102"/>
      <c r="AZ1925" s="101"/>
      <c r="BB1925" s="101"/>
      <c r="BD1925" s="101"/>
      <c r="BF1925" s="101" t="s">
        <v>41</v>
      </c>
      <c r="BQ1925" s="159"/>
    </row>
    <row r="1926" spans="2:69" s="103" customFormat="1" ht="13.5">
      <c r="B1926" s="141" t="s">
        <v>2604</v>
      </c>
      <c r="C1926" s="101"/>
      <c r="D1926" s="101" t="s">
        <v>34</v>
      </c>
      <c r="E1926" s="102"/>
      <c r="H1926" s="101"/>
      <c r="J1926" s="101"/>
      <c r="K1926" s="101"/>
      <c r="L1926" s="102"/>
      <c r="M1926" s="102"/>
      <c r="N1926" s="101"/>
      <c r="O1926" s="102"/>
      <c r="R1926" s="101" t="s">
        <v>36</v>
      </c>
      <c r="S1926" s="101"/>
      <c r="T1926" s="101" t="s">
        <v>35</v>
      </c>
      <c r="AI1926" s="102"/>
      <c r="AJ1926" s="102"/>
      <c r="AK1926" s="102"/>
      <c r="AL1926" s="102"/>
      <c r="AM1926" s="102"/>
      <c r="AN1926" s="102"/>
      <c r="AO1926" s="102"/>
      <c r="AP1926" s="102"/>
      <c r="AQ1926" s="102"/>
      <c r="AR1926" s="102"/>
      <c r="AS1926" s="102"/>
      <c r="AT1926" s="102"/>
      <c r="AU1926" s="102"/>
      <c r="AV1926" s="102"/>
      <c r="AW1926" s="102"/>
      <c r="AX1926" s="102"/>
      <c r="AY1926" s="102"/>
      <c r="AZ1926" s="101"/>
      <c r="BB1926" s="101"/>
      <c r="BD1926" s="101"/>
      <c r="BF1926" s="101" t="s">
        <v>41</v>
      </c>
      <c r="BQ1926" s="159"/>
    </row>
    <row r="1927" spans="2:69" s="103" customFormat="1" ht="27">
      <c r="B1927" s="141" t="s">
        <v>2605</v>
      </c>
      <c r="C1927" s="101"/>
      <c r="D1927" s="101" t="s">
        <v>34</v>
      </c>
      <c r="E1927" s="102"/>
      <c r="H1927" s="101"/>
      <c r="J1927" s="101"/>
      <c r="K1927" s="101"/>
      <c r="L1927" s="102"/>
      <c r="M1927" s="102"/>
      <c r="N1927" s="101"/>
      <c r="O1927" s="102"/>
      <c r="R1927" s="101" t="s">
        <v>36</v>
      </c>
      <c r="S1927" s="101"/>
      <c r="T1927" s="101" t="s">
        <v>35</v>
      </c>
      <c r="AI1927" s="102"/>
      <c r="AJ1927" s="102"/>
      <c r="AK1927" s="102"/>
      <c r="AL1927" s="102"/>
      <c r="AM1927" s="102"/>
      <c r="AN1927" s="102"/>
      <c r="AO1927" s="102"/>
      <c r="AP1927" s="102"/>
      <c r="AQ1927" s="102"/>
      <c r="AR1927" s="102"/>
      <c r="AS1927" s="102"/>
      <c r="AT1927" s="102"/>
      <c r="AU1927" s="102"/>
      <c r="AV1927" s="102"/>
      <c r="AW1927" s="102"/>
      <c r="AX1927" s="102"/>
      <c r="AY1927" s="102"/>
      <c r="AZ1927" s="101"/>
      <c r="BB1927" s="101"/>
      <c r="BD1927" s="101"/>
      <c r="BF1927" s="101" t="s">
        <v>41</v>
      </c>
      <c r="BQ1927" s="159"/>
    </row>
    <row r="1928" spans="2:69" s="103" customFormat="1" ht="13.5">
      <c r="B1928" s="141" t="s">
        <v>2606</v>
      </c>
      <c r="C1928" s="101"/>
      <c r="D1928" s="101" t="s">
        <v>34</v>
      </c>
      <c r="E1928" s="102"/>
      <c r="H1928" s="101"/>
      <c r="J1928" s="101"/>
      <c r="K1928" s="101"/>
      <c r="L1928" s="102"/>
      <c r="M1928" s="102"/>
      <c r="N1928" s="101"/>
      <c r="O1928" s="102"/>
      <c r="R1928" s="101" t="s">
        <v>36</v>
      </c>
      <c r="S1928" s="101"/>
      <c r="T1928" s="101" t="s">
        <v>35</v>
      </c>
      <c r="AI1928" s="102"/>
      <c r="AJ1928" s="102"/>
      <c r="AK1928" s="102"/>
      <c r="AL1928" s="102"/>
      <c r="AM1928" s="102"/>
      <c r="AN1928" s="102"/>
      <c r="AO1928" s="102"/>
      <c r="AP1928" s="102"/>
      <c r="AQ1928" s="102"/>
      <c r="AR1928" s="102"/>
      <c r="AS1928" s="102"/>
      <c r="AT1928" s="102"/>
      <c r="AU1928" s="102"/>
      <c r="AV1928" s="102"/>
      <c r="AW1928" s="102"/>
      <c r="AX1928" s="102"/>
      <c r="AY1928" s="102"/>
      <c r="AZ1928" s="101"/>
      <c r="BB1928" s="101"/>
      <c r="BD1928" s="101"/>
      <c r="BF1928" s="101" t="s">
        <v>41</v>
      </c>
      <c r="BQ1928" s="159"/>
    </row>
    <row r="1929" spans="2:69" s="103" customFormat="1" ht="13.5">
      <c r="B1929" s="141" t="s">
        <v>2607</v>
      </c>
      <c r="C1929" s="101"/>
      <c r="D1929" s="101" t="s">
        <v>34</v>
      </c>
      <c r="E1929" s="102"/>
      <c r="H1929" s="101"/>
      <c r="J1929" s="101"/>
      <c r="K1929" s="101"/>
      <c r="L1929" s="102"/>
      <c r="M1929" s="102"/>
      <c r="N1929" s="101"/>
      <c r="O1929" s="102"/>
      <c r="R1929" s="101" t="s">
        <v>36</v>
      </c>
      <c r="S1929" s="101"/>
      <c r="T1929" s="101" t="s">
        <v>35</v>
      </c>
      <c r="AI1929" s="102"/>
      <c r="AJ1929" s="102"/>
      <c r="AK1929" s="102"/>
      <c r="AL1929" s="102"/>
      <c r="AM1929" s="102"/>
      <c r="AN1929" s="102"/>
      <c r="AO1929" s="102"/>
      <c r="AP1929" s="102"/>
      <c r="AQ1929" s="102"/>
      <c r="AR1929" s="102"/>
      <c r="AS1929" s="102"/>
      <c r="AT1929" s="102"/>
      <c r="AU1929" s="102"/>
      <c r="AV1929" s="102"/>
      <c r="AW1929" s="102"/>
      <c r="AX1929" s="102"/>
      <c r="AY1929" s="102"/>
      <c r="AZ1929" s="101"/>
      <c r="BB1929" s="101"/>
      <c r="BD1929" s="101"/>
      <c r="BF1929" s="101" t="s">
        <v>41</v>
      </c>
      <c r="BQ1929" s="159"/>
    </row>
    <row r="1930" spans="2:69" s="103" customFormat="1" ht="13.5">
      <c r="B1930" s="141" t="s">
        <v>2608</v>
      </c>
      <c r="C1930" s="101"/>
      <c r="D1930" s="101" t="s">
        <v>34</v>
      </c>
      <c r="E1930" s="102"/>
      <c r="H1930" s="101"/>
      <c r="J1930" s="101"/>
      <c r="K1930" s="101"/>
      <c r="L1930" s="102"/>
      <c r="M1930" s="102"/>
      <c r="N1930" s="101"/>
      <c r="O1930" s="102"/>
      <c r="R1930" s="101" t="s">
        <v>36</v>
      </c>
      <c r="S1930" s="101"/>
      <c r="T1930" s="101" t="s">
        <v>35</v>
      </c>
      <c r="AI1930" s="102"/>
      <c r="AJ1930" s="102"/>
      <c r="AK1930" s="102"/>
      <c r="AL1930" s="102"/>
      <c r="AM1930" s="102"/>
      <c r="AN1930" s="102"/>
      <c r="AO1930" s="102"/>
      <c r="AP1930" s="102"/>
      <c r="AQ1930" s="102"/>
      <c r="AR1930" s="102"/>
      <c r="AS1930" s="102"/>
      <c r="AT1930" s="102"/>
      <c r="AU1930" s="102"/>
      <c r="AV1930" s="102"/>
      <c r="AW1930" s="102"/>
      <c r="AX1930" s="102"/>
      <c r="AY1930" s="102"/>
      <c r="AZ1930" s="101"/>
      <c r="BB1930" s="101"/>
      <c r="BD1930" s="101"/>
      <c r="BF1930" s="101" t="s">
        <v>41</v>
      </c>
      <c r="BQ1930" s="159"/>
    </row>
    <row r="1931" spans="2:69" s="103" customFormat="1" ht="13.5">
      <c r="B1931" s="141" t="s">
        <v>2609</v>
      </c>
      <c r="C1931" s="101"/>
      <c r="D1931" s="101" t="s">
        <v>34</v>
      </c>
      <c r="E1931" s="102"/>
      <c r="H1931" s="101"/>
      <c r="J1931" s="101"/>
      <c r="K1931" s="101"/>
      <c r="L1931" s="102"/>
      <c r="M1931" s="102"/>
      <c r="N1931" s="101"/>
      <c r="O1931" s="102"/>
      <c r="R1931" s="101" t="s">
        <v>36</v>
      </c>
      <c r="S1931" s="101"/>
      <c r="T1931" s="101" t="s">
        <v>35</v>
      </c>
      <c r="AI1931" s="102"/>
      <c r="AJ1931" s="102"/>
      <c r="AK1931" s="102"/>
      <c r="AL1931" s="102"/>
      <c r="AM1931" s="102"/>
      <c r="AN1931" s="102"/>
      <c r="AO1931" s="102"/>
      <c r="AP1931" s="102"/>
      <c r="AQ1931" s="102"/>
      <c r="AR1931" s="102"/>
      <c r="AS1931" s="102"/>
      <c r="AT1931" s="102"/>
      <c r="AU1931" s="102"/>
      <c r="AV1931" s="102"/>
      <c r="AW1931" s="102"/>
      <c r="AX1931" s="102"/>
      <c r="AY1931" s="102"/>
      <c r="AZ1931" s="101"/>
      <c r="BB1931" s="101"/>
      <c r="BD1931" s="101"/>
      <c r="BF1931" s="101" t="s">
        <v>41</v>
      </c>
      <c r="BQ1931" s="159"/>
    </row>
    <row r="1932" spans="2:69" s="103" customFormat="1" ht="27">
      <c r="B1932" s="141" t="s">
        <v>2610</v>
      </c>
      <c r="C1932" s="101"/>
      <c r="D1932" s="101" t="s">
        <v>34</v>
      </c>
      <c r="E1932" s="102"/>
      <c r="H1932" s="101"/>
      <c r="J1932" s="101"/>
      <c r="K1932" s="101"/>
      <c r="L1932" s="102"/>
      <c r="M1932" s="102"/>
      <c r="N1932" s="101"/>
      <c r="O1932" s="102"/>
      <c r="R1932" s="101" t="s">
        <v>36</v>
      </c>
      <c r="S1932" s="101"/>
      <c r="T1932" s="101" t="s">
        <v>35</v>
      </c>
      <c r="AI1932" s="102"/>
      <c r="AJ1932" s="102"/>
      <c r="AK1932" s="102"/>
      <c r="AL1932" s="102"/>
      <c r="AM1932" s="102"/>
      <c r="AN1932" s="102"/>
      <c r="AO1932" s="102"/>
      <c r="AP1932" s="102"/>
      <c r="AQ1932" s="102"/>
      <c r="AR1932" s="102"/>
      <c r="AS1932" s="102"/>
      <c r="AT1932" s="102"/>
      <c r="AU1932" s="102"/>
      <c r="AV1932" s="102"/>
      <c r="AW1932" s="102"/>
      <c r="AX1932" s="102"/>
      <c r="AY1932" s="102"/>
      <c r="AZ1932" s="101"/>
      <c r="BB1932" s="101"/>
      <c r="BD1932" s="101"/>
      <c r="BF1932" s="101" t="s">
        <v>41</v>
      </c>
      <c r="BQ1932" s="159"/>
    </row>
    <row r="1933" spans="2:69" s="103" customFormat="1" ht="27">
      <c r="B1933" s="141" t="s">
        <v>2611</v>
      </c>
      <c r="C1933" s="101"/>
      <c r="D1933" s="101" t="s">
        <v>34</v>
      </c>
      <c r="E1933" s="102"/>
      <c r="H1933" s="101"/>
      <c r="J1933" s="101"/>
      <c r="K1933" s="101"/>
      <c r="L1933" s="102"/>
      <c r="M1933" s="102"/>
      <c r="N1933" s="101"/>
      <c r="O1933" s="102"/>
      <c r="R1933" s="101" t="s">
        <v>36</v>
      </c>
      <c r="S1933" s="101"/>
      <c r="T1933" s="101" t="s">
        <v>35</v>
      </c>
      <c r="AI1933" s="102"/>
      <c r="AJ1933" s="102"/>
      <c r="AK1933" s="102"/>
      <c r="AL1933" s="102"/>
      <c r="AM1933" s="102"/>
      <c r="AN1933" s="102"/>
      <c r="AO1933" s="102"/>
      <c r="AP1933" s="102"/>
      <c r="AQ1933" s="102"/>
      <c r="AR1933" s="102"/>
      <c r="AS1933" s="102"/>
      <c r="AT1933" s="102"/>
      <c r="AU1933" s="102"/>
      <c r="AV1933" s="102"/>
      <c r="AW1933" s="102"/>
      <c r="AX1933" s="102"/>
      <c r="AY1933" s="102"/>
      <c r="AZ1933" s="101"/>
      <c r="BB1933" s="101"/>
      <c r="BD1933" s="101"/>
      <c r="BF1933" s="101" t="s">
        <v>41</v>
      </c>
      <c r="BQ1933" s="159"/>
    </row>
    <row r="1934" spans="2:69" s="103" customFormat="1" ht="13.5">
      <c r="B1934" s="141" t="s">
        <v>2612</v>
      </c>
      <c r="C1934" s="101"/>
      <c r="D1934" s="101" t="s">
        <v>34</v>
      </c>
      <c r="E1934" s="102"/>
      <c r="H1934" s="101"/>
      <c r="J1934" s="101"/>
      <c r="K1934" s="101"/>
      <c r="L1934" s="102"/>
      <c r="M1934" s="102"/>
      <c r="N1934" s="101"/>
      <c r="O1934" s="102"/>
      <c r="R1934" s="101" t="s">
        <v>36</v>
      </c>
      <c r="S1934" s="101"/>
      <c r="T1934" s="101" t="s">
        <v>35</v>
      </c>
      <c r="AI1934" s="102"/>
      <c r="AJ1934" s="102"/>
      <c r="AK1934" s="102"/>
      <c r="AL1934" s="102"/>
      <c r="AM1934" s="102"/>
      <c r="AN1934" s="102"/>
      <c r="AO1934" s="102"/>
      <c r="AP1934" s="102"/>
      <c r="AQ1934" s="102"/>
      <c r="AR1934" s="102"/>
      <c r="AS1934" s="102"/>
      <c r="AT1934" s="102"/>
      <c r="AU1934" s="102"/>
      <c r="AV1934" s="102"/>
      <c r="AW1934" s="102"/>
      <c r="AX1934" s="102"/>
      <c r="AY1934" s="102"/>
      <c r="AZ1934" s="101"/>
      <c r="BB1934" s="101"/>
      <c r="BD1934" s="101"/>
      <c r="BF1934" s="101" t="s">
        <v>41</v>
      </c>
      <c r="BQ1934" s="159"/>
    </row>
    <row r="1935" spans="2:69" s="103" customFormat="1" ht="13.5">
      <c r="B1935" s="141"/>
      <c r="C1935" s="101"/>
      <c r="D1935" s="101" t="s">
        <v>34</v>
      </c>
      <c r="E1935" s="102"/>
      <c r="H1935" s="101"/>
      <c r="J1935" s="101"/>
      <c r="K1935" s="101"/>
      <c r="L1935" s="102"/>
      <c r="M1935" s="102"/>
      <c r="N1935" s="101"/>
      <c r="O1935" s="102"/>
      <c r="R1935" s="101" t="s">
        <v>36</v>
      </c>
      <c r="S1935" s="101"/>
      <c r="T1935" s="101" t="s">
        <v>35</v>
      </c>
      <c r="AI1935" s="102"/>
      <c r="AJ1935" s="102"/>
      <c r="AK1935" s="102"/>
      <c r="AL1935" s="102"/>
      <c r="AM1935" s="102"/>
      <c r="AN1935" s="102"/>
      <c r="AO1935" s="102"/>
      <c r="AP1935" s="102"/>
      <c r="AQ1935" s="102"/>
      <c r="AR1935" s="102"/>
      <c r="AS1935" s="102"/>
      <c r="AT1935" s="102"/>
      <c r="AU1935" s="102"/>
      <c r="AV1935" s="102"/>
      <c r="AW1935" s="102"/>
      <c r="AX1935" s="102"/>
      <c r="AY1935" s="102"/>
      <c r="AZ1935" s="101"/>
      <c r="BB1935" s="101"/>
      <c r="BD1935" s="101"/>
      <c r="BF1935" s="101" t="s">
        <v>41</v>
      </c>
      <c r="BQ1935" s="159"/>
    </row>
    <row r="1936" spans="2:69" s="103" customFormat="1" ht="13.5">
      <c r="B1936" s="141"/>
      <c r="C1936" s="101"/>
      <c r="D1936" s="101" t="s">
        <v>34</v>
      </c>
      <c r="E1936" s="102"/>
      <c r="H1936" s="101"/>
      <c r="J1936" s="101"/>
      <c r="K1936" s="101"/>
      <c r="L1936" s="102"/>
      <c r="M1936" s="102"/>
      <c r="N1936" s="101"/>
      <c r="O1936" s="102"/>
      <c r="R1936" s="101" t="s">
        <v>36</v>
      </c>
      <c r="S1936" s="101"/>
      <c r="T1936" s="101" t="s">
        <v>35</v>
      </c>
      <c r="AI1936" s="102"/>
      <c r="AJ1936" s="102"/>
      <c r="AK1936" s="102"/>
      <c r="AL1936" s="102"/>
      <c r="AM1936" s="102"/>
      <c r="AN1936" s="102"/>
      <c r="AO1936" s="102"/>
      <c r="AP1936" s="102"/>
      <c r="AQ1936" s="102"/>
      <c r="AR1936" s="102"/>
      <c r="AS1936" s="102"/>
      <c r="AT1936" s="102"/>
      <c r="AU1936" s="102"/>
      <c r="AV1936" s="102"/>
      <c r="AW1936" s="102"/>
      <c r="AX1936" s="102"/>
      <c r="AY1936" s="102"/>
      <c r="AZ1936" s="101"/>
      <c r="BB1936" s="101"/>
      <c r="BD1936" s="101"/>
      <c r="BF1936" s="101" t="s">
        <v>41</v>
      </c>
      <c r="BQ1936" s="159"/>
    </row>
    <row r="1937" spans="2:69" s="103" customFormat="1" ht="13.5">
      <c r="B1937" s="141"/>
      <c r="C1937" s="101"/>
      <c r="D1937" s="101" t="s">
        <v>34</v>
      </c>
      <c r="E1937" s="102"/>
      <c r="H1937" s="101"/>
      <c r="J1937" s="101"/>
      <c r="K1937" s="101"/>
      <c r="L1937" s="102"/>
      <c r="M1937" s="102"/>
      <c r="N1937" s="101"/>
      <c r="O1937" s="102"/>
      <c r="R1937" s="101" t="s">
        <v>36</v>
      </c>
      <c r="S1937" s="101"/>
      <c r="T1937" s="101" t="s">
        <v>35</v>
      </c>
      <c r="AI1937" s="102"/>
      <c r="AJ1937" s="102"/>
      <c r="AK1937" s="102"/>
      <c r="AL1937" s="102"/>
      <c r="AM1937" s="102"/>
      <c r="AN1937" s="102"/>
      <c r="AO1937" s="102"/>
      <c r="AP1937" s="102"/>
      <c r="AQ1937" s="102"/>
      <c r="AR1937" s="102"/>
      <c r="AS1937" s="102"/>
      <c r="AT1937" s="102"/>
      <c r="AU1937" s="102"/>
      <c r="AV1937" s="102"/>
      <c r="AW1937" s="102"/>
      <c r="AX1937" s="102"/>
      <c r="AY1937" s="102"/>
      <c r="AZ1937" s="101"/>
      <c r="BB1937" s="101"/>
      <c r="BD1937" s="101"/>
      <c r="BF1937" s="101" t="s">
        <v>41</v>
      </c>
      <c r="BQ1937" s="159"/>
    </row>
    <row r="1938" spans="2:69" s="103" customFormat="1" ht="13.5">
      <c r="B1938" s="141" t="s">
        <v>2613</v>
      </c>
      <c r="C1938" s="101"/>
      <c r="D1938" s="101" t="s">
        <v>34</v>
      </c>
      <c r="E1938" s="102"/>
      <c r="H1938" s="101"/>
      <c r="J1938" s="101"/>
      <c r="K1938" s="101"/>
      <c r="L1938" s="102"/>
      <c r="M1938" s="102"/>
      <c r="N1938" s="101"/>
      <c r="O1938" s="102"/>
      <c r="R1938" s="101" t="s">
        <v>36</v>
      </c>
      <c r="S1938" s="101"/>
      <c r="T1938" s="101" t="s">
        <v>35</v>
      </c>
      <c r="AI1938" s="102"/>
      <c r="AJ1938" s="102"/>
      <c r="AK1938" s="102"/>
      <c r="AL1938" s="102"/>
      <c r="AM1938" s="102"/>
      <c r="AN1938" s="102"/>
      <c r="AO1938" s="102"/>
      <c r="AP1938" s="102"/>
      <c r="AQ1938" s="102"/>
      <c r="AR1938" s="102"/>
      <c r="AS1938" s="102"/>
      <c r="AT1938" s="102"/>
      <c r="AU1938" s="102"/>
      <c r="AV1938" s="102"/>
      <c r="AW1938" s="102"/>
      <c r="AX1938" s="102"/>
      <c r="AY1938" s="102"/>
      <c r="AZ1938" s="101"/>
      <c r="BB1938" s="101"/>
      <c r="BD1938" s="101"/>
      <c r="BF1938" s="101" t="s">
        <v>39</v>
      </c>
      <c r="BQ1938" s="159"/>
    </row>
    <row r="1939" spans="2:69" s="103" customFormat="1" ht="13.5">
      <c r="B1939" s="141" t="s">
        <v>2614</v>
      </c>
      <c r="C1939" s="101"/>
      <c r="D1939" s="101" t="s">
        <v>34</v>
      </c>
      <c r="E1939" s="102"/>
      <c r="H1939" s="101"/>
      <c r="J1939" s="101"/>
      <c r="K1939" s="101"/>
      <c r="L1939" s="102"/>
      <c r="M1939" s="102"/>
      <c r="N1939" s="101"/>
      <c r="O1939" s="102"/>
      <c r="R1939" s="101" t="s">
        <v>36</v>
      </c>
      <c r="S1939" s="101"/>
      <c r="T1939" s="101" t="s">
        <v>35</v>
      </c>
      <c r="AI1939" s="102"/>
      <c r="AJ1939" s="102"/>
      <c r="AK1939" s="102"/>
      <c r="AL1939" s="102"/>
      <c r="AM1939" s="102"/>
      <c r="AN1939" s="102"/>
      <c r="AO1939" s="102"/>
      <c r="AP1939" s="102"/>
      <c r="AQ1939" s="102"/>
      <c r="AR1939" s="102"/>
      <c r="AS1939" s="102"/>
      <c r="AT1939" s="102"/>
      <c r="AU1939" s="102"/>
      <c r="AV1939" s="102"/>
      <c r="AW1939" s="102"/>
      <c r="AX1939" s="102"/>
      <c r="AY1939" s="102"/>
      <c r="AZ1939" s="101"/>
      <c r="BB1939" s="101"/>
      <c r="BD1939" s="101"/>
      <c r="BF1939" s="101" t="s">
        <v>39</v>
      </c>
      <c r="BQ1939" s="159"/>
    </row>
    <row r="1940" spans="2:69" s="103" customFormat="1" ht="13.5">
      <c r="B1940" s="141" t="s">
        <v>2615</v>
      </c>
      <c r="C1940" s="101"/>
      <c r="D1940" s="101" t="s">
        <v>34</v>
      </c>
      <c r="E1940" s="102"/>
      <c r="H1940" s="101"/>
      <c r="J1940" s="101"/>
      <c r="K1940" s="101"/>
      <c r="L1940" s="102"/>
      <c r="M1940" s="102"/>
      <c r="N1940" s="101"/>
      <c r="O1940" s="102"/>
      <c r="R1940" s="101" t="s">
        <v>36</v>
      </c>
      <c r="S1940" s="101"/>
      <c r="T1940" s="101" t="s">
        <v>35</v>
      </c>
      <c r="AI1940" s="102"/>
      <c r="AJ1940" s="102"/>
      <c r="AK1940" s="102"/>
      <c r="AL1940" s="102"/>
      <c r="AM1940" s="102"/>
      <c r="AN1940" s="102"/>
      <c r="AO1940" s="102"/>
      <c r="AP1940" s="102"/>
      <c r="AQ1940" s="102"/>
      <c r="AR1940" s="102"/>
      <c r="AS1940" s="102"/>
      <c r="AT1940" s="102"/>
      <c r="AU1940" s="102"/>
      <c r="AV1940" s="102"/>
      <c r="AW1940" s="102"/>
      <c r="AX1940" s="102"/>
      <c r="AY1940" s="102"/>
      <c r="AZ1940" s="101"/>
      <c r="BB1940" s="101"/>
      <c r="BD1940" s="101"/>
      <c r="BF1940" s="101" t="s">
        <v>39</v>
      </c>
      <c r="BQ1940" s="159"/>
    </row>
    <row r="1941" spans="2:69" s="103" customFormat="1" ht="13.5">
      <c r="B1941" s="141" t="s">
        <v>2616</v>
      </c>
      <c r="C1941" s="101"/>
      <c r="D1941" s="101" t="s">
        <v>34</v>
      </c>
      <c r="E1941" s="102"/>
      <c r="H1941" s="101"/>
      <c r="J1941" s="101"/>
      <c r="K1941" s="101"/>
      <c r="L1941" s="102"/>
      <c r="M1941" s="102"/>
      <c r="N1941" s="101"/>
      <c r="O1941" s="102"/>
      <c r="R1941" s="101" t="s">
        <v>36</v>
      </c>
      <c r="S1941" s="101"/>
      <c r="T1941" s="101" t="s">
        <v>35</v>
      </c>
      <c r="AI1941" s="102"/>
      <c r="AJ1941" s="102"/>
      <c r="AK1941" s="102"/>
      <c r="AL1941" s="102"/>
      <c r="AM1941" s="102"/>
      <c r="AN1941" s="102"/>
      <c r="AO1941" s="102"/>
      <c r="AP1941" s="102"/>
      <c r="AQ1941" s="102"/>
      <c r="AR1941" s="102"/>
      <c r="AS1941" s="102"/>
      <c r="AT1941" s="102"/>
      <c r="AU1941" s="102"/>
      <c r="AV1941" s="102"/>
      <c r="AW1941" s="102"/>
      <c r="AX1941" s="102"/>
      <c r="AY1941" s="102"/>
      <c r="AZ1941" s="101"/>
      <c r="BB1941" s="101"/>
      <c r="BD1941" s="101"/>
      <c r="BF1941" s="101" t="s">
        <v>39</v>
      </c>
      <c r="BQ1941" s="159"/>
    </row>
    <row r="1942" spans="2:69" s="103" customFormat="1" ht="13.5">
      <c r="B1942" s="141"/>
      <c r="C1942" s="101"/>
      <c r="D1942" s="101" t="s">
        <v>34</v>
      </c>
      <c r="E1942" s="102"/>
      <c r="H1942" s="101"/>
      <c r="J1942" s="101"/>
      <c r="K1942" s="101"/>
      <c r="L1942" s="102"/>
      <c r="M1942" s="102"/>
      <c r="N1942" s="101"/>
      <c r="O1942" s="102"/>
      <c r="R1942" s="101" t="s">
        <v>36</v>
      </c>
      <c r="S1942" s="101"/>
      <c r="T1942" s="101" t="s">
        <v>35</v>
      </c>
      <c r="AI1942" s="102"/>
      <c r="AJ1942" s="102"/>
      <c r="AK1942" s="102"/>
      <c r="AL1942" s="102"/>
      <c r="AM1942" s="102"/>
      <c r="AN1942" s="102"/>
      <c r="AO1942" s="102"/>
      <c r="AP1942" s="102"/>
      <c r="AQ1942" s="102"/>
      <c r="AR1942" s="102"/>
      <c r="AS1942" s="102"/>
      <c r="AT1942" s="102"/>
      <c r="AU1942" s="102"/>
      <c r="AV1942" s="102"/>
      <c r="AW1942" s="102"/>
      <c r="AX1942" s="102"/>
      <c r="AY1942" s="102"/>
      <c r="AZ1942" s="101"/>
      <c r="BB1942" s="101"/>
      <c r="BD1942" s="101"/>
      <c r="BF1942" s="101" t="s">
        <v>39</v>
      </c>
      <c r="BQ1942" s="159"/>
    </row>
    <row r="1943" spans="2:69" s="103" customFormat="1" ht="13.5">
      <c r="B1943" s="141"/>
      <c r="C1943" s="101"/>
      <c r="D1943" s="101" t="s">
        <v>34</v>
      </c>
      <c r="E1943" s="102"/>
      <c r="H1943" s="101"/>
      <c r="J1943" s="101"/>
      <c r="K1943" s="101"/>
      <c r="L1943" s="102"/>
      <c r="M1943" s="102"/>
      <c r="N1943" s="101"/>
      <c r="O1943" s="102"/>
      <c r="R1943" s="101" t="s">
        <v>36</v>
      </c>
      <c r="S1943" s="101"/>
      <c r="T1943" s="101" t="s">
        <v>35</v>
      </c>
      <c r="AI1943" s="102"/>
      <c r="AJ1943" s="102"/>
      <c r="AK1943" s="102"/>
      <c r="AL1943" s="102"/>
      <c r="AM1943" s="102"/>
      <c r="AN1943" s="102"/>
      <c r="AO1943" s="102"/>
      <c r="AP1943" s="102"/>
      <c r="AQ1943" s="102"/>
      <c r="AR1943" s="102"/>
      <c r="AS1943" s="102"/>
      <c r="AT1943" s="102"/>
      <c r="AU1943" s="102"/>
      <c r="AV1943" s="102"/>
      <c r="AW1943" s="102"/>
      <c r="AX1943" s="102"/>
      <c r="AY1943" s="102"/>
      <c r="AZ1943" s="101"/>
      <c r="BB1943" s="101"/>
      <c r="BD1943" s="101"/>
      <c r="BF1943" s="101" t="s">
        <v>39</v>
      </c>
      <c r="BQ1943" s="159"/>
    </row>
    <row r="1944" spans="2:69" s="103" customFormat="1" ht="13.5">
      <c r="B1944" s="141"/>
      <c r="C1944" s="101"/>
      <c r="D1944" s="101" t="s">
        <v>34</v>
      </c>
      <c r="E1944" s="102"/>
      <c r="H1944" s="101"/>
      <c r="J1944" s="101"/>
      <c r="K1944" s="101"/>
      <c r="L1944" s="102"/>
      <c r="M1944" s="102"/>
      <c r="N1944" s="101"/>
      <c r="O1944" s="102"/>
      <c r="R1944" s="101" t="s">
        <v>36</v>
      </c>
      <c r="S1944" s="101"/>
      <c r="T1944" s="101" t="s">
        <v>35</v>
      </c>
      <c r="AI1944" s="102"/>
      <c r="AJ1944" s="102"/>
      <c r="AK1944" s="102"/>
      <c r="AL1944" s="102"/>
      <c r="AM1944" s="102"/>
      <c r="AN1944" s="102"/>
      <c r="AO1944" s="102"/>
      <c r="AP1944" s="102"/>
      <c r="AQ1944" s="102"/>
      <c r="AR1944" s="102"/>
      <c r="AS1944" s="102"/>
      <c r="AT1944" s="102"/>
      <c r="AU1944" s="102"/>
      <c r="AV1944" s="102"/>
      <c r="AW1944" s="102"/>
      <c r="AX1944" s="102"/>
      <c r="AY1944" s="102"/>
      <c r="AZ1944" s="101"/>
      <c r="BB1944" s="101"/>
      <c r="BD1944" s="101"/>
      <c r="BF1944" s="101" t="s">
        <v>39</v>
      </c>
      <c r="BQ1944" s="159"/>
    </row>
    <row r="1945" spans="2:69" s="103" customFormat="1" ht="13.5">
      <c r="B1945" s="141"/>
      <c r="C1945" s="101"/>
      <c r="D1945" s="101" t="s">
        <v>34</v>
      </c>
      <c r="E1945" s="102"/>
      <c r="H1945" s="101"/>
      <c r="J1945" s="101"/>
      <c r="K1945" s="101"/>
      <c r="L1945" s="102"/>
      <c r="M1945" s="102"/>
      <c r="N1945" s="101"/>
      <c r="O1945" s="102"/>
      <c r="R1945" s="101" t="s">
        <v>36</v>
      </c>
      <c r="S1945" s="101"/>
      <c r="T1945" s="112" t="s">
        <v>40</v>
      </c>
      <c r="AI1945" s="102"/>
      <c r="AJ1945" s="102"/>
      <c r="AK1945" s="102"/>
      <c r="AL1945" s="102"/>
      <c r="AM1945" s="102"/>
      <c r="AN1945" s="102"/>
      <c r="AO1945" s="102"/>
      <c r="AP1945" s="102"/>
      <c r="AQ1945" s="102"/>
      <c r="AR1945" s="102"/>
      <c r="AS1945" s="102"/>
      <c r="AT1945" s="102"/>
      <c r="AU1945" s="102"/>
      <c r="AV1945" s="102"/>
      <c r="AW1945" s="102"/>
      <c r="AX1945" s="102"/>
      <c r="AY1945" s="102"/>
      <c r="AZ1945" s="101"/>
      <c r="BB1945" s="101"/>
      <c r="BD1945" s="101"/>
      <c r="BF1945" s="101" t="s">
        <v>39</v>
      </c>
      <c r="BQ1945" s="159"/>
    </row>
    <row r="1946" spans="2:69" s="103" customFormat="1" ht="13.5">
      <c r="B1946" s="141"/>
      <c r="C1946" s="101"/>
      <c r="D1946" s="101" t="s">
        <v>34</v>
      </c>
      <c r="E1946" s="102"/>
      <c r="H1946" s="101"/>
      <c r="J1946" s="101"/>
      <c r="K1946" s="101"/>
      <c r="L1946" s="102"/>
      <c r="M1946" s="102"/>
      <c r="N1946" s="101"/>
      <c r="O1946" s="102"/>
      <c r="R1946" s="101" t="s">
        <v>36</v>
      </c>
      <c r="S1946" s="101"/>
      <c r="T1946" s="101" t="s">
        <v>35</v>
      </c>
      <c r="AI1946" s="102"/>
      <c r="AJ1946" s="102"/>
      <c r="AK1946" s="102"/>
      <c r="AL1946" s="102"/>
      <c r="AM1946" s="102"/>
      <c r="AN1946" s="102"/>
      <c r="AO1946" s="102"/>
      <c r="AP1946" s="102"/>
      <c r="AQ1946" s="102"/>
      <c r="AR1946" s="102"/>
      <c r="AS1946" s="102"/>
      <c r="AT1946" s="102"/>
      <c r="AU1946" s="102"/>
      <c r="AV1946" s="102"/>
      <c r="AW1946" s="102"/>
      <c r="AX1946" s="102"/>
      <c r="AY1946" s="102"/>
      <c r="AZ1946" s="101"/>
      <c r="BB1946" s="101"/>
      <c r="BD1946" s="101"/>
      <c r="BF1946" s="101"/>
      <c r="BQ1946" s="159"/>
    </row>
    <row r="1947" spans="2:69" s="103" customFormat="1" ht="13.5">
      <c r="B1947" s="141" t="s">
        <v>2617</v>
      </c>
      <c r="C1947" s="101"/>
      <c r="D1947" s="101" t="s">
        <v>34</v>
      </c>
      <c r="E1947" s="102"/>
      <c r="H1947" s="101"/>
      <c r="J1947" s="101"/>
      <c r="K1947" s="101"/>
      <c r="L1947" s="102"/>
      <c r="M1947" s="102"/>
      <c r="N1947" s="101"/>
      <c r="O1947" s="102"/>
      <c r="R1947" s="101" t="s">
        <v>36</v>
      </c>
      <c r="S1947" s="101"/>
      <c r="T1947" s="101" t="s">
        <v>35</v>
      </c>
      <c r="AI1947" s="102"/>
      <c r="AJ1947" s="102"/>
      <c r="AK1947" s="102"/>
      <c r="AL1947" s="102"/>
      <c r="AM1947" s="102"/>
      <c r="AN1947" s="102"/>
      <c r="AO1947" s="102"/>
      <c r="AP1947" s="102"/>
      <c r="AQ1947" s="102"/>
      <c r="AR1947" s="102"/>
      <c r="AS1947" s="102"/>
      <c r="AT1947" s="102"/>
      <c r="AU1947" s="102"/>
      <c r="AV1947" s="102"/>
      <c r="AW1947" s="102"/>
      <c r="AX1947" s="102"/>
      <c r="AY1947" s="102"/>
      <c r="AZ1947" s="101"/>
      <c r="BB1947" s="101"/>
      <c r="BD1947" s="101"/>
      <c r="BF1947" s="101" t="s">
        <v>38</v>
      </c>
      <c r="BQ1947" s="159"/>
    </row>
    <row r="1948" spans="2:69" s="103" customFormat="1" ht="13.5">
      <c r="B1948" s="141"/>
      <c r="C1948" s="101"/>
      <c r="D1948" s="101" t="s">
        <v>34</v>
      </c>
      <c r="E1948" s="102"/>
      <c r="H1948" s="101"/>
      <c r="J1948" s="101"/>
      <c r="K1948" s="101"/>
      <c r="L1948" s="102"/>
      <c r="M1948" s="102"/>
      <c r="N1948" s="101"/>
      <c r="O1948" s="102"/>
      <c r="R1948" s="101" t="s">
        <v>36</v>
      </c>
      <c r="S1948" s="101"/>
      <c r="T1948" s="101" t="s">
        <v>35</v>
      </c>
      <c r="AI1948" s="102"/>
      <c r="AJ1948" s="102"/>
      <c r="AK1948" s="102"/>
      <c r="AL1948" s="102"/>
      <c r="AM1948" s="102"/>
      <c r="AN1948" s="102"/>
      <c r="AO1948" s="102"/>
      <c r="AP1948" s="102"/>
      <c r="AQ1948" s="102"/>
      <c r="AR1948" s="102"/>
      <c r="AS1948" s="102"/>
      <c r="AT1948" s="102"/>
      <c r="AU1948" s="102"/>
      <c r="AV1948" s="102"/>
      <c r="AW1948" s="102"/>
      <c r="AX1948" s="102"/>
      <c r="AY1948" s="102"/>
      <c r="AZ1948" s="101"/>
      <c r="BB1948" s="101"/>
      <c r="BD1948" s="101"/>
      <c r="BF1948" s="101"/>
      <c r="BQ1948" s="159"/>
    </row>
    <row r="1949" spans="2:69" s="103" customFormat="1" ht="13.5">
      <c r="B1949" s="141" t="s">
        <v>2618</v>
      </c>
      <c r="C1949" s="101"/>
      <c r="D1949" s="101" t="s">
        <v>34</v>
      </c>
      <c r="H1949" s="101"/>
      <c r="J1949" s="101"/>
      <c r="K1949" s="101"/>
      <c r="N1949" s="101"/>
      <c r="R1949" s="101" t="s">
        <v>36</v>
      </c>
      <c r="S1949" s="101"/>
      <c r="T1949" s="101" t="s">
        <v>35</v>
      </c>
      <c r="AZ1949" s="101"/>
      <c r="BB1949" s="101"/>
      <c r="BD1949" s="101"/>
      <c r="BF1949" s="101" t="s">
        <v>37</v>
      </c>
      <c r="BQ1949" s="159"/>
    </row>
    <row r="1950" spans="2:69" s="103" customFormat="1" ht="13.5">
      <c r="B1950" s="141" t="s">
        <v>2619</v>
      </c>
      <c r="C1950" s="101"/>
      <c r="D1950" s="101" t="s">
        <v>34</v>
      </c>
      <c r="H1950" s="101"/>
      <c r="J1950" s="101"/>
      <c r="K1950" s="101"/>
      <c r="N1950" s="101"/>
      <c r="R1950" s="101" t="s">
        <v>36</v>
      </c>
      <c r="S1950" s="101"/>
      <c r="T1950" s="101" t="s">
        <v>35</v>
      </c>
      <c r="AZ1950" s="101"/>
      <c r="BB1950" s="101"/>
      <c r="BD1950" s="101"/>
      <c r="BF1950" s="101" t="s">
        <v>37</v>
      </c>
      <c r="BQ1950" s="159"/>
    </row>
    <row r="1951" spans="2:69" s="103" customFormat="1" ht="13.5">
      <c r="B1951" s="141" t="s">
        <v>2620</v>
      </c>
      <c r="C1951" s="101"/>
      <c r="D1951" s="101" t="s">
        <v>34</v>
      </c>
      <c r="E1951" s="102"/>
      <c r="H1951" s="101"/>
      <c r="J1951" s="101"/>
      <c r="K1951" s="101"/>
      <c r="L1951" s="102"/>
      <c r="M1951" s="102"/>
      <c r="N1951" s="101"/>
      <c r="O1951" s="102"/>
      <c r="R1951" s="101" t="s">
        <v>36</v>
      </c>
      <c r="S1951" s="101"/>
      <c r="T1951" s="101" t="s">
        <v>35</v>
      </c>
      <c r="AI1951" s="102"/>
      <c r="AJ1951" s="102"/>
      <c r="AK1951" s="102"/>
      <c r="AL1951" s="102"/>
      <c r="AM1951" s="102"/>
      <c r="AN1951" s="102"/>
      <c r="AO1951" s="102"/>
      <c r="AP1951" s="102"/>
      <c r="AQ1951" s="102"/>
      <c r="AR1951" s="102"/>
      <c r="AS1951" s="102"/>
      <c r="AT1951" s="102"/>
      <c r="AU1951" s="102"/>
      <c r="AV1951" s="102"/>
      <c r="AW1951" s="102"/>
      <c r="AX1951" s="102"/>
      <c r="AY1951" s="102"/>
      <c r="AZ1951" s="101"/>
      <c r="BB1951" s="101"/>
      <c r="BD1951" s="101"/>
      <c r="BF1951" s="101" t="s">
        <v>37</v>
      </c>
      <c r="BQ1951" s="159"/>
    </row>
    <row r="1952" spans="2:69" s="103" customFormat="1" ht="13.5">
      <c r="B1952" s="141" t="s">
        <v>2621</v>
      </c>
      <c r="C1952" s="101"/>
      <c r="D1952" s="101" t="s">
        <v>34</v>
      </c>
      <c r="E1952" s="102"/>
      <c r="H1952" s="101"/>
      <c r="J1952" s="101"/>
      <c r="K1952" s="101"/>
      <c r="L1952" s="102"/>
      <c r="M1952" s="102"/>
      <c r="N1952" s="101"/>
      <c r="O1952" s="102"/>
      <c r="R1952" s="101" t="s">
        <v>36</v>
      </c>
      <c r="S1952" s="101"/>
      <c r="T1952" s="101" t="s">
        <v>35</v>
      </c>
      <c r="AI1952" s="102"/>
      <c r="AJ1952" s="102"/>
      <c r="AK1952" s="102"/>
      <c r="AL1952" s="102"/>
      <c r="AM1952" s="102"/>
      <c r="AN1952" s="102"/>
      <c r="AO1952" s="102"/>
      <c r="AP1952" s="102"/>
      <c r="AQ1952" s="102"/>
      <c r="AR1952" s="102"/>
      <c r="AS1952" s="102"/>
      <c r="AT1952" s="102"/>
      <c r="AU1952" s="102"/>
      <c r="AV1952" s="102"/>
      <c r="AW1952" s="102"/>
      <c r="AX1952" s="102"/>
      <c r="AY1952" s="102"/>
      <c r="AZ1952" s="101"/>
      <c r="BB1952" s="101"/>
      <c r="BD1952" s="101"/>
      <c r="BF1952" s="101" t="s">
        <v>37</v>
      </c>
      <c r="BQ1952" s="159"/>
    </row>
    <row r="1953" spans="2:69" s="103" customFormat="1" ht="13.5">
      <c r="B1953" s="141" t="s">
        <v>2622</v>
      </c>
      <c r="C1953" s="101"/>
      <c r="D1953" s="101" t="s">
        <v>34</v>
      </c>
      <c r="E1953" s="102"/>
      <c r="H1953" s="101"/>
      <c r="J1953" s="101"/>
      <c r="K1953" s="101"/>
      <c r="L1953" s="102"/>
      <c r="M1953" s="102"/>
      <c r="N1953" s="101"/>
      <c r="O1953" s="102"/>
      <c r="R1953" s="101" t="s">
        <v>36</v>
      </c>
      <c r="S1953" s="101"/>
      <c r="T1953" s="101" t="s">
        <v>35</v>
      </c>
      <c r="AI1953" s="102"/>
      <c r="AJ1953" s="102"/>
      <c r="AK1953" s="102"/>
      <c r="AL1953" s="102"/>
      <c r="AM1953" s="102"/>
      <c r="AN1953" s="102"/>
      <c r="AO1953" s="102"/>
      <c r="AP1953" s="102"/>
      <c r="AQ1953" s="102"/>
      <c r="AR1953" s="102"/>
      <c r="AS1953" s="102"/>
      <c r="AT1953" s="102"/>
      <c r="AU1953" s="102"/>
      <c r="AV1953" s="102"/>
      <c r="AW1953" s="102"/>
      <c r="AX1953" s="102"/>
      <c r="AY1953" s="102"/>
      <c r="AZ1953" s="101"/>
      <c r="BB1953" s="101"/>
      <c r="BD1953" s="101"/>
      <c r="BF1953" s="101" t="s">
        <v>37</v>
      </c>
      <c r="BQ1953" s="159"/>
    </row>
    <row r="1954" spans="2:69" s="103" customFormat="1" ht="13.5">
      <c r="B1954" s="141"/>
      <c r="C1954" s="101"/>
      <c r="D1954" s="101" t="s">
        <v>34</v>
      </c>
      <c r="E1954" s="102"/>
      <c r="H1954" s="101"/>
      <c r="J1954" s="101"/>
      <c r="K1954" s="101"/>
      <c r="L1954" s="102"/>
      <c r="M1954" s="102"/>
      <c r="N1954" s="101"/>
      <c r="O1954" s="102"/>
      <c r="R1954" s="101" t="s">
        <v>36</v>
      </c>
      <c r="S1954" s="101"/>
      <c r="T1954" s="101" t="s">
        <v>35</v>
      </c>
      <c r="AI1954" s="102"/>
      <c r="AJ1954" s="102"/>
      <c r="AK1954" s="102"/>
      <c r="AL1954" s="102"/>
      <c r="AM1954" s="102"/>
      <c r="AN1954" s="102"/>
      <c r="AO1954" s="102"/>
      <c r="AP1954" s="102"/>
      <c r="AQ1954" s="102"/>
      <c r="AR1954" s="102"/>
      <c r="AS1954" s="102"/>
      <c r="AT1954" s="102"/>
      <c r="AU1954" s="102"/>
      <c r="AV1954" s="102"/>
      <c r="AW1954" s="102"/>
      <c r="AX1954" s="102"/>
      <c r="AY1954" s="102"/>
      <c r="AZ1954" s="101"/>
      <c r="BB1954" s="101"/>
      <c r="BD1954" s="101"/>
      <c r="BF1954" s="101" t="s">
        <v>37</v>
      </c>
      <c r="BQ1954" s="159"/>
    </row>
    <row r="1955" spans="2:69" s="103" customFormat="1" ht="13.5">
      <c r="B1955" s="141"/>
      <c r="C1955" s="101"/>
      <c r="D1955" s="101" t="s">
        <v>34</v>
      </c>
      <c r="E1955" s="102"/>
      <c r="H1955" s="101"/>
      <c r="J1955" s="101"/>
      <c r="K1955" s="101"/>
      <c r="L1955" s="102"/>
      <c r="M1955" s="102"/>
      <c r="N1955" s="101"/>
      <c r="O1955" s="102"/>
      <c r="R1955" s="101" t="s">
        <v>36</v>
      </c>
      <c r="S1955" s="101"/>
      <c r="T1955" s="101" t="s">
        <v>35</v>
      </c>
      <c r="AI1955" s="102"/>
      <c r="AJ1955" s="102"/>
      <c r="AK1955" s="102"/>
      <c r="AL1955" s="102"/>
      <c r="AM1955" s="102"/>
      <c r="AN1955" s="102"/>
      <c r="AO1955" s="102"/>
      <c r="AP1955" s="102"/>
      <c r="AQ1955" s="102"/>
      <c r="AR1955" s="102"/>
      <c r="AS1955" s="102"/>
      <c r="AT1955" s="102"/>
      <c r="AU1955" s="102"/>
      <c r="AV1955" s="102"/>
      <c r="AW1955" s="102"/>
      <c r="AX1955" s="102"/>
      <c r="AY1955" s="102"/>
      <c r="AZ1955" s="101"/>
      <c r="BB1955" s="101"/>
      <c r="BD1955" s="101"/>
      <c r="BF1955" s="101"/>
      <c r="BQ1955" s="159"/>
    </row>
    <row r="1956" spans="2:69" s="103" customFormat="1" ht="13.5">
      <c r="B1956" s="141"/>
      <c r="C1956" s="101"/>
      <c r="D1956" s="101" t="s">
        <v>34</v>
      </c>
      <c r="E1956" s="102"/>
      <c r="H1956" s="101"/>
      <c r="J1956" s="101"/>
      <c r="K1956" s="101"/>
      <c r="L1956" s="102"/>
      <c r="M1956" s="102"/>
      <c r="N1956" s="101"/>
      <c r="O1956" s="102"/>
      <c r="R1956" s="101" t="s">
        <v>36</v>
      </c>
      <c r="S1956" s="101"/>
      <c r="T1956" s="101" t="s">
        <v>35</v>
      </c>
      <c r="AI1956" s="102"/>
      <c r="AJ1956" s="102"/>
      <c r="AK1956" s="102"/>
      <c r="AL1956" s="102"/>
      <c r="AM1956" s="102"/>
      <c r="AN1956" s="102"/>
      <c r="AO1956" s="102"/>
      <c r="AP1956" s="102"/>
      <c r="AQ1956" s="102"/>
      <c r="AR1956" s="102"/>
      <c r="AS1956" s="102"/>
      <c r="AT1956" s="102"/>
      <c r="AU1956" s="102"/>
      <c r="AV1956" s="102"/>
      <c r="AW1956" s="102"/>
      <c r="AX1956" s="102"/>
      <c r="AY1956" s="102"/>
      <c r="AZ1956" s="101"/>
      <c r="BB1956" s="101"/>
      <c r="BD1956" s="101"/>
      <c r="BF1956" s="101"/>
      <c r="BQ1956" s="159"/>
    </row>
    <row r="1957" spans="2:69" s="103" customFormat="1" ht="13.5">
      <c r="B1957" s="141"/>
      <c r="C1957" s="101"/>
      <c r="D1957" s="101" t="s">
        <v>34</v>
      </c>
      <c r="E1957" s="102"/>
      <c r="H1957" s="101"/>
      <c r="J1957" s="101"/>
      <c r="K1957" s="101"/>
      <c r="L1957" s="102"/>
      <c r="M1957" s="102"/>
      <c r="N1957" s="101"/>
      <c r="O1957" s="102"/>
      <c r="R1957" s="101" t="s">
        <v>36</v>
      </c>
      <c r="S1957" s="101"/>
      <c r="T1957" s="101" t="s">
        <v>35</v>
      </c>
      <c r="AI1957" s="102"/>
      <c r="AJ1957" s="102"/>
      <c r="AK1957" s="102"/>
      <c r="AL1957" s="102"/>
      <c r="AM1957" s="102"/>
      <c r="AN1957" s="102"/>
      <c r="AO1957" s="102"/>
      <c r="AP1957" s="102"/>
      <c r="AQ1957" s="102"/>
      <c r="AR1957" s="102"/>
      <c r="AS1957" s="102"/>
      <c r="AT1957" s="102"/>
      <c r="AU1957" s="102"/>
      <c r="AV1957" s="102"/>
      <c r="AW1957" s="102"/>
      <c r="AX1957" s="102"/>
      <c r="AY1957" s="102"/>
      <c r="AZ1957" s="101"/>
      <c r="BB1957" s="101"/>
      <c r="BD1957" s="101"/>
      <c r="BF1957" s="101"/>
      <c r="BQ1957" s="159"/>
    </row>
    <row r="1958" spans="2:69" s="103" customFormat="1" ht="13.5">
      <c r="B1958" s="141"/>
      <c r="C1958" s="101"/>
      <c r="D1958" s="101" t="s">
        <v>34</v>
      </c>
      <c r="E1958" s="102"/>
      <c r="H1958" s="101"/>
      <c r="J1958" s="101"/>
      <c r="K1958" s="101"/>
      <c r="L1958" s="102"/>
      <c r="M1958" s="102"/>
      <c r="N1958" s="101"/>
      <c r="O1958" s="102"/>
      <c r="R1958" s="101" t="s">
        <v>36</v>
      </c>
      <c r="S1958" s="101"/>
      <c r="T1958" s="101" t="s">
        <v>35</v>
      </c>
      <c r="AI1958" s="102"/>
      <c r="AJ1958" s="102"/>
      <c r="AK1958" s="102"/>
      <c r="AL1958" s="102"/>
      <c r="AM1958" s="102"/>
      <c r="AN1958" s="102"/>
      <c r="AO1958" s="102"/>
      <c r="AP1958" s="102"/>
      <c r="AQ1958" s="102"/>
      <c r="AR1958" s="102"/>
      <c r="AS1958" s="102"/>
      <c r="AT1958" s="102"/>
      <c r="AU1958" s="102"/>
      <c r="AV1958" s="102"/>
      <c r="AW1958" s="102"/>
      <c r="AX1958" s="102"/>
      <c r="AY1958" s="102"/>
      <c r="AZ1958" s="101"/>
      <c r="BB1958" s="101"/>
      <c r="BD1958" s="101"/>
      <c r="BF1958" s="101"/>
      <c r="BQ1958" s="159"/>
    </row>
    <row r="1959" spans="2:69" s="103" customFormat="1" ht="13.5">
      <c r="B1959" s="141"/>
      <c r="C1959" s="101"/>
      <c r="D1959" s="101" t="s">
        <v>34</v>
      </c>
      <c r="E1959" s="102"/>
      <c r="H1959" s="101"/>
      <c r="J1959" s="101"/>
      <c r="K1959" s="101"/>
      <c r="L1959" s="102"/>
      <c r="M1959" s="102"/>
      <c r="N1959" s="101"/>
      <c r="O1959" s="102"/>
      <c r="S1959" s="101"/>
      <c r="T1959" s="101" t="s">
        <v>35</v>
      </c>
      <c r="AI1959" s="102"/>
      <c r="AJ1959" s="102"/>
      <c r="AK1959" s="102"/>
      <c r="AL1959" s="102"/>
      <c r="AM1959" s="102"/>
      <c r="AN1959" s="102"/>
      <c r="AO1959" s="102"/>
      <c r="AP1959" s="102"/>
      <c r="AQ1959" s="102"/>
      <c r="AR1959" s="102"/>
      <c r="AS1959" s="102"/>
      <c r="AT1959" s="102"/>
      <c r="AU1959" s="102"/>
      <c r="AV1959" s="102"/>
      <c r="AW1959" s="102"/>
      <c r="AX1959" s="102"/>
      <c r="AY1959" s="102"/>
      <c r="AZ1959" s="101"/>
      <c r="BB1959" s="101"/>
      <c r="BD1959" s="101"/>
      <c r="BF1959" s="101"/>
      <c r="BQ1959" s="159"/>
    </row>
    <row r="1960" spans="2:69" s="103" customFormat="1" ht="13.5">
      <c r="B1960" s="141"/>
      <c r="C1960" s="101"/>
      <c r="D1960" s="101" t="s">
        <v>34</v>
      </c>
      <c r="E1960" s="102"/>
      <c r="H1960" s="101"/>
      <c r="J1960" s="101"/>
      <c r="K1960" s="101"/>
      <c r="L1960" s="102"/>
      <c r="M1960" s="102"/>
      <c r="N1960" s="101"/>
      <c r="O1960" s="102"/>
      <c r="S1960" s="101"/>
      <c r="T1960" s="101" t="s">
        <v>35</v>
      </c>
      <c r="AI1960" s="102"/>
      <c r="AJ1960" s="102"/>
      <c r="AK1960" s="102"/>
      <c r="AL1960" s="102"/>
      <c r="AM1960" s="102"/>
      <c r="AN1960" s="102"/>
      <c r="AO1960" s="102"/>
      <c r="AP1960" s="102"/>
      <c r="AQ1960" s="102"/>
      <c r="AR1960" s="102"/>
      <c r="AS1960" s="102"/>
      <c r="AT1960" s="102"/>
      <c r="AU1960" s="102"/>
      <c r="AV1960" s="102"/>
      <c r="AW1960" s="102"/>
      <c r="AX1960" s="102"/>
      <c r="AY1960" s="102"/>
      <c r="AZ1960" s="101"/>
      <c r="BB1960" s="101"/>
      <c r="BD1960" s="101"/>
      <c r="BF1960" s="101"/>
      <c r="BQ1960" s="159"/>
    </row>
    <row r="1961" spans="2:69" s="103" customFormat="1" ht="13.5">
      <c r="B1961" s="141"/>
      <c r="C1961" s="101"/>
      <c r="D1961" s="101" t="s">
        <v>34</v>
      </c>
      <c r="E1961" s="102"/>
      <c r="H1961" s="101"/>
      <c r="J1961" s="101"/>
      <c r="K1961" s="101"/>
      <c r="L1961" s="102"/>
      <c r="M1961" s="102"/>
      <c r="N1961" s="101"/>
      <c r="O1961" s="102"/>
      <c r="S1961" s="101"/>
      <c r="T1961" s="101" t="s">
        <v>35</v>
      </c>
      <c r="AI1961" s="102"/>
      <c r="AJ1961" s="102"/>
      <c r="AK1961" s="102"/>
      <c r="AL1961" s="102"/>
      <c r="AM1961" s="102"/>
      <c r="AN1961" s="102"/>
      <c r="AO1961" s="102"/>
      <c r="AP1961" s="102"/>
      <c r="AQ1961" s="102"/>
      <c r="AR1961" s="102"/>
      <c r="AS1961" s="102"/>
      <c r="AT1961" s="102"/>
      <c r="AU1961" s="102"/>
      <c r="AV1961" s="102"/>
      <c r="AW1961" s="102"/>
      <c r="AX1961" s="102"/>
      <c r="AY1961" s="102"/>
      <c r="AZ1961" s="101"/>
      <c r="BB1961" s="101"/>
      <c r="BD1961" s="101"/>
      <c r="BF1961" s="101"/>
      <c r="BQ1961" s="159"/>
    </row>
    <row r="1962" spans="2:69" s="103" customFormat="1" ht="13.5">
      <c r="B1962" s="141"/>
      <c r="C1962" s="101"/>
      <c r="D1962" s="101" t="s">
        <v>34</v>
      </c>
      <c r="E1962" s="102"/>
      <c r="H1962" s="101"/>
      <c r="J1962" s="101"/>
      <c r="K1962" s="101"/>
      <c r="L1962" s="102"/>
      <c r="M1962" s="102"/>
      <c r="N1962" s="101"/>
      <c r="O1962" s="102"/>
      <c r="S1962" s="101"/>
      <c r="T1962" s="101" t="s">
        <v>35</v>
      </c>
      <c r="AI1962" s="102"/>
      <c r="AJ1962" s="102"/>
      <c r="AK1962" s="102"/>
      <c r="AL1962" s="102"/>
      <c r="AM1962" s="102"/>
      <c r="AN1962" s="102"/>
      <c r="AO1962" s="102"/>
      <c r="AP1962" s="102"/>
      <c r="AQ1962" s="102"/>
      <c r="AR1962" s="102"/>
      <c r="AS1962" s="102"/>
      <c r="AT1962" s="102"/>
      <c r="AU1962" s="102"/>
      <c r="AV1962" s="102"/>
      <c r="AW1962" s="102"/>
      <c r="AX1962" s="102"/>
      <c r="AY1962" s="102"/>
      <c r="AZ1962" s="101"/>
      <c r="BB1962" s="101"/>
      <c r="BD1962" s="101"/>
      <c r="BF1962" s="101"/>
      <c r="BQ1962" s="159"/>
    </row>
    <row r="1963" spans="2:69" s="103" customFormat="1" ht="13.5">
      <c r="B1963" s="141"/>
      <c r="C1963" s="101"/>
      <c r="D1963" s="101" t="s">
        <v>34</v>
      </c>
      <c r="E1963" s="102"/>
      <c r="H1963" s="101"/>
      <c r="J1963" s="101"/>
      <c r="K1963" s="101"/>
      <c r="L1963" s="102"/>
      <c r="M1963" s="102"/>
      <c r="N1963" s="101"/>
      <c r="O1963" s="102"/>
      <c r="S1963" s="101"/>
      <c r="T1963" s="101" t="s">
        <v>35</v>
      </c>
      <c r="AI1963" s="102"/>
      <c r="AJ1963" s="102"/>
      <c r="AK1963" s="102"/>
      <c r="AL1963" s="102"/>
      <c r="AM1963" s="102"/>
      <c r="AN1963" s="102"/>
      <c r="AO1963" s="102"/>
      <c r="AP1963" s="102"/>
      <c r="AQ1963" s="102"/>
      <c r="AR1963" s="102"/>
      <c r="AS1963" s="102"/>
      <c r="AT1963" s="102"/>
      <c r="AU1963" s="102"/>
      <c r="AV1963" s="102"/>
      <c r="AW1963" s="102"/>
      <c r="AX1963" s="102"/>
      <c r="AY1963" s="102"/>
      <c r="AZ1963" s="101"/>
      <c r="BB1963" s="101"/>
      <c r="BD1963" s="101"/>
      <c r="BF1963" s="101"/>
      <c r="BQ1963" s="159"/>
    </row>
    <row r="1964" spans="2:69" s="103" customFormat="1" ht="13.5">
      <c r="B1964" s="141"/>
      <c r="C1964" s="101"/>
      <c r="D1964" s="101" t="s">
        <v>34</v>
      </c>
      <c r="E1964" s="102"/>
      <c r="H1964" s="101"/>
      <c r="J1964" s="101"/>
      <c r="K1964" s="101"/>
      <c r="L1964" s="102"/>
      <c r="M1964" s="102"/>
      <c r="N1964" s="101"/>
      <c r="O1964" s="102"/>
      <c r="S1964" s="101"/>
      <c r="T1964" s="101" t="s">
        <v>35</v>
      </c>
      <c r="AI1964" s="102"/>
      <c r="AJ1964" s="102"/>
      <c r="AK1964" s="102"/>
      <c r="AL1964" s="102"/>
      <c r="AM1964" s="102"/>
      <c r="AN1964" s="102"/>
      <c r="AO1964" s="102"/>
      <c r="AP1964" s="102"/>
      <c r="AQ1964" s="102"/>
      <c r="AR1964" s="102"/>
      <c r="AS1964" s="102"/>
      <c r="AT1964" s="102"/>
      <c r="AU1964" s="102"/>
      <c r="AV1964" s="102"/>
      <c r="AW1964" s="102"/>
      <c r="AX1964" s="102"/>
      <c r="AY1964" s="102"/>
      <c r="AZ1964" s="101"/>
      <c r="BB1964" s="101"/>
      <c r="BD1964" s="101"/>
      <c r="BF1964" s="101"/>
      <c r="BQ1964" s="159"/>
    </row>
    <row r="1965" spans="2:69" s="103" customFormat="1" ht="13.5">
      <c r="B1965" s="141"/>
      <c r="C1965" s="101"/>
      <c r="D1965" s="101" t="s">
        <v>34</v>
      </c>
      <c r="E1965" s="102"/>
      <c r="H1965" s="101"/>
      <c r="J1965" s="101"/>
      <c r="K1965" s="101"/>
      <c r="L1965" s="102"/>
      <c r="M1965" s="102"/>
      <c r="N1965" s="101"/>
      <c r="O1965" s="102"/>
      <c r="S1965" s="101"/>
      <c r="T1965" s="101" t="s">
        <v>35</v>
      </c>
      <c r="AI1965" s="102"/>
      <c r="AJ1965" s="102"/>
      <c r="AK1965" s="102"/>
      <c r="AL1965" s="102"/>
      <c r="AM1965" s="102"/>
      <c r="AN1965" s="102"/>
      <c r="AO1965" s="102"/>
      <c r="AP1965" s="102"/>
      <c r="AQ1965" s="102"/>
      <c r="AR1965" s="102"/>
      <c r="AS1965" s="102"/>
      <c r="AT1965" s="102"/>
      <c r="AU1965" s="102"/>
      <c r="AV1965" s="102"/>
      <c r="AW1965" s="102"/>
      <c r="AX1965" s="102"/>
      <c r="AY1965" s="102"/>
      <c r="AZ1965" s="101"/>
      <c r="BB1965" s="101"/>
      <c r="BD1965" s="101"/>
      <c r="BF1965" s="101"/>
      <c r="BQ1965" s="159"/>
    </row>
    <row r="1966" spans="2:69" s="103" customFormat="1" ht="13.5">
      <c r="B1966" s="141"/>
      <c r="C1966" s="101"/>
      <c r="D1966" s="101" t="s">
        <v>34</v>
      </c>
      <c r="E1966" s="102"/>
      <c r="H1966" s="101"/>
      <c r="J1966" s="101"/>
      <c r="K1966" s="101"/>
      <c r="L1966" s="102"/>
      <c r="M1966" s="102"/>
      <c r="N1966" s="101"/>
      <c r="O1966" s="102"/>
      <c r="S1966" s="101"/>
      <c r="T1966" s="101" t="s">
        <v>35</v>
      </c>
      <c r="AI1966" s="102"/>
      <c r="AJ1966" s="102"/>
      <c r="AK1966" s="102"/>
      <c r="AL1966" s="102"/>
      <c r="AM1966" s="102"/>
      <c r="AN1966" s="102"/>
      <c r="AO1966" s="102"/>
      <c r="AP1966" s="102"/>
      <c r="AQ1966" s="102"/>
      <c r="AR1966" s="102"/>
      <c r="AS1966" s="102"/>
      <c r="AT1966" s="102"/>
      <c r="AU1966" s="102"/>
      <c r="AV1966" s="102"/>
      <c r="AW1966" s="102"/>
      <c r="AX1966" s="102"/>
      <c r="AY1966" s="102"/>
      <c r="AZ1966" s="101"/>
      <c r="BB1966" s="101"/>
      <c r="BD1966" s="101"/>
      <c r="BF1966" s="101"/>
      <c r="BQ1966" s="159"/>
    </row>
    <row r="1967" spans="2:69" s="103" customFormat="1" ht="13.5">
      <c r="B1967" s="141"/>
      <c r="C1967" s="101"/>
      <c r="D1967" s="101" t="s">
        <v>34</v>
      </c>
      <c r="E1967" s="102"/>
      <c r="H1967" s="101"/>
      <c r="J1967" s="101"/>
      <c r="K1967" s="101"/>
      <c r="L1967" s="102"/>
      <c r="M1967" s="102"/>
      <c r="N1967" s="101"/>
      <c r="O1967" s="102"/>
      <c r="S1967" s="101"/>
      <c r="T1967" s="101" t="s">
        <v>35</v>
      </c>
      <c r="AI1967" s="102"/>
      <c r="AJ1967" s="102"/>
      <c r="AK1967" s="102"/>
      <c r="AL1967" s="102"/>
      <c r="AM1967" s="102"/>
      <c r="AN1967" s="102"/>
      <c r="AO1967" s="102"/>
      <c r="AP1967" s="102"/>
      <c r="AQ1967" s="102"/>
      <c r="AR1967" s="102"/>
      <c r="AS1967" s="102"/>
      <c r="AT1967" s="102"/>
      <c r="AU1967" s="102"/>
      <c r="AV1967" s="102"/>
      <c r="AW1967" s="102"/>
      <c r="AX1967" s="102"/>
      <c r="AY1967" s="102"/>
      <c r="AZ1967" s="101"/>
      <c r="BB1967" s="101"/>
      <c r="BD1967" s="101"/>
      <c r="BF1967" s="101"/>
      <c r="BQ1967" s="159"/>
    </row>
    <row r="1968" spans="2:69" s="103" customFormat="1" ht="13.5">
      <c r="B1968" s="141"/>
      <c r="C1968" s="101"/>
      <c r="D1968" s="101" t="s">
        <v>34</v>
      </c>
      <c r="E1968" s="102"/>
      <c r="H1968" s="101"/>
      <c r="J1968" s="101"/>
      <c r="K1968" s="101"/>
      <c r="L1968" s="102"/>
      <c r="M1968" s="102"/>
      <c r="N1968" s="101"/>
      <c r="O1968" s="102"/>
      <c r="S1968" s="101"/>
      <c r="T1968" s="101" t="s">
        <v>35</v>
      </c>
      <c r="AI1968" s="102"/>
      <c r="AJ1968" s="102"/>
      <c r="AK1968" s="102"/>
      <c r="AL1968" s="102"/>
      <c r="AM1968" s="102"/>
      <c r="AN1968" s="102"/>
      <c r="AO1968" s="102"/>
      <c r="AP1968" s="102"/>
      <c r="AQ1968" s="102"/>
      <c r="AR1968" s="102"/>
      <c r="AS1968" s="102"/>
      <c r="AT1968" s="102"/>
      <c r="AU1968" s="102"/>
      <c r="AV1968" s="102"/>
      <c r="AW1968" s="102"/>
      <c r="AX1968" s="102"/>
      <c r="AY1968" s="102"/>
      <c r="AZ1968" s="101"/>
      <c r="BB1968" s="101"/>
      <c r="BD1968" s="101"/>
      <c r="BF1968" s="101"/>
      <c r="BQ1968" s="159"/>
    </row>
    <row r="1969" spans="2:69" s="103" customFormat="1" ht="13.5">
      <c r="B1969" s="141"/>
      <c r="C1969" s="101"/>
      <c r="D1969" s="101" t="s">
        <v>34</v>
      </c>
      <c r="E1969" s="102"/>
      <c r="H1969" s="101"/>
      <c r="J1969" s="101"/>
      <c r="K1969" s="101"/>
      <c r="L1969" s="102"/>
      <c r="M1969" s="102"/>
      <c r="N1969" s="101"/>
      <c r="O1969" s="102"/>
      <c r="S1969" s="101"/>
      <c r="T1969" s="101" t="s">
        <v>35</v>
      </c>
      <c r="AI1969" s="102"/>
      <c r="AJ1969" s="102"/>
      <c r="AK1969" s="102"/>
      <c r="AL1969" s="102"/>
      <c r="AM1969" s="102"/>
      <c r="AN1969" s="102"/>
      <c r="AO1969" s="102"/>
      <c r="AP1969" s="102"/>
      <c r="AQ1969" s="102"/>
      <c r="AR1969" s="102"/>
      <c r="AS1969" s="102"/>
      <c r="AT1969" s="102"/>
      <c r="AU1969" s="102"/>
      <c r="AV1969" s="102"/>
      <c r="AW1969" s="102"/>
      <c r="AX1969" s="102"/>
      <c r="AY1969" s="102"/>
      <c r="AZ1969" s="101"/>
      <c r="BB1969" s="101"/>
      <c r="BD1969" s="101"/>
      <c r="BF1969" s="101"/>
      <c r="BQ1969" s="159"/>
    </row>
    <row r="1970" spans="2:69" s="103" customFormat="1" ht="13.5">
      <c r="B1970" s="141"/>
      <c r="C1970" s="101"/>
      <c r="D1970" s="101" t="s">
        <v>34</v>
      </c>
      <c r="E1970" s="102"/>
      <c r="H1970" s="101"/>
      <c r="I1970" s="101"/>
      <c r="J1970" s="101"/>
      <c r="K1970" s="101"/>
      <c r="L1970" s="102"/>
      <c r="M1970" s="102"/>
      <c r="N1970" s="101"/>
      <c r="O1970" s="102"/>
      <c r="S1970" s="101"/>
      <c r="AI1970" s="102"/>
      <c r="AJ1970" s="102"/>
      <c r="AK1970" s="102"/>
      <c r="AL1970" s="102"/>
      <c r="AM1970" s="102"/>
      <c r="AN1970" s="102"/>
      <c r="AO1970" s="102"/>
      <c r="AP1970" s="102"/>
      <c r="AQ1970" s="102"/>
      <c r="AR1970" s="102"/>
      <c r="AS1970" s="102"/>
      <c r="AT1970" s="102"/>
      <c r="AU1970" s="102"/>
      <c r="AV1970" s="102"/>
      <c r="AW1970" s="102"/>
      <c r="AX1970" s="102"/>
      <c r="AY1970" s="102"/>
      <c r="AZ1970" s="101"/>
      <c r="BB1970" s="101"/>
      <c r="BD1970" s="101"/>
      <c r="BQ1970" s="159"/>
    </row>
    <row r="1971" spans="2:69" s="103" customFormat="1" ht="13.5">
      <c r="B1971" s="141"/>
      <c r="C1971" s="101"/>
      <c r="D1971" s="101" t="s">
        <v>34</v>
      </c>
      <c r="E1971" s="101"/>
      <c r="H1971" s="101"/>
      <c r="J1971" s="101"/>
      <c r="K1971" s="101"/>
      <c r="L1971" s="101"/>
      <c r="M1971" s="101"/>
      <c r="N1971" s="101"/>
      <c r="O1971" s="101"/>
      <c r="S1971" s="101"/>
      <c r="AI1971" s="101"/>
      <c r="AJ1971" s="101"/>
      <c r="AK1971" s="101"/>
      <c r="AL1971" s="101"/>
      <c r="AM1971" s="101"/>
      <c r="AN1971" s="101"/>
      <c r="AO1971" s="101"/>
      <c r="AP1971" s="101"/>
      <c r="AQ1971" s="101"/>
      <c r="AR1971" s="101"/>
      <c r="AS1971" s="101"/>
      <c r="AT1971" s="101"/>
      <c r="AU1971" s="101"/>
      <c r="AV1971" s="101"/>
      <c r="AW1971" s="101"/>
      <c r="AX1971" s="101"/>
      <c r="AY1971" s="101"/>
      <c r="AZ1971" s="101"/>
      <c r="BB1971" s="101"/>
      <c r="BD1971" s="101"/>
      <c r="BQ1971" s="159"/>
    </row>
    <row r="1972" spans="2:69" s="103" customFormat="1" ht="13.5">
      <c r="B1972" s="141"/>
      <c r="C1972" s="101"/>
      <c r="D1972" s="101"/>
      <c r="E1972" s="101"/>
      <c r="H1972" s="101"/>
      <c r="J1972" s="101"/>
      <c r="K1972" s="101"/>
      <c r="L1972" s="101"/>
      <c r="M1972" s="101"/>
      <c r="N1972" s="101"/>
      <c r="O1972" s="101"/>
      <c r="S1972" s="101"/>
      <c r="AI1972" s="101"/>
      <c r="AJ1972" s="101"/>
      <c r="AK1972" s="101"/>
      <c r="AL1972" s="101"/>
      <c r="AM1972" s="101"/>
      <c r="AN1972" s="101"/>
      <c r="AO1972" s="101"/>
      <c r="AP1972" s="101"/>
      <c r="AQ1972" s="101"/>
      <c r="AR1972" s="101"/>
      <c r="AS1972" s="101"/>
      <c r="AT1972" s="101"/>
      <c r="AU1972" s="101"/>
      <c r="AV1972" s="101"/>
      <c r="AW1972" s="101"/>
      <c r="AX1972" s="101"/>
      <c r="AY1972" s="101"/>
      <c r="AZ1972" s="101"/>
      <c r="BB1972" s="101"/>
      <c r="BD1972" s="101"/>
      <c r="BQ1972" s="159"/>
    </row>
    <row r="1973" spans="2:69" s="103" customFormat="1" ht="13.5">
      <c r="B1973" s="141"/>
      <c r="C1973" s="101"/>
      <c r="D1973" s="101"/>
      <c r="E1973" s="101"/>
      <c r="H1973" s="101"/>
      <c r="J1973" s="101"/>
      <c r="K1973" s="101"/>
      <c r="L1973" s="101"/>
      <c r="M1973" s="101"/>
      <c r="N1973" s="101"/>
      <c r="O1973" s="101"/>
      <c r="S1973" s="101"/>
      <c r="AI1973" s="101"/>
      <c r="AJ1973" s="101"/>
      <c r="AK1973" s="101"/>
      <c r="AL1973" s="101"/>
      <c r="AM1973" s="101"/>
      <c r="AN1973" s="101"/>
      <c r="AO1973" s="101"/>
      <c r="AP1973" s="101"/>
      <c r="AQ1973" s="101"/>
      <c r="AR1973" s="101"/>
      <c r="AS1973" s="101"/>
      <c r="AT1973" s="101"/>
      <c r="AU1973" s="101"/>
      <c r="AV1973" s="101"/>
      <c r="AW1973" s="101"/>
      <c r="AX1973" s="101"/>
      <c r="AY1973" s="101"/>
      <c r="AZ1973" s="101"/>
      <c r="BB1973" s="101"/>
      <c r="BD1973" s="101"/>
      <c r="BQ1973" s="159"/>
    </row>
    <row r="1974" spans="2:69" s="103" customFormat="1" ht="13.5">
      <c r="B1974" s="141"/>
      <c r="C1974" s="101"/>
      <c r="D1974" s="101"/>
      <c r="E1974" s="101"/>
      <c r="H1974" s="101"/>
      <c r="J1974" s="101"/>
      <c r="K1974" s="101"/>
      <c r="L1974" s="101"/>
      <c r="M1974" s="101"/>
      <c r="N1974" s="101"/>
      <c r="O1974" s="101"/>
      <c r="S1974" s="101"/>
      <c r="AI1974" s="101"/>
      <c r="AJ1974" s="101"/>
      <c r="AK1974" s="101"/>
      <c r="AL1974" s="101"/>
      <c r="AM1974" s="101"/>
      <c r="AN1974" s="101"/>
      <c r="AO1974" s="101"/>
      <c r="AP1974" s="101"/>
      <c r="AQ1974" s="101"/>
      <c r="AR1974" s="101"/>
      <c r="AS1974" s="101"/>
      <c r="AT1974" s="101"/>
      <c r="AU1974" s="101"/>
      <c r="AV1974" s="101"/>
      <c r="AW1974" s="101"/>
      <c r="AX1974" s="101"/>
      <c r="AY1974" s="101"/>
      <c r="AZ1974" s="101"/>
      <c r="BB1974" s="101"/>
      <c r="BD1974" s="101"/>
      <c r="BQ1974" s="159"/>
    </row>
    <row r="1975" spans="2:69" s="103" customFormat="1" ht="13.5">
      <c r="B1975" s="141"/>
      <c r="C1975" s="101"/>
      <c r="D1975" s="101" t="s">
        <v>1532</v>
      </c>
      <c r="E1975" s="101"/>
      <c r="H1975" s="101"/>
      <c r="J1975" s="101"/>
      <c r="K1975" s="101"/>
      <c r="L1975" s="101"/>
      <c r="M1975" s="101"/>
      <c r="N1975" s="101"/>
      <c r="O1975" s="101"/>
      <c r="S1975" s="101"/>
      <c r="AI1975" s="101"/>
      <c r="AJ1975" s="101"/>
      <c r="AK1975" s="101"/>
      <c r="AL1975" s="101"/>
      <c r="AM1975" s="101"/>
      <c r="AN1975" s="101"/>
      <c r="AO1975" s="101"/>
      <c r="AP1975" s="101"/>
      <c r="AQ1975" s="101"/>
      <c r="AR1975" s="101"/>
      <c r="AS1975" s="101"/>
      <c r="AT1975" s="101"/>
      <c r="AU1975" s="101"/>
      <c r="AV1975" s="101"/>
      <c r="AW1975" s="101"/>
      <c r="AX1975" s="101"/>
      <c r="AY1975" s="101"/>
      <c r="AZ1975" s="101"/>
      <c r="BB1975" s="101"/>
      <c r="BD1975" s="101"/>
      <c r="BQ1975" s="159"/>
    </row>
    <row r="1976" spans="2:69" s="103" customFormat="1" ht="13.5">
      <c r="B1976" s="141"/>
      <c r="C1976" s="101"/>
      <c r="D1976" s="101"/>
      <c r="E1976" s="101"/>
      <c r="H1976" s="101"/>
      <c r="J1976" s="101"/>
      <c r="K1976" s="101"/>
      <c r="L1976" s="101"/>
      <c r="M1976" s="101"/>
      <c r="N1976" s="101"/>
      <c r="O1976" s="101"/>
      <c r="S1976" s="101"/>
      <c r="AI1976" s="101"/>
      <c r="AJ1976" s="101"/>
      <c r="AK1976" s="101"/>
      <c r="AL1976" s="101"/>
      <c r="AM1976" s="101"/>
      <c r="AN1976" s="101"/>
      <c r="AO1976" s="101"/>
      <c r="AP1976" s="101"/>
      <c r="AQ1976" s="101"/>
      <c r="AR1976" s="101"/>
      <c r="AS1976" s="101"/>
      <c r="AT1976" s="101"/>
      <c r="AU1976" s="101"/>
      <c r="AV1976" s="101"/>
      <c r="AW1976" s="101"/>
      <c r="AX1976" s="101"/>
      <c r="AY1976" s="101"/>
      <c r="AZ1976" s="101"/>
      <c r="BB1976" s="101"/>
      <c r="BD1976" s="101"/>
      <c r="BQ1976" s="159"/>
    </row>
    <row r="1977" spans="2:69" s="84" customFormat="1" ht="21" customHeight="1">
      <c r="B1977" s="141"/>
      <c r="BQ1977" s="152"/>
    </row>
    <row r="1978" spans="2:69" s="109" customFormat="1" ht="13.5">
      <c r="B1978" s="141"/>
      <c r="C1978" s="107"/>
      <c r="D1978" s="107"/>
      <c r="E1978" s="108"/>
      <c r="H1978" s="107"/>
      <c r="J1978" s="107"/>
      <c r="K1978" s="107"/>
      <c r="L1978" s="108"/>
      <c r="M1978" s="108"/>
      <c r="N1978" s="107"/>
      <c r="O1978" s="108"/>
      <c r="S1978" s="107"/>
      <c r="AI1978" s="108"/>
      <c r="AJ1978" s="108"/>
      <c r="AK1978" s="108"/>
      <c r="AL1978" s="108"/>
      <c r="AM1978" s="108"/>
      <c r="AN1978" s="108"/>
      <c r="AO1978" s="108"/>
      <c r="AP1978" s="108"/>
      <c r="AQ1978" s="108"/>
      <c r="AR1978" s="108"/>
      <c r="AS1978" s="108"/>
      <c r="AT1978" s="108"/>
      <c r="AU1978" s="108"/>
      <c r="AV1978" s="108"/>
      <c r="AW1978" s="108"/>
      <c r="AX1978" s="108"/>
      <c r="AY1978" s="108"/>
      <c r="AZ1978" s="107"/>
      <c r="BB1978" s="107"/>
      <c r="BD1978" s="107"/>
      <c r="BQ1978" s="161"/>
    </row>
    <row r="1979" spans="2:69" s="109" customFormat="1" ht="13.5">
      <c r="B1979" s="141"/>
      <c r="C1979" s="107"/>
      <c r="D1979" s="107"/>
      <c r="E1979" s="108"/>
      <c r="H1979" s="107"/>
      <c r="J1979" s="107"/>
      <c r="K1979" s="107"/>
      <c r="L1979" s="108"/>
      <c r="M1979" s="108"/>
      <c r="N1979" s="107"/>
      <c r="O1979" s="108"/>
      <c r="S1979" s="107"/>
      <c r="AI1979" s="108"/>
      <c r="AJ1979" s="108"/>
      <c r="AK1979" s="108"/>
      <c r="AL1979" s="108"/>
      <c r="AM1979" s="108"/>
      <c r="AN1979" s="108"/>
      <c r="AO1979" s="108"/>
      <c r="AP1979" s="108"/>
      <c r="AQ1979" s="108"/>
      <c r="AR1979" s="108"/>
      <c r="AS1979" s="108"/>
      <c r="AT1979" s="108"/>
      <c r="AU1979" s="108"/>
      <c r="AV1979" s="108"/>
      <c r="AW1979" s="108"/>
      <c r="AX1979" s="108"/>
      <c r="AY1979" s="108"/>
      <c r="AZ1979" s="107"/>
      <c r="BB1979" s="107"/>
      <c r="BD1979" s="107"/>
      <c r="BQ1979" s="161"/>
    </row>
    <row r="1980" spans="2:69" s="109" customFormat="1" ht="13.5">
      <c r="B1980" s="141"/>
      <c r="C1980" s="107"/>
      <c r="D1980" s="107"/>
      <c r="E1980" s="108"/>
      <c r="H1980" s="107"/>
      <c r="J1980" s="107"/>
      <c r="K1980" s="107"/>
      <c r="L1980" s="108"/>
      <c r="M1980" s="108"/>
      <c r="N1980" s="107"/>
      <c r="O1980" s="108"/>
      <c r="S1980" s="107"/>
      <c r="AI1980" s="108"/>
      <c r="AJ1980" s="108"/>
      <c r="AK1980" s="108"/>
      <c r="AL1980" s="108"/>
      <c r="AM1980" s="108"/>
      <c r="AN1980" s="108"/>
      <c r="AO1980" s="108"/>
      <c r="AP1980" s="108"/>
      <c r="AQ1980" s="108"/>
      <c r="AR1980" s="108"/>
      <c r="AS1980" s="108"/>
      <c r="AT1980" s="108"/>
      <c r="AU1980" s="108"/>
      <c r="AV1980" s="108"/>
      <c r="AW1980" s="108"/>
      <c r="AX1980" s="108"/>
      <c r="AY1980" s="108"/>
      <c r="AZ1980" s="107"/>
      <c r="BB1980" s="107"/>
      <c r="BD1980" s="107"/>
      <c r="BQ1980" s="161"/>
    </row>
    <row r="1981" spans="2:69" s="109" customFormat="1" ht="13.5">
      <c r="B1981" s="141"/>
      <c r="C1981" s="107"/>
      <c r="D1981" s="107"/>
      <c r="E1981" s="108"/>
      <c r="H1981" s="107"/>
      <c r="J1981" s="107"/>
      <c r="K1981" s="107"/>
      <c r="L1981" s="108"/>
      <c r="M1981" s="108"/>
      <c r="N1981" s="107"/>
      <c r="O1981" s="108"/>
      <c r="S1981" s="107"/>
      <c r="AI1981" s="108"/>
      <c r="AJ1981" s="108"/>
      <c r="AK1981" s="108"/>
      <c r="AL1981" s="108"/>
      <c r="AM1981" s="108"/>
      <c r="AN1981" s="108"/>
      <c r="AO1981" s="108"/>
      <c r="AP1981" s="108"/>
      <c r="AQ1981" s="108"/>
      <c r="AR1981" s="108"/>
      <c r="AS1981" s="108"/>
      <c r="AT1981" s="108"/>
      <c r="AU1981" s="108"/>
      <c r="AV1981" s="108"/>
      <c r="AW1981" s="108"/>
      <c r="AX1981" s="108"/>
      <c r="AY1981" s="108"/>
      <c r="AZ1981" s="107"/>
      <c r="BB1981" s="107"/>
      <c r="BD1981" s="107"/>
      <c r="BQ1981" s="161"/>
    </row>
    <row r="1982" spans="2:69" s="109" customFormat="1" ht="13.5">
      <c r="B1982" s="141"/>
      <c r="C1982" s="107"/>
      <c r="D1982" s="107"/>
      <c r="E1982" s="108"/>
      <c r="H1982" s="107"/>
      <c r="J1982" s="107"/>
      <c r="K1982" s="107"/>
      <c r="L1982" s="108"/>
      <c r="M1982" s="108"/>
      <c r="N1982" s="107"/>
      <c r="O1982" s="108"/>
      <c r="S1982" s="107"/>
      <c r="AI1982" s="108"/>
      <c r="AJ1982" s="108"/>
      <c r="AK1982" s="108"/>
      <c r="AL1982" s="108"/>
      <c r="AM1982" s="108"/>
      <c r="AN1982" s="108"/>
      <c r="AO1982" s="108"/>
      <c r="AP1982" s="108"/>
      <c r="AQ1982" s="108"/>
      <c r="AR1982" s="108"/>
      <c r="AS1982" s="108"/>
      <c r="AT1982" s="108"/>
      <c r="AU1982" s="108"/>
      <c r="AV1982" s="108"/>
      <c r="AW1982" s="108"/>
      <c r="AX1982" s="108"/>
      <c r="AY1982" s="108"/>
      <c r="AZ1982" s="107"/>
      <c r="BB1982" s="107"/>
      <c r="BD1982" s="107"/>
      <c r="BQ1982" s="161"/>
    </row>
    <row r="1983" spans="2:69" s="103" customFormat="1" ht="13.5">
      <c r="B1983" s="141"/>
      <c r="C1983" s="101"/>
      <c r="D1983" s="101"/>
      <c r="E1983" s="102"/>
      <c r="H1983" s="101"/>
      <c r="I1983" s="101"/>
      <c r="J1983" s="101"/>
      <c r="K1983" s="101"/>
      <c r="L1983" s="102"/>
      <c r="M1983" s="102"/>
      <c r="N1983" s="101"/>
      <c r="O1983" s="102"/>
      <c r="S1983" s="101"/>
      <c r="AI1983" s="102"/>
      <c r="AJ1983" s="102"/>
      <c r="AK1983" s="102"/>
      <c r="AL1983" s="102"/>
      <c r="AM1983" s="102"/>
      <c r="AN1983" s="102"/>
      <c r="AO1983" s="102"/>
      <c r="AP1983" s="102"/>
      <c r="AQ1983" s="102"/>
      <c r="AR1983" s="102"/>
      <c r="AS1983" s="102"/>
      <c r="AT1983" s="102"/>
      <c r="AU1983" s="102"/>
      <c r="AV1983" s="102"/>
      <c r="AW1983" s="102"/>
      <c r="AX1983" s="102"/>
      <c r="AY1983" s="102"/>
      <c r="AZ1983" s="101"/>
      <c r="BB1983" s="101"/>
      <c r="BD1983" s="101"/>
      <c r="BQ1983" s="159"/>
    </row>
    <row r="1984" spans="2:69" s="103" customFormat="1" ht="13.5">
      <c r="B1984" s="141"/>
      <c r="C1984" s="101"/>
      <c r="D1984" s="101"/>
      <c r="E1984" s="102"/>
      <c r="H1984" s="101"/>
      <c r="I1984" s="101"/>
      <c r="J1984" s="101"/>
      <c r="K1984" s="101"/>
      <c r="L1984" s="102"/>
      <c r="M1984" s="102"/>
      <c r="N1984" s="101"/>
      <c r="O1984" s="102"/>
      <c r="S1984" s="101"/>
      <c r="AI1984" s="102"/>
      <c r="AJ1984" s="102"/>
      <c r="AK1984" s="102"/>
      <c r="AL1984" s="102"/>
      <c r="AM1984" s="102"/>
      <c r="AN1984" s="102"/>
      <c r="AO1984" s="102"/>
      <c r="AP1984" s="102"/>
      <c r="AQ1984" s="102"/>
      <c r="AR1984" s="102"/>
      <c r="AS1984" s="102"/>
      <c r="AT1984" s="102"/>
      <c r="AU1984" s="102"/>
      <c r="AV1984" s="102"/>
      <c r="AW1984" s="102"/>
      <c r="AX1984" s="102"/>
      <c r="AY1984" s="102"/>
      <c r="AZ1984" s="101"/>
      <c r="BB1984" s="101"/>
      <c r="BD1984" s="101"/>
      <c r="BQ1984" s="159"/>
    </row>
    <row r="1985" spans="2:69" s="103" customFormat="1" ht="13.5">
      <c r="B1985" s="141"/>
      <c r="C1985" s="101"/>
      <c r="D1985" s="101"/>
      <c r="E1985" s="102"/>
      <c r="H1985" s="101"/>
      <c r="I1985" s="101"/>
      <c r="J1985" s="101"/>
      <c r="K1985" s="101"/>
      <c r="L1985" s="102"/>
      <c r="M1985" s="102"/>
      <c r="N1985" s="101"/>
      <c r="O1985" s="102"/>
      <c r="S1985" s="101"/>
      <c r="AI1985" s="102"/>
      <c r="AJ1985" s="102"/>
      <c r="AK1985" s="102"/>
      <c r="AL1985" s="102"/>
      <c r="AM1985" s="102"/>
      <c r="AN1985" s="102"/>
      <c r="AO1985" s="102"/>
      <c r="AP1985" s="102"/>
      <c r="AQ1985" s="102"/>
      <c r="AR1985" s="102"/>
      <c r="AS1985" s="102"/>
      <c r="AT1985" s="102"/>
      <c r="AU1985" s="102"/>
      <c r="AV1985" s="102"/>
      <c r="AW1985" s="102"/>
      <c r="AX1985" s="102"/>
      <c r="AY1985" s="102"/>
      <c r="AZ1985" s="101"/>
      <c r="BB1985" s="101"/>
      <c r="BD1985" s="101"/>
      <c r="BQ1985" s="159"/>
    </row>
    <row r="1986" spans="2:69" s="103" customFormat="1" ht="13.5">
      <c r="B1986" s="141"/>
      <c r="C1986" s="101"/>
      <c r="D1986" s="101"/>
      <c r="H1986" s="101"/>
      <c r="I1986" s="101"/>
      <c r="J1986" s="101"/>
      <c r="K1986" s="101"/>
      <c r="N1986" s="101"/>
      <c r="S1986" s="101"/>
      <c r="AZ1986" s="101"/>
      <c r="BB1986" s="101"/>
      <c r="BD1986" s="101"/>
      <c r="BQ1986" s="159"/>
    </row>
    <row r="1987" spans="2:69" s="103" customFormat="1" ht="13.5">
      <c r="B1987" s="141"/>
      <c r="C1987" s="101"/>
      <c r="D1987" s="101"/>
      <c r="H1987" s="101"/>
      <c r="I1987" s="101"/>
      <c r="J1987" s="101"/>
      <c r="K1987" s="101"/>
      <c r="N1987" s="101"/>
      <c r="S1987" s="101"/>
      <c r="AZ1987" s="101"/>
      <c r="BB1987" s="101"/>
      <c r="BD1987" s="101"/>
      <c r="BQ1987" s="159"/>
    </row>
    <row r="1992" spans="2:69">
      <c r="B1992" s="141" t="s">
        <v>2623</v>
      </c>
      <c r="C1992" s="113"/>
      <c r="D1992" s="113" t="s">
        <v>1533</v>
      </c>
      <c r="E1992" s="113"/>
      <c r="F1992" s="113"/>
      <c r="G1992" s="113"/>
      <c r="H1992" s="113"/>
      <c r="J1992" s="113"/>
      <c r="K1992" s="113"/>
      <c r="L1992" s="113"/>
      <c r="M1992" s="113"/>
      <c r="N1992" s="113" t="s">
        <v>33</v>
      </c>
      <c r="O1992" s="113"/>
      <c r="P1992" s="80"/>
      <c r="Q1992" s="80"/>
      <c r="R1992" s="80"/>
      <c r="S1992" s="113" t="s">
        <v>29</v>
      </c>
      <c r="T1992" s="80"/>
      <c r="U1992" s="80"/>
      <c r="V1992" s="80"/>
      <c r="W1992" s="80"/>
      <c r="X1992" s="80"/>
      <c r="Y1992" s="80"/>
      <c r="Z1992" s="80"/>
      <c r="AA1992" s="80"/>
      <c r="AB1992" s="80"/>
      <c r="AC1992" s="80"/>
      <c r="AD1992" s="80"/>
      <c r="AE1992" s="80"/>
      <c r="AF1992" s="80"/>
      <c r="AG1992" s="80"/>
      <c r="AH1992" s="80"/>
      <c r="AI1992" s="113"/>
      <c r="AJ1992" s="113"/>
      <c r="AK1992" s="113"/>
      <c r="AL1992" s="113"/>
      <c r="AM1992" s="113"/>
      <c r="AN1992" s="113"/>
      <c r="AO1992" s="113"/>
      <c r="AP1992" s="113"/>
      <c r="AQ1992" s="113"/>
      <c r="AR1992" s="113"/>
      <c r="AS1992" s="113"/>
      <c r="AT1992" s="113"/>
      <c r="AU1992" s="113"/>
      <c r="AV1992" s="113"/>
      <c r="AW1992" s="113"/>
      <c r="AX1992" s="113"/>
      <c r="AY1992" s="113"/>
      <c r="AZ1992" s="113" t="s">
        <v>32</v>
      </c>
      <c r="BA1992" s="80"/>
      <c r="BB1992" s="113" t="s">
        <v>31</v>
      </c>
      <c r="BC1992" s="80"/>
      <c r="BD1992" s="113" t="s">
        <v>30</v>
      </c>
      <c r="BH1992" s="80"/>
      <c r="BI1992" s="80"/>
      <c r="BJ1992" s="80"/>
      <c r="BK1992" s="80"/>
      <c r="BL1992" s="80"/>
      <c r="BM1992" s="80"/>
      <c r="BN1992" s="80"/>
      <c r="BP1992" s="80"/>
    </row>
    <row r="1993" spans="2:69" ht="27">
      <c r="B1993" s="141" t="s">
        <v>2624</v>
      </c>
      <c r="C1993" s="113"/>
      <c r="D1993" s="113"/>
      <c r="E1993" s="113"/>
      <c r="F1993" s="113"/>
      <c r="G1993" s="113"/>
      <c r="H1993" s="113"/>
      <c r="J1993" s="113"/>
      <c r="K1993" s="113"/>
      <c r="L1993" s="113"/>
      <c r="M1993" s="113"/>
      <c r="N1993" s="113" t="s">
        <v>9</v>
      </c>
      <c r="O1993" s="113"/>
      <c r="P1993" s="80"/>
      <c r="Q1993" s="80"/>
      <c r="R1993" s="80"/>
      <c r="S1993" s="113" t="s">
        <v>1</v>
      </c>
      <c r="T1993" s="80"/>
      <c r="U1993" s="80"/>
      <c r="V1993" s="80"/>
      <c r="W1993" s="80"/>
      <c r="X1993" s="80"/>
      <c r="Y1993" s="80"/>
      <c r="Z1993" s="80"/>
      <c r="AA1993" s="80"/>
      <c r="AB1993" s="80"/>
      <c r="AC1993" s="80"/>
      <c r="AD1993" s="80"/>
      <c r="AE1993" s="80"/>
      <c r="AF1993" s="80"/>
      <c r="AG1993" s="80"/>
      <c r="AH1993" s="80"/>
      <c r="AI1993" s="113"/>
      <c r="AJ1993" s="113"/>
      <c r="AK1993" s="113"/>
      <c r="AL1993" s="113"/>
      <c r="AM1993" s="113"/>
      <c r="AN1993" s="113"/>
      <c r="AO1993" s="113"/>
      <c r="AP1993" s="113"/>
      <c r="AQ1993" s="113"/>
      <c r="AR1993" s="113"/>
      <c r="AS1993" s="113"/>
      <c r="AT1993" s="113"/>
      <c r="AU1993" s="113"/>
      <c r="AV1993" s="113"/>
      <c r="AW1993" s="113"/>
      <c r="AX1993" s="113"/>
      <c r="AY1993" s="113"/>
      <c r="AZ1993" s="113"/>
      <c r="BA1993" s="80"/>
      <c r="BB1993" s="113"/>
      <c r="BC1993" s="80"/>
      <c r="BD1993" s="113"/>
      <c r="BH1993" s="80"/>
      <c r="BI1993" s="80"/>
      <c r="BJ1993" s="80"/>
      <c r="BK1993" s="80"/>
      <c r="BL1993" s="80"/>
      <c r="BM1993" s="80"/>
      <c r="BN1993" s="80"/>
      <c r="BP1993" s="80"/>
    </row>
    <row r="1994" spans="2:69" ht="27">
      <c r="B1994" s="141" t="s">
        <v>2625</v>
      </c>
      <c r="C1994" s="113"/>
      <c r="D1994" s="113"/>
      <c r="E1994" s="113"/>
      <c r="F1994" s="113"/>
      <c r="G1994" s="113"/>
      <c r="H1994" s="113"/>
      <c r="J1994" s="113"/>
      <c r="K1994" s="113"/>
      <c r="L1994" s="113"/>
      <c r="M1994" s="113"/>
      <c r="N1994" s="113" t="s">
        <v>9</v>
      </c>
      <c r="O1994" s="113"/>
      <c r="P1994" s="80"/>
      <c r="Q1994" s="80"/>
      <c r="R1994" s="80"/>
      <c r="S1994" s="113"/>
      <c r="T1994" s="80"/>
      <c r="U1994" s="80"/>
      <c r="V1994" s="80"/>
      <c r="W1994" s="80"/>
      <c r="X1994" s="80"/>
      <c r="Y1994" s="80"/>
      <c r="Z1994" s="80"/>
      <c r="AA1994" s="80"/>
      <c r="AB1994" s="80"/>
      <c r="AC1994" s="80"/>
      <c r="AD1994" s="80"/>
      <c r="AE1994" s="80"/>
      <c r="AF1994" s="80"/>
      <c r="AG1994" s="80"/>
      <c r="AH1994" s="80"/>
      <c r="AI1994" s="113"/>
      <c r="AJ1994" s="113"/>
      <c r="AK1994" s="113"/>
      <c r="AL1994" s="113"/>
      <c r="AM1994" s="113"/>
      <c r="AN1994" s="113"/>
      <c r="AO1994" s="113"/>
      <c r="AP1994" s="113"/>
      <c r="AQ1994" s="113"/>
      <c r="AR1994" s="113"/>
      <c r="AS1994" s="113"/>
      <c r="AT1994" s="113"/>
      <c r="AU1994" s="113"/>
      <c r="AV1994" s="113"/>
      <c r="AW1994" s="113"/>
      <c r="AX1994" s="113"/>
      <c r="AY1994" s="113"/>
      <c r="AZ1994" s="113"/>
      <c r="BA1994" s="80"/>
      <c r="BB1994" s="113"/>
      <c r="BC1994" s="80"/>
      <c r="BD1994" s="113"/>
      <c r="BH1994" s="80"/>
      <c r="BI1994" s="80"/>
      <c r="BJ1994" s="80"/>
      <c r="BK1994" s="80"/>
      <c r="BL1994" s="80"/>
      <c r="BM1994" s="80"/>
      <c r="BN1994" s="80"/>
      <c r="BP1994" s="80"/>
    </row>
    <row r="1995" spans="2:69">
      <c r="B1995" s="141" t="s">
        <v>2626</v>
      </c>
      <c r="C1995" s="113"/>
      <c r="D1995" s="113"/>
      <c r="E1995" s="113"/>
      <c r="F1995" s="113"/>
      <c r="G1995" s="113"/>
      <c r="H1995" s="113"/>
      <c r="J1995" s="113"/>
      <c r="K1995" s="113"/>
      <c r="L1995" s="113"/>
      <c r="M1995" s="113"/>
      <c r="N1995" s="113" t="s">
        <v>9</v>
      </c>
      <c r="O1995" s="113"/>
      <c r="P1995" s="80"/>
      <c r="Q1995" s="80"/>
      <c r="R1995" s="80"/>
      <c r="S1995" s="113"/>
      <c r="T1995" s="80"/>
      <c r="U1995" s="80"/>
      <c r="V1995" s="80"/>
      <c r="W1995" s="80"/>
      <c r="X1995" s="80"/>
      <c r="Y1995" s="80"/>
      <c r="Z1995" s="80"/>
      <c r="AA1995" s="80"/>
      <c r="AB1995" s="80"/>
      <c r="AC1995" s="80"/>
      <c r="AD1995" s="80"/>
      <c r="AE1995" s="80"/>
      <c r="AF1995" s="80"/>
      <c r="AG1995" s="80"/>
      <c r="AH1995" s="80"/>
      <c r="AI1995" s="113"/>
      <c r="AJ1995" s="113"/>
      <c r="AK1995" s="113"/>
      <c r="AL1995" s="113"/>
      <c r="AM1995" s="113"/>
      <c r="AN1995" s="113"/>
      <c r="AO1995" s="113"/>
      <c r="AP1995" s="113"/>
      <c r="AQ1995" s="113"/>
      <c r="AR1995" s="113"/>
      <c r="AS1995" s="113"/>
      <c r="AT1995" s="113"/>
      <c r="AU1995" s="113"/>
      <c r="AV1995" s="113"/>
      <c r="AW1995" s="113"/>
      <c r="AX1995" s="113"/>
      <c r="AY1995" s="113"/>
      <c r="AZ1995" s="113"/>
      <c r="BA1995" s="80"/>
      <c r="BB1995" s="113"/>
      <c r="BC1995" s="80"/>
      <c r="BD1995" s="113"/>
      <c r="BH1995" s="80"/>
      <c r="BI1995" s="80"/>
      <c r="BJ1995" s="80"/>
      <c r="BK1995" s="80"/>
      <c r="BL1995" s="80"/>
      <c r="BM1995" s="80"/>
      <c r="BN1995" s="80"/>
      <c r="BP1995" s="80"/>
    </row>
    <row r="1996" spans="2:69">
      <c r="B1996" s="141" t="s">
        <v>2627</v>
      </c>
      <c r="C1996" s="113"/>
      <c r="D1996" s="113"/>
      <c r="E1996" s="113"/>
      <c r="F1996" s="113"/>
      <c r="G1996" s="113"/>
      <c r="H1996" s="113"/>
      <c r="J1996" s="113"/>
      <c r="K1996" s="113"/>
      <c r="L1996" s="113"/>
      <c r="M1996" s="113"/>
      <c r="N1996" s="113" t="s">
        <v>28</v>
      </c>
      <c r="O1996" s="113"/>
      <c r="P1996" s="80"/>
      <c r="Q1996" s="80"/>
      <c r="R1996" s="80"/>
      <c r="S1996" s="113" t="s">
        <v>1</v>
      </c>
      <c r="T1996" s="80"/>
      <c r="U1996" s="80"/>
      <c r="V1996" s="80"/>
      <c r="W1996" s="80"/>
      <c r="X1996" s="80"/>
      <c r="Y1996" s="80"/>
      <c r="Z1996" s="80"/>
      <c r="AA1996" s="80"/>
      <c r="AB1996" s="80"/>
      <c r="AC1996" s="80"/>
      <c r="AD1996" s="80"/>
      <c r="AE1996" s="80"/>
      <c r="AF1996" s="80"/>
      <c r="AG1996" s="80"/>
      <c r="AH1996" s="80"/>
      <c r="AI1996" s="113"/>
      <c r="AJ1996" s="113"/>
      <c r="AK1996" s="113"/>
      <c r="AL1996" s="113"/>
      <c r="AM1996" s="113"/>
      <c r="AN1996" s="113"/>
      <c r="AO1996" s="113"/>
      <c r="AP1996" s="113"/>
      <c r="AQ1996" s="113"/>
      <c r="AR1996" s="113"/>
      <c r="AS1996" s="113"/>
      <c r="AT1996" s="113"/>
      <c r="AU1996" s="113"/>
      <c r="AV1996" s="113"/>
      <c r="AW1996" s="113"/>
      <c r="AX1996" s="113"/>
      <c r="AY1996" s="113"/>
      <c r="AZ1996" s="113"/>
      <c r="BA1996" s="80"/>
      <c r="BB1996" s="113"/>
      <c r="BC1996" s="80"/>
      <c r="BD1996" s="113">
        <v>12</v>
      </c>
      <c r="BH1996" s="80"/>
      <c r="BI1996" s="80"/>
      <c r="BJ1996" s="80"/>
      <c r="BK1996" s="80"/>
      <c r="BL1996" s="80"/>
      <c r="BM1996" s="80"/>
      <c r="BN1996" s="80"/>
      <c r="BP1996" s="80"/>
    </row>
    <row r="1997" spans="2:69">
      <c r="B1997" s="141" t="s">
        <v>2628</v>
      </c>
      <c r="C1997" s="113"/>
      <c r="D1997" s="113"/>
      <c r="E1997" s="113"/>
      <c r="F1997" s="113"/>
      <c r="G1997" s="113"/>
      <c r="H1997" s="113"/>
      <c r="J1997" s="113"/>
      <c r="K1997" s="113"/>
      <c r="L1997" s="113"/>
      <c r="M1997" s="113"/>
      <c r="N1997" s="113" t="s">
        <v>28</v>
      </c>
      <c r="O1997" s="113"/>
      <c r="P1997" s="80"/>
      <c r="Q1997" s="80"/>
      <c r="R1997" s="80"/>
      <c r="S1997" s="113" t="s">
        <v>1</v>
      </c>
      <c r="T1997" s="80"/>
      <c r="U1997" s="80"/>
      <c r="V1997" s="80"/>
      <c r="W1997" s="80"/>
      <c r="X1997" s="80"/>
      <c r="Y1997" s="80"/>
      <c r="Z1997" s="80"/>
      <c r="AA1997" s="80"/>
      <c r="AB1997" s="80"/>
      <c r="AC1997" s="80"/>
      <c r="AD1997" s="80"/>
      <c r="AE1997" s="80"/>
      <c r="AF1997" s="80"/>
      <c r="AG1997" s="80"/>
      <c r="AH1997" s="80"/>
      <c r="AI1997" s="113"/>
      <c r="AJ1997" s="113"/>
      <c r="AK1997" s="113"/>
      <c r="AL1997" s="113"/>
      <c r="AM1997" s="113"/>
      <c r="AN1997" s="113"/>
      <c r="AO1997" s="113"/>
      <c r="AP1997" s="113"/>
      <c r="AQ1997" s="113"/>
      <c r="AR1997" s="113"/>
      <c r="AS1997" s="113"/>
      <c r="AT1997" s="113"/>
      <c r="AU1997" s="113"/>
      <c r="AV1997" s="113"/>
      <c r="AW1997" s="113"/>
      <c r="AX1997" s="113"/>
      <c r="AY1997" s="113"/>
      <c r="AZ1997" s="113"/>
      <c r="BA1997" s="80"/>
      <c r="BB1997" s="113"/>
      <c r="BC1997" s="80"/>
      <c r="BD1997" s="113">
        <v>4</v>
      </c>
      <c r="BH1997" s="80"/>
      <c r="BI1997" s="80"/>
      <c r="BJ1997" s="80"/>
      <c r="BK1997" s="80"/>
      <c r="BL1997" s="80"/>
      <c r="BM1997" s="80"/>
      <c r="BN1997" s="80"/>
      <c r="BP1997" s="80"/>
    </row>
    <row r="1998" spans="2:69">
      <c r="B1998" s="141" t="s">
        <v>2629</v>
      </c>
      <c r="C1998" s="113"/>
      <c r="D1998" s="113"/>
      <c r="E1998" s="113"/>
      <c r="F1998" s="113"/>
      <c r="G1998" s="113"/>
      <c r="H1998" s="113"/>
      <c r="J1998" s="113"/>
      <c r="K1998" s="113"/>
      <c r="L1998" s="113"/>
      <c r="M1998" s="113"/>
      <c r="N1998" s="113" t="s">
        <v>27</v>
      </c>
      <c r="O1998" s="113"/>
      <c r="P1998" s="80"/>
      <c r="Q1998" s="80"/>
      <c r="R1998" s="80"/>
      <c r="S1998" s="113" t="s">
        <v>1</v>
      </c>
      <c r="T1998" s="80"/>
      <c r="U1998" s="80"/>
      <c r="V1998" s="80"/>
      <c r="W1998" s="80"/>
      <c r="X1998" s="80"/>
      <c r="Y1998" s="80"/>
      <c r="Z1998" s="80"/>
      <c r="AA1998" s="80"/>
      <c r="AB1998" s="80"/>
      <c r="AC1998" s="80"/>
      <c r="AD1998" s="80"/>
      <c r="AE1998" s="80"/>
      <c r="AF1998" s="80"/>
      <c r="AG1998" s="80"/>
      <c r="AH1998" s="80"/>
      <c r="AI1998" s="113"/>
      <c r="AJ1998" s="113"/>
      <c r="AK1998" s="113"/>
      <c r="AL1998" s="113"/>
      <c r="AM1998" s="113"/>
      <c r="AN1998" s="113"/>
      <c r="AO1998" s="113"/>
      <c r="AP1998" s="113"/>
      <c r="AQ1998" s="113"/>
      <c r="AR1998" s="113"/>
      <c r="AS1998" s="113"/>
      <c r="AT1998" s="113"/>
      <c r="AU1998" s="113"/>
      <c r="AV1998" s="113"/>
      <c r="AW1998" s="113"/>
      <c r="AX1998" s="113"/>
      <c r="AY1998" s="113"/>
      <c r="AZ1998" s="113"/>
      <c r="BA1998" s="80"/>
      <c r="BB1998" s="113"/>
      <c r="BC1998" s="80"/>
      <c r="BD1998" s="113">
        <v>6</v>
      </c>
      <c r="BH1998" s="80"/>
      <c r="BI1998" s="80"/>
      <c r="BJ1998" s="80"/>
      <c r="BK1998" s="80"/>
      <c r="BL1998" s="80"/>
      <c r="BM1998" s="80"/>
      <c r="BN1998" s="80"/>
      <c r="BP1998" s="80"/>
    </row>
    <row r="1999" spans="2:69">
      <c r="B1999" s="141" t="s">
        <v>2630</v>
      </c>
      <c r="C1999" s="113"/>
      <c r="D1999" s="113"/>
      <c r="E1999" s="113"/>
      <c r="F1999" s="113"/>
      <c r="G1999" s="113"/>
      <c r="H1999" s="113"/>
      <c r="J1999" s="113"/>
      <c r="K1999" s="113"/>
      <c r="L1999" s="113"/>
      <c r="M1999" s="113"/>
      <c r="N1999" s="113" t="s">
        <v>25</v>
      </c>
      <c r="O1999" s="113"/>
      <c r="P1999" s="80"/>
      <c r="Q1999" s="80"/>
      <c r="R1999" s="80"/>
      <c r="S1999" s="113" t="s">
        <v>1</v>
      </c>
      <c r="T1999" s="80"/>
      <c r="U1999" s="80"/>
      <c r="V1999" s="80"/>
      <c r="W1999" s="80"/>
      <c r="X1999" s="80"/>
      <c r="Y1999" s="80"/>
      <c r="Z1999" s="80"/>
      <c r="AA1999" s="80"/>
      <c r="AB1999" s="80"/>
      <c r="AC1999" s="80"/>
      <c r="AD1999" s="80"/>
      <c r="AE1999" s="80"/>
      <c r="AF1999" s="80"/>
      <c r="AG1999" s="80"/>
      <c r="AH1999" s="80"/>
      <c r="AI1999" s="113"/>
      <c r="AJ1999" s="113"/>
      <c r="AK1999" s="113"/>
      <c r="AL1999" s="113"/>
      <c r="AM1999" s="113"/>
      <c r="AN1999" s="113"/>
      <c r="AO1999" s="113"/>
      <c r="AP1999" s="113"/>
      <c r="AQ1999" s="113"/>
      <c r="AR1999" s="113"/>
      <c r="AS1999" s="113"/>
      <c r="AT1999" s="113"/>
      <c r="AU1999" s="113"/>
      <c r="AV1999" s="113"/>
      <c r="AW1999" s="113"/>
      <c r="AX1999" s="113"/>
      <c r="AY1999" s="113"/>
      <c r="AZ1999" s="113"/>
      <c r="BA1999" s="80"/>
      <c r="BB1999" s="113"/>
      <c r="BC1999" s="80"/>
      <c r="BD1999" s="113">
        <v>12</v>
      </c>
      <c r="BH1999" s="80"/>
      <c r="BI1999" s="80"/>
      <c r="BJ1999" s="80"/>
      <c r="BK1999" s="80"/>
      <c r="BL1999" s="80"/>
      <c r="BM1999" s="80"/>
      <c r="BN1999" s="80"/>
      <c r="BP1999" s="80"/>
    </row>
    <row r="2000" spans="2:69">
      <c r="B2000" s="141" t="s">
        <v>2631</v>
      </c>
      <c r="C2000" s="113"/>
      <c r="D2000" s="113"/>
      <c r="E2000" s="113"/>
      <c r="F2000" s="113"/>
      <c r="G2000" s="113"/>
      <c r="H2000" s="113"/>
      <c r="J2000" s="113"/>
      <c r="K2000" s="113"/>
      <c r="L2000" s="113"/>
      <c r="M2000" s="113"/>
      <c r="N2000" s="113" t="s">
        <v>25</v>
      </c>
      <c r="O2000" s="113"/>
      <c r="P2000" s="80"/>
      <c r="Q2000" s="80"/>
      <c r="R2000" s="80"/>
      <c r="S2000" s="113" t="s">
        <v>1</v>
      </c>
      <c r="T2000" s="80"/>
      <c r="U2000" s="80"/>
      <c r="V2000" s="80"/>
      <c r="W2000" s="80"/>
      <c r="X2000" s="80"/>
      <c r="Y2000" s="80"/>
      <c r="Z2000" s="80"/>
      <c r="AA2000" s="80"/>
      <c r="AB2000" s="80"/>
      <c r="AC2000" s="80"/>
      <c r="AD2000" s="80"/>
      <c r="AE2000" s="80"/>
      <c r="AF2000" s="80"/>
      <c r="AG2000" s="80"/>
      <c r="AH2000" s="80"/>
      <c r="AI2000" s="113"/>
      <c r="AJ2000" s="113"/>
      <c r="AK2000" s="113"/>
      <c r="AL2000" s="113"/>
      <c r="AM2000" s="113"/>
      <c r="AN2000" s="113"/>
      <c r="AO2000" s="113"/>
      <c r="AP2000" s="113"/>
      <c r="AQ2000" s="113"/>
      <c r="AR2000" s="113"/>
      <c r="AS2000" s="113"/>
      <c r="AT2000" s="113"/>
      <c r="AU2000" s="113"/>
      <c r="AV2000" s="113"/>
      <c r="AW2000" s="113"/>
      <c r="AX2000" s="113"/>
      <c r="AY2000" s="113"/>
      <c r="AZ2000" s="113"/>
      <c r="BA2000" s="80"/>
      <c r="BB2000" s="113"/>
      <c r="BC2000" s="80"/>
      <c r="BD2000" s="113">
        <v>10</v>
      </c>
      <c r="BH2000" s="80"/>
      <c r="BI2000" s="80"/>
      <c r="BJ2000" s="80"/>
      <c r="BK2000" s="80"/>
      <c r="BL2000" s="80"/>
      <c r="BM2000" s="80"/>
      <c r="BN2000" s="80"/>
      <c r="BP2000" s="80"/>
    </row>
    <row r="2001" spans="2:68">
      <c r="B2001" s="141" t="s">
        <v>2632</v>
      </c>
      <c r="C2001" s="113"/>
      <c r="D2001" s="113"/>
      <c r="E2001" s="113"/>
      <c r="F2001" s="113"/>
      <c r="G2001" s="113"/>
      <c r="H2001" s="113"/>
      <c r="J2001" s="113"/>
      <c r="K2001" s="113"/>
      <c r="L2001" s="113"/>
      <c r="M2001" s="113"/>
      <c r="N2001" s="113" t="s">
        <v>25</v>
      </c>
      <c r="O2001" s="113"/>
      <c r="P2001" s="80"/>
      <c r="Q2001" s="80"/>
      <c r="R2001" s="80"/>
      <c r="S2001" s="113" t="s">
        <v>1</v>
      </c>
      <c r="T2001" s="80"/>
      <c r="U2001" s="80"/>
      <c r="V2001" s="80"/>
      <c r="W2001" s="80"/>
      <c r="X2001" s="80"/>
      <c r="Y2001" s="80"/>
      <c r="Z2001" s="80"/>
      <c r="AA2001" s="80"/>
      <c r="AB2001" s="80"/>
      <c r="AC2001" s="80"/>
      <c r="AD2001" s="80"/>
      <c r="AE2001" s="80"/>
      <c r="AF2001" s="80"/>
      <c r="AG2001" s="80"/>
      <c r="AH2001" s="80"/>
      <c r="AI2001" s="113"/>
      <c r="AJ2001" s="113"/>
      <c r="AK2001" s="113"/>
      <c r="AL2001" s="113"/>
      <c r="AM2001" s="113"/>
      <c r="AN2001" s="113"/>
      <c r="AO2001" s="113"/>
      <c r="AP2001" s="113"/>
      <c r="AQ2001" s="113"/>
      <c r="AR2001" s="113"/>
      <c r="AS2001" s="113"/>
      <c r="AT2001" s="113"/>
      <c r="AU2001" s="113"/>
      <c r="AV2001" s="113"/>
      <c r="AW2001" s="113"/>
      <c r="AX2001" s="113"/>
      <c r="AY2001" s="113"/>
      <c r="AZ2001" s="113" t="s">
        <v>26</v>
      </c>
      <c r="BA2001" s="80"/>
      <c r="BB2001" s="113" t="s">
        <v>10</v>
      </c>
      <c r="BC2001" s="80"/>
      <c r="BD2001" s="113">
        <v>20</v>
      </c>
      <c r="BH2001" s="80"/>
      <c r="BI2001" s="80"/>
      <c r="BJ2001" s="80"/>
      <c r="BK2001" s="80"/>
      <c r="BL2001" s="80"/>
      <c r="BM2001" s="80"/>
      <c r="BN2001" s="80"/>
      <c r="BP2001" s="80"/>
    </row>
    <row r="2002" spans="2:68">
      <c r="B2002" s="141" t="s">
        <v>2633</v>
      </c>
      <c r="C2002" s="113"/>
      <c r="D2002" s="113"/>
      <c r="E2002" s="113"/>
      <c r="F2002" s="113"/>
      <c r="G2002" s="113"/>
      <c r="H2002" s="113"/>
      <c r="J2002" s="113"/>
      <c r="K2002" s="113"/>
      <c r="L2002" s="113"/>
      <c r="M2002" s="113"/>
      <c r="N2002" s="113" t="s">
        <v>25</v>
      </c>
      <c r="O2002" s="113"/>
      <c r="P2002" s="80"/>
      <c r="Q2002" s="80"/>
      <c r="R2002" s="80"/>
      <c r="S2002" s="113" t="s">
        <v>1</v>
      </c>
      <c r="T2002" s="80"/>
      <c r="U2002" s="80"/>
      <c r="V2002" s="80"/>
      <c r="W2002" s="80"/>
      <c r="X2002" s="80"/>
      <c r="Y2002" s="80"/>
      <c r="Z2002" s="80"/>
      <c r="AA2002" s="80"/>
      <c r="AB2002" s="80"/>
      <c r="AC2002" s="80"/>
      <c r="AD2002" s="80"/>
      <c r="AE2002" s="80"/>
      <c r="AF2002" s="80"/>
      <c r="AG2002" s="80"/>
      <c r="AH2002" s="80"/>
      <c r="AI2002" s="113"/>
      <c r="AJ2002" s="113"/>
      <c r="AK2002" s="113"/>
      <c r="AL2002" s="113"/>
      <c r="AM2002" s="113"/>
      <c r="AN2002" s="113"/>
      <c r="AO2002" s="113"/>
      <c r="AP2002" s="113"/>
      <c r="AQ2002" s="113"/>
      <c r="AR2002" s="113"/>
      <c r="AS2002" s="113"/>
      <c r="AT2002" s="113"/>
      <c r="AU2002" s="113"/>
      <c r="AV2002" s="113"/>
      <c r="AW2002" s="113"/>
      <c r="AX2002" s="113"/>
      <c r="AY2002" s="113"/>
      <c r="AZ2002" s="113"/>
      <c r="BA2002" s="80"/>
      <c r="BB2002" s="113"/>
      <c r="BC2002" s="80"/>
      <c r="BD2002" s="113">
        <v>15</v>
      </c>
      <c r="BH2002" s="80"/>
      <c r="BI2002" s="80"/>
      <c r="BJ2002" s="80"/>
      <c r="BK2002" s="80"/>
      <c r="BL2002" s="80"/>
      <c r="BM2002" s="80"/>
      <c r="BN2002" s="80"/>
      <c r="BP2002" s="80"/>
    </row>
    <row r="2003" spans="2:68">
      <c r="B2003" s="141" t="s">
        <v>2634</v>
      </c>
      <c r="C2003" s="113"/>
      <c r="D2003" s="113"/>
      <c r="E2003" s="113"/>
      <c r="F2003" s="113"/>
      <c r="G2003" s="113"/>
      <c r="H2003" s="113"/>
      <c r="J2003" s="113"/>
      <c r="K2003" s="113"/>
      <c r="L2003" s="113"/>
      <c r="M2003" s="113"/>
      <c r="N2003" s="113" t="s">
        <v>25</v>
      </c>
      <c r="O2003" s="113"/>
      <c r="P2003" s="80"/>
      <c r="Q2003" s="80"/>
      <c r="R2003" s="80"/>
      <c r="S2003" s="113" t="s">
        <v>1</v>
      </c>
      <c r="T2003" s="80"/>
      <c r="U2003" s="80"/>
      <c r="V2003" s="80"/>
      <c r="W2003" s="80"/>
      <c r="X2003" s="80"/>
      <c r="Y2003" s="80"/>
      <c r="Z2003" s="80"/>
      <c r="AA2003" s="80"/>
      <c r="AB2003" s="80"/>
      <c r="AC2003" s="80"/>
      <c r="AD2003" s="80"/>
      <c r="AE2003" s="80"/>
      <c r="AF2003" s="80"/>
      <c r="AG2003" s="80"/>
      <c r="AH2003" s="80"/>
      <c r="AI2003" s="113"/>
      <c r="AJ2003" s="113"/>
      <c r="AK2003" s="113"/>
      <c r="AL2003" s="113"/>
      <c r="AM2003" s="113"/>
      <c r="AN2003" s="113"/>
      <c r="AO2003" s="113"/>
      <c r="AP2003" s="113"/>
      <c r="AQ2003" s="113"/>
      <c r="AR2003" s="113"/>
      <c r="AS2003" s="113"/>
      <c r="AT2003" s="113"/>
      <c r="AU2003" s="113"/>
      <c r="AV2003" s="113"/>
      <c r="AW2003" s="113"/>
      <c r="AX2003" s="113"/>
      <c r="AY2003" s="113"/>
      <c r="AZ2003" s="113"/>
      <c r="BA2003" s="80"/>
      <c r="BB2003" s="113"/>
      <c r="BC2003" s="80"/>
      <c r="BD2003" s="113">
        <v>23</v>
      </c>
      <c r="BH2003" s="80"/>
      <c r="BI2003" s="80"/>
      <c r="BJ2003" s="80"/>
      <c r="BK2003" s="80"/>
      <c r="BL2003" s="80"/>
      <c r="BM2003" s="80"/>
      <c r="BN2003" s="80"/>
      <c r="BP2003" s="80"/>
    </row>
    <row r="2004" spans="2:68">
      <c r="B2004" s="141" t="s">
        <v>2635</v>
      </c>
      <c r="C2004" s="113"/>
      <c r="D2004" s="113"/>
      <c r="E2004" s="113"/>
      <c r="F2004" s="113"/>
      <c r="G2004" s="113"/>
      <c r="H2004" s="113"/>
      <c r="J2004" s="113"/>
      <c r="K2004" s="113"/>
      <c r="L2004" s="113"/>
      <c r="M2004" s="113"/>
      <c r="N2004" s="113" t="s">
        <v>25</v>
      </c>
      <c r="O2004" s="113"/>
      <c r="P2004" s="80"/>
      <c r="Q2004" s="80"/>
      <c r="R2004" s="80"/>
      <c r="S2004" s="113" t="s">
        <v>1</v>
      </c>
      <c r="T2004" s="80"/>
      <c r="U2004" s="80"/>
      <c r="V2004" s="80"/>
      <c r="W2004" s="80"/>
      <c r="X2004" s="80"/>
      <c r="Y2004" s="80"/>
      <c r="Z2004" s="80"/>
      <c r="AA2004" s="80"/>
      <c r="AB2004" s="80"/>
      <c r="AC2004" s="80"/>
      <c r="AD2004" s="80"/>
      <c r="AE2004" s="80"/>
      <c r="AF2004" s="80"/>
      <c r="AG2004" s="80"/>
      <c r="AH2004" s="80"/>
      <c r="AI2004" s="113"/>
      <c r="AJ2004" s="113"/>
      <c r="AK2004" s="113"/>
      <c r="AL2004" s="113"/>
      <c r="AM2004" s="113"/>
      <c r="AN2004" s="113"/>
      <c r="AO2004" s="113"/>
      <c r="AP2004" s="113"/>
      <c r="AQ2004" s="113"/>
      <c r="AR2004" s="113"/>
      <c r="AS2004" s="113"/>
      <c r="AT2004" s="113"/>
      <c r="AU2004" s="113"/>
      <c r="AV2004" s="113"/>
      <c r="AW2004" s="113"/>
      <c r="AX2004" s="113"/>
      <c r="AY2004" s="113"/>
      <c r="AZ2004" s="113"/>
      <c r="BA2004" s="80"/>
      <c r="BB2004" s="113"/>
      <c r="BC2004" s="80"/>
      <c r="BD2004" s="113">
        <v>28</v>
      </c>
      <c r="BH2004" s="80"/>
      <c r="BI2004" s="80"/>
      <c r="BJ2004" s="80"/>
      <c r="BK2004" s="80"/>
      <c r="BL2004" s="80"/>
      <c r="BM2004" s="80"/>
      <c r="BN2004" s="80"/>
      <c r="BP2004" s="80"/>
    </row>
    <row r="2005" spans="2:68">
      <c r="B2005" s="141" t="s">
        <v>2636</v>
      </c>
      <c r="C2005" s="113"/>
      <c r="D2005" s="113"/>
      <c r="E2005" s="113"/>
      <c r="F2005" s="113"/>
      <c r="G2005" s="113"/>
      <c r="H2005" s="113"/>
      <c r="J2005" s="113"/>
      <c r="K2005" s="113"/>
      <c r="L2005" s="113"/>
      <c r="M2005" s="113"/>
      <c r="N2005" s="113" t="s">
        <v>23</v>
      </c>
      <c r="O2005" s="113"/>
      <c r="P2005" s="80"/>
      <c r="Q2005" s="80"/>
      <c r="R2005" s="80"/>
      <c r="S2005" s="113" t="s">
        <v>1</v>
      </c>
      <c r="T2005" s="80"/>
      <c r="U2005" s="80"/>
      <c r="V2005" s="80"/>
      <c r="W2005" s="80"/>
      <c r="X2005" s="80"/>
      <c r="Y2005" s="80"/>
      <c r="Z2005" s="80"/>
      <c r="AA2005" s="80"/>
      <c r="AB2005" s="80"/>
      <c r="AC2005" s="80"/>
      <c r="AD2005" s="80"/>
      <c r="AE2005" s="80"/>
      <c r="AF2005" s="80"/>
      <c r="AG2005" s="80"/>
      <c r="AH2005" s="80"/>
      <c r="AI2005" s="113"/>
      <c r="AJ2005" s="113"/>
      <c r="AK2005" s="113"/>
      <c r="AL2005" s="113"/>
      <c r="AM2005" s="113"/>
      <c r="AN2005" s="113"/>
      <c r="AO2005" s="113"/>
      <c r="AP2005" s="113"/>
      <c r="AQ2005" s="113"/>
      <c r="AR2005" s="113"/>
      <c r="AS2005" s="113"/>
      <c r="AT2005" s="113"/>
      <c r="AU2005" s="113"/>
      <c r="AV2005" s="113"/>
      <c r="AW2005" s="113"/>
      <c r="AX2005" s="113"/>
      <c r="AY2005" s="113"/>
      <c r="AZ2005" s="113"/>
      <c r="BA2005" s="80"/>
      <c r="BB2005" s="113"/>
      <c r="BC2005" s="80"/>
      <c r="BD2005" s="113">
        <v>21</v>
      </c>
      <c r="BH2005" s="80"/>
      <c r="BI2005" s="80"/>
      <c r="BJ2005" s="80"/>
      <c r="BK2005" s="80"/>
      <c r="BL2005" s="80"/>
      <c r="BM2005" s="80"/>
      <c r="BN2005" s="80"/>
      <c r="BP2005" s="80"/>
    </row>
    <row r="2006" spans="2:68">
      <c r="B2006" s="141" t="s">
        <v>2637</v>
      </c>
      <c r="C2006" s="113"/>
      <c r="D2006" s="113"/>
      <c r="E2006" s="113"/>
      <c r="F2006" s="113"/>
      <c r="G2006" s="113"/>
      <c r="H2006" s="113"/>
      <c r="J2006" s="113"/>
      <c r="K2006" s="113"/>
      <c r="L2006" s="113"/>
      <c r="M2006" s="113"/>
      <c r="N2006" s="113" t="s">
        <v>23</v>
      </c>
      <c r="O2006" s="113"/>
      <c r="P2006" s="80"/>
      <c r="Q2006" s="80"/>
      <c r="R2006" s="80"/>
      <c r="S2006" s="113" t="s">
        <v>1</v>
      </c>
      <c r="T2006" s="80"/>
      <c r="U2006" s="80"/>
      <c r="V2006" s="80"/>
      <c r="W2006" s="80"/>
      <c r="X2006" s="80"/>
      <c r="Y2006" s="80"/>
      <c r="Z2006" s="80"/>
      <c r="AA2006" s="80"/>
      <c r="AB2006" s="80"/>
      <c r="AC2006" s="80"/>
      <c r="AD2006" s="80"/>
      <c r="AE2006" s="80"/>
      <c r="AF2006" s="80"/>
      <c r="AG2006" s="80"/>
      <c r="AH2006" s="80"/>
      <c r="AI2006" s="113"/>
      <c r="AJ2006" s="113"/>
      <c r="AK2006" s="113"/>
      <c r="AL2006" s="113"/>
      <c r="AM2006" s="113"/>
      <c r="AN2006" s="113"/>
      <c r="AO2006" s="113"/>
      <c r="AP2006" s="113"/>
      <c r="AQ2006" s="113"/>
      <c r="AR2006" s="113"/>
      <c r="AS2006" s="113"/>
      <c r="AT2006" s="113"/>
      <c r="AU2006" s="113"/>
      <c r="AV2006" s="113"/>
      <c r="AW2006" s="113"/>
      <c r="AX2006" s="113"/>
      <c r="AY2006" s="113"/>
      <c r="AZ2006" s="113"/>
      <c r="BA2006" s="80"/>
      <c r="BB2006" s="113" t="s">
        <v>24</v>
      </c>
      <c r="BC2006" s="80"/>
      <c r="BD2006" s="113">
        <v>24</v>
      </c>
      <c r="BH2006" s="80"/>
      <c r="BI2006" s="80"/>
      <c r="BJ2006" s="80"/>
      <c r="BK2006" s="80"/>
      <c r="BL2006" s="80"/>
      <c r="BM2006" s="80"/>
      <c r="BN2006" s="80"/>
      <c r="BP2006" s="80"/>
    </row>
    <row r="2007" spans="2:68">
      <c r="B2007" s="141" t="s">
        <v>2638</v>
      </c>
      <c r="C2007" s="113"/>
      <c r="D2007" s="113"/>
      <c r="E2007" s="113"/>
      <c r="F2007" s="113"/>
      <c r="G2007" s="113"/>
      <c r="H2007" s="113"/>
      <c r="J2007" s="113"/>
      <c r="K2007" s="113"/>
      <c r="L2007" s="113"/>
      <c r="M2007" s="113"/>
      <c r="N2007" s="113" t="s">
        <v>23</v>
      </c>
      <c r="O2007" s="113"/>
      <c r="P2007" s="80"/>
      <c r="Q2007" s="80"/>
      <c r="R2007" s="80"/>
      <c r="S2007" s="113" t="s">
        <v>17</v>
      </c>
      <c r="T2007" s="80"/>
      <c r="U2007" s="80"/>
      <c r="V2007" s="80"/>
      <c r="W2007" s="80"/>
      <c r="X2007" s="80"/>
      <c r="Y2007" s="80"/>
      <c r="Z2007" s="80"/>
      <c r="AA2007" s="80"/>
      <c r="AB2007" s="80"/>
      <c r="AC2007" s="80"/>
      <c r="AD2007" s="80"/>
      <c r="AE2007" s="80"/>
      <c r="AF2007" s="80"/>
      <c r="AG2007" s="80"/>
      <c r="AH2007" s="80"/>
      <c r="AI2007" s="113"/>
      <c r="AJ2007" s="113"/>
      <c r="AK2007" s="113"/>
      <c r="AL2007" s="113"/>
      <c r="AM2007" s="113"/>
      <c r="AN2007" s="113"/>
      <c r="AO2007" s="113"/>
      <c r="AP2007" s="113"/>
      <c r="AQ2007" s="113"/>
      <c r="AR2007" s="113"/>
      <c r="AS2007" s="113"/>
      <c r="AT2007" s="113"/>
      <c r="AU2007" s="113"/>
      <c r="AV2007" s="113"/>
      <c r="AW2007" s="113"/>
      <c r="AX2007" s="113"/>
      <c r="AY2007" s="113"/>
      <c r="AZ2007" s="113"/>
      <c r="BA2007" s="80"/>
      <c r="BB2007" s="113"/>
      <c r="BC2007" s="80"/>
      <c r="BD2007" s="113">
        <v>16</v>
      </c>
      <c r="BH2007" s="80"/>
      <c r="BI2007" s="80"/>
      <c r="BJ2007" s="80"/>
      <c r="BK2007" s="80"/>
      <c r="BL2007" s="80"/>
      <c r="BM2007" s="80"/>
      <c r="BN2007" s="80"/>
      <c r="BP2007" s="80"/>
    </row>
    <row r="2008" spans="2:68">
      <c r="B2008" s="141" t="s">
        <v>2639</v>
      </c>
      <c r="C2008" s="113"/>
      <c r="D2008" s="113"/>
      <c r="E2008" s="113"/>
      <c r="F2008" s="113"/>
      <c r="G2008" s="113"/>
      <c r="H2008" s="113"/>
      <c r="J2008" s="113"/>
      <c r="K2008" s="113"/>
      <c r="L2008" s="113"/>
      <c r="M2008" s="113"/>
      <c r="N2008" s="113" t="s">
        <v>23</v>
      </c>
      <c r="O2008" s="113"/>
      <c r="P2008" s="80"/>
      <c r="Q2008" s="80"/>
      <c r="R2008" s="80"/>
      <c r="S2008" s="113" t="s">
        <v>1</v>
      </c>
      <c r="T2008" s="80"/>
      <c r="U2008" s="80"/>
      <c r="V2008" s="80"/>
      <c r="W2008" s="80"/>
      <c r="X2008" s="80"/>
      <c r="Y2008" s="80"/>
      <c r="Z2008" s="80"/>
      <c r="AA2008" s="80"/>
      <c r="AB2008" s="80"/>
      <c r="AC2008" s="80"/>
      <c r="AD2008" s="80"/>
      <c r="AE2008" s="80"/>
      <c r="AF2008" s="80"/>
      <c r="AG2008" s="80"/>
      <c r="AH2008" s="80"/>
      <c r="AI2008" s="113"/>
      <c r="AJ2008" s="113"/>
      <c r="AK2008" s="113"/>
      <c r="AL2008" s="113"/>
      <c r="AM2008" s="113"/>
      <c r="AN2008" s="113"/>
      <c r="AO2008" s="113"/>
      <c r="AP2008" s="113"/>
      <c r="AQ2008" s="113"/>
      <c r="AR2008" s="113"/>
      <c r="AS2008" s="113"/>
      <c r="AT2008" s="113"/>
      <c r="AU2008" s="113"/>
      <c r="AV2008" s="113"/>
      <c r="AW2008" s="113"/>
      <c r="AX2008" s="113"/>
      <c r="AY2008" s="113"/>
      <c r="AZ2008" s="113"/>
      <c r="BA2008" s="80"/>
      <c r="BB2008" s="113"/>
      <c r="BC2008" s="80"/>
      <c r="BD2008" s="113">
        <v>32</v>
      </c>
      <c r="BH2008" s="80"/>
      <c r="BI2008" s="80"/>
      <c r="BJ2008" s="80"/>
      <c r="BK2008" s="80"/>
      <c r="BL2008" s="80"/>
      <c r="BM2008" s="80"/>
      <c r="BN2008" s="80"/>
      <c r="BP2008" s="80"/>
    </row>
    <row r="2009" spans="2:68">
      <c r="B2009" s="141" t="s">
        <v>2640</v>
      </c>
      <c r="C2009" s="113"/>
      <c r="D2009" s="113"/>
      <c r="E2009" s="113"/>
      <c r="F2009" s="113"/>
      <c r="G2009" s="113"/>
      <c r="H2009" s="113"/>
      <c r="J2009" s="113"/>
      <c r="K2009" s="113"/>
      <c r="L2009" s="113"/>
      <c r="M2009" s="113"/>
      <c r="N2009" s="113" t="s">
        <v>23</v>
      </c>
      <c r="O2009" s="113"/>
      <c r="P2009" s="80"/>
      <c r="Q2009" s="80"/>
      <c r="R2009" s="80"/>
      <c r="S2009" s="113" t="s">
        <v>1</v>
      </c>
      <c r="T2009" s="80"/>
      <c r="U2009" s="80"/>
      <c r="V2009" s="80"/>
      <c r="W2009" s="80"/>
      <c r="X2009" s="80"/>
      <c r="Y2009" s="80"/>
      <c r="Z2009" s="80"/>
      <c r="AA2009" s="80"/>
      <c r="AB2009" s="80"/>
      <c r="AC2009" s="80"/>
      <c r="AD2009" s="80"/>
      <c r="AE2009" s="80"/>
      <c r="AF2009" s="80"/>
      <c r="AG2009" s="80"/>
      <c r="AH2009" s="80"/>
      <c r="AI2009" s="113"/>
      <c r="AJ2009" s="113"/>
      <c r="AK2009" s="113"/>
      <c r="AL2009" s="113"/>
      <c r="AM2009" s="113"/>
      <c r="AN2009" s="113"/>
      <c r="AO2009" s="113"/>
      <c r="AP2009" s="113"/>
      <c r="AQ2009" s="113"/>
      <c r="AR2009" s="113"/>
      <c r="AS2009" s="113"/>
      <c r="AT2009" s="113"/>
      <c r="AU2009" s="113"/>
      <c r="AV2009" s="113"/>
      <c r="AW2009" s="113"/>
      <c r="AX2009" s="113"/>
      <c r="AY2009" s="113"/>
      <c r="AZ2009" s="113"/>
      <c r="BA2009" s="80"/>
      <c r="BB2009" s="113"/>
      <c r="BC2009" s="80"/>
      <c r="BD2009" s="113">
        <v>8</v>
      </c>
      <c r="BH2009" s="80"/>
      <c r="BI2009" s="80"/>
      <c r="BJ2009" s="80"/>
      <c r="BK2009" s="80"/>
      <c r="BL2009" s="80"/>
      <c r="BM2009" s="80"/>
      <c r="BN2009" s="80"/>
      <c r="BP2009" s="80"/>
    </row>
    <row r="2010" spans="2:68">
      <c r="B2010" s="141" t="s">
        <v>2641</v>
      </c>
      <c r="C2010" s="113"/>
      <c r="D2010" s="113"/>
      <c r="E2010" s="113"/>
      <c r="F2010" s="113"/>
      <c r="G2010" s="113"/>
      <c r="H2010" s="113"/>
      <c r="J2010" s="113"/>
      <c r="K2010" s="113"/>
      <c r="L2010" s="113"/>
      <c r="M2010" s="113"/>
      <c r="N2010" s="113" t="s">
        <v>22</v>
      </c>
      <c r="O2010" s="113"/>
      <c r="P2010" s="80"/>
      <c r="Q2010" s="80"/>
      <c r="R2010" s="80"/>
      <c r="S2010" s="113" t="s">
        <v>1</v>
      </c>
      <c r="T2010" s="80"/>
      <c r="U2010" s="80"/>
      <c r="V2010" s="80"/>
      <c r="W2010" s="80"/>
      <c r="X2010" s="80"/>
      <c r="Y2010" s="80"/>
      <c r="Z2010" s="80"/>
      <c r="AA2010" s="80"/>
      <c r="AB2010" s="80"/>
      <c r="AC2010" s="80"/>
      <c r="AD2010" s="80"/>
      <c r="AE2010" s="80"/>
      <c r="AF2010" s="80"/>
      <c r="AG2010" s="80"/>
      <c r="AH2010" s="80"/>
      <c r="AI2010" s="113"/>
      <c r="AJ2010" s="113"/>
      <c r="AK2010" s="113"/>
      <c r="AL2010" s="113"/>
      <c r="AM2010" s="113"/>
      <c r="AN2010" s="113"/>
      <c r="AO2010" s="113"/>
      <c r="AP2010" s="113"/>
      <c r="AQ2010" s="113"/>
      <c r="AR2010" s="113"/>
      <c r="AS2010" s="113"/>
      <c r="AT2010" s="113"/>
      <c r="AU2010" s="113"/>
      <c r="AV2010" s="113"/>
      <c r="AW2010" s="113"/>
      <c r="AX2010" s="113"/>
      <c r="AY2010" s="113"/>
      <c r="AZ2010" s="113"/>
      <c r="BA2010" s="80"/>
      <c r="BB2010" s="113" t="s">
        <v>21</v>
      </c>
      <c r="BC2010" s="80"/>
      <c r="BD2010" s="113">
        <v>6</v>
      </c>
      <c r="BH2010" s="80"/>
      <c r="BI2010" s="80"/>
      <c r="BJ2010" s="80"/>
      <c r="BK2010" s="80"/>
      <c r="BL2010" s="80"/>
      <c r="BM2010" s="80"/>
      <c r="BN2010" s="80"/>
      <c r="BP2010" s="80"/>
    </row>
    <row r="2011" spans="2:68">
      <c r="B2011" s="141" t="s">
        <v>2642</v>
      </c>
      <c r="C2011" s="113"/>
      <c r="D2011" s="113"/>
      <c r="E2011" s="113"/>
      <c r="F2011" s="113"/>
      <c r="G2011" s="113"/>
      <c r="H2011" s="113"/>
      <c r="J2011" s="113"/>
      <c r="K2011" s="113"/>
      <c r="L2011" s="113"/>
      <c r="M2011" s="113"/>
      <c r="N2011" s="113" t="s">
        <v>20</v>
      </c>
      <c r="O2011" s="113"/>
      <c r="P2011" s="80"/>
      <c r="Q2011" s="80"/>
      <c r="R2011" s="80"/>
      <c r="S2011" s="113"/>
      <c r="T2011" s="80"/>
      <c r="U2011" s="80"/>
      <c r="V2011" s="80"/>
      <c r="W2011" s="80"/>
      <c r="X2011" s="80"/>
      <c r="Y2011" s="80"/>
      <c r="Z2011" s="80"/>
      <c r="AA2011" s="80"/>
      <c r="AB2011" s="80"/>
      <c r="AC2011" s="80"/>
      <c r="AD2011" s="80"/>
      <c r="AE2011" s="80"/>
      <c r="AF2011" s="80"/>
      <c r="AG2011" s="80"/>
      <c r="AH2011" s="80"/>
      <c r="AI2011" s="113"/>
      <c r="AJ2011" s="113"/>
      <c r="AK2011" s="113"/>
      <c r="AL2011" s="113"/>
      <c r="AM2011" s="113"/>
      <c r="AN2011" s="113"/>
      <c r="AO2011" s="113"/>
      <c r="AP2011" s="113"/>
      <c r="AQ2011" s="113"/>
      <c r="AR2011" s="113"/>
      <c r="AS2011" s="113"/>
      <c r="AT2011" s="113"/>
      <c r="AU2011" s="113"/>
      <c r="AV2011" s="113"/>
      <c r="AW2011" s="113"/>
      <c r="AX2011" s="113"/>
      <c r="AY2011" s="113"/>
      <c r="AZ2011" s="113"/>
      <c r="BA2011" s="80"/>
      <c r="BB2011" s="113"/>
      <c r="BC2011" s="80"/>
      <c r="BD2011" s="113">
        <v>4</v>
      </c>
      <c r="BH2011" s="80"/>
      <c r="BI2011" s="80"/>
      <c r="BJ2011" s="80"/>
      <c r="BK2011" s="80"/>
      <c r="BL2011" s="80"/>
      <c r="BM2011" s="80"/>
      <c r="BN2011" s="80"/>
      <c r="BP2011" s="80"/>
    </row>
    <row r="2012" spans="2:68">
      <c r="B2012" s="141" t="s">
        <v>2643</v>
      </c>
      <c r="C2012" s="113"/>
      <c r="D2012" s="113"/>
      <c r="E2012" s="113"/>
      <c r="F2012" s="113"/>
      <c r="G2012" s="113"/>
      <c r="H2012" s="113"/>
      <c r="J2012" s="113"/>
      <c r="K2012" s="113"/>
      <c r="L2012" s="113"/>
      <c r="M2012" s="113"/>
      <c r="N2012" s="113" t="s">
        <v>19</v>
      </c>
      <c r="O2012" s="113"/>
      <c r="P2012" s="80"/>
      <c r="Q2012" s="80"/>
      <c r="R2012" s="80"/>
      <c r="S2012" s="113" t="s">
        <v>1</v>
      </c>
      <c r="T2012" s="80"/>
      <c r="U2012" s="80"/>
      <c r="V2012" s="80"/>
      <c r="W2012" s="80"/>
      <c r="X2012" s="80"/>
      <c r="Y2012" s="80"/>
      <c r="Z2012" s="80"/>
      <c r="AA2012" s="80"/>
      <c r="AB2012" s="80"/>
      <c r="AC2012" s="80"/>
      <c r="AD2012" s="80"/>
      <c r="AE2012" s="80"/>
      <c r="AF2012" s="80"/>
      <c r="AG2012" s="80"/>
      <c r="AH2012" s="80"/>
      <c r="AI2012" s="113"/>
      <c r="AJ2012" s="113"/>
      <c r="AK2012" s="113"/>
      <c r="AL2012" s="113"/>
      <c r="AM2012" s="113"/>
      <c r="AN2012" s="113"/>
      <c r="AO2012" s="113"/>
      <c r="AP2012" s="113"/>
      <c r="AQ2012" s="113"/>
      <c r="AR2012" s="113"/>
      <c r="AS2012" s="113"/>
      <c r="AT2012" s="113"/>
      <c r="AU2012" s="113"/>
      <c r="AV2012" s="113"/>
      <c r="AW2012" s="113"/>
      <c r="AX2012" s="113"/>
      <c r="AY2012" s="113"/>
      <c r="AZ2012" s="113"/>
      <c r="BA2012" s="80"/>
      <c r="BB2012" s="113"/>
      <c r="BC2012" s="80"/>
      <c r="BD2012" s="113">
        <v>5</v>
      </c>
      <c r="BH2012" s="80"/>
      <c r="BI2012" s="80"/>
      <c r="BJ2012" s="80"/>
      <c r="BK2012" s="80"/>
      <c r="BL2012" s="80"/>
      <c r="BM2012" s="80"/>
      <c r="BN2012" s="80"/>
      <c r="BP2012" s="80"/>
    </row>
    <row r="2013" spans="2:68">
      <c r="B2013" s="141" t="s">
        <v>2644</v>
      </c>
      <c r="C2013" s="113"/>
      <c r="D2013" s="113"/>
      <c r="E2013" s="113"/>
      <c r="F2013" s="113"/>
      <c r="G2013" s="113"/>
      <c r="H2013" s="113"/>
      <c r="J2013" s="113"/>
      <c r="K2013" s="113"/>
      <c r="L2013" s="113"/>
      <c r="M2013" s="113"/>
      <c r="N2013" s="113" t="s">
        <v>19</v>
      </c>
      <c r="O2013" s="113"/>
      <c r="P2013" s="80"/>
      <c r="Q2013" s="80"/>
      <c r="R2013" s="80"/>
      <c r="S2013" s="113" t="s">
        <v>1</v>
      </c>
      <c r="T2013" s="80"/>
      <c r="U2013" s="80"/>
      <c r="V2013" s="80"/>
      <c r="W2013" s="80"/>
      <c r="X2013" s="80"/>
      <c r="Y2013" s="80"/>
      <c r="Z2013" s="80"/>
      <c r="AA2013" s="80"/>
      <c r="AB2013" s="80"/>
      <c r="AC2013" s="80"/>
      <c r="AD2013" s="80"/>
      <c r="AE2013" s="80"/>
      <c r="AF2013" s="80"/>
      <c r="AG2013" s="80"/>
      <c r="AH2013" s="80"/>
      <c r="AI2013" s="113"/>
      <c r="AJ2013" s="113"/>
      <c r="AK2013" s="113"/>
      <c r="AL2013" s="113"/>
      <c r="AM2013" s="113"/>
      <c r="AN2013" s="113"/>
      <c r="AO2013" s="113"/>
      <c r="AP2013" s="113"/>
      <c r="AQ2013" s="113"/>
      <c r="AR2013" s="113"/>
      <c r="AS2013" s="113"/>
      <c r="AT2013" s="113"/>
      <c r="AU2013" s="113"/>
      <c r="AV2013" s="113"/>
      <c r="AW2013" s="113"/>
      <c r="AX2013" s="113"/>
      <c r="AY2013" s="113"/>
      <c r="AZ2013" s="113"/>
      <c r="BA2013" s="80"/>
      <c r="BB2013" s="113"/>
      <c r="BC2013" s="80"/>
      <c r="BD2013" s="113">
        <v>15</v>
      </c>
      <c r="BH2013" s="80"/>
      <c r="BI2013" s="80"/>
      <c r="BJ2013" s="80"/>
      <c r="BK2013" s="80"/>
      <c r="BL2013" s="80"/>
      <c r="BM2013" s="80"/>
      <c r="BN2013" s="80"/>
      <c r="BP2013" s="80"/>
    </row>
    <row r="2014" spans="2:68">
      <c r="B2014" s="141" t="s">
        <v>2645</v>
      </c>
      <c r="C2014" s="113"/>
      <c r="D2014" s="113"/>
      <c r="E2014" s="113"/>
      <c r="F2014" s="113"/>
      <c r="G2014" s="113"/>
      <c r="H2014" s="113"/>
      <c r="J2014" s="113"/>
      <c r="K2014" s="113"/>
      <c r="L2014" s="113"/>
      <c r="M2014" s="113"/>
      <c r="N2014" s="113" t="s">
        <v>18</v>
      </c>
      <c r="O2014" s="113"/>
      <c r="P2014" s="80"/>
      <c r="Q2014" s="80"/>
      <c r="R2014" s="80"/>
      <c r="S2014" s="113" t="s">
        <v>17</v>
      </c>
      <c r="T2014" s="80"/>
      <c r="U2014" s="80"/>
      <c r="V2014" s="80"/>
      <c r="W2014" s="80"/>
      <c r="X2014" s="80"/>
      <c r="Y2014" s="80"/>
      <c r="Z2014" s="80"/>
      <c r="AA2014" s="80"/>
      <c r="AB2014" s="80"/>
      <c r="AC2014" s="80"/>
      <c r="AD2014" s="80"/>
      <c r="AE2014" s="80"/>
      <c r="AF2014" s="80"/>
      <c r="AG2014" s="80"/>
      <c r="AH2014" s="80"/>
      <c r="AI2014" s="113"/>
      <c r="AJ2014" s="113"/>
      <c r="AK2014" s="113"/>
      <c r="AL2014" s="113"/>
      <c r="AM2014" s="113"/>
      <c r="AN2014" s="113"/>
      <c r="AO2014" s="113"/>
      <c r="AP2014" s="113"/>
      <c r="AQ2014" s="113"/>
      <c r="AR2014" s="113"/>
      <c r="AS2014" s="113"/>
      <c r="AT2014" s="113"/>
      <c r="AU2014" s="113"/>
      <c r="AV2014" s="113"/>
      <c r="AW2014" s="113"/>
      <c r="AX2014" s="113"/>
      <c r="AY2014" s="113"/>
      <c r="AZ2014" s="113"/>
      <c r="BA2014" s="80"/>
      <c r="BB2014" s="113"/>
      <c r="BC2014" s="80"/>
      <c r="BD2014" s="113">
        <v>14</v>
      </c>
      <c r="BH2014" s="80"/>
      <c r="BI2014" s="80"/>
      <c r="BJ2014" s="80"/>
      <c r="BK2014" s="80"/>
      <c r="BL2014" s="80"/>
      <c r="BM2014" s="80"/>
      <c r="BN2014" s="80"/>
      <c r="BP2014" s="80"/>
    </row>
    <row r="2015" spans="2:68">
      <c r="B2015" s="141" t="s">
        <v>2646</v>
      </c>
      <c r="C2015" s="113"/>
      <c r="D2015" s="113"/>
      <c r="E2015" s="113"/>
      <c r="F2015" s="113"/>
      <c r="G2015" s="113"/>
      <c r="H2015" s="113"/>
      <c r="J2015" s="113"/>
      <c r="K2015" s="113"/>
      <c r="L2015" s="113"/>
      <c r="M2015" s="113"/>
      <c r="N2015" s="113" t="s">
        <v>16</v>
      </c>
      <c r="O2015" s="113"/>
      <c r="P2015" s="80"/>
      <c r="Q2015" s="80"/>
      <c r="R2015" s="80"/>
      <c r="S2015" s="113" t="s">
        <v>1</v>
      </c>
      <c r="T2015" s="80"/>
      <c r="U2015" s="80"/>
      <c r="V2015" s="80"/>
      <c r="W2015" s="80"/>
      <c r="X2015" s="80"/>
      <c r="Y2015" s="80"/>
      <c r="Z2015" s="80"/>
      <c r="AA2015" s="80"/>
      <c r="AB2015" s="80"/>
      <c r="AC2015" s="80"/>
      <c r="AD2015" s="80"/>
      <c r="AE2015" s="80"/>
      <c r="AF2015" s="80"/>
      <c r="AG2015" s="80"/>
      <c r="AH2015" s="80"/>
      <c r="AI2015" s="113"/>
      <c r="AJ2015" s="113"/>
      <c r="AK2015" s="113"/>
      <c r="AL2015" s="113"/>
      <c r="AM2015" s="113"/>
      <c r="AN2015" s="113"/>
      <c r="AO2015" s="113"/>
      <c r="AP2015" s="113"/>
      <c r="AQ2015" s="113"/>
      <c r="AR2015" s="113"/>
      <c r="AS2015" s="113"/>
      <c r="AT2015" s="113"/>
      <c r="AU2015" s="113"/>
      <c r="AV2015" s="113"/>
      <c r="AW2015" s="113"/>
      <c r="AX2015" s="113"/>
      <c r="AY2015" s="113"/>
      <c r="AZ2015" s="113"/>
      <c r="BA2015" s="80"/>
      <c r="BB2015" s="113"/>
      <c r="BC2015" s="80"/>
      <c r="BD2015" s="113">
        <v>29</v>
      </c>
      <c r="BH2015" s="80"/>
      <c r="BI2015" s="80"/>
      <c r="BJ2015" s="80"/>
      <c r="BK2015" s="80"/>
      <c r="BL2015" s="80"/>
      <c r="BM2015" s="80"/>
      <c r="BN2015" s="80"/>
      <c r="BP2015" s="80"/>
    </row>
    <row r="2016" spans="2:68" ht="27">
      <c r="B2016" s="141" t="s">
        <v>2647</v>
      </c>
      <c r="C2016" s="113"/>
      <c r="D2016" s="113"/>
      <c r="E2016" s="113"/>
      <c r="F2016" s="113"/>
      <c r="G2016" s="113"/>
      <c r="H2016" s="113"/>
      <c r="J2016" s="113"/>
      <c r="K2016" s="113"/>
      <c r="L2016" s="113"/>
      <c r="M2016" s="113"/>
      <c r="N2016" s="113" t="s">
        <v>9</v>
      </c>
      <c r="O2016" s="113"/>
      <c r="P2016" s="80"/>
      <c r="Q2016" s="80"/>
      <c r="R2016" s="80"/>
      <c r="S2016" s="113" t="s">
        <v>1</v>
      </c>
      <c r="T2016" s="80"/>
      <c r="U2016" s="80"/>
      <c r="V2016" s="80"/>
      <c r="W2016" s="80"/>
      <c r="X2016" s="80"/>
      <c r="Y2016" s="80"/>
      <c r="Z2016" s="80"/>
      <c r="AA2016" s="80"/>
      <c r="AB2016" s="80"/>
      <c r="AC2016" s="80"/>
      <c r="AD2016" s="80"/>
      <c r="AE2016" s="80"/>
      <c r="AF2016" s="80"/>
      <c r="AG2016" s="80"/>
      <c r="AH2016" s="80"/>
      <c r="AI2016" s="113"/>
      <c r="AJ2016" s="113"/>
      <c r="AK2016" s="113"/>
      <c r="AL2016" s="113"/>
      <c r="AM2016" s="113"/>
      <c r="AN2016" s="113"/>
      <c r="AO2016" s="113"/>
      <c r="AP2016" s="113"/>
      <c r="AQ2016" s="113"/>
      <c r="AR2016" s="113"/>
      <c r="AS2016" s="113"/>
      <c r="AT2016" s="113"/>
      <c r="AU2016" s="113"/>
      <c r="AV2016" s="113"/>
      <c r="AW2016" s="113"/>
      <c r="AX2016" s="113"/>
      <c r="AY2016" s="113"/>
      <c r="AZ2016" s="113"/>
      <c r="BA2016" s="80"/>
      <c r="BB2016" s="113"/>
      <c r="BC2016" s="80"/>
      <c r="BD2016" s="113">
        <v>17</v>
      </c>
      <c r="BH2016" s="80"/>
      <c r="BI2016" s="80"/>
      <c r="BJ2016" s="80"/>
      <c r="BK2016" s="80"/>
      <c r="BL2016" s="80"/>
      <c r="BM2016" s="80"/>
      <c r="BN2016" s="80"/>
      <c r="BP2016" s="80"/>
    </row>
    <row r="2017" spans="2:68">
      <c r="B2017" s="141" t="s">
        <v>2648</v>
      </c>
      <c r="C2017" s="113"/>
      <c r="D2017" s="113"/>
      <c r="E2017" s="113"/>
      <c r="F2017" s="113"/>
      <c r="G2017" s="113"/>
      <c r="H2017" s="113"/>
      <c r="J2017" s="113"/>
      <c r="K2017" s="113"/>
      <c r="L2017" s="113"/>
      <c r="M2017" s="113"/>
      <c r="N2017" s="113" t="s">
        <v>9</v>
      </c>
      <c r="O2017" s="113"/>
      <c r="P2017" s="80"/>
      <c r="Q2017" s="80"/>
      <c r="R2017" s="80"/>
      <c r="S2017" s="113" t="s">
        <v>1</v>
      </c>
      <c r="T2017" s="80"/>
      <c r="U2017" s="80"/>
      <c r="V2017" s="80"/>
      <c r="W2017" s="80"/>
      <c r="X2017" s="80"/>
      <c r="Y2017" s="80"/>
      <c r="Z2017" s="80"/>
      <c r="AA2017" s="80"/>
      <c r="AB2017" s="80"/>
      <c r="AC2017" s="80"/>
      <c r="AD2017" s="80"/>
      <c r="AE2017" s="80"/>
      <c r="AF2017" s="80"/>
      <c r="AG2017" s="80"/>
      <c r="AH2017" s="80"/>
      <c r="AI2017" s="113"/>
      <c r="AJ2017" s="113"/>
      <c r="AK2017" s="113"/>
      <c r="AL2017" s="113"/>
      <c r="AM2017" s="113"/>
      <c r="AN2017" s="113"/>
      <c r="AO2017" s="113"/>
      <c r="AP2017" s="113"/>
      <c r="AQ2017" s="113"/>
      <c r="AR2017" s="113"/>
      <c r="AS2017" s="113"/>
      <c r="AT2017" s="113"/>
      <c r="AU2017" s="113"/>
      <c r="AV2017" s="113"/>
      <c r="AW2017" s="113"/>
      <c r="AX2017" s="113"/>
      <c r="AY2017" s="113"/>
      <c r="AZ2017" s="113"/>
      <c r="BA2017" s="80"/>
      <c r="BB2017" s="113"/>
      <c r="BC2017" s="80"/>
      <c r="BD2017" s="113">
        <v>9</v>
      </c>
      <c r="BH2017" s="80"/>
      <c r="BI2017" s="80"/>
      <c r="BJ2017" s="80"/>
      <c r="BK2017" s="80"/>
      <c r="BL2017" s="80"/>
      <c r="BM2017" s="80"/>
      <c r="BN2017" s="80"/>
      <c r="BP2017" s="80"/>
    </row>
    <row r="2018" spans="2:68">
      <c r="B2018" s="141" t="s">
        <v>2649</v>
      </c>
      <c r="C2018" s="113"/>
      <c r="D2018" s="113"/>
      <c r="E2018" s="113"/>
      <c r="F2018" s="113"/>
      <c r="G2018" s="113"/>
      <c r="H2018" s="113"/>
      <c r="J2018" s="113"/>
      <c r="K2018" s="113"/>
      <c r="L2018" s="113"/>
      <c r="M2018" s="113"/>
      <c r="N2018" s="113" t="s">
        <v>9</v>
      </c>
      <c r="O2018" s="113"/>
      <c r="P2018" s="80"/>
      <c r="Q2018" s="80"/>
      <c r="R2018" s="80"/>
      <c r="S2018" s="113" t="s">
        <v>1</v>
      </c>
      <c r="T2018" s="80"/>
      <c r="U2018" s="80"/>
      <c r="V2018" s="80"/>
      <c r="W2018" s="80"/>
      <c r="X2018" s="80"/>
      <c r="Y2018" s="80"/>
      <c r="Z2018" s="80"/>
      <c r="AA2018" s="80"/>
      <c r="AB2018" s="80"/>
      <c r="AC2018" s="80"/>
      <c r="AD2018" s="80"/>
      <c r="AE2018" s="80"/>
      <c r="AF2018" s="80"/>
      <c r="AG2018" s="80"/>
      <c r="AH2018" s="80"/>
      <c r="AI2018" s="113"/>
      <c r="AJ2018" s="113"/>
      <c r="AK2018" s="113"/>
      <c r="AL2018" s="113"/>
      <c r="AM2018" s="113"/>
      <c r="AN2018" s="113"/>
      <c r="AO2018" s="113"/>
      <c r="AP2018" s="113"/>
      <c r="AQ2018" s="113"/>
      <c r="AR2018" s="113"/>
      <c r="AS2018" s="113"/>
      <c r="AT2018" s="113"/>
      <c r="AU2018" s="113"/>
      <c r="AV2018" s="113"/>
      <c r="AW2018" s="113"/>
      <c r="AX2018" s="113"/>
      <c r="AY2018" s="113"/>
      <c r="AZ2018" s="113"/>
      <c r="BA2018" s="80"/>
      <c r="BB2018" s="113"/>
      <c r="BC2018" s="80"/>
      <c r="BD2018" s="113">
        <v>10</v>
      </c>
      <c r="BH2018" s="80"/>
      <c r="BI2018" s="80"/>
      <c r="BJ2018" s="80"/>
      <c r="BK2018" s="80"/>
      <c r="BL2018" s="80"/>
      <c r="BM2018" s="80"/>
      <c r="BN2018" s="80"/>
      <c r="BP2018" s="80"/>
    </row>
    <row r="2019" spans="2:68">
      <c r="B2019" s="141" t="s">
        <v>2650</v>
      </c>
      <c r="C2019" s="113"/>
      <c r="D2019" s="113"/>
      <c r="E2019" s="113"/>
      <c r="F2019" s="113"/>
      <c r="G2019" s="113"/>
      <c r="H2019" s="113"/>
      <c r="J2019" s="113"/>
      <c r="K2019" s="113"/>
      <c r="L2019" s="113"/>
      <c r="M2019" s="113"/>
      <c r="N2019" s="113" t="s">
        <v>9</v>
      </c>
      <c r="O2019" s="113"/>
      <c r="P2019" s="80"/>
      <c r="Q2019" s="80"/>
      <c r="R2019" s="80"/>
      <c r="S2019" s="113" t="s">
        <v>1</v>
      </c>
      <c r="T2019" s="80"/>
      <c r="U2019" s="80"/>
      <c r="V2019" s="80"/>
      <c r="W2019" s="80"/>
      <c r="X2019" s="80"/>
      <c r="Y2019" s="80"/>
      <c r="Z2019" s="80"/>
      <c r="AA2019" s="80"/>
      <c r="AB2019" s="80"/>
      <c r="AC2019" s="80"/>
      <c r="AD2019" s="80"/>
      <c r="AE2019" s="80"/>
      <c r="AF2019" s="80"/>
      <c r="AG2019" s="80"/>
      <c r="AH2019" s="80"/>
      <c r="AI2019" s="113"/>
      <c r="AJ2019" s="113"/>
      <c r="AK2019" s="113"/>
      <c r="AL2019" s="113"/>
      <c r="AM2019" s="113"/>
      <c r="AN2019" s="113"/>
      <c r="AO2019" s="113"/>
      <c r="AP2019" s="113"/>
      <c r="AQ2019" s="113"/>
      <c r="AR2019" s="113"/>
      <c r="AS2019" s="113"/>
      <c r="AT2019" s="113"/>
      <c r="AU2019" s="113"/>
      <c r="AV2019" s="113"/>
      <c r="AW2019" s="113"/>
      <c r="AX2019" s="113"/>
      <c r="AY2019" s="113"/>
      <c r="AZ2019" s="113"/>
      <c r="BA2019" s="80"/>
      <c r="BB2019" s="113"/>
      <c r="BC2019" s="80"/>
      <c r="BD2019" s="113">
        <v>15</v>
      </c>
      <c r="BH2019" s="80"/>
      <c r="BI2019" s="80"/>
      <c r="BJ2019" s="80"/>
      <c r="BK2019" s="80"/>
      <c r="BL2019" s="80"/>
      <c r="BM2019" s="80"/>
      <c r="BN2019" s="80"/>
      <c r="BP2019" s="80"/>
    </row>
    <row r="2020" spans="2:68" ht="27">
      <c r="B2020" s="141" t="s">
        <v>2651</v>
      </c>
      <c r="C2020" s="113"/>
      <c r="D2020" s="113"/>
      <c r="E2020" s="113"/>
      <c r="F2020" s="113"/>
      <c r="G2020" s="113"/>
      <c r="H2020" s="113"/>
      <c r="J2020" s="113"/>
      <c r="K2020" s="113"/>
      <c r="L2020" s="113"/>
      <c r="M2020" s="113"/>
      <c r="N2020" s="113" t="s">
        <v>9</v>
      </c>
      <c r="O2020" s="113"/>
      <c r="P2020" s="80"/>
      <c r="Q2020" s="80"/>
      <c r="R2020" s="80"/>
      <c r="S2020" s="113" t="s">
        <v>1</v>
      </c>
      <c r="T2020" s="80"/>
      <c r="U2020" s="80"/>
      <c r="V2020" s="80"/>
      <c r="W2020" s="80"/>
      <c r="X2020" s="80"/>
      <c r="Y2020" s="80"/>
      <c r="Z2020" s="80"/>
      <c r="AA2020" s="80"/>
      <c r="AB2020" s="80"/>
      <c r="AC2020" s="80"/>
      <c r="AD2020" s="80"/>
      <c r="AE2020" s="80"/>
      <c r="AF2020" s="80"/>
      <c r="AG2020" s="80"/>
      <c r="AH2020" s="80"/>
      <c r="AI2020" s="113"/>
      <c r="AJ2020" s="113"/>
      <c r="AK2020" s="113"/>
      <c r="AL2020" s="113"/>
      <c r="AM2020" s="113"/>
      <c r="AN2020" s="113"/>
      <c r="AO2020" s="113"/>
      <c r="AP2020" s="113"/>
      <c r="AQ2020" s="113"/>
      <c r="AR2020" s="113"/>
      <c r="AS2020" s="113"/>
      <c r="AT2020" s="113"/>
      <c r="AU2020" s="113"/>
      <c r="AV2020" s="113"/>
      <c r="AW2020" s="113"/>
      <c r="AX2020" s="113"/>
      <c r="AY2020" s="113"/>
      <c r="AZ2020" s="113"/>
      <c r="BA2020" s="80"/>
      <c r="BB2020" s="113"/>
      <c r="BC2020" s="80"/>
      <c r="BD2020" s="113">
        <v>14</v>
      </c>
      <c r="BH2020" s="80"/>
      <c r="BI2020" s="80"/>
      <c r="BJ2020" s="80"/>
      <c r="BK2020" s="80"/>
      <c r="BL2020" s="80"/>
      <c r="BM2020" s="80"/>
      <c r="BN2020" s="80"/>
      <c r="BP2020" s="80"/>
    </row>
    <row r="2021" spans="2:68" ht="27">
      <c r="B2021" s="141" t="s">
        <v>2652</v>
      </c>
      <c r="C2021" s="113"/>
      <c r="D2021" s="113"/>
      <c r="E2021" s="113"/>
      <c r="F2021" s="113"/>
      <c r="G2021" s="113"/>
      <c r="H2021" s="113"/>
      <c r="J2021" s="113"/>
      <c r="K2021" s="113"/>
      <c r="L2021" s="113"/>
      <c r="M2021" s="113"/>
      <c r="N2021" s="113" t="s">
        <v>9</v>
      </c>
      <c r="O2021" s="113"/>
      <c r="P2021" s="80"/>
      <c r="Q2021" s="80"/>
      <c r="R2021" s="80"/>
      <c r="S2021" s="113" t="s">
        <v>1</v>
      </c>
      <c r="T2021" s="80"/>
      <c r="U2021" s="80"/>
      <c r="V2021" s="80"/>
      <c r="W2021" s="80"/>
      <c r="X2021" s="80"/>
      <c r="Y2021" s="80"/>
      <c r="Z2021" s="80"/>
      <c r="AA2021" s="80"/>
      <c r="AB2021" s="80"/>
      <c r="AC2021" s="80"/>
      <c r="AD2021" s="80"/>
      <c r="AE2021" s="80"/>
      <c r="AF2021" s="80"/>
      <c r="AG2021" s="80"/>
      <c r="AH2021" s="80"/>
      <c r="AI2021" s="113"/>
      <c r="AJ2021" s="113"/>
      <c r="AK2021" s="113"/>
      <c r="AL2021" s="113"/>
      <c r="AM2021" s="113"/>
      <c r="AN2021" s="113"/>
      <c r="AO2021" s="113"/>
      <c r="AP2021" s="113"/>
      <c r="AQ2021" s="113"/>
      <c r="AR2021" s="113"/>
      <c r="AS2021" s="113"/>
      <c r="AT2021" s="113"/>
      <c r="AU2021" s="113"/>
      <c r="AV2021" s="113"/>
      <c r="AW2021" s="113"/>
      <c r="AX2021" s="113"/>
      <c r="AY2021" s="113"/>
      <c r="AZ2021" s="113"/>
      <c r="BA2021" s="80"/>
      <c r="BB2021" s="113"/>
      <c r="BC2021" s="80"/>
      <c r="BD2021" s="113">
        <v>8</v>
      </c>
      <c r="BH2021" s="80"/>
      <c r="BI2021" s="80"/>
      <c r="BJ2021" s="80"/>
      <c r="BK2021" s="80"/>
      <c r="BL2021" s="80"/>
      <c r="BM2021" s="80"/>
      <c r="BN2021" s="80"/>
      <c r="BP2021" s="80"/>
    </row>
    <row r="2022" spans="2:68">
      <c r="B2022" s="141" t="s">
        <v>2653</v>
      </c>
      <c r="C2022" s="113"/>
      <c r="D2022" s="113"/>
      <c r="E2022" s="113"/>
      <c r="F2022" s="113"/>
      <c r="G2022" s="113"/>
      <c r="H2022" s="113"/>
      <c r="J2022" s="113"/>
      <c r="K2022" s="113"/>
      <c r="L2022" s="113"/>
      <c r="M2022" s="113"/>
      <c r="N2022" s="113" t="s">
        <v>9</v>
      </c>
      <c r="O2022" s="113"/>
      <c r="P2022" s="80"/>
      <c r="Q2022" s="80"/>
      <c r="R2022" s="80"/>
      <c r="S2022" s="113" t="s">
        <v>1</v>
      </c>
      <c r="T2022" s="80"/>
      <c r="U2022" s="80"/>
      <c r="V2022" s="80"/>
      <c r="W2022" s="80"/>
      <c r="X2022" s="80"/>
      <c r="Y2022" s="80"/>
      <c r="Z2022" s="80"/>
      <c r="AA2022" s="80"/>
      <c r="AB2022" s="80"/>
      <c r="AC2022" s="80"/>
      <c r="AD2022" s="80"/>
      <c r="AE2022" s="80"/>
      <c r="AF2022" s="80"/>
      <c r="AG2022" s="80"/>
      <c r="AH2022" s="80"/>
      <c r="AI2022" s="113"/>
      <c r="AJ2022" s="113"/>
      <c r="AK2022" s="113"/>
      <c r="AL2022" s="113"/>
      <c r="AM2022" s="113"/>
      <c r="AN2022" s="113"/>
      <c r="AO2022" s="113"/>
      <c r="AP2022" s="113"/>
      <c r="AQ2022" s="113"/>
      <c r="AR2022" s="113"/>
      <c r="AS2022" s="113"/>
      <c r="AT2022" s="113"/>
      <c r="AU2022" s="113"/>
      <c r="AV2022" s="113"/>
      <c r="AW2022" s="113"/>
      <c r="AX2022" s="113"/>
      <c r="AY2022" s="113"/>
      <c r="AZ2022" s="113" t="s">
        <v>15</v>
      </c>
      <c r="BA2022" s="80"/>
      <c r="BB2022" s="113" t="s">
        <v>10</v>
      </c>
      <c r="BC2022" s="80"/>
      <c r="BD2022" s="113">
        <v>27</v>
      </c>
      <c r="BH2022" s="80"/>
      <c r="BI2022" s="80"/>
      <c r="BJ2022" s="80"/>
      <c r="BK2022" s="80"/>
      <c r="BL2022" s="80"/>
      <c r="BM2022" s="80"/>
      <c r="BN2022" s="80"/>
      <c r="BP2022" s="80"/>
    </row>
    <row r="2023" spans="2:68">
      <c r="B2023" s="141" t="s">
        <v>2654</v>
      </c>
      <c r="C2023" s="113"/>
      <c r="D2023" s="113"/>
      <c r="E2023" s="113"/>
      <c r="F2023" s="113"/>
      <c r="G2023" s="113"/>
      <c r="H2023" s="113"/>
      <c r="J2023" s="113"/>
      <c r="K2023" s="113"/>
      <c r="L2023" s="113"/>
      <c r="M2023" s="113"/>
      <c r="N2023" s="113" t="s">
        <v>9</v>
      </c>
      <c r="O2023" s="113"/>
      <c r="P2023" s="80"/>
      <c r="Q2023" s="80"/>
      <c r="R2023" s="80"/>
      <c r="S2023" s="113" t="s">
        <v>1</v>
      </c>
      <c r="T2023" s="80"/>
      <c r="U2023" s="80"/>
      <c r="V2023" s="80"/>
      <c r="W2023" s="80"/>
      <c r="X2023" s="80"/>
      <c r="Y2023" s="80"/>
      <c r="Z2023" s="80"/>
      <c r="AA2023" s="80"/>
      <c r="AB2023" s="80"/>
      <c r="AC2023" s="80"/>
      <c r="AD2023" s="80"/>
      <c r="AE2023" s="80"/>
      <c r="AF2023" s="80"/>
      <c r="AG2023" s="80"/>
      <c r="AH2023" s="80"/>
      <c r="AI2023" s="113"/>
      <c r="AJ2023" s="113"/>
      <c r="AK2023" s="113"/>
      <c r="AL2023" s="113"/>
      <c r="AM2023" s="113"/>
      <c r="AN2023" s="113"/>
      <c r="AO2023" s="113"/>
      <c r="AP2023" s="113"/>
      <c r="AQ2023" s="113"/>
      <c r="AR2023" s="113"/>
      <c r="AS2023" s="113"/>
      <c r="AT2023" s="113"/>
      <c r="AU2023" s="113"/>
      <c r="AV2023" s="113"/>
      <c r="AW2023" s="113"/>
      <c r="AX2023" s="113"/>
      <c r="AY2023" s="113"/>
      <c r="AZ2023" s="113" t="s">
        <v>14</v>
      </c>
      <c r="BA2023" s="80"/>
      <c r="BB2023" s="113" t="s">
        <v>13</v>
      </c>
      <c r="BC2023" s="80"/>
      <c r="BD2023" s="113">
        <v>28</v>
      </c>
      <c r="BH2023" s="80"/>
      <c r="BI2023" s="80"/>
      <c r="BJ2023" s="80"/>
      <c r="BK2023" s="80"/>
      <c r="BL2023" s="80"/>
      <c r="BM2023" s="80"/>
      <c r="BN2023" s="80"/>
      <c r="BP2023" s="80"/>
    </row>
    <row r="2024" spans="2:68">
      <c r="B2024" s="141" t="s">
        <v>2655</v>
      </c>
      <c r="C2024" s="113"/>
      <c r="D2024" s="113" t="s">
        <v>12</v>
      </c>
      <c r="E2024" s="113"/>
      <c r="F2024" s="113"/>
      <c r="G2024" s="113"/>
      <c r="H2024" s="113"/>
      <c r="J2024" s="113"/>
      <c r="K2024" s="113"/>
      <c r="L2024" s="113"/>
      <c r="M2024" s="113"/>
      <c r="N2024" s="113" t="s">
        <v>9</v>
      </c>
      <c r="O2024" s="113"/>
      <c r="P2024" s="80"/>
      <c r="Q2024" s="80"/>
      <c r="R2024" s="80"/>
      <c r="S2024" s="113" t="s">
        <v>1</v>
      </c>
      <c r="T2024" s="80"/>
      <c r="U2024" s="80"/>
      <c r="V2024" s="80"/>
      <c r="W2024" s="80"/>
      <c r="X2024" s="80"/>
      <c r="Y2024" s="80"/>
      <c r="Z2024" s="80"/>
      <c r="AA2024" s="80"/>
      <c r="AB2024" s="80"/>
      <c r="AC2024" s="80"/>
      <c r="AD2024" s="80"/>
      <c r="AE2024" s="80"/>
      <c r="AF2024" s="80"/>
      <c r="AG2024" s="80"/>
      <c r="AH2024" s="80"/>
      <c r="AI2024" s="113"/>
      <c r="AJ2024" s="113"/>
      <c r="AK2024" s="113"/>
      <c r="AL2024" s="113"/>
      <c r="AM2024" s="113"/>
      <c r="AN2024" s="113"/>
      <c r="AO2024" s="113"/>
      <c r="AP2024" s="113"/>
      <c r="AQ2024" s="113"/>
      <c r="AR2024" s="113"/>
      <c r="AS2024" s="113"/>
      <c r="AT2024" s="113"/>
      <c r="AU2024" s="113"/>
      <c r="AV2024" s="113"/>
      <c r="AW2024" s="113"/>
      <c r="AX2024" s="113"/>
      <c r="AY2024" s="113"/>
      <c r="AZ2024" s="113" t="s">
        <v>11</v>
      </c>
      <c r="BA2024" s="80"/>
      <c r="BB2024" s="113" t="s">
        <v>10</v>
      </c>
      <c r="BC2024" s="80"/>
      <c r="BD2024" s="113">
        <v>27</v>
      </c>
      <c r="BH2024" s="80"/>
      <c r="BI2024" s="80"/>
      <c r="BJ2024" s="80"/>
      <c r="BK2024" s="80"/>
      <c r="BL2024" s="80"/>
      <c r="BM2024" s="80"/>
      <c r="BN2024" s="80"/>
      <c r="BP2024" s="80"/>
    </row>
    <row r="2025" spans="2:68">
      <c r="B2025" s="141" t="s">
        <v>2656</v>
      </c>
      <c r="C2025" s="113"/>
      <c r="D2025" s="113"/>
      <c r="E2025" s="113"/>
      <c r="F2025" s="113"/>
      <c r="G2025" s="113"/>
      <c r="H2025" s="113"/>
      <c r="J2025" s="113"/>
      <c r="K2025" s="113"/>
      <c r="L2025" s="113"/>
      <c r="M2025" s="113"/>
      <c r="N2025" s="113" t="s">
        <v>9</v>
      </c>
      <c r="O2025" s="113"/>
      <c r="P2025" s="80"/>
      <c r="Q2025" s="80"/>
      <c r="R2025" s="80"/>
      <c r="S2025" s="113" t="s">
        <v>1</v>
      </c>
      <c r="T2025" s="80"/>
      <c r="U2025" s="80"/>
      <c r="V2025" s="80"/>
      <c r="W2025" s="80"/>
      <c r="X2025" s="80"/>
      <c r="Y2025" s="80"/>
      <c r="Z2025" s="80"/>
      <c r="AA2025" s="80"/>
      <c r="AB2025" s="80"/>
      <c r="AC2025" s="80"/>
      <c r="AD2025" s="80"/>
      <c r="AE2025" s="80"/>
      <c r="AF2025" s="80"/>
      <c r="AG2025" s="80"/>
      <c r="AH2025" s="80"/>
      <c r="AI2025" s="113"/>
      <c r="AJ2025" s="113"/>
      <c r="AK2025" s="113"/>
      <c r="AL2025" s="113"/>
      <c r="AM2025" s="113"/>
      <c r="AN2025" s="113"/>
      <c r="AO2025" s="113"/>
      <c r="AP2025" s="113"/>
      <c r="AQ2025" s="113"/>
      <c r="AR2025" s="113"/>
      <c r="AS2025" s="113"/>
      <c r="AT2025" s="113"/>
      <c r="AU2025" s="113"/>
      <c r="AV2025" s="113"/>
      <c r="AW2025" s="113"/>
      <c r="AX2025" s="113"/>
      <c r="AY2025" s="113"/>
      <c r="AZ2025" s="113"/>
      <c r="BA2025" s="80"/>
      <c r="BB2025" s="113"/>
      <c r="BC2025" s="80"/>
      <c r="BD2025" s="113">
        <v>25</v>
      </c>
      <c r="BH2025" s="80"/>
      <c r="BI2025" s="80"/>
      <c r="BJ2025" s="80"/>
      <c r="BK2025" s="80"/>
      <c r="BL2025" s="80"/>
      <c r="BM2025" s="80"/>
      <c r="BN2025" s="80"/>
      <c r="BP2025" s="80"/>
    </row>
    <row r="2026" spans="2:68" ht="27">
      <c r="B2026" s="141" t="s">
        <v>2657</v>
      </c>
      <c r="C2026" s="113"/>
      <c r="D2026" s="113"/>
      <c r="E2026" s="113"/>
      <c r="F2026" s="113"/>
      <c r="G2026" s="113"/>
      <c r="H2026" s="113"/>
      <c r="J2026" s="113"/>
      <c r="K2026" s="113"/>
      <c r="L2026" s="113"/>
      <c r="M2026" s="113"/>
      <c r="N2026" s="113" t="s">
        <v>9</v>
      </c>
      <c r="O2026" s="113"/>
      <c r="P2026" s="80"/>
      <c r="Q2026" s="80"/>
      <c r="R2026" s="80"/>
      <c r="S2026" s="113" t="s">
        <v>1</v>
      </c>
      <c r="T2026" s="80"/>
      <c r="U2026" s="80"/>
      <c r="V2026" s="80"/>
      <c r="W2026" s="80"/>
      <c r="X2026" s="80"/>
      <c r="Y2026" s="80"/>
      <c r="Z2026" s="80"/>
      <c r="AA2026" s="80"/>
      <c r="AB2026" s="80"/>
      <c r="AC2026" s="80"/>
      <c r="AD2026" s="80"/>
      <c r="AE2026" s="80"/>
      <c r="AF2026" s="80"/>
      <c r="AG2026" s="80"/>
      <c r="AH2026" s="80"/>
      <c r="AI2026" s="113"/>
      <c r="AJ2026" s="113"/>
      <c r="AK2026" s="113"/>
      <c r="AL2026" s="113"/>
      <c r="AM2026" s="113"/>
      <c r="AN2026" s="113"/>
      <c r="AO2026" s="113"/>
      <c r="AP2026" s="113"/>
      <c r="AQ2026" s="113"/>
      <c r="AR2026" s="113"/>
      <c r="AS2026" s="113"/>
      <c r="AT2026" s="113"/>
      <c r="AU2026" s="113"/>
      <c r="AV2026" s="113"/>
      <c r="AW2026" s="113"/>
      <c r="AX2026" s="113"/>
      <c r="AY2026" s="113"/>
      <c r="AZ2026" s="113"/>
      <c r="BA2026" s="80"/>
      <c r="BB2026" s="113"/>
      <c r="BC2026" s="80"/>
      <c r="BD2026" s="113">
        <v>6</v>
      </c>
      <c r="BH2026" s="80"/>
      <c r="BI2026" s="80"/>
      <c r="BJ2026" s="80"/>
      <c r="BK2026" s="80"/>
      <c r="BL2026" s="80"/>
      <c r="BM2026" s="80"/>
      <c r="BN2026" s="80"/>
      <c r="BP2026" s="80"/>
    </row>
    <row r="2027" spans="2:68">
      <c r="B2027" s="141" t="s">
        <v>1489</v>
      </c>
      <c r="C2027" s="113"/>
      <c r="D2027" s="113"/>
      <c r="E2027" s="113"/>
      <c r="F2027" s="113"/>
      <c r="G2027" s="113"/>
      <c r="H2027" s="113"/>
      <c r="J2027" s="113"/>
      <c r="K2027" s="113"/>
      <c r="L2027" s="113"/>
      <c r="M2027" s="113"/>
      <c r="N2027" s="113" t="s">
        <v>9</v>
      </c>
      <c r="O2027" s="113"/>
      <c r="P2027" s="80"/>
      <c r="Q2027" s="80"/>
      <c r="R2027" s="80"/>
      <c r="S2027" s="113" t="s">
        <v>1</v>
      </c>
      <c r="T2027" s="80"/>
      <c r="U2027" s="80"/>
      <c r="V2027" s="80"/>
      <c r="W2027" s="80"/>
      <c r="X2027" s="80"/>
      <c r="Y2027" s="80"/>
      <c r="Z2027" s="80"/>
      <c r="AA2027" s="80"/>
      <c r="AB2027" s="80"/>
      <c r="AC2027" s="80"/>
      <c r="AD2027" s="80"/>
      <c r="AE2027" s="80"/>
      <c r="AF2027" s="80"/>
      <c r="AG2027" s="80"/>
      <c r="AH2027" s="80"/>
      <c r="AI2027" s="113"/>
      <c r="AJ2027" s="113"/>
      <c r="AK2027" s="113"/>
      <c r="AL2027" s="113"/>
      <c r="AM2027" s="113"/>
      <c r="AN2027" s="113"/>
      <c r="AO2027" s="113"/>
      <c r="AP2027" s="113"/>
      <c r="AQ2027" s="113"/>
      <c r="AR2027" s="113"/>
      <c r="AS2027" s="113"/>
      <c r="AT2027" s="113"/>
      <c r="AU2027" s="113"/>
      <c r="AV2027" s="113"/>
      <c r="AW2027" s="113"/>
      <c r="AX2027" s="113"/>
      <c r="AY2027" s="113"/>
      <c r="AZ2027" s="113"/>
      <c r="BA2027" s="80"/>
      <c r="BB2027" s="113"/>
      <c r="BC2027" s="80"/>
      <c r="BD2027" s="113">
        <v>10</v>
      </c>
      <c r="BH2027" s="80"/>
      <c r="BI2027" s="80"/>
      <c r="BJ2027" s="80"/>
      <c r="BK2027" s="80"/>
      <c r="BL2027" s="80"/>
      <c r="BM2027" s="80"/>
      <c r="BN2027" s="80"/>
      <c r="BP2027" s="80"/>
    </row>
    <row r="2028" spans="2:68">
      <c r="B2028" s="141" t="s">
        <v>2658</v>
      </c>
      <c r="C2028" s="113"/>
      <c r="D2028" s="113"/>
      <c r="E2028" s="113"/>
      <c r="F2028" s="113"/>
      <c r="G2028" s="113"/>
      <c r="H2028" s="113"/>
      <c r="J2028" s="113"/>
      <c r="K2028" s="113"/>
      <c r="L2028" s="113"/>
      <c r="M2028" s="113"/>
      <c r="N2028" s="113" t="s">
        <v>9</v>
      </c>
      <c r="O2028" s="113"/>
      <c r="P2028" s="80"/>
      <c r="Q2028" s="80"/>
      <c r="R2028" s="80"/>
      <c r="S2028" s="113" t="s">
        <v>1</v>
      </c>
      <c r="T2028" s="80"/>
      <c r="U2028" s="80"/>
      <c r="V2028" s="80"/>
      <c r="W2028" s="80"/>
      <c r="X2028" s="80"/>
      <c r="Y2028" s="80"/>
      <c r="Z2028" s="80"/>
      <c r="AA2028" s="80"/>
      <c r="AB2028" s="80"/>
      <c r="AC2028" s="80"/>
      <c r="AD2028" s="80"/>
      <c r="AE2028" s="80"/>
      <c r="AF2028" s="80"/>
      <c r="AG2028" s="80"/>
      <c r="AH2028" s="80"/>
      <c r="AI2028" s="113"/>
      <c r="AJ2028" s="113"/>
      <c r="AK2028" s="113"/>
      <c r="AL2028" s="113"/>
      <c r="AM2028" s="113"/>
      <c r="AN2028" s="113"/>
      <c r="AO2028" s="113"/>
      <c r="AP2028" s="113"/>
      <c r="AQ2028" s="113"/>
      <c r="AR2028" s="113"/>
      <c r="AS2028" s="113"/>
      <c r="AT2028" s="113"/>
      <c r="AU2028" s="113"/>
      <c r="AV2028" s="113"/>
      <c r="AW2028" s="113"/>
      <c r="AX2028" s="113"/>
      <c r="AY2028" s="113"/>
      <c r="AZ2028" s="113"/>
      <c r="BA2028" s="80"/>
      <c r="BB2028" s="113"/>
      <c r="BC2028" s="80"/>
      <c r="BD2028" s="113">
        <v>11</v>
      </c>
      <c r="BH2028" s="80"/>
      <c r="BI2028" s="80"/>
      <c r="BJ2028" s="80"/>
      <c r="BK2028" s="80"/>
      <c r="BL2028" s="80"/>
      <c r="BM2028" s="80"/>
      <c r="BN2028" s="80"/>
      <c r="BP2028" s="80"/>
    </row>
    <row r="2029" spans="2:68">
      <c r="B2029" s="141" t="s">
        <v>2659</v>
      </c>
      <c r="C2029" s="113"/>
      <c r="D2029" s="113"/>
      <c r="E2029" s="113"/>
      <c r="F2029" s="113"/>
      <c r="G2029" s="113"/>
      <c r="H2029" s="113"/>
      <c r="J2029" s="113"/>
      <c r="K2029" s="113"/>
      <c r="L2029" s="113"/>
      <c r="M2029" s="113"/>
      <c r="N2029" s="113" t="s">
        <v>9</v>
      </c>
      <c r="O2029" s="113"/>
      <c r="P2029" s="80"/>
      <c r="Q2029" s="80"/>
      <c r="R2029" s="80"/>
      <c r="S2029" s="113" t="s">
        <v>1</v>
      </c>
      <c r="T2029" s="80"/>
      <c r="U2029" s="80"/>
      <c r="V2029" s="80"/>
      <c r="W2029" s="80"/>
      <c r="X2029" s="80"/>
      <c r="Y2029" s="80"/>
      <c r="Z2029" s="80"/>
      <c r="AA2029" s="80"/>
      <c r="AB2029" s="80"/>
      <c r="AC2029" s="80"/>
      <c r="AD2029" s="80"/>
      <c r="AE2029" s="80"/>
      <c r="AF2029" s="80"/>
      <c r="AG2029" s="80"/>
      <c r="AH2029" s="80"/>
      <c r="AI2029" s="113"/>
      <c r="AJ2029" s="113"/>
      <c r="AK2029" s="113"/>
      <c r="AL2029" s="113"/>
      <c r="AM2029" s="113"/>
      <c r="AN2029" s="113"/>
      <c r="AO2029" s="113"/>
      <c r="AP2029" s="113"/>
      <c r="AQ2029" s="113"/>
      <c r="AR2029" s="113"/>
      <c r="AS2029" s="113"/>
      <c r="AT2029" s="113"/>
      <c r="AU2029" s="113"/>
      <c r="AV2029" s="113"/>
      <c r="AW2029" s="113"/>
      <c r="AX2029" s="113"/>
      <c r="AY2029" s="113"/>
      <c r="AZ2029" s="113"/>
      <c r="BA2029" s="80"/>
      <c r="BB2029" s="113"/>
      <c r="BC2029" s="80"/>
      <c r="BD2029" s="113">
        <v>8</v>
      </c>
      <c r="BH2029" s="80"/>
      <c r="BI2029" s="80"/>
      <c r="BJ2029" s="80"/>
      <c r="BK2029" s="80"/>
      <c r="BL2029" s="80"/>
      <c r="BM2029" s="80"/>
      <c r="BN2029" s="80"/>
      <c r="BP2029" s="80"/>
    </row>
    <row r="2030" spans="2:68">
      <c r="B2030" s="141" t="s">
        <v>2660</v>
      </c>
      <c r="C2030" s="113"/>
      <c r="D2030" s="113"/>
      <c r="E2030" s="113"/>
      <c r="F2030" s="113"/>
      <c r="G2030" s="113"/>
      <c r="H2030" s="113"/>
      <c r="J2030" s="113"/>
      <c r="K2030" s="113"/>
      <c r="L2030" s="113"/>
      <c r="M2030" s="113"/>
      <c r="N2030" s="113" t="s">
        <v>9</v>
      </c>
      <c r="O2030" s="113"/>
      <c r="P2030" s="80"/>
      <c r="Q2030" s="80"/>
      <c r="R2030" s="80"/>
      <c r="S2030" s="113" t="s">
        <v>1</v>
      </c>
      <c r="T2030" s="80"/>
      <c r="U2030" s="80"/>
      <c r="V2030" s="80"/>
      <c r="W2030" s="80"/>
      <c r="X2030" s="80"/>
      <c r="Y2030" s="80"/>
      <c r="Z2030" s="80"/>
      <c r="AA2030" s="80"/>
      <c r="AB2030" s="80"/>
      <c r="AC2030" s="80"/>
      <c r="AD2030" s="80"/>
      <c r="AE2030" s="80"/>
      <c r="AF2030" s="80"/>
      <c r="AG2030" s="80"/>
      <c r="AH2030" s="80"/>
      <c r="AI2030" s="113"/>
      <c r="AJ2030" s="113"/>
      <c r="AK2030" s="113"/>
      <c r="AL2030" s="113"/>
      <c r="AM2030" s="113"/>
      <c r="AN2030" s="113"/>
      <c r="AO2030" s="113"/>
      <c r="AP2030" s="113"/>
      <c r="AQ2030" s="113"/>
      <c r="AR2030" s="113"/>
      <c r="AS2030" s="113"/>
      <c r="AT2030" s="113"/>
      <c r="AU2030" s="113"/>
      <c r="AV2030" s="113"/>
      <c r="AW2030" s="113"/>
      <c r="AX2030" s="113"/>
      <c r="AY2030" s="113"/>
      <c r="AZ2030" s="113"/>
      <c r="BA2030" s="80"/>
      <c r="BB2030" s="113"/>
      <c r="BC2030" s="80"/>
      <c r="BD2030" s="113">
        <v>10</v>
      </c>
      <c r="BH2030" s="80"/>
      <c r="BI2030" s="80"/>
      <c r="BJ2030" s="80"/>
      <c r="BK2030" s="80"/>
      <c r="BL2030" s="80"/>
      <c r="BM2030" s="80"/>
      <c r="BN2030" s="80"/>
      <c r="BP2030" s="80"/>
    </row>
    <row r="2031" spans="2:68" ht="27">
      <c r="B2031" s="141" t="s">
        <v>2661</v>
      </c>
      <c r="C2031" s="113"/>
      <c r="D2031" s="113"/>
      <c r="E2031" s="113"/>
      <c r="F2031" s="113"/>
      <c r="G2031" s="113"/>
      <c r="H2031" s="113"/>
      <c r="J2031" s="113"/>
      <c r="K2031" s="113"/>
      <c r="L2031" s="113"/>
      <c r="M2031" s="113"/>
      <c r="N2031" s="113" t="s">
        <v>9</v>
      </c>
      <c r="O2031" s="113"/>
      <c r="P2031" s="80"/>
      <c r="Q2031" s="80"/>
      <c r="R2031" s="80"/>
      <c r="S2031" s="113" t="s">
        <v>1</v>
      </c>
      <c r="T2031" s="80"/>
      <c r="U2031" s="80"/>
      <c r="V2031" s="80"/>
      <c r="W2031" s="80"/>
      <c r="X2031" s="80"/>
      <c r="Y2031" s="80"/>
      <c r="Z2031" s="80"/>
      <c r="AA2031" s="80"/>
      <c r="AB2031" s="80"/>
      <c r="AC2031" s="80"/>
      <c r="AD2031" s="80"/>
      <c r="AE2031" s="80"/>
      <c r="AF2031" s="80"/>
      <c r="AG2031" s="80"/>
      <c r="AH2031" s="80"/>
      <c r="AI2031" s="113"/>
      <c r="AJ2031" s="113"/>
      <c r="AK2031" s="113"/>
      <c r="AL2031" s="113"/>
      <c r="AM2031" s="113"/>
      <c r="AN2031" s="113"/>
      <c r="AO2031" s="113"/>
      <c r="AP2031" s="113"/>
      <c r="AQ2031" s="113"/>
      <c r="AR2031" s="113"/>
      <c r="AS2031" s="113"/>
      <c r="AT2031" s="113"/>
      <c r="AU2031" s="113"/>
      <c r="AV2031" s="113"/>
      <c r="AW2031" s="113"/>
      <c r="AX2031" s="113"/>
      <c r="AY2031" s="113"/>
      <c r="AZ2031" s="113"/>
      <c r="BA2031" s="80"/>
      <c r="BB2031" s="113"/>
      <c r="BC2031" s="80"/>
      <c r="BD2031" s="113">
        <v>9</v>
      </c>
      <c r="BH2031" s="80"/>
      <c r="BI2031" s="80"/>
      <c r="BJ2031" s="80"/>
      <c r="BK2031" s="80"/>
      <c r="BL2031" s="80"/>
      <c r="BM2031" s="80"/>
      <c r="BN2031" s="80"/>
      <c r="BP2031" s="80"/>
    </row>
    <row r="2032" spans="2:68">
      <c r="B2032" s="141" t="s">
        <v>2662</v>
      </c>
      <c r="C2032" s="113"/>
      <c r="D2032" s="113"/>
      <c r="E2032" s="113"/>
      <c r="F2032" s="113"/>
      <c r="G2032" s="113"/>
      <c r="H2032" s="113"/>
      <c r="J2032" s="113"/>
      <c r="K2032" s="113"/>
      <c r="L2032" s="113"/>
      <c r="M2032" s="113"/>
      <c r="N2032" s="113" t="s">
        <v>9</v>
      </c>
      <c r="O2032" s="113"/>
      <c r="P2032" s="80"/>
      <c r="Q2032" s="80"/>
      <c r="R2032" s="80"/>
      <c r="S2032" s="113" t="s">
        <v>1</v>
      </c>
      <c r="T2032" s="80"/>
      <c r="U2032" s="80"/>
      <c r="V2032" s="80"/>
      <c r="W2032" s="80"/>
      <c r="X2032" s="80"/>
      <c r="Y2032" s="80"/>
      <c r="Z2032" s="80"/>
      <c r="AA2032" s="80"/>
      <c r="AB2032" s="80"/>
      <c r="AC2032" s="80"/>
      <c r="AD2032" s="80"/>
      <c r="AE2032" s="80"/>
      <c r="AF2032" s="80"/>
      <c r="AG2032" s="80"/>
      <c r="AH2032" s="80"/>
      <c r="AI2032" s="113"/>
      <c r="AJ2032" s="113"/>
      <c r="AK2032" s="113"/>
      <c r="AL2032" s="113"/>
      <c r="AM2032" s="113"/>
      <c r="AN2032" s="113"/>
      <c r="AO2032" s="113"/>
      <c r="AP2032" s="113"/>
      <c r="AQ2032" s="113"/>
      <c r="AR2032" s="113"/>
      <c r="AS2032" s="113"/>
      <c r="AT2032" s="113"/>
      <c r="AU2032" s="113"/>
      <c r="AV2032" s="113"/>
      <c r="AW2032" s="113"/>
      <c r="AX2032" s="113"/>
      <c r="AY2032" s="113"/>
      <c r="AZ2032" s="113"/>
      <c r="BA2032" s="80"/>
      <c r="BB2032" s="113"/>
      <c r="BC2032" s="80"/>
      <c r="BD2032" s="113">
        <v>8</v>
      </c>
      <c r="BH2032" s="80"/>
      <c r="BI2032" s="80"/>
      <c r="BJ2032" s="80"/>
      <c r="BK2032" s="80"/>
      <c r="BL2032" s="80"/>
      <c r="BM2032" s="80"/>
      <c r="BN2032" s="80"/>
      <c r="BP2032" s="80"/>
    </row>
    <row r="2033" spans="2:68">
      <c r="B2033" s="141" t="s">
        <v>2663</v>
      </c>
      <c r="C2033" s="113"/>
      <c r="D2033" s="113"/>
      <c r="E2033" s="113"/>
      <c r="F2033" s="113"/>
      <c r="G2033" s="113"/>
      <c r="H2033" s="113"/>
      <c r="J2033" s="113"/>
      <c r="K2033" s="113"/>
      <c r="L2033" s="113"/>
      <c r="M2033" s="113"/>
      <c r="N2033" s="113" t="s">
        <v>9</v>
      </c>
      <c r="O2033" s="113"/>
      <c r="P2033" s="80"/>
      <c r="Q2033" s="80"/>
      <c r="R2033" s="80"/>
      <c r="S2033" s="113" t="s">
        <v>1</v>
      </c>
      <c r="T2033" s="80"/>
      <c r="U2033" s="80"/>
      <c r="V2033" s="80"/>
      <c r="W2033" s="80"/>
      <c r="X2033" s="80"/>
      <c r="Y2033" s="80"/>
      <c r="Z2033" s="80"/>
      <c r="AA2033" s="80"/>
      <c r="AB2033" s="80"/>
      <c r="AC2033" s="80"/>
      <c r="AD2033" s="80"/>
      <c r="AE2033" s="80"/>
      <c r="AF2033" s="80"/>
      <c r="AG2033" s="80"/>
      <c r="AH2033" s="80"/>
      <c r="AI2033" s="113"/>
      <c r="AJ2033" s="113"/>
      <c r="AK2033" s="113"/>
      <c r="AL2033" s="113"/>
      <c r="AM2033" s="113"/>
      <c r="AN2033" s="113"/>
      <c r="AO2033" s="113"/>
      <c r="AP2033" s="113"/>
      <c r="AQ2033" s="113"/>
      <c r="AR2033" s="113"/>
      <c r="AS2033" s="113"/>
      <c r="AT2033" s="113"/>
      <c r="AU2033" s="113"/>
      <c r="AV2033" s="113"/>
      <c r="AW2033" s="113"/>
      <c r="AX2033" s="113"/>
      <c r="AY2033" s="113"/>
      <c r="AZ2033" s="113"/>
      <c r="BA2033" s="80"/>
      <c r="BB2033" s="113"/>
      <c r="BC2033" s="80"/>
      <c r="BD2033" s="113">
        <v>9</v>
      </c>
      <c r="BH2033" s="80"/>
      <c r="BI2033" s="80"/>
      <c r="BJ2033" s="80"/>
      <c r="BK2033" s="80"/>
      <c r="BL2033" s="80"/>
      <c r="BM2033" s="80"/>
      <c r="BN2033" s="80"/>
      <c r="BP2033" s="80"/>
    </row>
    <row r="2034" spans="2:68">
      <c r="B2034" s="141" t="s">
        <v>2664</v>
      </c>
      <c r="C2034" s="113"/>
      <c r="D2034" s="113"/>
      <c r="E2034" s="113"/>
      <c r="F2034" s="113"/>
      <c r="G2034" s="113"/>
      <c r="H2034" s="113"/>
      <c r="J2034" s="113"/>
      <c r="K2034" s="113"/>
      <c r="L2034" s="113"/>
      <c r="M2034" s="113"/>
      <c r="N2034" s="113" t="s">
        <v>7</v>
      </c>
      <c r="O2034" s="113"/>
      <c r="P2034" s="80"/>
      <c r="Q2034" s="80"/>
      <c r="R2034" s="80"/>
      <c r="S2034" s="113" t="s">
        <v>8</v>
      </c>
      <c r="T2034" s="80"/>
      <c r="U2034" s="80"/>
      <c r="V2034" s="80"/>
      <c r="W2034" s="80"/>
      <c r="X2034" s="80"/>
      <c r="Y2034" s="80"/>
      <c r="Z2034" s="80"/>
      <c r="AA2034" s="80"/>
      <c r="AB2034" s="80"/>
      <c r="AC2034" s="80"/>
      <c r="AD2034" s="80"/>
      <c r="AE2034" s="80"/>
      <c r="AF2034" s="80"/>
      <c r="AG2034" s="80"/>
      <c r="AH2034" s="80"/>
      <c r="AI2034" s="113"/>
      <c r="AJ2034" s="113"/>
      <c r="AK2034" s="113"/>
      <c r="AL2034" s="113"/>
      <c r="AM2034" s="113"/>
      <c r="AN2034" s="113"/>
      <c r="AO2034" s="113"/>
      <c r="AP2034" s="113"/>
      <c r="AQ2034" s="113"/>
      <c r="AR2034" s="113"/>
      <c r="AS2034" s="113"/>
      <c r="AT2034" s="113"/>
      <c r="AU2034" s="113"/>
      <c r="AV2034" s="113"/>
      <c r="AW2034" s="113"/>
      <c r="AX2034" s="113"/>
      <c r="AY2034" s="113"/>
      <c r="AZ2034" s="113"/>
      <c r="BA2034" s="80"/>
      <c r="BB2034" s="113"/>
      <c r="BC2034" s="80"/>
      <c r="BD2034" s="113">
        <v>24</v>
      </c>
      <c r="BH2034" s="80"/>
      <c r="BI2034" s="80"/>
      <c r="BJ2034" s="80"/>
      <c r="BK2034" s="80"/>
      <c r="BL2034" s="80"/>
      <c r="BM2034" s="80"/>
      <c r="BN2034" s="80"/>
      <c r="BP2034" s="80"/>
    </row>
    <row r="2035" spans="2:68">
      <c r="B2035" s="141" t="s">
        <v>2665</v>
      </c>
      <c r="C2035" s="113"/>
      <c r="D2035" s="113"/>
      <c r="E2035" s="113"/>
      <c r="F2035" s="113"/>
      <c r="G2035" s="113"/>
      <c r="H2035" s="113"/>
      <c r="J2035" s="113"/>
      <c r="K2035" s="113"/>
      <c r="L2035" s="113"/>
      <c r="M2035" s="113"/>
      <c r="N2035" s="113" t="s">
        <v>7</v>
      </c>
      <c r="O2035" s="113"/>
      <c r="P2035" s="80"/>
      <c r="Q2035" s="80"/>
      <c r="R2035" s="80"/>
      <c r="S2035" s="113" t="s">
        <v>1</v>
      </c>
      <c r="T2035" s="80"/>
      <c r="U2035" s="80"/>
      <c r="V2035" s="80"/>
      <c r="W2035" s="80"/>
      <c r="X2035" s="80"/>
      <c r="Y2035" s="80"/>
      <c r="Z2035" s="80"/>
      <c r="AA2035" s="80"/>
      <c r="AB2035" s="80"/>
      <c r="AC2035" s="80"/>
      <c r="AD2035" s="80"/>
      <c r="AE2035" s="80"/>
      <c r="AF2035" s="80"/>
      <c r="AG2035" s="80"/>
      <c r="AH2035" s="80"/>
      <c r="AI2035" s="113"/>
      <c r="AJ2035" s="113"/>
      <c r="AK2035" s="113"/>
      <c r="AL2035" s="113"/>
      <c r="AM2035" s="113"/>
      <c r="AN2035" s="113"/>
      <c r="AO2035" s="113"/>
      <c r="AP2035" s="113"/>
      <c r="AQ2035" s="113"/>
      <c r="AR2035" s="113"/>
      <c r="AS2035" s="113"/>
      <c r="AT2035" s="113"/>
      <c r="AU2035" s="113"/>
      <c r="AV2035" s="113"/>
      <c r="AW2035" s="113"/>
      <c r="AX2035" s="113"/>
      <c r="AY2035" s="113"/>
      <c r="AZ2035" s="113"/>
      <c r="BA2035" s="80"/>
      <c r="BB2035" s="113"/>
      <c r="BC2035" s="80"/>
      <c r="BD2035" s="113">
        <v>26</v>
      </c>
      <c r="BH2035" s="80"/>
      <c r="BI2035" s="80"/>
      <c r="BJ2035" s="80"/>
      <c r="BK2035" s="80"/>
      <c r="BL2035" s="80"/>
      <c r="BM2035" s="80"/>
      <c r="BN2035" s="80"/>
      <c r="BP2035" s="80"/>
    </row>
    <row r="2036" spans="2:68">
      <c r="B2036" s="141" t="s">
        <v>2666</v>
      </c>
      <c r="C2036" s="113"/>
      <c r="D2036" s="113"/>
      <c r="E2036" s="113"/>
      <c r="F2036" s="113"/>
      <c r="G2036" s="113"/>
      <c r="H2036" s="113"/>
      <c r="J2036" s="113"/>
      <c r="K2036" s="113"/>
      <c r="L2036" s="113"/>
      <c r="M2036" s="113"/>
      <c r="N2036" s="113" t="s">
        <v>6</v>
      </c>
      <c r="O2036" s="113"/>
      <c r="P2036" s="80"/>
      <c r="Q2036" s="80"/>
      <c r="R2036" s="80"/>
      <c r="S2036" s="113" t="s">
        <v>1</v>
      </c>
      <c r="T2036" s="80"/>
      <c r="U2036" s="80"/>
      <c r="V2036" s="80"/>
      <c r="W2036" s="80"/>
      <c r="X2036" s="80"/>
      <c r="Y2036" s="80"/>
      <c r="Z2036" s="80"/>
      <c r="AA2036" s="80"/>
      <c r="AB2036" s="80"/>
      <c r="AC2036" s="80"/>
      <c r="AD2036" s="80"/>
      <c r="AE2036" s="80"/>
      <c r="AF2036" s="80"/>
      <c r="AG2036" s="80"/>
      <c r="AH2036" s="80"/>
      <c r="AI2036" s="113"/>
      <c r="AJ2036" s="113"/>
      <c r="AK2036" s="113"/>
      <c r="AL2036" s="113"/>
      <c r="AM2036" s="113"/>
      <c r="AN2036" s="113"/>
      <c r="AO2036" s="113"/>
      <c r="AP2036" s="113"/>
      <c r="AQ2036" s="113"/>
      <c r="AR2036" s="113"/>
      <c r="AS2036" s="113"/>
      <c r="AT2036" s="113"/>
      <c r="AU2036" s="113"/>
      <c r="AV2036" s="113"/>
      <c r="AW2036" s="113"/>
      <c r="AX2036" s="113"/>
      <c r="AY2036" s="113"/>
      <c r="AZ2036" s="113"/>
      <c r="BA2036" s="80"/>
      <c r="BB2036" s="113"/>
      <c r="BC2036" s="80"/>
      <c r="BD2036" s="113">
        <v>4</v>
      </c>
      <c r="BH2036" s="80"/>
      <c r="BI2036" s="80"/>
      <c r="BJ2036" s="80"/>
      <c r="BK2036" s="80"/>
      <c r="BL2036" s="80"/>
      <c r="BM2036" s="80"/>
      <c r="BN2036" s="80"/>
      <c r="BP2036" s="80"/>
    </row>
    <row r="2037" spans="2:68">
      <c r="B2037" s="141" t="s">
        <v>2667</v>
      </c>
      <c r="C2037" s="113"/>
      <c r="D2037" s="113"/>
      <c r="E2037" s="113"/>
      <c r="F2037" s="113"/>
      <c r="G2037" s="113"/>
      <c r="H2037" s="113"/>
      <c r="J2037" s="113"/>
      <c r="K2037" s="113"/>
      <c r="L2037" s="113"/>
      <c r="M2037" s="113"/>
      <c r="N2037" s="113" t="s">
        <v>5</v>
      </c>
      <c r="O2037" s="113"/>
      <c r="P2037" s="80"/>
      <c r="Q2037" s="80"/>
      <c r="R2037" s="80"/>
      <c r="S2037" s="113"/>
      <c r="T2037" s="80"/>
      <c r="U2037" s="80"/>
      <c r="V2037" s="80"/>
      <c r="W2037" s="80"/>
      <c r="X2037" s="80"/>
      <c r="Y2037" s="80"/>
      <c r="Z2037" s="80"/>
      <c r="AA2037" s="80"/>
      <c r="AB2037" s="80"/>
      <c r="AC2037" s="80"/>
      <c r="AD2037" s="80"/>
      <c r="AE2037" s="80"/>
      <c r="AF2037" s="80"/>
      <c r="AG2037" s="80"/>
      <c r="AH2037" s="80"/>
      <c r="AI2037" s="113"/>
      <c r="AJ2037" s="113"/>
      <c r="AK2037" s="113"/>
      <c r="AL2037" s="113"/>
      <c r="AM2037" s="113"/>
      <c r="AN2037" s="113"/>
      <c r="AO2037" s="113"/>
      <c r="AP2037" s="113"/>
      <c r="AQ2037" s="113"/>
      <c r="AR2037" s="113"/>
      <c r="AS2037" s="113"/>
      <c r="AT2037" s="113"/>
      <c r="AU2037" s="113"/>
      <c r="AV2037" s="113"/>
      <c r="AW2037" s="113"/>
      <c r="AX2037" s="113"/>
      <c r="AY2037" s="113"/>
      <c r="AZ2037" s="113"/>
      <c r="BA2037" s="80"/>
      <c r="BB2037" s="113"/>
      <c r="BC2037" s="80"/>
      <c r="BD2037" s="113"/>
      <c r="BH2037" s="80"/>
      <c r="BI2037" s="80"/>
      <c r="BJ2037" s="80"/>
      <c r="BK2037" s="80"/>
      <c r="BL2037" s="80"/>
      <c r="BM2037" s="80"/>
      <c r="BN2037" s="80"/>
      <c r="BP2037" s="80"/>
    </row>
    <row r="2038" spans="2:68">
      <c r="B2038" s="141" t="s">
        <v>2668</v>
      </c>
      <c r="C2038" s="113"/>
      <c r="D2038" s="113"/>
      <c r="E2038" s="113"/>
      <c r="F2038" s="113"/>
      <c r="G2038" s="113"/>
      <c r="H2038" s="113"/>
      <c r="J2038" s="113"/>
      <c r="K2038" s="113"/>
      <c r="L2038" s="113"/>
      <c r="M2038" s="113"/>
      <c r="N2038" s="113" t="s">
        <v>5</v>
      </c>
      <c r="O2038" s="113"/>
      <c r="P2038" s="80"/>
      <c r="Q2038" s="80"/>
      <c r="R2038" s="80"/>
      <c r="S2038" s="113"/>
      <c r="T2038" s="80"/>
      <c r="U2038" s="80"/>
      <c r="V2038" s="80"/>
      <c r="W2038" s="80"/>
      <c r="X2038" s="80"/>
      <c r="Y2038" s="80"/>
      <c r="Z2038" s="80"/>
      <c r="AA2038" s="80"/>
      <c r="AB2038" s="80"/>
      <c r="AC2038" s="80"/>
      <c r="AD2038" s="80"/>
      <c r="AE2038" s="80"/>
      <c r="AF2038" s="80"/>
      <c r="AG2038" s="80"/>
      <c r="AH2038" s="80"/>
      <c r="AI2038" s="113"/>
      <c r="AJ2038" s="113"/>
      <c r="AK2038" s="113"/>
      <c r="AL2038" s="113"/>
      <c r="AM2038" s="113"/>
      <c r="AN2038" s="113"/>
      <c r="AO2038" s="113"/>
      <c r="AP2038" s="113"/>
      <c r="AQ2038" s="113"/>
      <c r="AR2038" s="113"/>
      <c r="AS2038" s="113"/>
      <c r="AT2038" s="113"/>
      <c r="AU2038" s="113"/>
      <c r="AV2038" s="113"/>
      <c r="AW2038" s="113"/>
      <c r="AX2038" s="113"/>
      <c r="AY2038" s="113"/>
      <c r="AZ2038" s="113"/>
      <c r="BA2038" s="80"/>
      <c r="BB2038" s="113"/>
      <c r="BC2038" s="80"/>
      <c r="BD2038" s="113"/>
      <c r="BH2038" s="80"/>
      <c r="BI2038" s="80"/>
      <c r="BJ2038" s="80"/>
      <c r="BK2038" s="80"/>
      <c r="BL2038" s="80"/>
      <c r="BM2038" s="80"/>
      <c r="BN2038" s="80"/>
      <c r="BP2038" s="80"/>
    </row>
    <row r="2039" spans="2:68">
      <c r="B2039" s="141" t="s">
        <v>2669</v>
      </c>
      <c r="C2039" s="113"/>
      <c r="D2039" s="113"/>
      <c r="E2039" s="113"/>
      <c r="F2039" s="113"/>
      <c r="G2039" s="113"/>
      <c r="H2039" s="113"/>
      <c r="J2039" s="113"/>
      <c r="K2039" s="113"/>
      <c r="L2039" s="113"/>
      <c r="M2039" s="113"/>
      <c r="N2039" s="113" t="s">
        <v>5</v>
      </c>
      <c r="O2039" s="113"/>
      <c r="P2039" s="80"/>
      <c r="Q2039" s="80"/>
      <c r="R2039" s="80"/>
      <c r="S2039" s="113"/>
      <c r="T2039" s="80"/>
      <c r="U2039" s="80"/>
      <c r="V2039" s="80"/>
      <c r="W2039" s="80"/>
      <c r="X2039" s="80"/>
      <c r="Y2039" s="80"/>
      <c r="Z2039" s="80"/>
      <c r="AA2039" s="80"/>
      <c r="AB2039" s="80"/>
      <c r="AC2039" s="80"/>
      <c r="AD2039" s="80"/>
      <c r="AE2039" s="80"/>
      <c r="AF2039" s="80"/>
      <c r="AG2039" s="80"/>
      <c r="AH2039" s="80"/>
      <c r="AI2039" s="113"/>
      <c r="AJ2039" s="113"/>
      <c r="AK2039" s="113"/>
      <c r="AL2039" s="113"/>
      <c r="AM2039" s="113"/>
      <c r="AN2039" s="113"/>
      <c r="AO2039" s="113"/>
      <c r="AP2039" s="113"/>
      <c r="AQ2039" s="113"/>
      <c r="AR2039" s="113"/>
      <c r="AS2039" s="113"/>
      <c r="AT2039" s="113"/>
      <c r="AU2039" s="113"/>
      <c r="AV2039" s="113"/>
      <c r="AW2039" s="113"/>
      <c r="AX2039" s="113"/>
      <c r="AY2039" s="113"/>
      <c r="AZ2039" s="113"/>
      <c r="BA2039" s="80"/>
      <c r="BB2039" s="113"/>
      <c r="BC2039" s="80"/>
      <c r="BD2039" s="113"/>
      <c r="BH2039" s="80"/>
      <c r="BI2039" s="80"/>
      <c r="BJ2039" s="80"/>
      <c r="BK2039" s="80"/>
      <c r="BL2039" s="80"/>
      <c r="BM2039" s="80"/>
      <c r="BN2039" s="80"/>
      <c r="BP2039" s="80"/>
    </row>
    <row r="2040" spans="2:68">
      <c r="B2040" s="141" t="s">
        <v>2670</v>
      </c>
      <c r="C2040" s="113"/>
      <c r="D2040" s="113"/>
      <c r="E2040" s="113"/>
      <c r="F2040" s="113"/>
      <c r="G2040" s="113"/>
      <c r="H2040" s="113"/>
      <c r="J2040" s="113"/>
      <c r="K2040" s="113"/>
      <c r="L2040" s="113"/>
      <c r="M2040" s="113"/>
      <c r="N2040" s="113" t="s">
        <v>5</v>
      </c>
      <c r="O2040" s="113"/>
      <c r="P2040" s="80"/>
      <c r="Q2040" s="80"/>
      <c r="R2040" s="80"/>
      <c r="S2040" s="113"/>
      <c r="T2040" s="80"/>
      <c r="U2040" s="80"/>
      <c r="V2040" s="80"/>
      <c r="W2040" s="80"/>
      <c r="X2040" s="80"/>
      <c r="Y2040" s="80"/>
      <c r="Z2040" s="80"/>
      <c r="AA2040" s="80"/>
      <c r="AB2040" s="80"/>
      <c r="AC2040" s="80"/>
      <c r="AD2040" s="80"/>
      <c r="AE2040" s="80"/>
      <c r="AF2040" s="80"/>
      <c r="AG2040" s="80"/>
      <c r="AH2040" s="80"/>
      <c r="AI2040" s="113"/>
      <c r="AJ2040" s="113"/>
      <c r="AK2040" s="113"/>
      <c r="AL2040" s="113"/>
      <c r="AM2040" s="113"/>
      <c r="AN2040" s="113"/>
      <c r="AO2040" s="113"/>
      <c r="AP2040" s="113"/>
      <c r="AQ2040" s="113"/>
      <c r="AR2040" s="113"/>
      <c r="AS2040" s="113"/>
      <c r="AT2040" s="113"/>
      <c r="AU2040" s="113"/>
      <c r="AV2040" s="113"/>
      <c r="AW2040" s="113"/>
      <c r="AX2040" s="113"/>
      <c r="AY2040" s="113"/>
      <c r="AZ2040" s="113"/>
      <c r="BA2040" s="80"/>
      <c r="BB2040" s="113"/>
      <c r="BC2040" s="80"/>
      <c r="BD2040" s="113"/>
      <c r="BH2040" s="80"/>
      <c r="BI2040" s="80"/>
      <c r="BJ2040" s="80"/>
      <c r="BK2040" s="80"/>
      <c r="BL2040" s="80"/>
      <c r="BM2040" s="80"/>
      <c r="BN2040" s="80"/>
      <c r="BP2040" s="80"/>
    </row>
    <row r="2041" spans="2:68">
      <c r="B2041" s="141" t="s">
        <v>2671</v>
      </c>
      <c r="C2041" s="113"/>
      <c r="D2041" s="113"/>
      <c r="E2041" s="113"/>
      <c r="F2041" s="113"/>
      <c r="G2041" s="113"/>
      <c r="H2041" s="113"/>
      <c r="J2041" s="113"/>
      <c r="K2041" s="113"/>
      <c r="L2041" s="113"/>
      <c r="M2041" s="113"/>
      <c r="N2041" s="113" t="s">
        <v>5</v>
      </c>
      <c r="O2041" s="113"/>
      <c r="P2041" s="80"/>
      <c r="Q2041" s="80"/>
      <c r="R2041" s="80"/>
      <c r="S2041" s="113"/>
      <c r="T2041" s="80"/>
      <c r="U2041" s="80"/>
      <c r="V2041" s="80"/>
      <c r="W2041" s="80"/>
      <c r="X2041" s="80"/>
      <c r="Y2041" s="80"/>
      <c r="Z2041" s="80"/>
      <c r="AA2041" s="80"/>
      <c r="AB2041" s="80"/>
      <c r="AC2041" s="80"/>
      <c r="AD2041" s="80"/>
      <c r="AE2041" s="80"/>
      <c r="AF2041" s="80"/>
      <c r="AG2041" s="80"/>
      <c r="AH2041" s="80"/>
      <c r="AI2041" s="113"/>
      <c r="AJ2041" s="113"/>
      <c r="AK2041" s="113"/>
      <c r="AL2041" s="113"/>
      <c r="AM2041" s="113"/>
      <c r="AN2041" s="113"/>
      <c r="AO2041" s="113"/>
      <c r="AP2041" s="113"/>
      <c r="AQ2041" s="113"/>
      <c r="AR2041" s="113"/>
      <c r="AS2041" s="113"/>
      <c r="AT2041" s="113"/>
      <c r="AU2041" s="113"/>
      <c r="AV2041" s="113"/>
      <c r="AW2041" s="113"/>
      <c r="AX2041" s="113"/>
      <c r="AY2041" s="113"/>
      <c r="AZ2041" s="113"/>
      <c r="BA2041" s="80"/>
      <c r="BB2041" s="113"/>
      <c r="BC2041" s="80"/>
      <c r="BD2041" s="113"/>
      <c r="BH2041" s="80"/>
      <c r="BI2041" s="80"/>
      <c r="BJ2041" s="80"/>
      <c r="BK2041" s="80"/>
      <c r="BL2041" s="80"/>
      <c r="BM2041" s="80"/>
      <c r="BN2041" s="80"/>
      <c r="BP2041" s="80"/>
    </row>
    <row r="2042" spans="2:68">
      <c r="B2042" s="141" t="s">
        <v>2672</v>
      </c>
      <c r="C2042" s="113"/>
      <c r="D2042" s="113"/>
      <c r="E2042" s="113"/>
      <c r="F2042" s="113"/>
      <c r="G2042" s="113"/>
      <c r="H2042" s="113"/>
      <c r="J2042" s="113"/>
      <c r="K2042" s="113"/>
      <c r="L2042" s="113"/>
      <c r="M2042" s="113"/>
      <c r="N2042" s="113" t="s">
        <v>5</v>
      </c>
      <c r="O2042" s="113"/>
      <c r="P2042" s="80"/>
      <c r="Q2042" s="80"/>
      <c r="R2042" s="80"/>
      <c r="S2042" s="113"/>
      <c r="T2042" s="80"/>
      <c r="U2042" s="80"/>
      <c r="V2042" s="80"/>
      <c r="W2042" s="80"/>
      <c r="X2042" s="80"/>
      <c r="Y2042" s="80"/>
      <c r="Z2042" s="80"/>
      <c r="AA2042" s="80"/>
      <c r="AB2042" s="80"/>
      <c r="AC2042" s="80"/>
      <c r="AD2042" s="80"/>
      <c r="AE2042" s="80"/>
      <c r="AF2042" s="80"/>
      <c r="AG2042" s="80"/>
      <c r="AH2042" s="80"/>
      <c r="AI2042" s="113"/>
      <c r="AJ2042" s="113"/>
      <c r="AK2042" s="113"/>
      <c r="AL2042" s="113"/>
      <c r="AM2042" s="113"/>
      <c r="AN2042" s="113"/>
      <c r="AO2042" s="113"/>
      <c r="AP2042" s="113"/>
      <c r="AQ2042" s="113"/>
      <c r="AR2042" s="113"/>
      <c r="AS2042" s="113"/>
      <c r="AT2042" s="113"/>
      <c r="AU2042" s="113"/>
      <c r="AV2042" s="113"/>
      <c r="AW2042" s="113"/>
      <c r="AX2042" s="113"/>
      <c r="AY2042" s="113"/>
      <c r="AZ2042" s="113"/>
      <c r="BA2042" s="80"/>
      <c r="BB2042" s="113"/>
      <c r="BC2042" s="80"/>
      <c r="BD2042" s="113"/>
      <c r="BH2042" s="80"/>
      <c r="BI2042" s="80"/>
      <c r="BJ2042" s="80"/>
      <c r="BK2042" s="80"/>
      <c r="BL2042" s="80"/>
      <c r="BM2042" s="80"/>
      <c r="BN2042" s="80"/>
      <c r="BP2042" s="80"/>
    </row>
    <row r="2043" spans="2:68">
      <c r="B2043" s="141" t="s">
        <v>2673</v>
      </c>
      <c r="C2043" s="113"/>
      <c r="D2043" s="113"/>
      <c r="E2043" s="113"/>
      <c r="F2043" s="113"/>
      <c r="G2043" s="113"/>
      <c r="H2043" s="113"/>
      <c r="J2043" s="113"/>
      <c r="K2043" s="113"/>
      <c r="L2043" s="113"/>
      <c r="M2043" s="113"/>
      <c r="N2043" s="113" t="s">
        <v>5</v>
      </c>
      <c r="O2043" s="113"/>
      <c r="P2043" s="80"/>
      <c r="Q2043" s="80"/>
      <c r="R2043" s="80"/>
      <c r="S2043" s="113"/>
      <c r="T2043" s="80"/>
      <c r="U2043" s="80"/>
      <c r="V2043" s="80"/>
      <c r="W2043" s="80"/>
      <c r="X2043" s="80"/>
      <c r="Y2043" s="80"/>
      <c r="Z2043" s="80"/>
      <c r="AA2043" s="80"/>
      <c r="AB2043" s="80"/>
      <c r="AC2043" s="80"/>
      <c r="AD2043" s="80"/>
      <c r="AE2043" s="80"/>
      <c r="AF2043" s="80"/>
      <c r="AG2043" s="80"/>
      <c r="AH2043" s="80"/>
      <c r="AI2043" s="113"/>
      <c r="AJ2043" s="113"/>
      <c r="AK2043" s="113"/>
      <c r="AL2043" s="113"/>
      <c r="AM2043" s="113"/>
      <c r="AN2043" s="113"/>
      <c r="AO2043" s="113"/>
      <c r="AP2043" s="113"/>
      <c r="AQ2043" s="113"/>
      <c r="AR2043" s="113"/>
      <c r="AS2043" s="113"/>
      <c r="AT2043" s="113"/>
      <c r="AU2043" s="113"/>
      <c r="AV2043" s="113"/>
      <c r="AW2043" s="113"/>
      <c r="AX2043" s="113"/>
      <c r="AY2043" s="113"/>
      <c r="AZ2043" s="113"/>
      <c r="BA2043" s="80"/>
      <c r="BB2043" s="113"/>
      <c r="BC2043" s="80"/>
      <c r="BD2043" s="113"/>
      <c r="BH2043" s="80"/>
      <c r="BI2043" s="80"/>
      <c r="BJ2043" s="80"/>
      <c r="BK2043" s="80"/>
      <c r="BL2043" s="80"/>
      <c r="BM2043" s="80"/>
      <c r="BN2043" s="80"/>
      <c r="BP2043" s="80"/>
    </row>
    <row r="2044" spans="2:68">
      <c r="B2044" s="141" t="s">
        <v>2674</v>
      </c>
      <c r="C2044" s="113"/>
      <c r="D2044" s="113"/>
      <c r="E2044" s="113"/>
      <c r="F2044" s="113"/>
      <c r="G2044" s="113"/>
      <c r="H2044" s="113"/>
      <c r="J2044" s="113"/>
      <c r="K2044" s="113"/>
      <c r="L2044" s="113"/>
      <c r="M2044" s="113"/>
      <c r="N2044" s="113" t="s">
        <v>5</v>
      </c>
      <c r="O2044" s="113"/>
      <c r="P2044" s="80"/>
      <c r="Q2044" s="80"/>
      <c r="R2044" s="80"/>
      <c r="S2044" s="113"/>
      <c r="T2044" s="80"/>
      <c r="U2044" s="80"/>
      <c r="V2044" s="80"/>
      <c r="W2044" s="80"/>
      <c r="X2044" s="80"/>
      <c r="Y2044" s="80"/>
      <c r="Z2044" s="80"/>
      <c r="AA2044" s="80"/>
      <c r="AB2044" s="80"/>
      <c r="AC2044" s="80"/>
      <c r="AD2044" s="80"/>
      <c r="AE2044" s="80"/>
      <c r="AF2044" s="80"/>
      <c r="AG2044" s="80"/>
      <c r="AH2044" s="80"/>
      <c r="AI2044" s="113"/>
      <c r="AJ2044" s="113"/>
      <c r="AK2044" s="113"/>
      <c r="AL2044" s="113"/>
      <c r="AM2044" s="113"/>
      <c r="AN2044" s="113"/>
      <c r="AO2044" s="113"/>
      <c r="AP2044" s="113"/>
      <c r="AQ2044" s="113"/>
      <c r="AR2044" s="113"/>
      <c r="AS2044" s="113"/>
      <c r="AT2044" s="113"/>
      <c r="AU2044" s="113"/>
      <c r="AV2044" s="113"/>
      <c r="AW2044" s="113"/>
      <c r="AX2044" s="113"/>
      <c r="AY2044" s="113"/>
      <c r="AZ2044" s="113"/>
      <c r="BA2044" s="80"/>
      <c r="BB2044" s="113"/>
      <c r="BC2044" s="80"/>
      <c r="BD2044" s="113"/>
      <c r="BH2044" s="80"/>
      <c r="BI2044" s="80"/>
      <c r="BJ2044" s="80"/>
      <c r="BK2044" s="80"/>
      <c r="BL2044" s="80"/>
      <c r="BM2044" s="80"/>
      <c r="BN2044" s="80"/>
      <c r="BP2044" s="80"/>
    </row>
    <row r="2045" spans="2:68">
      <c r="B2045" s="141" t="s">
        <v>2675</v>
      </c>
      <c r="C2045" s="113"/>
      <c r="D2045" s="113"/>
      <c r="E2045" s="113"/>
      <c r="F2045" s="113"/>
      <c r="G2045" s="113"/>
      <c r="H2045" s="113"/>
      <c r="J2045" s="113"/>
      <c r="K2045" s="113"/>
      <c r="L2045" s="113"/>
      <c r="M2045" s="113"/>
      <c r="N2045" s="113" t="s">
        <v>5</v>
      </c>
      <c r="O2045" s="113"/>
      <c r="P2045" s="80"/>
      <c r="Q2045" s="80"/>
      <c r="R2045" s="80"/>
      <c r="S2045" s="113"/>
      <c r="T2045" s="80"/>
      <c r="U2045" s="80"/>
      <c r="V2045" s="80"/>
      <c r="W2045" s="80"/>
      <c r="X2045" s="80"/>
      <c r="Y2045" s="80"/>
      <c r="Z2045" s="80"/>
      <c r="AA2045" s="80"/>
      <c r="AB2045" s="80"/>
      <c r="AC2045" s="80"/>
      <c r="AD2045" s="80"/>
      <c r="AE2045" s="80"/>
      <c r="AF2045" s="80"/>
      <c r="AG2045" s="80"/>
      <c r="AH2045" s="80"/>
      <c r="AI2045" s="113"/>
      <c r="AJ2045" s="113"/>
      <c r="AK2045" s="113"/>
      <c r="AL2045" s="113"/>
      <c r="AM2045" s="113"/>
      <c r="AN2045" s="113"/>
      <c r="AO2045" s="113"/>
      <c r="AP2045" s="113"/>
      <c r="AQ2045" s="113"/>
      <c r="AR2045" s="113"/>
      <c r="AS2045" s="113"/>
      <c r="AT2045" s="113"/>
      <c r="AU2045" s="113"/>
      <c r="AV2045" s="113"/>
      <c r="AW2045" s="113"/>
      <c r="AX2045" s="113"/>
      <c r="AY2045" s="113"/>
      <c r="AZ2045" s="113"/>
      <c r="BA2045" s="80"/>
      <c r="BB2045" s="113"/>
      <c r="BC2045" s="80"/>
      <c r="BD2045" s="113"/>
      <c r="BH2045" s="80"/>
      <c r="BI2045" s="80"/>
      <c r="BJ2045" s="80"/>
      <c r="BK2045" s="80"/>
      <c r="BL2045" s="80"/>
      <c r="BM2045" s="80"/>
      <c r="BN2045" s="80"/>
      <c r="BP2045" s="80"/>
    </row>
    <row r="2046" spans="2:68">
      <c r="B2046" s="141" t="s">
        <v>2676</v>
      </c>
      <c r="C2046" s="113"/>
      <c r="D2046" s="113"/>
      <c r="E2046" s="113"/>
      <c r="F2046" s="113"/>
      <c r="G2046" s="113"/>
      <c r="H2046" s="113"/>
      <c r="J2046" s="113"/>
      <c r="K2046" s="113"/>
      <c r="L2046" s="113"/>
      <c r="M2046" s="113"/>
      <c r="N2046" s="113" t="s">
        <v>5</v>
      </c>
      <c r="O2046" s="113"/>
      <c r="P2046" s="80"/>
      <c r="Q2046" s="80"/>
      <c r="R2046" s="80"/>
      <c r="S2046" s="113"/>
      <c r="T2046" s="80"/>
      <c r="U2046" s="80"/>
      <c r="V2046" s="80"/>
      <c r="W2046" s="80"/>
      <c r="X2046" s="80"/>
      <c r="Y2046" s="80"/>
      <c r="Z2046" s="80"/>
      <c r="AA2046" s="80"/>
      <c r="AB2046" s="80"/>
      <c r="AC2046" s="80"/>
      <c r="AD2046" s="80"/>
      <c r="AE2046" s="80"/>
      <c r="AF2046" s="80"/>
      <c r="AG2046" s="80"/>
      <c r="AH2046" s="80"/>
      <c r="AI2046" s="113"/>
      <c r="AJ2046" s="113"/>
      <c r="AK2046" s="113"/>
      <c r="AL2046" s="113"/>
      <c r="AM2046" s="113"/>
      <c r="AN2046" s="113"/>
      <c r="AO2046" s="113"/>
      <c r="AP2046" s="113"/>
      <c r="AQ2046" s="113"/>
      <c r="AR2046" s="113"/>
      <c r="AS2046" s="113"/>
      <c r="AT2046" s="113"/>
      <c r="AU2046" s="113"/>
      <c r="AV2046" s="113"/>
      <c r="AW2046" s="113"/>
      <c r="AX2046" s="113"/>
      <c r="AY2046" s="113"/>
      <c r="AZ2046" s="113"/>
      <c r="BA2046" s="80"/>
      <c r="BB2046" s="113"/>
      <c r="BC2046" s="80"/>
      <c r="BD2046" s="113"/>
      <c r="BH2046" s="80"/>
      <c r="BI2046" s="80"/>
      <c r="BJ2046" s="80"/>
      <c r="BK2046" s="80"/>
      <c r="BL2046" s="80"/>
      <c r="BM2046" s="80"/>
      <c r="BN2046" s="80"/>
      <c r="BP2046" s="80"/>
    </row>
    <row r="2047" spans="2:68">
      <c r="B2047" s="141" t="s">
        <v>2677</v>
      </c>
      <c r="C2047" s="113"/>
      <c r="D2047" s="113"/>
      <c r="E2047" s="113"/>
      <c r="F2047" s="113"/>
      <c r="G2047" s="113"/>
      <c r="H2047" s="113"/>
      <c r="J2047" s="113"/>
      <c r="K2047" s="113"/>
      <c r="L2047" s="113"/>
      <c r="M2047" s="113"/>
      <c r="N2047" s="113" t="s">
        <v>5</v>
      </c>
      <c r="O2047" s="113"/>
      <c r="P2047" s="80"/>
      <c r="Q2047" s="80"/>
      <c r="R2047" s="80"/>
      <c r="S2047" s="113"/>
      <c r="T2047" s="80"/>
      <c r="U2047" s="80"/>
      <c r="V2047" s="80"/>
      <c r="W2047" s="80"/>
      <c r="X2047" s="80"/>
      <c r="Y2047" s="80"/>
      <c r="Z2047" s="80"/>
      <c r="AA2047" s="80"/>
      <c r="AB2047" s="80"/>
      <c r="AC2047" s="80"/>
      <c r="AD2047" s="80"/>
      <c r="AE2047" s="80"/>
      <c r="AF2047" s="80"/>
      <c r="AG2047" s="80"/>
      <c r="AH2047" s="80"/>
      <c r="AI2047" s="113"/>
      <c r="AJ2047" s="113"/>
      <c r="AK2047" s="113"/>
      <c r="AL2047" s="113"/>
      <c r="AM2047" s="113"/>
      <c r="AN2047" s="113"/>
      <c r="AO2047" s="113"/>
      <c r="AP2047" s="113"/>
      <c r="AQ2047" s="113"/>
      <c r="AR2047" s="113"/>
      <c r="AS2047" s="113"/>
      <c r="AT2047" s="113"/>
      <c r="AU2047" s="113"/>
      <c r="AV2047" s="113"/>
      <c r="AW2047" s="113"/>
      <c r="AX2047" s="113"/>
      <c r="AY2047" s="113"/>
      <c r="AZ2047" s="113"/>
      <c r="BA2047" s="80"/>
      <c r="BB2047" s="113"/>
      <c r="BC2047" s="80"/>
      <c r="BD2047" s="113"/>
      <c r="BH2047" s="80"/>
      <c r="BI2047" s="80"/>
      <c r="BJ2047" s="80"/>
      <c r="BK2047" s="80"/>
      <c r="BL2047" s="80"/>
      <c r="BM2047" s="80"/>
      <c r="BN2047" s="80"/>
      <c r="BP2047" s="80"/>
    </row>
    <row r="2048" spans="2:68">
      <c r="B2048" s="141" t="s">
        <v>2678</v>
      </c>
      <c r="C2048" s="113"/>
      <c r="D2048" s="113"/>
      <c r="E2048" s="113"/>
      <c r="F2048" s="113"/>
      <c r="G2048" s="113"/>
      <c r="H2048" s="113"/>
      <c r="J2048" s="113"/>
      <c r="K2048" s="113"/>
      <c r="L2048" s="113"/>
      <c r="M2048" s="113"/>
      <c r="N2048" s="113" t="s">
        <v>5</v>
      </c>
      <c r="O2048" s="113"/>
      <c r="P2048" s="80"/>
      <c r="Q2048" s="80"/>
      <c r="R2048" s="80"/>
      <c r="S2048" s="113"/>
      <c r="T2048" s="80"/>
      <c r="U2048" s="80"/>
      <c r="V2048" s="80"/>
      <c r="W2048" s="80"/>
      <c r="X2048" s="80"/>
      <c r="Y2048" s="80"/>
      <c r="Z2048" s="80"/>
      <c r="AA2048" s="80"/>
      <c r="AB2048" s="80"/>
      <c r="AC2048" s="80"/>
      <c r="AD2048" s="80"/>
      <c r="AE2048" s="80"/>
      <c r="AF2048" s="80"/>
      <c r="AG2048" s="80"/>
      <c r="AH2048" s="80"/>
      <c r="AI2048" s="113"/>
      <c r="AJ2048" s="113"/>
      <c r="AK2048" s="113"/>
      <c r="AL2048" s="113"/>
      <c r="AM2048" s="113"/>
      <c r="AN2048" s="113"/>
      <c r="AO2048" s="113"/>
      <c r="AP2048" s="113"/>
      <c r="AQ2048" s="113"/>
      <c r="AR2048" s="113"/>
      <c r="AS2048" s="113"/>
      <c r="AT2048" s="113"/>
      <c r="AU2048" s="113"/>
      <c r="AV2048" s="113"/>
      <c r="AW2048" s="113"/>
      <c r="AX2048" s="113"/>
      <c r="AY2048" s="113"/>
      <c r="AZ2048" s="113"/>
      <c r="BA2048" s="80"/>
      <c r="BB2048" s="113"/>
      <c r="BC2048" s="80"/>
      <c r="BD2048" s="113"/>
      <c r="BH2048" s="80"/>
      <c r="BI2048" s="80"/>
      <c r="BJ2048" s="80"/>
      <c r="BK2048" s="80"/>
      <c r="BL2048" s="80"/>
      <c r="BM2048" s="80"/>
      <c r="BN2048" s="80"/>
      <c r="BP2048" s="80"/>
    </row>
    <row r="2049" spans="2:68">
      <c r="B2049" s="141" t="s">
        <v>2679</v>
      </c>
      <c r="C2049" s="113"/>
      <c r="D2049" s="113"/>
      <c r="E2049" s="113"/>
      <c r="F2049" s="113"/>
      <c r="G2049" s="113"/>
      <c r="H2049" s="113"/>
      <c r="J2049" s="113"/>
      <c r="K2049" s="113"/>
      <c r="L2049" s="113"/>
      <c r="M2049" s="113"/>
      <c r="N2049" s="113" t="s">
        <v>5</v>
      </c>
      <c r="O2049" s="113"/>
      <c r="P2049" s="80"/>
      <c r="Q2049" s="80"/>
      <c r="R2049" s="80"/>
      <c r="S2049" s="113"/>
      <c r="T2049" s="80"/>
      <c r="U2049" s="80"/>
      <c r="V2049" s="80"/>
      <c r="W2049" s="80"/>
      <c r="X2049" s="80"/>
      <c r="Y2049" s="80"/>
      <c r="Z2049" s="80"/>
      <c r="AA2049" s="80"/>
      <c r="AB2049" s="80"/>
      <c r="AC2049" s="80"/>
      <c r="AD2049" s="80"/>
      <c r="AE2049" s="80"/>
      <c r="AF2049" s="80"/>
      <c r="AG2049" s="80"/>
      <c r="AH2049" s="80"/>
      <c r="AI2049" s="113"/>
      <c r="AJ2049" s="113"/>
      <c r="AK2049" s="113"/>
      <c r="AL2049" s="113"/>
      <c r="AM2049" s="113"/>
      <c r="AN2049" s="113"/>
      <c r="AO2049" s="113"/>
      <c r="AP2049" s="113"/>
      <c r="AQ2049" s="113"/>
      <c r="AR2049" s="113"/>
      <c r="AS2049" s="113"/>
      <c r="AT2049" s="113"/>
      <c r="AU2049" s="113"/>
      <c r="AV2049" s="113"/>
      <c r="AW2049" s="113"/>
      <c r="AX2049" s="113"/>
      <c r="AY2049" s="113"/>
      <c r="AZ2049" s="113"/>
      <c r="BA2049" s="80"/>
      <c r="BB2049" s="113"/>
      <c r="BC2049" s="80"/>
      <c r="BD2049" s="113"/>
      <c r="BH2049" s="80"/>
      <c r="BI2049" s="80"/>
      <c r="BJ2049" s="80"/>
      <c r="BK2049" s="80"/>
      <c r="BL2049" s="80"/>
      <c r="BM2049" s="80"/>
      <c r="BN2049" s="80"/>
      <c r="BP2049" s="80"/>
    </row>
    <row r="2050" spans="2:68">
      <c r="B2050" s="141" t="s">
        <v>2680</v>
      </c>
      <c r="C2050" s="113"/>
      <c r="D2050" s="113"/>
      <c r="E2050" s="113"/>
      <c r="F2050" s="113"/>
      <c r="G2050" s="113"/>
      <c r="H2050" s="113"/>
      <c r="J2050" s="113"/>
      <c r="K2050" s="113"/>
      <c r="L2050" s="113"/>
      <c r="M2050" s="113"/>
      <c r="N2050" s="113" t="s">
        <v>5</v>
      </c>
      <c r="O2050" s="113"/>
      <c r="P2050" s="80"/>
      <c r="Q2050" s="80"/>
      <c r="R2050" s="80"/>
      <c r="S2050" s="113"/>
      <c r="T2050" s="80"/>
      <c r="U2050" s="80"/>
      <c r="V2050" s="80"/>
      <c r="W2050" s="80"/>
      <c r="X2050" s="80"/>
      <c r="Y2050" s="80"/>
      <c r="Z2050" s="80"/>
      <c r="AA2050" s="80"/>
      <c r="AB2050" s="80"/>
      <c r="AC2050" s="80"/>
      <c r="AD2050" s="80"/>
      <c r="AE2050" s="80"/>
      <c r="AF2050" s="80"/>
      <c r="AG2050" s="80"/>
      <c r="AH2050" s="80"/>
      <c r="AI2050" s="113"/>
      <c r="AJ2050" s="113"/>
      <c r="AK2050" s="113"/>
      <c r="AL2050" s="113"/>
      <c r="AM2050" s="113"/>
      <c r="AN2050" s="113"/>
      <c r="AO2050" s="113"/>
      <c r="AP2050" s="113"/>
      <c r="AQ2050" s="113"/>
      <c r="AR2050" s="113"/>
      <c r="AS2050" s="113"/>
      <c r="AT2050" s="113"/>
      <c r="AU2050" s="113"/>
      <c r="AV2050" s="113"/>
      <c r="AW2050" s="113"/>
      <c r="AX2050" s="113"/>
      <c r="AY2050" s="113"/>
      <c r="AZ2050" s="113"/>
      <c r="BA2050" s="80"/>
      <c r="BB2050" s="113"/>
      <c r="BC2050" s="80"/>
      <c r="BD2050" s="113"/>
      <c r="BH2050" s="80"/>
      <c r="BI2050" s="80"/>
      <c r="BJ2050" s="80"/>
      <c r="BK2050" s="80"/>
      <c r="BL2050" s="80"/>
      <c r="BM2050" s="80"/>
      <c r="BN2050" s="80"/>
      <c r="BP2050" s="80"/>
    </row>
    <row r="2051" spans="2:68">
      <c r="B2051" s="141" t="s">
        <v>2681</v>
      </c>
      <c r="C2051" s="113"/>
      <c r="D2051" s="113"/>
      <c r="E2051" s="113"/>
      <c r="F2051" s="113"/>
      <c r="G2051" s="113"/>
      <c r="H2051" s="113"/>
      <c r="J2051" s="113"/>
      <c r="K2051" s="113"/>
      <c r="L2051" s="113"/>
      <c r="M2051" s="113"/>
      <c r="N2051" s="113" t="s">
        <v>5</v>
      </c>
      <c r="O2051" s="113"/>
      <c r="P2051" s="80"/>
      <c r="Q2051" s="80"/>
      <c r="R2051" s="80"/>
      <c r="S2051" s="113"/>
      <c r="T2051" s="80"/>
      <c r="U2051" s="80"/>
      <c r="V2051" s="80"/>
      <c r="W2051" s="80"/>
      <c r="X2051" s="80"/>
      <c r="Y2051" s="80"/>
      <c r="Z2051" s="80"/>
      <c r="AA2051" s="80"/>
      <c r="AB2051" s="80"/>
      <c r="AC2051" s="80"/>
      <c r="AD2051" s="80"/>
      <c r="AE2051" s="80"/>
      <c r="AF2051" s="80"/>
      <c r="AG2051" s="80"/>
      <c r="AH2051" s="80"/>
      <c r="AI2051" s="113"/>
      <c r="AJ2051" s="113"/>
      <c r="AK2051" s="113"/>
      <c r="AL2051" s="113"/>
      <c r="AM2051" s="113"/>
      <c r="AN2051" s="113"/>
      <c r="AO2051" s="113"/>
      <c r="AP2051" s="113"/>
      <c r="AQ2051" s="113"/>
      <c r="AR2051" s="113"/>
      <c r="AS2051" s="113"/>
      <c r="AT2051" s="113"/>
      <c r="AU2051" s="113"/>
      <c r="AV2051" s="113"/>
      <c r="AW2051" s="113"/>
      <c r="AX2051" s="113"/>
      <c r="AY2051" s="113"/>
      <c r="AZ2051" s="113"/>
      <c r="BA2051" s="80"/>
      <c r="BB2051" s="113"/>
      <c r="BC2051" s="80"/>
      <c r="BD2051" s="113"/>
      <c r="BH2051" s="80"/>
      <c r="BI2051" s="80"/>
      <c r="BJ2051" s="80"/>
      <c r="BK2051" s="80"/>
      <c r="BL2051" s="80"/>
      <c r="BM2051" s="80"/>
      <c r="BN2051" s="80"/>
      <c r="BP2051" s="80"/>
    </row>
    <row r="2052" spans="2:68">
      <c r="B2052" s="141" t="s">
        <v>2682</v>
      </c>
      <c r="C2052" s="113"/>
      <c r="D2052" s="113"/>
      <c r="E2052" s="113"/>
      <c r="F2052" s="113"/>
      <c r="G2052" s="113"/>
      <c r="H2052" s="113"/>
      <c r="J2052" s="113"/>
      <c r="K2052" s="113"/>
      <c r="L2052" s="113"/>
      <c r="M2052" s="113"/>
      <c r="N2052" s="113" t="s">
        <v>5</v>
      </c>
      <c r="O2052" s="113"/>
      <c r="P2052" s="80"/>
      <c r="Q2052" s="80"/>
      <c r="R2052" s="80"/>
      <c r="S2052" s="113"/>
      <c r="T2052" s="80"/>
      <c r="U2052" s="80"/>
      <c r="V2052" s="80"/>
      <c r="W2052" s="80"/>
      <c r="X2052" s="80"/>
      <c r="Y2052" s="80"/>
      <c r="Z2052" s="80"/>
      <c r="AA2052" s="80"/>
      <c r="AB2052" s="80"/>
      <c r="AC2052" s="80"/>
      <c r="AD2052" s="80"/>
      <c r="AE2052" s="80"/>
      <c r="AF2052" s="80"/>
      <c r="AG2052" s="80"/>
      <c r="AH2052" s="80"/>
      <c r="AI2052" s="113"/>
      <c r="AJ2052" s="113"/>
      <c r="AK2052" s="113"/>
      <c r="AL2052" s="113"/>
      <c r="AM2052" s="113"/>
      <c r="AN2052" s="113"/>
      <c r="AO2052" s="113"/>
      <c r="AP2052" s="113"/>
      <c r="AQ2052" s="113"/>
      <c r="AR2052" s="113"/>
      <c r="AS2052" s="113"/>
      <c r="AT2052" s="113"/>
      <c r="AU2052" s="113"/>
      <c r="AV2052" s="113"/>
      <c r="AW2052" s="113"/>
      <c r="AX2052" s="113"/>
      <c r="AY2052" s="113"/>
      <c r="AZ2052" s="113"/>
      <c r="BA2052" s="80"/>
      <c r="BB2052" s="113"/>
      <c r="BC2052" s="80"/>
      <c r="BD2052" s="113"/>
      <c r="BH2052" s="80"/>
      <c r="BI2052" s="80"/>
      <c r="BJ2052" s="80"/>
      <c r="BK2052" s="80"/>
      <c r="BL2052" s="80"/>
      <c r="BM2052" s="80"/>
      <c r="BN2052" s="80"/>
      <c r="BP2052" s="80"/>
    </row>
    <row r="2053" spans="2:68">
      <c r="B2053" s="141" t="s">
        <v>2683</v>
      </c>
      <c r="C2053" s="113"/>
      <c r="D2053" s="113"/>
      <c r="E2053" s="113"/>
      <c r="F2053" s="113"/>
      <c r="G2053" s="113"/>
      <c r="H2053" s="113"/>
      <c r="J2053" s="113"/>
      <c r="K2053" s="113"/>
      <c r="L2053" s="113"/>
      <c r="M2053" s="113"/>
      <c r="N2053" s="113" t="s">
        <v>5</v>
      </c>
      <c r="O2053" s="113"/>
      <c r="P2053" s="80"/>
      <c r="Q2053" s="80"/>
      <c r="R2053" s="80"/>
      <c r="S2053" s="113"/>
      <c r="T2053" s="80"/>
      <c r="U2053" s="80"/>
      <c r="V2053" s="80"/>
      <c r="W2053" s="80"/>
      <c r="X2053" s="80"/>
      <c r="Y2053" s="80"/>
      <c r="Z2053" s="80"/>
      <c r="AA2053" s="80"/>
      <c r="AB2053" s="80"/>
      <c r="AC2053" s="80"/>
      <c r="AD2053" s="80"/>
      <c r="AE2053" s="80"/>
      <c r="AF2053" s="80"/>
      <c r="AG2053" s="80"/>
      <c r="AH2053" s="80"/>
      <c r="AI2053" s="113"/>
      <c r="AJ2053" s="113"/>
      <c r="AK2053" s="113"/>
      <c r="AL2053" s="113"/>
      <c r="AM2053" s="113"/>
      <c r="AN2053" s="113"/>
      <c r="AO2053" s="113"/>
      <c r="AP2053" s="113"/>
      <c r="AQ2053" s="113"/>
      <c r="AR2053" s="113"/>
      <c r="AS2053" s="113"/>
      <c r="AT2053" s="113"/>
      <c r="AU2053" s="113"/>
      <c r="AV2053" s="113"/>
      <c r="AW2053" s="113"/>
      <c r="AX2053" s="113"/>
      <c r="AY2053" s="113"/>
      <c r="AZ2053" s="113"/>
      <c r="BA2053" s="80"/>
      <c r="BB2053" s="113"/>
      <c r="BC2053" s="80"/>
      <c r="BD2053" s="113"/>
      <c r="BH2053" s="80"/>
      <c r="BI2053" s="80"/>
      <c r="BJ2053" s="80"/>
      <c r="BK2053" s="80"/>
      <c r="BL2053" s="80"/>
      <c r="BM2053" s="80"/>
      <c r="BN2053" s="80"/>
      <c r="BP2053" s="80"/>
    </row>
    <row r="2054" spans="2:68">
      <c r="B2054" s="141" t="s">
        <v>2684</v>
      </c>
      <c r="C2054" s="113"/>
      <c r="D2054" s="113"/>
      <c r="E2054" s="113"/>
      <c r="F2054" s="113"/>
      <c r="G2054" s="113"/>
      <c r="H2054" s="113"/>
      <c r="J2054" s="113"/>
      <c r="K2054" s="113"/>
      <c r="L2054" s="113"/>
      <c r="M2054" s="113"/>
      <c r="N2054" s="113" t="s">
        <v>5</v>
      </c>
      <c r="O2054" s="113"/>
      <c r="P2054" s="80"/>
      <c r="Q2054" s="80"/>
      <c r="R2054" s="80"/>
      <c r="S2054" s="113"/>
      <c r="T2054" s="80"/>
      <c r="U2054" s="80"/>
      <c r="V2054" s="80"/>
      <c r="W2054" s="80"/>
      <c r="X2054" s="80"/>
      <c r="Y2054" s="80"/>
      <c r="Z2054" s="80"/>
      <c r="AA2054" s="80"/>
      <c r="AB2054" s="80"/>
      <c r="AC2054" s="80"/>
      <c r="AD2054" s="80"/>
      <c r="AE2054" s="80"/>
      <c r="AF2054" s="80"/>
      <c r="AG2054" s="80"/>
      <c r="AH2054" s="80"/>
      <c r="AI2054" s="113"/>
      <c r="AJ2054" s="113"/>
      <c r="AK2054" s="113"/>
      <c r="AL2054" s="113"/>
      <c r="AM2054" s="113"/>
      <c r="AN2054" s="113"/>
      <c r="AO2054" s="113"/>
      <c r="AP2054" s="113"/>
      <c r="AQ2054" s="113"/>
      <c r="AR2054" s="113"/>
      <c r="AS2054" s="113"/>
      <c r="AT2054" s="113"/>
      <c r="AU2054" s="113"/>
      <c r="AV2054" s="113"/>
      <c r="AW2054" s="113"/>
      <c r="AX2054" s="113"/>
      <c r="AY2054" s="113"/>
      <c r="AZ2054" s="113"/>
      <c r="BA2054" s="80"/>
      <c r="BB2054" s="113"/>
      <c r="BC2054" s="80"/>
      <c r="BD2054" s="113"/>
      <c r="BH2054" s="80"/>
      <c r="BI2054" s="80"/>
      <c r="BJ2054" s="80"/>
      <c r="BK2054" s="80"/>
      <c r="BL2054" s="80"/>
      <c r="BM2054" s="80"/>
      <c r="BN2054" s="80"/>
      <c r="BP2054" s="80"/>
    </row>
    <row r="2055" spans="2:68">
      <c r="B2055" s="141" t="s">
        <v>2685</v>
      </c>
      <c r="C2055" s="113"/>
      <c r="D2055" s="113"/>
      <c r="E2055" s="113"/>
      <c r="F2055" s="113"/>
      <c r="G2055" s="113"/>
      <c r="H2055" s="113"/>
      <c r="J2055" s="113"/>
      <c r="K2055" s="113"/>
      <c r="L2055" s="113"/>
      <c r="M2055" s="113"/>
      <c r="N2055" s="113" t="s">
        <v>5</v>
      </c>
      <c r="O2055" s="113"/>
      <c r="P2055" s="80"/>
      <c r="Q2055" s="80"/>
      <c r="R2055" s="80"/>
      <c r="S2055" s="113"/>
      <c r="T2055" s="80"/>
      <c r="U2055" s="80"/>
      <c r="V2055" s="80"/>
      <c r="W2055" s="80"/>
      <c r="X2055" s="80"/>
      <c r="Y2055" s="80"/>
      <c r="Z2055" s="80"/>
      <c r="AA2055" s="80"/>
      <c r="AB2055" s="80"/>
      <c r="AC2055" s="80"/>
      <c r="AD2055" s="80"/>
      <c r="AE2055" s="80"/>
      <c r="AF2055" s="80"/>
      <c r="AG2055" s="80"/>
      <c r="AH2055" s="80"/>
      <c r="AI2055" s="113"/>
      <c r="AJ2055" s="113"/>
      <c r="AK2055" s="113"/>
      <c r="AL2055" s="113"/>
      <c r="AM2055" s="113"/>
      <c r="AN2055" s="113"/>
      <c r="AO2055" s="113"/>
      <c r="AP2055" s="113"/>
      <c r="AQ2055" s="113"/>
      <c r="AR2055" s="113"/>
      <c r="AS2055" s="113"/>
      <c r="AT2055" s="113"/>
      <c r="AU2055" s="113"/>
      <c r="AV2055" s="113"/>
      <c r="AW2055" s="113"/>
      <c r="AX2055" s="113"/>
      <c r="AY2055" s="113"/>
      <c r="AZ2055" s="113"/>
      <c r="BA2055" s="80"/>
      <c r="BB2055" s="113"/>
      <c r="BC2055" s="80"/>
      <c r="BD2055" s="113"/>
      <c r="BH2055" s="80"/>
      <c r="BI2055" s="80"/>
      <c r="BJ2055" s="80"/>
      <c r="BK2055" s="80"/>
      <c r="BL2055" s="80"/>
      <c r="BM2055" s="80"/>
      <c r="BN2055" s="80"/>
      <c r="BP2055" s="80"/>
    </row>
    <row r="2056" spans="2:68" ht="27">
      <c r="B2056" s="141" t="s">
        <v>2686</v>
      </c>
      <c r="C2056" s="113"/>
      <c r="D2056" s="113"/>
      <c r="E2056" s="113"/>
      <c r="F2056" s="113"/>
      <c r="G2056" s="113"/>
      <c r="H2056" s="113"/>
      <c r="J2056" s="113"/>
      <c r="K2056" s="113"/>
      <c r="L2056" s="113"/>
      <c r="M2056" s="113"/>
      <c r="N2056" s="113" t="s">
        <v>5</v>
      </c>
      <c r="O2056" s="113"/>
      <c r="P2056" s="80"/>
      <c r="Q2056" s="80"/>
      <c r="R2056" s="80"/>
      <c r="S2056" s="113"/>
      <c r="T2056" s="80"/>
      <c r="U2056" s="80"/>
      <c r="V2056" s="80"/>
      <c r="W2056" s="80"/>
      <c r="X2056" s="80"/>
      <c r="Y2056" s="80"/>
      <c r="Z2056" s="80"/>
      <c r="AA2056" s="80"/>
      <c r="AB2056" s="80"/>
      <c r="AC2056" s="80"/>
      <c r="AD2056" s="80"/>
      <c r="AE2056" s="80"/>
      <c r="AF2056" s="80"/>
      <c r="AG2056" s="80"/>
      <c r="AH2056" s="80"/>
      <c r="AI2056" s="113"/>
      <c r="AJ2056" s="113"/>
      <c r="AK2056" s="113"/>
      <c r="AL2056" s="113"/>
      <c r="AM2056" s="113"/>
      <c r="AN2056" s="113"/>
      <c r="AO2056" s="113"/>
      <c r="AP2056" s="113"/>
      <c r="AQ2056" s="113"/>
      <c r="AR2056" s="113"/>
      <c r="AS2056" s="113"/>
      <c r="AT2056" s="113"/>
      <c r="AU2056" s="113"/>
      <c r="AV2056" s="113"/>
      <c r="AW2056" s="113"/>
      <c r="AX2056" s="113"/>
      <c r="AY2056" s="113"/>
      <c r="AZ2056" s="113"/>
      <c r="BA2056" s="80"/>
      <c r="BB2056" s="113"/>
      <c r="BC2056" s="80"/>
      <c r="BD2056" s="113"/>
      <c r="BH2056" s="80"/>
      <c r="BI2056" s="80"/>
      <c r="BJ2056" s="80"/>
      <c r="BK2056" s="80"/>
      <c r="BL2056" s="80"/>
      <c r="BM2056" s="80"/>
      <c r="BN2056" s="80"/>
      <c r="BP2056" s="80"/>
    </row>
    <row r="2057" spans="2:68">
      <c r="B2057" s="141" t="s">
        <v>2687</v>
      </c>
      <c r="C2057" s="113"/>
      <c r="D2057" s="113"/>
      <c r="E2057" s="113"/>
      <c r="F2057" s="113"/>
      <c r="G2057" s="113"/>
      <c r="H2057" s="113"/>
      <c r="J2057" s="113"/>
      <c r="K2057" s="113"/>
      <c r="L2057" s="113"/>
      <c r="M2057" s="113"/>
      <c r="N2057" s="113" t="s">
        <v>5</v>
      </c>
      <c r="O2057" s="113"/>
      <c r="P2057" s="80"/>
      <c r="Q2057" s="80"/>
      <c r="R2057" s="80"/>
      <c r="S2057" s="113"/>
      <c r="T2057" s="80"/>
      <c r="U2057" s="80"/>
      <c r="V2057" s="80"/>
      <c r="W2057" s="80"/>
      <c r="X2057" s="80"/>
      <c r="Y2057" s="80"/>
      <c r="Z2057" s="80"/>
      <c r="AA2057" s="80"/>
      <c r="AB2057" s="80"/>
      <c r="AC2057" s="80"/>
      <c r="AD2057" s="80"/>
      <c r="AE2057" s="80"/>
      <c r="AF2057" s="80"/>
      <c r="AG2057" s="80"/>
      <c r="AH2057" s="80"/>
      <c r="AI2057" s="113"/>
      <c r="AJ2057" s="113"/>
      <c r="AK2057" s="113"/>
      <c r="AL2057" s="113"/>
      <c r="AM2057" s="113"/>
      <c r="AN2057" s="113"/>
      <c r="AO2057" s="113"/>
      <c r="AP2057" s="113"/>
      <c r="AQ2057" s="113"/>
      <c r="AR2057" s="113"/>
      <c r="AS2057" s="113"/>
      <c r="AT2057" s="113"/>
      <c r="AU2057" s="113"/>
      <c r="AV2057" s="113"/>
      <c r="AW2057" s="113"/>
      <c r="AX2057" s="113"/>
      <c r="AY2057" s="113"/>
      <c r="AZ2057" s="113"/>
      <c r="BA2057" s="80"/>
      <c r="BB2057" s="113"/>
      <c r="BC2057" s="80"/>
      <c r="BD2057" s="113"/>
      <c r="BH2057" s="80"/>
      <c r="BI2057" s="80"/>
      <c r="BJ2057" s="80"/>
      <c r="BK2057" s="80"/>
      <c r="BL2057" s="80"/>
      <c r="BM2057" s="80"/>
      <c r="BN2057" s="80"/>
      <c r="BP2057" s="80"/>
    </row>
    <row r="2058" spans="2:68">
      <c r="B2058" s="141" t="s">
        <v>2688</v>
      </c>
      <c r="C2058" s="113"/>
      <c r="D2058" s="113"/>
      <c r="E2058" s="113"/>
      <c r="F2058" s="113"/>
      <c r="G2058" s="113"/>
      <c r="H2058" s="113"/>
      <c r="J2058" s="113"/>
      <c r="K2058" s="113"/>
      <c r="L2058" s="113"/>
      <c r="M2058" s="113"/>
      <c r="N2058" s="113" t="s">
        <v>5</v>
      </c>
      <c r="O2058" s="113"/>
      <c r="P2058" s="80"/>
      <c r="Q2058" s="80"/>
      <c r="R2058" s="80"/>
      <c r="S2058" s="113"/>
      <c r="T2058" s="80"/>
      <c r="U2058" s="80"/>
      <c r="V2058" s="80"/>
      <c r="W2058" s="80"/>
      <c r="X2058" s="80"/>
      <c r="Y2058" s="80"/>
      <c r="Z2058" s="80"/>
      <c r="AA2058" s="80"/>
      <c r="AB2058" s="80"/>
      <c r="AC2058" s="80"/>
      <c r="AD2058" s="80"/>
      <c r="AE2058" s="80"/>
      <c r="AF2058" s="80"/>
      <c r="AG2058" s="80"/>
      <c r="AH2058" s="80"/>
      <c r="AI2058" s="113"/>
      <c r="AJ2058" s="113"/>
      <c r="AK2058" s="113"/>
      <c r="AL2058" s="113"/>
      <c r="AM2058" s="113"/>
      <c r="AN2058" s="113"/>
      <c r="AO2058" s="113"/>
      <c r="AP2058" s="113"/>
      <c r="AQ2058" s="113"/>
      <c r="AR2058" s="113"/>
      <c r="AS2058" s="113"/>
      <c r="AT2058" s="113"/>
      <c r="AU2058" s="113"/>
      <c r="AV2058" s="113"/>
      <c r="AW2058" s="113"/>
      <c r="AX2058" s="113"/>
      <c r="AY2058" s="113"/>
      <c r="AZ2058" s="113"/>
      <c r="BA2058" s="80"/>
      <c r="BB2058" s="113"/>
      <c r="BC2058" s="80"/>
      <c r="BD2058" s="113"/>
      <c r="BH2058" s="80"/>
      <c r="BI2058" s="80"/>
      <c r="BJ2058" s="80"/>
      <c r="BK2058" s="80"/>
      <c r="BL2058" s="80"/>
      <c r="BM2058" s="80"/>
      <c r="BN2058" s="80"/>
      <c r="BP2058" s="80"/>
    </row>
    <row r="2059" spans="2:68">
      <c r="B2059" s="141" t="s">
        <v>2689</v>
      </c>
      <c r="C2059" s="113"/>
      <c r="D2059" s="113"/>
      <c r="E2059" s="113"/>
      <c r="F2059" s="113"/>
      <c r="G2059" s="113"/>
      <c r="H2059" s="113"/>
      <c r="J2059" s="113"/>
      <c r="K2059" s="113"/>
      <c r="L2059" s="113"/>
      <c r="M2059" s="113"/>
      <c r="N2059" s="113" t="s">
        <v>5</v>
      </c>
      <c r="O2059" s="113"/>
      <c r="P2059" s="80"/>
      <c r="Q2059" s="80"/>
      <c r="R2059" s="80"/>
      <c r="S2059" s="113"/>
      <c r="T2059" s="80"/>
      <c r="U2059" s="80"/>
      <c r="V2059" s="80"/>
      <c r="W2059" s="80"/>
      <c r="X2059" s="80"/>
      <c r="Y2059" s="80"/>
      <c r="Z2059" s="80"/>
      <c r="AA2059" s="80"/>
      <c r="AB2059" s="80"/>
      <c r="AC2059" s="80"/>
      <c r="AD2059" s="80"/>
      <c r="AE2059" s="80"/>
      <c r="AF2059" s="80"/>
      <c r="AG2059" s="80"/>
      <c r="AH2059" s="80"/>
      <c r="AI2059" s="113"/>
      <c r="AJ2059" s="113"/>
      <c r="AK2059" s="113"/>
      <c r="AL2059" s="113"/>
      <c r="AM2059" s="113"/>
      <c r="AN2059" s="113"/>
      <c r="AO2059" s="113"/>
      <c r="AP2059" s="113"/>
      <c r="AQ2059" s="113"/>
      <c r="AR2059" s="113"/>
      <c r="AS2059" s="113"/>
      <c r="AT2059" s="113"/>
      <c r="AU2059" s="113"/>
      <c r="AV2059" s="113"/>
      <c r="AW2059" s="113"/>
      <c r="AX2059" s="113"/>
      <c r="AY2059" s="113"/>
      <c r="AZ2059" s="113"/>
      <c r="BA2059" s="80"/>
      <c r="BB2059" s="113"/>
      <c r="BC2059" s="80"/>
      <c r="BD2059" s="113"/>
      <c r="BH2059" s="80"/>
      <c r="BI2059" s="80"/>
      <c r="BJ2059" s="80"/>
      <c r="BK2059" s="80"/>
      <c r="BL2059" s="80"/>
      <c r="BM2059" s="80"/>
      <c r="BN2059" s="80"/>
      <c r="BP2059" s="80"/>
    </row>
    <row r="2060" spans="2:68" ht="40.5">
      <c r="B2060" s="141" t="s">
        <v>2690</v>
      </c>
      <c r="C2060" s="113"/>
      <c r="D2060" s="113"/>
      <c r="E2060" s="113"/>
      <c r="F2060" s="113"/>
      <c r="G2060" s="113"/>
      <c r="H2060" s="113"/>
      <c r="J2060" s="113"/>
      <c r="K2060" s="113"/>
      <c r="L2060" s="113"/>
      <c r="M2060" s="113"/>
      <c r="N2060" s="113" t="s">
        <v>5</v>
      </c>
      <c r="O2060" s="113"/>
      <c r="P2060" s="80"/>
      <c r="Q2060" s="80"/>
      <c r="R2060" s="80"/>
      <c r="S2060" s="113"/>
      <c r="T2060" s="80"/>
      <c r="U2060" s="80"/>
      <c r="V2060" s="80"/>
      <c r="W2060" s="80"/>
      <c r="X2060" s="80"/>
      <c r="Y2060" s="80"/>
      <c r="Z2060" s="80"/>
      <c r="AA2060" s="80"/>
      <c r="AB2060" s="80"/>
      <c r="AC2060" s="80"/>
      <c r="AD2060" s="80"/>
      <c r="AE2060" s="80"/>
      <c r="AF2060" s="80"/>
      <c r="AG2060" s="80"/>
      <c r="AH2060" s="80"/>
      <c r="AI2060" s="113"/>
      <c r="AJ2060" s="113"/>
      <c r="AK2060" s="113"/>
      <c r="AL2060" s="113"/>
      <c r="AM2060" s="113"/>
      <c r="AN2060" s="113"/>
      <c r="AO2060" s="113"/>
      <c r="AP2060" s="113"/>
      <c r="AQ2060" s="113"/>
      <c r="AR2060" s="113"/>
      <c r="AS2060" s="113"/>
      <c r="AT2060" s="113"/>
      <c r="AU2060" s="113"/>
      <c r="AV2060" s="113"/>
      <c r="AW2060" s="113"/>
      <c r="AX2060" s="113"/>
      <c r="AY2060" s="113"/>
      <c r="AZ2060" s="113"/>
      <c r="BA2060" s="80"/>
      <c r="BB2060" s="113"/>
      <c r="BC2060" s="80"/>
      <c r="BD2060" s="113"/>
      <c r="BH2060" s="80"/>
      <c r="BI2060" s="80"/>
      <c r="BJ2060" s="80"/>
      <c r="BK2060" s="80"/>
      <c r="BL2060" s="80"/>
      <c r="BM2060" s="80"/>
      <c r="BN2060" s="80"/>
      <c r="BP2060" s="80"/>
    </row>
    <row r="2061" spans="2:68" ht="27">
      <c r="B2061" s="141" t="s">
        <v>2691</v>
      </c>
      <c r="C2061" s="113"/>
      <c r="D2061" s="113"/>
      <c r="E2061" s="113"/>
      <c r="F2061" s="113"/>
      <c r="G2061" s="113"/>
      <c r="H2061" s="113"/>
      <c r="J2061" s="113"/>
      <c r="K2061" s="113"/>
      <c r="L2061" s="113"/>
      <c r="M2061" s="113"/>
      <c r="N2061" s="113" t="s">
        <v>5</v>
      </c>
      <c r="O2061" s="113"/>
      <c r="P2061" s="80"/>
      <c r="Q2061" s="80"/>
      <c r="R2061" s="80"/>
      <c r="S2061" s="113"/>
      <c r="T2061" s="80"/>
      <c r="U2061" s="80"/>
      <c r="V2061" s="80"/>
      <c r="W2061" s="80"/>
      <c r="X2061" s="80"/>
      <c r="Y2061" s="80"/>
      <c r="Z2061" s="80"/>
      <c r="AA2061" s="80"/>
      <c r="AB2061" s="80"/>
      <c r="AC2061" s="80"/>
      <c r="AD2061" s="80"/>
      <c r="AE2061" s="80"/>
      <c r="AF2061" s="80"/>
      <c r="AG2061" s="80"/>
      <c r="AH2061" s="80"/>
      <c r="AI2061" s="113"/>
      <c r="AJ2061" s="113"/>
      <c r="AK2061" s="113"/>
      <c r="AL2061" s="113"/>
      <c r="AM2061" s="113"/>
      <c r="AN2061" s="113"/>
      <c r="AO2061" s="113"/>
      <c r="AP2061" s="113"/>
      <c r="AQ2061" s="113"/>
      <c r="AR2061" s="113"/>
      <c r="AS2061" s="113"/>
      <c r="AT2061" s="113"/>
      <c r="AU2061" s="113"/>
      <c r="AV2061" s="113"/>
      <c r="AW2061" s="113"/>
      <c r="AX2061" s="113"/>
      <c r="AY2061" s="113"/>
      <c r="AZ2061" s="113"/>
      <c r="BA2061" s="80"/>
      <c r="BB2061" s="113"/>
      <c r="BC2061" s="80"/>
      <c r="BD2061" s="113"/>
      <c r="BH2061" s="80"/>
      <c r="BI2061" s="80"/>
      <c r="BJ2061" s="80"/>
      <c r="BK2061" s="80"/>
      <c r="BL2061" s="80"/>
      <c r="BM2061" s="80"/>
      <c r="BN2061" s="80"/>
      <c r="BP2061" s="80"/>
    </row>
    <row r="2062" spans="2:68">
      <c r="B2062" s="141" t="s">
        <v>2692</v>
      </c>
      <c r="C2062" s="113"/>
      <c r="D2062" s="113"/>
      <c r="E2062" s="113"/>
      <c r="F2062" s="113"/>
      <c r="G2062" s="113"/>
      <c r="H2062" s="113"/>
      <c r="J2062" s="113"/>
      <c r="K2062" s="113"/>
      <c r="L2062" s="113"/>
      <c r="M2062" s="113"/>
      <c r="N2062" s="113" t="s">
        <v>5</v>
      </c>
      <c r="O2062" s="113"/>
      <c r="P2062" s="80"/>
      <c r="Q2062" s="80"/>
      <c r="R2062" s="80"/>
      <c r="S2062" s="113"/>
      <c r="T2062" s="80"/>
      <c r="U2062" s="80"/>
      <c r="V2062" s="80"/>
      <c r="W2062" s="80"/>
      <c r="X2062" s="80"/>
      <c r="Y2062" s="80"/>
      <c r="Z2062" s="80"/>
      <c r="AA2062" s="80"/>
      <c r="AB2062" s="80"/>
      <c r="AC2062" s="80"/>
      <c r="AD2062" s="80"/>
      <c r="AE2062" s="80"/>
      <c r="AF2062" s="80"/>
      <c r="AG2062" s="80"/>
      <c r="AH2062" s="80"/>
      <c r="AI2062" s="113"/>
      <c r="AJ2062" s="113"/>
      <c r="AK2062" s="113"/>
      <c r="AL2062" s="113"/>
      <c r="AM2062" s="113"/>
      <c r="AN2062" s="113"/>
      <c r="AO2062" s="113"/>
      <c r="AP2062" s="113"/>
      <c r="AQ2062" s="113"/>
      <c r="AR2062" s="113"/>
      <c r="AS2062" s="113"/>
      <c r="AT2062" s="113"/>
      <c r="AU2062" s="113"/>
      <c r="AV2062" s="113"/>
      <c r="AW2062" s="113"/>
      <c r="AX2062" s="113"/>
      <c r="AY2062" s="113"/>
      <c r="AZ2062" s="113"/>
      <c r="BA2062" s="80"/>
      <c r="BB2062" s="113"/>
      <c r="BC2062" s="80"/>
      <c r="BD2062" s="113"/>
      <c r="BH2062" s="80"/>
      <c r="BI2062" s="80"/>
      <c r="BJ2062" s="80"/>
      <c r="BK2062" s="80"/>
      <c r="BL2062" s="80"/>
      <c r="BM2062" s="80"/>
      <c r="BN2062" s="80"/>
      <c r="BP2062" s="80"/>
    </row>
    <row r="2063" spans="2:68">
      <c r="B2063" s="141" t="s">
        <v>2693</v>
      </c>
      <c r="C2063" s="113"/>
      <c r="D2063" s="113"/>
      <c r="E2063" s="113"/>
      <c r="F2063" s="113"/>
      <c r="G2063" s="113"/>
      <c r="H2063" s="113"/>
      <c r="J2063" s="113"/>
      <c r="K2063" s="113"/>
      <c r="L2063" s="113"/>
      <c r="M2063" s="113"/>
      <c r="N2063" s="113" t="s">
        <v>5</v>
      </c>
      <c r="O2063" s="113"/>
      <c r="P2063" s="80"/>
      <c r="Q2063" s="80"/>
      <c r="R2063" s="80"/>
      <c r="S2063" s="113"/>
      <c r="T2063" s="80"/>
      <c r="U2063" s="80"/>
      <c r="V2063" s="80"/>
      <c r="W2063" s="80"/>
      <c r="X2063" s="80"/>
      <c r="Y2063" s="80"/>
      <c r="Z2063" s="80"/>
      <c r="AA2063" s="80"/>
      <c r="AB2063" s="80"/>
      <c r="AC2063" s="80"/>
      <c r="AD2063" s="80"/>
      <c r="AE2063" s="80"/>
      <c r="AF2063" s="80"/>
      <c r="AG2063" s="80"/>
      <c r="AH2063" s="80"/>
      <c r="AI2063" s="113"/>
      <c r="AJ2063" s="113"/>
      <c r="AK2063" s="113"/>
      <c r="AL2063" s="113"/>
      <c r="AM2063" s="113"/>
      <c r="AN2063" s="113"/>
      <c r="AO2063" s="113"/>
      <c r="AP2063" s="113"/>
      <c r="AQ2063" s="113"/>
      <c r="AR2063" s="113"/>
      <c r="AS2063" s="113"/>
      <c r="AT2063" s="113"/>
      <c r="AU2063" s="113"/>
      <c r="AV2063" s="113"/>
      <c r="AW2063" s="113"/>
      <c r="AX2063" s="113"/>
      <c r="AY2063" s="113"/>
      <c r="AZ2063" s="113"/>
      <c r="BA2063" s="80"/>
      <c r="BB2063" s="113"/>
      <c r="BC2063" s="80"/>
      <c r="BD2063" s="113"/>
      <c r="BH2063" s="80"/>
      <c r="BI2063" s="80"/>
      <c r="BJ2063" s="80"/>
      <c r="BK2063" s="80"/>
      <c r="BL2063" s="80"/>
      <c r="BM2063" s="80"/>
      <c r="BN2063" s="80"/>
      <c r="BP2063" s="80"/>
    </row>
    <row r="2064" spans="2:68">
      <c r="B2064" s="141" t="s">
        <v>2694</v>
      </c>
      <c r="C2064" s="113"/>
      <c r="D2064" s="113"/>
      <c r="E2064" s="113"/>
      <c r="F2064" s="113"/>
      <c r="G2064" s="113"/>
      <c r="H2064" s="113"/>
      <c r="J2064" s="113"/>
      <c r="K2064" s="113"/>
      <c r="L2064" s="113"/>
      <c r="M2064" s="113"/>
      <c r="N2064" s="113" t="s">
        <v>5</v>
      </c>
      <c r="O2064" s="113"/>
      <c r="P2064" s="80"/>
      <c r="Q2064" s="80"/>
      <c r="R2064" s="80"/>
      <c r="S2064" s="113"/>
      <c r="T2064" s="80"/>
      <c r="U2064" s="80"/>
      <c r="V2064" s="80"/>
      <c r="W2064" s="80"/>
      <c r="X2064" s="80"/>
      <c r="Y2064" s="80"/>
      <c r="Z2064" s="80"/>
      <c r="AA2064" s="80"/>
      <c r="AB2064" s="80"/>
      <c r="AC2064" s="80"/>
      <c r="AD2064" s="80"/>
      <c r="AE2064" s="80"/>
      <c r="AF2064" s="80"/>
      <c r="AG2064" s="80"/>
      <c r="AH2064" s="80"/>
      <c r="AI2064" s="113"/>
      <c r="AJ2064" s="113"/>
      <c r="AK2064" s="113"/>
      <c r="AL2064" s="113"/>
      <c r="AM2064" s="113"/>
      <c r="AN2064" s="113"/>
      <c r="AO2064" s="113"/>
      <c r="AP2064" s="113"/>
      <c r="AQ2064" s="113"/>
      <c r="AR2064" s="113"/>
      <c r="AS2064" s="113"/>
      <c r="AT2064" s="113"/>
      <c r="AU2064" s="113"/>
      <c r="AV2064" s="113"/>
      <c r="AW2064" s="113"/>
      <c r="AX2064" s="113"/>
      <c r="AY2064" s="113"/>
      <c r="AZ2064" s="113"/>
      <c r="BA2064" s="80"/>
      <c r="BB2064" s="113"/>
      <c r="BC2064" s="80"/>
      <c r="BD2064" s="113"/>
      <c r="BH2064" s="80"/>
      <c r="BI2064" s="80"/>
      <c r="BJ2064" s="80"/>
      <c r="BK2064" s="80"/>
      <c r="BL2064" s="80"/>
      <c r="BM2064" s="80"/>
      <c r="BN2064" s="80"/>
      <c r="BP2064" s="80"/>
    </row>
    <row r="2065" spans="2:68">
      <c r="B2065" s="141" t="s">
        <v>2695</v>
      </c>
      <c r="C2065" s="113"/>
      <c r="D2065" s="113"/>
      <c r="E2065" s="113"/>
      <c r="F2065" s="113"/>
      <c r="G2065" s="113"/>
      <c r="H2065" s="113"/>
      <c r="J2065" s="113"/>
      <c r="K2065" s="113"/>
      <c r="L2065" s="113"/>
      <c r="M2065" s="113"/>
      <c r="N2065" s="113" t="s">
        <v>4</v>
      </c>
      <c r="O2065" s="113"/>
      <c r="P2065" s="80"/>
      <c r="Q2065" s="80"/>
      <c r="R2065" s="80"/>
      <c r="S2065" s="113"/>
      <c r="T2065" s="80"/>
      <c r="U2065" s="80"/>
      <c r="V2065" s="80"/>
      <c r="W2065" s="80"/>
      <c r="X2065" s="80"/>
      <c r="Y2065" s="80"/>
      <c r="Z2065" s="80"/>
      <c r="AA2065" s="80"/>
      <c r="AB2065" s="80"/>
      <c r="AC2065" s="80"/>
      <c r="AD2065" s="80"/>
      <c r="AE2065" s="80"/>
      <c r="AF2065" s="80"/>
      <c r="AG2065" s="80"/>
      <c r="AH2065" s="80"/>
      <c r="AI2065" s="113"/>
      <c r="AJ2065" s="113"/>
      <c r="AK2065" s="113"/>
      <c r="AL2065" s="113"/>
      <c r="AM2065" s="113"/>
      <c r="AN2065" s="113"/>
      <c r="AO2065" s="113"/>
      <c r="AP2065" s="113"/>
      <c r="AQ2065" s="113"/>
      <c r="AR2065" s="113"/>
      <c r="AS2065" s="113"/>
      <c r="AT2065" s="113"/>
      <c r="AU2065" s="113"/>
      <c r="AV2065" s="113"/>
      <c r="AW2065" s="113"/>
      <c r="AX2065" s="113"/>
      <c r="AY2065" s="113"/>
      <c r="AZ2065" s="113"/>
      <c r="BA2065" s="80"/>
      <c r="BB2065" s="113"/>
      <c r="BC2065" s="80"/>
      <c r="BD2065" s="113">
        <v>6</v>
      </c>
      <c r="BH2065" s="80"/>
      <c r="BI2065" s="80"/>
      <c r="BJ2065" s="80"/>
      <c r="BK2065" s="80"/>
      <c r="BL2065" s="80"/>
      <c r="BM2065" s="80"/>
      <c r="BN2065" s="80"/>
      <c r="BP2065" s="80"/>
    </row>
    <row r="2066" spans="2:68">
      <c r="B2066" s="141" t="s">
        <v>2696</v>
      </c>
      <c r="C2066" s="113"/>
      <c r="D2066" s="113"/>
      <c r="E2066" s="113"/>
      <c r="F2066" s="113"/>
      <c r="G2066" s="113"/>
      <c r="H2066" s="113"/>
      <c r="J2066" s="113"/>
      <c r="K2066" s="113"/>
      <c r="L2066" s="113"/>
      <c r="M2066" s="113"/>
      <c r="N2066" s="113" t="s">
        <v>4</v>
      </c>
      <c r="O2066" s="113"/>
      <c r="P2066" s="80"/>
      <c r="Q2066" s="80"/>
      <c r="R2066" s="80"/>
      <c r="S2066" s="113"/>
      <c r="T2066" s="80"/>
      <c r="U2066" s="80"/>
      <c r="V2066" s="80"/>
      <c r="W2066" s="80"/>
      <c r="X2066" s="80"/>
      <c r="Y2066" s="80"/>
      <c r="Z2066" s="80"/>
      <c r="AA2066" s="80"/>
      <c r="AB2066" s="80"/>
      <c r="AC2066" s="80"/>
      <c r="AD2066" s="80"/>
      <c r="AE2066" s="80"/>
      <c r="AF2066" s="80"/>
      <c r="AG2066" s="80"/>
      <c r="AH2066" s="80"/>
      <c r="AI2066" s="113"/>
      <c r="AJ2066" s="113"/>
      <c r="AK2066" s="113"/>
      <c r="AL2066" s="113"/>
      <c r="AM2066" s="113"/>
      <c r="AN2066" s="113"/>
      <c r="AO2066" s="113"/>
      <c r="AP2066" s="113"/>
      <c r="AQ2066" s="113"/>
      <c r="AR2066" s="113"/>
      <c r="AS2066" s="113"/>
      <c r="AT2066" s="113"/>
      <c r="AU2066" s="113"/>
      <c r="AV2066" s="113"/>
      <c r="AW2066" s="113"/>
      <c r="AX2066" s="113"/>
      <c r="AY2066" s="113"/>
      <c r="AZ2066" s="113"/>
      <c r="BA2066" s="80"/>
      <c r="BB2066" s="113"/>
      <c r="BC2066" s="80"/>
      <c r="BD2066" s="113">
        <v>3</v>
      </c>
      <c r="BH2066" s="80"/>
      <c r="BI2066" s="80"/>
      <c r="BJ2066" s="80"/>
      <c r="BK2066" s="80"/>
      <c r="BL2066" s="80"/>
      <c r="BM2066" s="80"/>
      <c r="BN2066" s="80"/>
      <c r="BP2066" s="80"/>
    </row>
    <row r="2067" spans="2:68">
      <c r="B2067" s="141" t="s">
        <v>2697</v>
      </c>
      <c r="C2067" s="113"/>
      <c r="D2067" s="113"/>
      <c r="E2067" s="113"/>
      <c r="F2067" s="113"/>
      <c r="G2067" s="113"/>
      <c r="H2067" s="113"/>
      <c r="J2067" s="113"/>
      <c r="K2067" s="113"/>
      <c r="L2067" s="113"/>
      <c r="M2067" s="113"/>
      <c r="N2067" s="113" t="s">
        <v>4</v>
      </c>
      <c r="O2067" s="113"/>
      <c r="P2067" s="80"/>
      <c r="Q2067" s="80"/>
      <c r="R2067" s="80"/>
      <c r="S2067" s="113"/>
      <c r="T2067" s="80"/>
      <c r="U2067" s="80"/>
      <c r="V2067" s="80"/>
      <c r="W2067" s="80"/>
      <c r="X2067" s="80"/>
      <c r="Y2067" s="80"/>
      <c r="Z2067" s="80"/>
      <c r="AA2067" s="80"/>
      <c r="AB2067" s="80"/>
      <c r="AC2067" s="80"/>
      <c r="AD2067" s="80"/>
      <c r="AE2067" s="80"/>
      <c r="AF2067" s="80"/>
      <c r="AG2067" s="80"/>
      <c r="AH2067" s="80"/>
      <c r="AI2067" s="113"/>
      <c r="AJ2067" s="113"/>
      <c r="AK2067" s="113"/>
      <c r="AL2067" s="113"/>
      <c r="AM2067" s="113"/>
      <c r="AN2067" s="113"/>
      <c r="AO2067" s="113"/>
      <c r="AP2067" s="113"/>
      <c r="AQ2067" s="113"/>
      <c r="AR2067" s="113"/>
      <c r="AS2067" s="113"/>
      <c r="AT2067" s="113"/>
      <c r="AU2067" s="113"/>
      <c r="AV2067" s="113"/>
      <c r="AW2067" s="113"/>
      <c r="AX2067" s="113"/>
      <c r="AY2067" s="113"/>
      <c r="AZ2067" s="113"/>
      <c r="BA2067" s="80"/>
      <c r="BB2067" s="113"/>
      <c r="BC2067" s="80"/>
      <c r="BD2067" s="113">
        <v>3</v>
      </c>
      <c r="BH2067" s="80"/>
      <c r="BI2067" s="80"/>
      <c r="BJ2067" s="80"/>
      <c r="BK2067" s="80"/>
      <c r="BL2067" s="80"/>
      <c r="BM2067" s="80"/>
      <c r="BN2067" s="80"/>
      <c r="BP2067" s="80"/>
    </row>
    <row r="2068" spans="2:68">
      <c r="B2068" s="141" t="s">
        <v>2698</v>
      </c>
      <c r="C2068" s="113"/>
      <c r="D2068" s="113"/>
      <c r="E2068" s="113"/>
      <c r="F2068" s="113"/>
      <c r="G2068" s="113"/>
      <c r="H2068" s="113"/>
      <c r="J2068" s="113"/>
      <c r="K2068" s="113"/>
      <c r="L2068" s="113"/>
      <c r="M2068" s="113"/>
      <c r="N2068" s="113" t="s">
        <v>4</v>
      </c>
      <c r="O2068" s="113"/>
      <c r="P2068" s="80"/>
      <c r="Q2068" s="80"/>
      <c r="R2068" s="80"/>
      <c r="S2068" s="113"/>
      <c r="T2068" s="80"/>
      <c r="U2068" s="80"/>
      <c r="V2068" s="80"/>
      <c r="W2068" s="80"/>
      <c r="X2068" s="80"/>
      <c r="Y2068" s="80"/>
      <c r="Z2068" s="80"/>
      <c r="AA2068" s="80"/>
      <c r="AB2068" s="80"/>
      <c r="AC2068" s="80"/>
      <c r="AD2068" s="80"/>
      <c r="AE2068" s="80"/>
      <c r="AF2068" s="80"/>
      <c r="AG2068" s="80"/>
      <c r="AH2068" s="80"/>
      <c r="AI2068" s="113"/>
      <c r="AJ2068" s="113"/>
      <c r="AK2068" s="113"/>
      <c r="AL2068" s="113"/>
      <c r="AM2068" s="113"/>
      <c r="AN2068" s="113"/>
      <c r="AO2068" s="113"/>
      <c r="AP2068" s="113"/>
      <c r="AQ2068" s="113"/>
      <c r="AR2068" s="113"/>
      <c r="AS2068" s="113"/>
      <c r="AT2068" s="113"/>
      <c r="AU2068" s="113"/>
      <c r="AV2068" s="113"/>
      <c r="AW2068" s="113"/>
      <c r="AX2068" s="113"/>
      <c r="AY2068" s="113"/>
      <c r="AZ2068" s="113"/>
      <c r="BA2068" s="80"/>
      <c r="BB2068" s="113"/>
      <c r="BC2068" s="80"/>
      <c r="BD2068" s="113">
        <v>5</v>
      </c>
      <c r="BH2068" s="80"/>
      <c r="BI2068" s="80"/>
      <c r="BJ2068" s="80"/>
      <c r="BK2068" s="80"/>
      <c r="BL2068" s="80"/>
      <c r="BM2068" s="80"/>
      <c r="BN2068" s="80"/>
      <c r="BP2068" s="80"/>
    </row>
    <row r="2069" spans="2:68">
      <c r="B2069" s="141" t="s">
        <v>2699</v>
      </c>
      <c r="C2069" s="113"/>
      <c r="D2069" s="113"/>
      <c r="E2069" s="113"/>
      <c r="F2069" s="113"/>
      <c r="G2069" s="113"/>
      <c r="H2069" s="113"/>
      <c r="J2069" s="113"/>
      <c r="K2069" s="113"/>
      <c r="L2069" s="113"/>
      <c r="M2069" s="113"/>
      <c r="N2069" s="113" t="s">
        <v>4</v>
      </c>
      <c r="O2069" s="113"/>
      <c r="P2069" s="80"/>
      <c r="Q2069" s="80"/>
      <c r="R2069" s="80"/>
      <c r="S2069" s="113"/>
      <c r="T2069" s="80"/>
      <c r="U2069" s="80"/>
      <c r="V2069" s="80"/>
      <c r="W2069" s="80"/>
      <c r="X2069" s="80"/>
      <c r="Y2069" s="80"/>
      <c r="Z2069" s="80"/>
      <c r="AA2069" s="80"/>
      <c r="AB2069" s="80"/>
      <c r="AC2069" s="80"/>
      <c r="AD2069" s="80"/>
      <c r="AE2069" s="80"/>
      <c r="AF2069" s="80"/>
      <c r="AG2069" s="80"/>
      <c r="AH2069" s="80"/>
      <c r="AI2069" s="113"/>
      <c r="AJ2069" s="113"/>
      <c r="AK2069" s="113"/>
      <c r="AL2069" s="113"/>
      <c r="AM2069" s="113"/>
      <c r="AN2069" s="113"/>
      <c r="AO2069" s="113"/>
      <c r="AP2069" s="113"/>
      <c r="AQ2069" s="113"/>
      <c r="AR2069" s="113"/>
      <c r="AS2069" s="113"/>
      <c r="AT2069" s="113"/>
      <c r="AU2069" s="113"/>
      <c r="AV2069" s="113"/>
      <c r="AW2069" s="113"/>
      <c r="AX2069" s="113"/>
      <c r="AY2069" s="113"/>
      <c r="AZ2069" s="113"/>
      <c r="BA2069" s="80"/>
      <c r="BB2069" s="113"/>
      <c r="BC2069" s="80"/>
      <c r="BD2069" s="113">
        <v>3</v>
      </c>
      <c r="BH2069" s="80"/>
      <c r="BI2069" s="80"/>
      <c r="BJ2069" s="80"/>
      <c r="BK2069" s="80"/>
      <c r="BL2069" s="80"/>
      <c r="BM2069" s="80"/>
      <c r="BN2069" s="80"/>
      <c r="BP2069" s="80"/>
    </row>
    <row r="2070" spans="2:68">
      <c r="B2070" s="141" t="s">
        <v>2700</v>
      </c>
      <c r="C2070" s="113"/>
      <c r="D2070" s="113"/>
      <c r="E2070" s="113"/>
      <c r="F2070" s="113"/>
      <c r="G2070" s="113"/>
      <c r="H2070" s="113"/>
      <c r="J2070" s="113"/>
      <c r="K2070" s="113"/>
      <c r="L2070" s="113"/>
      <c r="M2070" s="113"/>
      <c r="N2070" s="113" t="s">
        <v>4</v>
      </c>
      <c r="O2070" s="113"/>
      <c r="P2070" s="80"/>
      <c r="Q2070" s="80"/>
      <c r="R2070" s="80"/>
      <c r="S2070" s="113"/>
      <c r="T2070" s="80"/>
      <c r="U2070" s="80"/>
      <c r="V2070" s="80"/>
      <c r="W2070" s="80"/>
      <c r="X2070" s="80"/>
      <c r="Y2070" s="80"/>
      <c r="Z2070" s="80"/>
      <c r="AA2070" s="80"/>
      <c r="AB2070" s="80"/>
      <c r="AC2070" s="80"/>
      <c r="AD2070" s="80"/>
      <c r="AE2070" s="80"/>
      <c r="AF2070" s="80"/>
      <c r="AG2070" s="80"/>
      <c r="AH2070" s="80"/>
      <c r="AI2070" s="113"/>
      <c r="AJ2070" s="113"/>
      <c r="AK2070" s="113"/>
      <c r="AL2070" s="113"/>
      <c r="AM2070" s="113"/>
      <c r="AN2070" s="113"/>
      <c r="AO2070" s="113"/>
      <c r="AP2070" s="113"/>
      <c r="AQ2070" s="113"/>
      <c r="AR2070" s="113"/>
      <c r="AS2070" s="113"/>
      <c r="AT2070" s="113"/>
      <c r="AU2070" s="113"/>
      <c r="AV2070" s="113"/>
      <c r="AW2070" s="113"/>
      <c r="AX2070" s="113"/>
      <c r="AY2070" s="113"/>
      <c r="AZ2070" s="113"/>
      <c r="BA2070" s="80"/>
      <c r="BB2070" s="113"/>
      <c r="BC2070" s="80"/>
      <c r="BD2070" s="113">
        <v>2</v>
      </c>
      <c r="BH2070" s="80"/>
      <c r="BI2070" s="80"/>
      <c r="BJ2070" s="80"/>
      <c r="BK2070" s="80"/>
      <c r="BL2070" s="80"/>
      <c r="BM2070" s="80"/>
      <c r="BN2070" s="80"/>
      <c r="BP2070" s="80"/>
    </row>
    <row r="2071" spans="2:68">
      <c r="B2071" s="141" t="s">
        <v>2701</v>
      </c>
      <c r="C2071" s="113"/>
      <c r="D2071" s="113"/>
      <c r="E2071" s="113"/>
      <c r="F2071" s="113"/>
      <c r="G2071" s="113"/>
      <c r="H2071" s="113"/>
      <c r="J2071" s="113"/>
      <c r="K2071" s="113"/>
      <c r="L2071" s="113"/>
      <c r="M2071" s="113"/>
      <c r="N2071" s="113" t="s">
        <v>4</v>
      </c>
      <c r="O2071" s="113"/>
      <c r="P2071" s="80"/>
      <c r="Q2071" s="80"/>
      <c r="R2071" s="80"/>
      <c r="S2071" s="113"/>
      <c r="T2071" s="80"/>
      <c r="U2071" s="80"/>
      <c r="V2071" s="80"/>
      <c r="W2071" s="80"/>
      <c r="X2071" s="80"/>
      <c r="Y2071" s="80"/>
      <c r="Z2071" s="80"/>
      <c r="AA2071" s="80"/>
      <c r="AB2071" s="80"/>
      <c r="AC2071" s="80"/>
      <c r="AD2071" s="80"/>
      <c r="AE2071" s="80"/>
      <c r="AF2071" s="80"/>
      <c r="AG2071" s="80"/>
      <c r="AH2071" s="80"/>
      <c r="AI2071" s="113"/>
      <c r="AJ2071" s="113"/>
      <c r="AK2071" s="113"/>
      <c r="AL2071" s="113"/>
      <c r="AM2071" s="113"/>
      <c r="AN2071" s="113"/>
      <c r="AO2071" s="113"/>
      <c r="AP2071" s="113"/>
      <c r="AQ2071" s="113"/>
      <c r="AR2071" s="113"/>
      <c r="AS2071" s="113"/>
      <c r="AT2071" s="113"/>
      <c r="AU2071" s="113"/>
      <c r="AV2071" s="113"/>
      <c r="AW2071" s="113"/>
      <c r="AX2071" s="113"/>
      <c r="AY2071" s="113"/>
      <c r="AZ2071" s="113"/>
      <c r="BA2071" s="80"/>
      <c r="BB2071" s="113"/>
      <c r="BC2071" s="80"/>
      <c r="BD2071" s="113">
        <v>2</v>
      </c>
      <c r="BH2071" s="80"/>
      <c r="BI2071" s="80"/>
      <c r="BJ2071" s="80"/>
      <c r="BK2071" s="80"/>
      <c r="BL2071" s="80"/>
      <c r="BM2071" s="80"/>
      <c r="BN2071" s="80"/>
      <c r="BP2071" s="80"/>
    </row>
    <row r="2072" spans="2:68">
      <c r="B2072" s="141" t="s">
        <v>2702</v>
      </c>
      <c r="C2072" s="113"/>
      <c r="D2072" s="113"/>
      <c r="E2072" s="113"/>
      <c r="F2072" s="113"/>
      <c r="G2072" s="113"/>
      <c r="H2072" s="113"/>
      <c r="J2072" s="113"/>
      <c r="K2072" s="113"/>
      <c r="L2072" s="113"/>
      <c r="M2072" s="113"/>
      <c r="N2072" s="113" t="s">
        <v>4</v>
      </c>
      <c r="O2072" s="113"/>
      <c r="P2072" s="80"/>
      <c r="Q2072" s="80"/>
      <c r="R2072" s="80"/>
      <c r="S2072" s="113"/>
      <c r="T2072" s="80"/>
      <c r="U2072" s="80"/>
      <c r="V2072" s="80"/>
      <c r="W2072" s="80"/>
      <c r="X2072" s="80"/>
      <c r="Y2072" s="80"/>
      <c r="Z2072" s="80"/>
      <c r="AA2072" s="80"/>
      <c r="AB2072" s="80"/>
      <c r="AC2072" s="80"/>
      <c r="AD2072" s="80"/>
      <c r="AE2072" s="80"/>
      <c r="AF2072" s="80"/>
      <c r="AG2072" s="80"/>
      <c r="AH2072" s="80"/>
      <c r="AI2072" s="113"/>
      <c r="AJ2072" s="113"/>
      <c r="AK2072" s="113"/>
      <c r="AL2072" s="113"/>
      <c r="AM2072" s="113"/>
      <c r="AN2072" s="113"/>
      <c r="AO2072" s="113"/>
      <c r="AP2072" s="113"/>
      <c r="AQ2072" s="113"/>
      <c r="AR2072" s="113"/>
      <c r="AS2072" s="113"/>
      <c r="AT2072" s="113"/>
      <c r="AU2072" s="113"/>
      <c r="AV2072" s="113"/>
      <c r="AW2072" s="113"/>
      <c r="AX2072" s="113"/>
      <c r="AY2072" s="113"/>
      <c r="AZ2072" s="113"/>
      <c r="BA2072" s="80"/>
      <c r="BB2072" s="113"/>
      <c r="BC2072" s="80"/>
      <c r="BD2072" s="113">
        <v>2</v>
      </c>
      <c r="BH2072" s="80"/>
      <c r="BI2072" s="80"/>
      <c r="BJ2072" s="80"/>
      <c r="BK2072" s="80"/>
      <c r="BL2072" s="80"/>
      <c r="BM2072" s="80"/>
      <c r="BN2072" s="80"/>
      <c r="BP2072" s="80"/>
    </row>
    <row r="2073" spans="2:68">
      <c r="B2073" s="141" t="s">
        <v>2703</v>
      </c>
      <c r="C2073" s="113"/>
      <c r="D2073" s="113"/>
      <c r="E2073" s="113"/>
      <c r="F2073" s="113"/>
      <c r="G2073" s="113"/>
      <c r="H2073" s="113"/>
      <c r="J2073" s="113"/>
      <c r="K2073" s="113"/>
      <c r="L2073" s="113"/>
      <c r="M2073" s="113"/>
      <c r="N2073" s="113" t="s">
        <v>4</v>
      </c>
      <c r="O2073" s="113"/>
      <c r="P2073" s="80"/>
      <c r="Q2073" s="80"/>
      <c r="R2073" s="80"/>
      <c r="S2073" s="113"/>
      <c r="T2073" s="80"/>
      <c r="U2073" s="80"/>
      <c r="V2073" s="80"/>
      <c r="W2073" s="80"/>
      <c r="X2073" s="80"/>
      <c r="Y2073" s="80"/>
      <c r="Z2073" s="80"/>
      <c r="AA2073" s="80"/>
      <c r="AB2073" s="80"/>
      <c r="AC2073" s="80"/>
      <c r="AD2073" s="80"/>
      <c r="AE2073" s="80"/>
      <c r="AF2073" s="80"/>
      <c r="AG2073" s="80"/>
      <c r="AH2073" s="80"/>
      <c r="AI2073" s="113"/>
      <c r="AJ2073" s="113"/>
      <c r="AK2073" s="113"/>
      <c r="AL2073" s="113"/>
      <c r="AM2073" s="113"/>
      <c r="AN2073" s="113"/>
      <c r="AO2073" s="113"/>
      <c r="AP2073" s="113"/>
      <c r="AQ2073" s="113"/>
      <c r="AR2073" s="113"/>
      <c r="AS2073" s="113"/>
      <c r="AT2073" s="113"/>
      <c r="AU2073" s="113"/>
      <c r="AV2073" s="113"/>
      <c r="AW2073" s="113"/>
      <c r="AX2073" s="113"/>
      <c r="AY2073" s="113"/>
      <c r="AZ2073" s="113"/>
      <c r="BA2073" s="80"/>
      <c r="BB2073" s="113"/>
      <c r="BC2073" s="80"/>
      <c r="BD2073" s="113">
        <v>1</v>
      </c>
      <c r="BH2073" s="80"/>
      <c r="BI2073" s="80"/>
      <c r="BJ2073" s="80"/>
      <c r="BK2073" s="80"/>
      <c r="BL2073" s="80"/>
      <c r="BM2073" s="80"/>
      <c r="BN2073" s="80"/>
      <c r="BP2073" s="80"/>
    </row>
    <row r="2074" spans="2:68">
      <c r="B2074" s="141" t="s">
        <v>2704</v>
      </c>
      <c r="C2074" s="113"/>
      <c r="D2074" s="113"/>
      <c r="E2074" s="113"/>
      <c r="F2074" s="113"/>
      <c r="G2074" s="113"/>
      <c r="H2074" s="113"/>
      <c r="J2074" s="113"/>
      <c r="K2074" s="113"/>
      <c r="L2074" s="113"/>
      <c r="M2074" s="113"/>
      <c r="N2074" s="113" t="s">
        <v>4</v>
      </c>
      <c r="O2074" s="113"/>
      <c r="P2074" s="80"/>
      <c r="Q2074" s="80"/>
      <c r="R2074" s="80"/>
      <c r="S2074" s="113"/>
      <c r="T2074" s="80"/>
      <c r="U2074" s="80"/>
      <c r="V2074" s="80"/>
      <c r="W2074" s="80"/>
      <c r="X2074" s="80"/>
      <c r="Y2074" s="80"/>
      <c r="Z2074" s="80"/>
      <c r="AA2074" s="80"/>
      <c r="AB2074" s="80"/>
      <c r="AC2074" s="80"/>
      <c r="AD2074" s="80"/>
      <c r="AE2074" s="80"/>
      <c r="AF2074" s="80"/>
      <c r="AG2074" s="80"/>
      <c r="AH2074" s="80"/>
      <c r="AI2074" s="113"/>
      <c r="AJ2074" s="113"/>
      <c r="AK2074" s="113"/>
      <c r="AL2074" s="113"/>
      <c r="AM2074" s="113"/>
      <c r="AN2074" s="113"/>
      <c r="AO2074" s="113"/>
      <c r="AP2074" s="113"/>
      <c r="AQ2074" s="113"/>
      <c r="AR2074" s="113"/>
      <c r="AS2074" s="113"/>
      <c r="AT2074" s="113"/>
      <c r="AU2074" s="113"/>
      <c r="AV2074" s="113"/>
      <c r="AW2074" s="113"/>
      <c r="AX2074" s="113"/>
      <c r="AY2074" s="113"/>
      <c r="AZ2074" s="113"/>
      <c r="BA2074" s="80"/>
      <c r="BB2074" s="113"/>
      <c r="BC2074" s="80"/>
      <c r="BD2074" s="113">
        <v>4</v>
      </c>
      <c r="BH2074" s="80"/>
      <c r="BI2074" s="80"/>
      <c r="BJ2074" s="80"/>
      <c r="BK2074" s="80"/>
      <c r="BL2074" s="80"/>
      <c r="BM2074" s="80"/>
      <c r="BN2074" s="80"/>
      <c r="BP2074" s="80"/>
    </row>
    <row r="2075" spans="2:68">
      <c r="B2075" s="141" t="s">
        <v>2705</v>
      </c>
      <c r="C2075" s="113"/>
      <c r="D2075" s="113"/>
      <c r="E2075" s="113"/>
      <c r="F2075" s="113"/>
      <c r="G2075" s="113"/>
      <c r="H2075" s="113"/>
      <c r="J2075" s="113"/>
      <c r="K2075" s="113"/>
      <c r="L2075" s="113"/>
      <c r="M2075" s="113"/>
      <c r="N2075" s="113" t="s">
        <v>4</v>
      </c>
      <c r="O2075" s="113"/>
      <c r="P2075" s="80"/>
      <c r="Q2075" s="80"/>
      <c r="R2075" s="80"/>
      <c r="S2075" s="113"/>
      <c r="T2075" s="80"/>
      <c r="U2075" s="80"/>
      <c r="V2075" s="80"/>
      <c r="W2075" s="80"/>
      <c r="X2075" s="80"/>
      <c r="Y2075" s="80"/>
      <c r="Z2075" s="80"/>
      <c r="AA2075" s="80"/>
      <c r="AB2075" s="80"/>
      <c r="AC2075" s="80"/>
      <c r="AD2075" s="80"/>
      <c r="AE2075" s="80"/>
      <c r="AF2075" s="80"/>
      <c r="AG2075" s="80"/>
      <c r="AH2075" s="80"/>
      <c r="AI2075" s="113"/>
      <c r="AJ2075" s="113"/>
      <c r="AK2075" s="113"/>
      <c r="AL2075" s="113"/>
      <c r="AM2075" s="113"/>
      <c r="AN2075" s="113"/>
      <c r="AO2075" s="113"/>
      <c r="AP2075" s="113"/>
      <c r="AQ2075" s="113"/>
      <c r="AR2075" s="113"/>
      <c r="AS2075" s="113"/>
      <c r="AT2075" s="113"/>
      <c r="AU2075" s="113"/>
      <c r="AV2075" s="113"/>
      <c r="AW2075" s="113"/>
      <c r="AX2075" s="113"/>
      <c r="AY2075" s="113"/>
      <c r="AZ2075" s="113"/>
      <c r="BA2075" s="80"/>
      <c r="BB2075" s="113"/>
      <c r="BC2075" s="80"/>
      <c r="BD2075" s="113">
        <v>3</v>
      </c>
      <c r="BH2075" s="80"/>
      <c r="BI2075" s="80"/>
      <c r="BJ2075" s="80"/>
      <c r="BK2075" s="80"/>
      <c r="BL2075" s="80"/>
      <c r="BM2075" s="80"/>
      <c r="BN2075" s="80"/>
      <c r="BP2075" s="80"/>
    </row>
    <row r="2076" spans="2:68" ht="27">
      <c r="B2076" s="141" t="s">
        <v>2706</v>
      </c>
      <c r="C2076" s="113"/>
      <c r="D2076" s="113"/>
      <c r="E2076" s="113"/>
      <c r="F2076" s="113"/>
      <c r="G2076" s="113"/>
      <c r="H2076" s="113"/>
      <c r="J2076" s="113"/>
      <c r="K2076" s="113"/>
      <c r="L2076" s="113"/>
      <c r="M2076" s="113"/>
      <c r="N2076" s="113" t="s">
        <v>3</v>
      </c>
      <c r="O2076" s="113"/>
      <c r="P2076" s="80"/>
      <c r="Q2076" s="80"/>
      <c r="R2076" s="80"/>
      <c r="S2076" s="113" t="s">
        <v>1</v>
      </c>
      <c r="T2076" s="80"/>
      <c r="U2076" s="80"/>
      <c r="V2076" s="80"/>
      <c r="W2076" s="80"/>
      <c r="X2076" s="80"/>
      <c r="Y2076" s="80"/>
      <c r="Z2076" s="80"/>
      <c r="AA2076" s="80"/>
      <c r="AB2076" s="80"/>
      <c r="AC2076" s="80"/>
      <c r="AD2076" s="80"/>
      <c r="AE2076" s="80"/>
      <c r="AF2076" s="80"/>
      <c r="AG2076" s="80"/>
      <c r="AH2076" s="80"/>
      <c r="AI2076" s="113"/>
      <c r="AJ2076" s="113"/>
      <c r="AK2076" s="113"/>
      <c r="AL2076" s="113"/>
      <c r="AM2076" s="113"/>
      <c r="AN2076" s="113"/>
      <c r="AO2076" s="113"/>
      <c r="AP2076" s="113"/>
      <c r="AQ2076" s="113"/>
      <c r="AR2076" s="113"/>
      <c r="AS2076" s="113"/>
      <c r="AT2076" s="113"/>
      <c r="AU2076" s="113"/>
      <c r="AV2076" s="113"/>
      <c r="AW2076" s="113"/>
      <c r="AX2076" s="113"/>
      <c r="AY2076" s="113"/>
      <c r="AZ2076" s="113"/>
      <c r="BA2076" s="80"/>
      <c r="BB2076" s="113"/>
      <c r="BC2076" s="80"/>
      <c r="BD2076" s="113"/>
      <c r="BH2076" s="80"/>
      <c r="BI2076" s="80"/>
      <c r="BJ2076" s="80"/>
      <c r="BK2076" s="80"/>
      <c r="BL2076" s="80"/>
      <c r="BM2076" s="80"/>
      <c r="BN2076" s="80"/>
      <c r="BP2076" s="80"/>
    </row>
    <row r="2077" spans="2:68">
      <c r="B2077" s="141" t="s">
        <v>2707</v>
      </c>
      <c r="C2077" s="113"/>
      <c r="D2077" s="113"/>
      <c r="E2077" s="113"/>
      <c r="F2077" s="113"/>
      <c r="G2077" s="113"/>
      <c r="H2077" s="113"/>
      <c r="J2077" s="113"/>
      <c r="K2077" s="113"/>
      <c r="L2077" s="113"/>
      <c r="M2077" s="113"/>
      <c r="N2077" s="113" t="s">
        <v>3</v>
      </c>
      <c r="O2077" s="113"/>
      <c r="P2077" s="80"/>
      <c r="Q2077" s="80"/>
      <c r="R2077" s="80"/>
      <c r="S2077" s="113" t="s">
        <v>1</v>
      </c>
      <c r="T2077" s="80"/>
      <c r="U2077" s="80"/>
      <c r="V2077" s="80"/>
      <c r="W2077" s="80"/>
      <c r="X2077" s="80"/>
      <c r="Y2077" s="80"/>
      <c r="Z2077" s="80"/>
      <c r="AA2077" s="80"/>
      <c r="AB2077" s="80"/>
      <c r="AC2077" s="80"/>
      <c r="AD2077" s="80"/>
      <c r="AE2077" s="80"/>
      <c r="AF2077" s="80"/>
      <c r="AG2077" s="80"/>
      <c r="AH2077" s="80"/>
      <c r="AI2077" s="113"/>
      <c r="AJ2077" s="113"/>
      <c r="AK2077" s="113"/>
      <c r="AL2077" s="113"/>
      <c r="AM2077" s="113"/>
      <c r="AN2077" s="113"/>
      <c r="AO2077" s="113"/>
      <c r="AP2077" s="113"/>
      <c r="AQ2077" s="113"/>
      <c r="AR2077" s="113"/>
      <c r="AS2077" s="113"/>
      <c r="AT2077" s="113"/>
      <c r="AU2077" s="113"/>
      <c r="AV2077" s="113"/>
      <c r="AW2077" s="113"/>
      <c r="AX2077" s="113"/>
      <c r="AY2077" s="113"/>
      <c r="AZ2077" s="113"/>
      <c r="BA2077" s="80"/>
      <c r="BB2077" s="113"/>
      <c r="BC2077" s="80"/>
      <c r="BD2077" s="113"/>
      <c r="BH2077" s="80"/>
      <c r="BI2077" s="80"/>
      <c r="BJ2077" s="80"/>
      <c r="BK2077" s="80"/>
      <c r="BL2077" s="80"/>
      <c r="BM2077" s="80"/>
      <c r="BN2077" s="80"/>
      <c r="BP2077" s="80"/>
    </row>
    <row r="2078" spans="2:68" ht="27">
      <c r="B2078" s="141" t="s">
        <v>2708</v>
      </c>
      <c r="C2078" s="113"/>
      <c r="D2078" s="113"/>
      <c r="E2078" s="113"/>
      <c r="F2078" s="113"/>
      <c r="G2078" s="113"/>
      <c r="H2078" s="113"/>
      <c r="J2078" s="113"/>
      <c r="K2078" s="113"/>
      <c r="L2078" s="113"/>
      <c r="M2078" s="113"/>
      <c r="N2078" s="113" t="s">
        <v>3</v>
      </c>
      <c r="O2078" s="113"/>
      <c r="P2078" s="80"/>
      <c r="Q2078" s="80"/>
      <c r="R2078" s="80"/>
      <c r="S2078" s="113" t="s">
        <v>1</v>
      </c>
      <c r="T2078" s="80"/>
      <c r="U2078" s="80"/>
      <c r="V2078" s="80"/>
      <c r="W2078" s="80"/>
      <c r="X2078" s="80"/>
      <c r="Y2078" s="80"/>
      <c r="Z2078" s="80"/>
      <c r="AA2078" s="80"/>
      <c r="AB2078" s="80"/>
      <c r="AC2078" s="80"/>
      <c r="AD2078" s="80"/>
      <c r="AE2078" s="80"/>
      <c r="AF2078" s="80"/>
      <c r="AG2078" s="80"/>
      <c r="AH2078" s="80"/>
      <c r="AI2078" s="113"/>
      <c r="AJ2078" s="113"/>
      <c r="AK2078" s="113"/>
      <c r="AL2078" s="113"/>
      <c r="AM2078" s="113"/>
      <c r="AN2078" s="113"/>
      <c r="AO2078" s="113"/>
      <c r="AP2078" s="113"/>
      <c r="AQ2078" s="113"/>
      <c r="AR2078" s="113"/>
      <c r="AS2078" s="113"/>
      <c r="AT2078" s="113"/>
      <c r="AU2078" s="113"/>
      <c r="AV2078" s="113"/>
      <c r="AW2078" s="113"/>
      <c r="AX2078" s="113"/>
      <c r="AY2078" s="113"/>
      <c r="AZ2078" s="113"/>
      <c r="BA2078" s="80"/>
      <c r="BB2078" s="113"/>
      <c r="BC2078" s="80"/>
      <c r="BD2078" s="113"/>
      <c r="BH2078" s="80"/>
      <c r="BI2078" s="80"/>
      <c r="BJ2078" s="80"/>
      <c r="BK2078" s="80"/>
      <c r="BL2078" s="80"/>
      <c r="BM2078" s="80"/>
      <c r="BN2078" s="80"/>
      <c r="BP2078" s="80"/>
    </row>
    <row r="2079" spans="2:68">
      <c r="B2079" s="141" t="s">
        <v>2709</v>
      </c>
      <c r="C2079" s="113"/>
      <c r="D2079" s="113"/>
      <c r="E2079" s="113"/>
      <c r="F2079" s="113"/>
      <c r="G2079" s="113"/>
      <c r="H2079" s="113"/>
      <c r="J2079" s="113"/>
      <c r="K2079" s="113"/>
      <c r="L2079" s="113"/>
      <c r="M2079" s="113"/>
      <c r="N2079" s="113" t="s">
        <v>3</v>
      </c>
      <c r="O2079" s="113"/>
      <c r="P2079" s="80"/>
      <c r="Q2079" s="80"/>
      <c r="R2079" s="80"/>
      <c r="S2079" s="113" t="s">
        <v>1</v>
      </c>
      <c r="T2079" s="80"/>
      <c r="U2079" s="80"/>
      <c r="V2079" s="80"/>
      <c r="W2079" s="80"/>
      <c r="X2079" s="80"/>
      <c r="Y2079" s="80"/>
      <c r="Z2079" s="80"/>
      <c r="AA2079" s="80"/>
      <c r="AB2079" s="80"/>
      <c r="AC2079" s="80"/>
      <c r="AD2079" s="80"/>
      <c r="AE2079" s="80"/>
      <c r="AF2079" s="80"/>
      <c r="AG2079" s="80"/>
      <c r="AH2079" s="80"/>
      <c r="AI2079" s="113"/>
      <c r="AJ2079" s="113"/>
      <c r="AK2079" s="113"/>
      <c r="AL2079" s="113"/>
      <c r="AM2079" s="113"/>
      <c r="AN2079" s="113"/>
      <c r="AO2079" s="113"/>
      <c r="AP2079" s="113"/>
      <c r="AQ2079" s="113"/>
      <c r="AR2079" s="113"/>
      <c r="AS2079" s="113"/>
      <c r="AT2079" s="113"/>
      <c r="AU2079" s="113"/>
      <c r="AV2079" s="113"/>
      <c r="AW2079" s="113"/>
      <c r="AX2079" s="113"/>
      <c r="AY2079" s="113"/>
      <c r="AZ2079" s="113"/>
      <c r="BA2079" s="80"/>
      <c r="BB2079" s="113"/>
      <c r="BC2079" s="80"/>
      <c r="BD2079" s="113"/>
      <c r="BH2079" s="80"/>
      <c r="BI2079" s="80"/>
      <c r="BJ2079" s="80"/>
      <c r="BK2079" s="80"/>
      <c r="BL2079" s="80"/>
      <c r="BM2079" s="80"/>
      <c r="BN2079" s="80"/>
      <c r="BP2079" s="80"/>
    </row>
    <row r="2080" spans="2:68">
      <c r="B2080" s="141" t="s">
        <v>2710</v>
      </c>
      <c r="C2080" s="113"/>
      <c r="D2080" s="113"/>
      <c r="E2080" s="113"/>
      <c r="F2080" s="113"/>
      <c r="G2080" s="113"/>
      <c r="H2080" s="113"/>
      <c r="J2080" s="113"/>
      <c r="K2080" s="113"/>
      <c r="L2080" s="113"/>
      <c r="M2080" s="113"/>
      <c r="N2080" s="113" t="s">
        <v>3</v>
      </c>
      <c r="O2080" s="113"/>
      <c r="P2080" s="80"/>
      <c r="Q2080" s="80"/>
      <c r="R2080" s="80"/>
      <c r="S2080" s="113" t="s">
        <v>1</v>
      </c>
      <c r="T2080" s="80"/>
      <c r="U2080" s="80"/>
      <c r="V2080" s="80"/>
      <c r="W2080" s="80"/>
      <c r="X2080" s="80"/>
      <c r="Y2080" s="80"/>
      <c r="Z2080" s="80"/>
      <c r="AA2080" s="80"/>
      <c r="AB2080" s="80"/>
      <c r="AC2080" s="80"/>
      <c r="AD2080" s="80"/>
      <c r="AE2080" s="80"/>
      <c r="AF2080" s="80"/>
      <c r="AG2080" s="80"/>
      <c r="AH2080" s="80"/>
      <c r="AI2080" s="113"/>
      <c r="AJ2080" s="113"/>
      <c r="AK2080" s="113"/>
      <c r="AL2080" s="113"/>
      <c r="AM2080" s="113"/>
      <c r="AN2080" s="113"/>
      <c r="AO2080" s="113"/>
      <c r="AP2080" s="113"/>
      <c r="AQ2080" s="113"/>
      <c r="AR2080" s="113"/>
      <c r="AS2080" s="113"/>
      <c r="AT2080" s="113"/>
      <c r="AU2080" s="113"/>
      <c r="AV2080" s="113"/>
      <c r="AW2080" s="113"/>
      <c r="AX2080" s="113"/>
      <c r="AY2080" s="113"/>
      <c r="AZ2080" s="113"/>
      <c r="BA2080" s="80"/>
      <c r="BB2080" s="113"/>
      <c r="BC2080" s="80"/>
      <c r="BD2080" s="113"/>
      <c r="BH2080" s="80"/>
      <c r="BI2080" s="80"/>
      <c r="BJ2080" s="80"/>
      <c r="BK2080" s="80"/>
      <c r="BL2080" s="80"/>
      <c r="BM2080" s="80"/>
      <c r="BN2080" s="80"/>
      <c r="BP2080" s="80"/>
    </row>
    <row r="2081" spans="2:68" ht="27">
      <c r="B2081" s="141" t="s">
        <v>2711</v>
      </c>
      <c r="C2081" s="113"/>
      <c r="D2081" s="113"/>
      <c r="E2081" s="113"/>
      <c r="F2081" s="113"/>
      <c r="G2081" s="113"/>
      <c r="H2081" s="113"/>
      <c r="J2081" s="113"/>
      <c r="K2081" s="113"/>
      <c r="L2081" s="113"/>
      <c r="M2081" s="113"/>
      <c r="N2081" s="113" t="s">
        <v>3</v>
      </c>
      <c r="O2081" s="113"/>
      <c r="P2081" s="80"/>
      <c r="Q2081" s="80"/>
      <c r="R2081" s="80"/>
      <c r="S2081" s="113" t="s">
        <v>1</v>
      </c>
      <c r="T2081" s="80"/>
      <c r="U2081" s="80"/>
      <c r="V2081" s="80"/>
      <c r="W2081" s="80"/>
      <c r="X2081" s="80"/>
      <c r="Y2081" s="80"/>
      <c r="Z2081" s="80"/>
      <c r="AA2081" s="80"/>
      <c r="AB2081" s="80"/>
      <c r="AC2081" s="80"/>
      <c r="AD2081" s="80"/>
      <c r="AE2081" s="80"/>
      <c r="AF2081" s="80"/>
      <c r="AG2081" s="80"/>
      <c r="AH2081" s="80"/>
      <c r="AI2081" s="113"/>
      <c r="AJ2081" s="113"/>
      <c r="AK2081" s="113"/>
      <c r="AL2081" s="113"/>
      <c r="AM2081" s="113"/>
      <c r="AN2081" s="113"/>
      <c r="AO2081" s="113"/>
      <c r="AP2081" s="113"/>
      <c r="AQ2081" s="113"/>
      <c r="AR2081" s="113"/>
      <c r="AS2081" s="113"/>
      <c r="AT2081" s="113"/>
      <c r="AU2081" s="113"/>
      <c r="AV2081" s="113"/>
      <c r="AW2081" s="113"/>
      <c r="AX2081" s="113"/>
      <c r="AY2081" s="113"/>
      <c r="AZ2081" s="113"/>
      <c r="BA2081" s="80"/>
      <c r="BB2081" s="113"/>
      <c r="BC2081" s="80"/>
      <c r="BD2081" s="113"/>
      <c r="BH2081" s="80"/>
      <c r="BI2081" s="80"/>
      <c r="BJ2081" s="80"/>
      <c r="BK2081" s="80"/>
      <c r="BL2081" s="80"/>
      <c r="BM2081" s="80"/>
      <c r="BN2081" s="80"/>
      <c r="BP2081" s="80"/>
    </row>
    <row r="2082" spans="2:68" ht="27">
      <c r="B2082" s="141" t="s">
        <v>2712</v>
      </c>
      <c r="C2082" s="113"/>
      <c r="D2082" s="113"/>
      <c r="E2082" s="113"/>
      <c r="F2082" s="113"/>
      <c r="G2082" s="113"/>
      <c r="H2082" s="113"/>
      <c r="J2082" s="113"/>
      <c r="K2082" s="113"/>
      <c r="L2082" s="113"/>
      <c r="M2082" s="113"/>
      <c r="N2082" s="113" t="s">
        <v>3</v>
      </c>
      <c r="O2082" s="113"/>
      <c r="P2082" s="80"/>
      <c r="Q2082" s="80"/>
      <c r="R2082" s="80"/>
      <c r="S2082" s="113" t="s">
        <v>1</v>
      </c>
      <c r="T2082" s="80"/>
      <c r="U2082" s="80"/>
      <c r="V2082" s="80"/>
      <c r="W2082" s="80"/>
      <c r="X2082" s="80"/>
      <c r="Y2082" s="80"/>
      <c r="Z2082" s="80"/>
      <c r="AA2082" s="80"/>
      <c r="AB2082" s="80"/>
      <c r="AC2082" s="80"/>
      <c r="AD2082" s="80"/>
      <c r="AE2082" s="80"/>
      <c r="AF2082" s="80"/>
      <c r="AG2082" s="80"/>
      <c r="AH2082" s="80"/>
      <c r="AI2082" s="113"/>
      <c r="AJ2082" s="113"/>
      <c r="AK2082" s="113"/>
      <c r="AL2082" s="113"/>
      <c r="AM2082" s="113"/>
      <c r="AN2082" s="113"/>
      <c r="AO2082" s="113"/>
      <c r="AP2082" s="113"/>
      <c r="AQ2082" s="113"/>
      <c r="AR2082" s="113"/>
      <c r="AS2082" s="113"/>
      <c r="AT2082" s="113"/>
      <c r="AU2082" s="113"/>
      <c r="AV2082" s="113"/>
      <c r="AW2082" s="113"/>
      <c r="AX2082" s="113"/>
      <c r="AY2082" s="113"/>
      <c r="AZ2082" s="113"/>
      <c r="BA2082" s="80"/>
      <c r="BB2082" s="113"/>
      <c r="BC2082" s="80"/>
      <c r="BD2082" s="113"/>
      <c r="BH2082" s="80"/>
      <c r="BI2082" s="80"/>
      <c r="BJ2082" s="80"/>
      <c r="BK2082" s="80"/>
      <c r="BL2082" s="80"/>
      <c r="BM2082" s="80"/>
      <c r="BN2082" s="80"/>
      <c r="BP2082" s="80"/>
    </row>
    <row r="2083" spans="2:68">
      <c r="B2083" s="141" t="s">
        <v>2713</v>
      </c>
      <c r="C2083" s="113"/>
      <c r="D2083" s="113"/>
      <c r="E2083" s="113"/>
      <c r="F2083" s="113"/>
      <c r="G2083" s="113"/>
      <c r="H2083" s="113"/>
      <c r="J2083" s="113"/>
      <c r="K2083" s="113"/>
      <c r="L2083" s="113"/>
      <c r="M2083" s="113"/>
      <c r="N2083" s="113" t="s">
        <v>3</v>
      </c>
      <c r="O2083" s="113"/>
      <c r="P2083" s="80"/>
      <c r="Q2083" s="80"/>
      <c r="R2083" s="80"/>
      <c r="S2083" s="113" t="s">
        <v>1</v>
      </c>
      <c r="T2083" s="80"/>
      <c r="U2083" s="80"/>
      <c r="V2083" s="80"/>
      <c r="W2083" s="80"/>
      <c r="X2083" s="80"/>
      <c r="Y2083" s="80"/>
      <c r="Z2083" s="80"/>
      <c r="AA2083" s="80"/>
      <c r="AB2083" s="80"/>
      <c r="AC2083" s="80"/>
      <c r="AD2083" s="80"/>
      <c r="AE2083" s="80"/>
      <c r="AF2083" s="80"/>
      <c r="AG2083" s="80"/>
      <c r="AH2083" s="80"/>
      <c r="AI2083" s="113"/>
      <c r="AJ2083" s="113"/>
      <c r="AK2083" s="113"/>
      <c r="AL2083" s="113"/>
      <c r="AM2083" s="113"/>
      <c r="AN2083" s="113"/>
      <c r="AO2083" s="113"/>
      <c r="AP2083" s="113"/>
      <c r="AQ2083" s="113"/>
      <c r="AR2083" s="113"/>
      <c r="AS2083" s="113"/>
      <c r="AT2083" s="113"/>
      <c r="AU2083" s="113"/>
      <c r="AV2083" s="113"/>
      <c r="AW2083" s="113"/>
      <c r="AX2083" s="113"/>
      <c r="AY2083" s="113"/>
      <c r="AZ2083" s="113"/>
      <c r="BA2083" s="80"/>
      <c r="BB2083" s="113"/>
      <c r="BC2083" s="80"/>
      <c r="BD2083" s="113"/>
      <c r="BH2083" s="80"/>
      <c r="BI2083" s="80"/>
      <c r="BJ2083" s="80"/>
      <c r="BK2083" s="80"/>
      <c r="BL2083" s="80"/>
      <c r="BM2083" s="80"/>
      <c r="BN2083" s="80"/>
      <c r="BP2083" s="80"/>
    </row>
    <row r="2084" spans="2:68" ht="27">
      <c r="B2084" s="141" t="s">
        <v>2714</v>
      </c>
      <c r="C2084" s="113"/>
      <c r="D2084" s="113"/>
      <c r="E2084" s="113"/>
      <c r="F2084" s="113"/>
      <c r="G2084" s="113"/>
      <c r="H2084" s="113"/>
      <c r="J2084" s="113"/>
      <c r="K2084" s="113"/>
      <c r="L2084" s="113"/>
      <c r="M2084" s="113"/>
      <c r="N2084" s="113" t="s">
        <v>3</v>
      </c>
      <c r="O2084" s="113"/>
      <c r="P2084" s="80"/>
      <c r="Q2084" s="80"/>
      <c r="R2084" s="80"/>
      <c r="S2084" s="113" t="s">
        <v>1</v>
      </c>
      <c r="T2084" s="80"/>
      <c r="U2084" s="80"/>
      <c r="V2084" s="80"/>
      <c r="W2084" s="80"/>
      <c r="X2084" s="80"/>
      <c r="Y2084" s="80"/>
      <c r="Z2084" s="80"/>
      <c r="AA2084" s="80"/>
      <c r="AB2084" s="80"/>
      <c r="AC2084" s="80"/>
      <c r="AD2084" s="80"/>
      <c r="AE2084" s="80"/>
      <c r="AF2084" s="80"/>
      <c r="AG2084" s="80"/>
      <c r="AH2084" s="80"/>
      <c r="AI2084" s="113"/>
      <c r="AJ2084" s="113"/>
      <c r="AK2084" s="113"/>
      <c r="AL2084" s="113"/>
      <c r="AM2084" s="113"/>
      <c r="AN2084" s="113"/>
      <c r="AO2084" s="113"/>
      <c r="AP2084" s="113"/>
      <c r="AQ2084" s="113"/>
      <c r="AR2084" s="113"/>
      <c r="AS2084" s="113"/>
      <c r="AT2084" s="113"/>
      <c r="AU2084" s="113"/>
      <c r="AV2084" s="113"/>
      <c r="AW2084" s="113"/>
      <c r="AX2084" s="113"/>
      <c r="AY2084" s="113"/>
      <c r="AZ2084" s="113"/>
      <c r="BA2084" s="80"/>
      <c r="BB2084" s="113"/>
      <c r="BC2084" s="80"/>
      <c r="BD2084" s="113"/>
      <c r="BH2084" s="80"/>
      <c r="BI2084" s="80"/>
      <c r="BJ2084" s="80"/>
      <c r="BK2084" s="80"/>
      <c r="BL2084" s="80"/>
      <c r="BM2084" s="80"/>
      <c r="BN2084" s="80"/>
      <c r="BP2084" s="80"/>
    </row>
    <row r="2085" spans="2:68">
      <c r="B2085" s="141" t="s">
        <v>2715</v>
      </c>
      <c r="C2085" s="113"/>
      <c r="D2085" s="113"/>
      <c r="E2085" s="113"/>
      <c r="F2085" s="113"/>
      <c r="G2085" s="113"/>
      <c r="H2085" s="113"/>
      <c r="J2085" s="113"/>
      <c r="K2085" s="113"/>
      <c r="L2085" s="113"/>
      <c r="M2085" s="113"/>
      <c r="N2085" s="113" t="s">
        <v>3</v>
      </c>
      <c r="O2085" s="113"/>
      <c r="P2085" s="80"/>
      <c r="Q2085" s="80"/>
      <c r="R2085" s="80"/>
      <c r="S2085" s="113" t="s">
        <v>1</v>
      </c>
      <c r="T2085" s="80"/>
      <c r="U2085" s="80"/>
      <c r="V2085" s="80"/>
      <c r="W2085" s="80"/>
      <c r="X2085" s="80"/>
      <c r="Y2085" s="80"/>
      <c r="Z2085" s="80"/>
      <c r="AA2085" s="80"/>
      <c r="AB2085" s="80"/>
      <c r="AC2085" s="80"/>
      <c r="AD2085" s="80"/>
      <c r="AE2085" s="80"/>
      <c r="AF2085" s="80"/>
      <c r="AG2085" s="80"/>
      <c r="AH2085" s="80"/>
      <c r="AI2085" s="113"/>
      <c r="AJ2085" s="113"/>
      <c r="AK2085" s="113"/>
      <c r="AL2085" s="113"/>
      <c r="AM2085" s="113"/>
      <c r="AN2085" s="113"/>
      <c r="AO2085" s="113"/>
      <c r="AP2085" s="113"/>
      <c r="AQ2085" s="113"/>
      <c r="AR2085" s="113"/>
      <c r="AS2085" s="113"/>
      <c r="AT2085" s="113"/>
      <c r="AU2085" s="113"/>
      <c r="AV2085" s="113"/>
      <c r="AW2085" s="113"/>
      <c r="AX2085" s="113"/>
      <c r="AY2085" s="113"/>
      <c r="AZ2085" s="113"/>
      <c r="BA2085" s="80"/>
      <c r="BB2085" s="113"/>
      <c r="BC2085" s="80"/>
      <c r="BD2085" s="113"/>
      <c r="BH2085" s="80"/>
      <c r="BI2085" s="80"/>
      <c r="BJ2085" s="80"/>
      <c r="BK2085" s="80"/>
      <c r="BL2085" s="80"/>
      <c r="BM2085" s="80"/>
      <c r="BN2085" s="80"/>
      <c r="BP2085" s="80"/>
    </row>
    <row r="2086" spans="2:68" ht="27">
      <c r="B2086" s="141" t="s">
        <v>2716</v>
      </c>
      <c r="C2086" s="113"/>
      <c r="D2086" s="113"/>
      <c r="E2086" s="113"/>
      <c r="F2086" s="113"/>
      <c r="G2086" s="113"/>
      <c r="H2086" s="113"/>
      <c r="J2086" s="113"/>
      <c r="K2086" s="113"/>
      <c r="L2086" s="113"/>
      <c r="M2086" s="113"/>
      <c r="N2086" s="113" t="s">
        <v>3</v>
      </c>
      <c r="O2086" s="113"/>
      <c r="P2086" s="80"/>
      <c r="Q2086" s="80"/>
      <c r="R2086" s="80"/>
      <c r="S2086" s="113" t="s">
        <v>1</v>
      </c>
      <c r="T2086" s="80"/>
      <c r="U2086" s="80"/>
      <c r="V2086" s="80"/>
      <c r="W2086" s="80"/>
      <c r="X2086" s="80"/>
      <c r="Y2086" s="80"/>
      <c r="Z2086" s="80"/>
      <c r="AA2086" s="80"/>
      <c r="AB2086" s="80"/>
      <c r="AC2086" s="80"/>
      <c r="AD2086" s="80"/>
      <c r="AE2086" s="80"/>
      <c r="AF2086" s="80"/>
      <c r="AG2086" s="80"/>
      <c r="AH2086" s="80"/>
      <c r="AI2086" s="113"/>
      <c r="AJ2086" s="113"/>
      <c r="AK2086" s="113"/>
      <c r="AL2086" s="113"/>
      <c r="AM2086" s="113"/>
      <c r="AN2086" s="113"/>
      <c r="AO2086" s="113"/>
      <c r="AP2086" s="113"/>
      <c r="AQ2086" s="113"/>
      <c r="AR2086" s="113"/>
      <c r="AS2086" s="113"/>
      <c r="AT2086" s="113"/>
      <c r="AU2086" s="113"/>
      <c r="AV2086" s="113"/>
      <c r="AW2086" s="113"/>
      <c r="AX2086" s="113"/>
      <c r="AY2086" s="113"/>
      <c r="AZ2086" s="113"/>
      <c r="BA2086" s="80"/>
      <c r="BB2086" s="113"/>
      <c r="BC2086" s="80"/>
      <c r="BD2086" s="113"/>
      <c r="BH2086" s="80"/>
      <c r="BI2086" s="80"/>
      <c r="BJ2086" s="80"/>
      <c r="BK2086" s="80"/>
      <c r="BL2086" s="80"/>
      <c r="BM2086" s="80"/>
      <c r="BN2086" s="80"/>
      <c r="BP2086" s="80"/>
    </row>
    <row r="2087" spans="2:68">
      <c r="B2087" s="141" t="s">
        <v>2717</v>
      </c>
      <c r="C2087" s="113"/>
      <c r="D2087" s="113"/>
      <c r="E2087" s="113"/>
      <c r="F2087" s="113"/>
      <c r="G2087" s="113"/>
      <c r="H2087" s="113"/>
      <c r="J2087" s="113"/>
      <c r="K2087" s="113"/>
      <c r="L2087" s="113"/>
      <c r="M2087" s="113"/>
      <c r="N2087" s="113" t="s">
        <v>3</v>
      </c>
      <c r="O2087" s="113"/>
      <c r="P2087" s="80"/>
      <c r="Q2087" s="80"/>
      <c r="R2087" s="80"/>
      <c r="S2087" s="113" t="s">
        <v>1</v>
      </c>
      <c r="T2087" s="80"/>
      <c r="U2087" s="80"/>
      <c r="V2087" s="80"/>
      <c r="W2087" s="80"/>
      <c r="X2087" s="80"/>
      <c r="Y2087" s="80"/>
      <c r="Z2087" s="80"/>
      <c r="AA2087" s="80"/>
      <c r="AB2087" s="80"/>
      <c r="AC2087" s="80"/>
      <c r="AD2087" s="80"/>
      <c r="AE2087" s="80"/>
      <c r="AF2087" s="80"/>
      <c r="AG2087" s="80"/>
      <c r="AH2087" s="80"/>
      <c r="AI2087" s="113"/>
      <c r="AJ2087" s="113"/>
      <c r="AK2087" s="113"/>
      <c r="AL2087" s="113"/>
      <c r="AM2087" s="113"/>
      <c r="AN2087" s="113"/>
      <c r="AO2087" s="113"/>
      <c r="AP2087" s="113"/>
      <c r="AQ2087" s="113"/>
      <c r="AR2087" s="113"/>
      <c r="AS2087" s="113"/>
      <c r="AT2087" s="113"/>
      <c r="AU2087" s="113"/>
      <c r="AV2087" s="113"/>
      <c r="AW2087" s="113"/>
      <c r="AX2087" s="113"/>
      <c r="AY2087" s="113"/>
      <c r="AZ2087" s="113"/>
      <c r="BA2087" s="80"/>
      <c r="BB2087" s="113"/>
      <c r="BC2087" s="80"/>
      <c r="BD2087" s="113"/>
      <c r="BH2087" s="80"/>
      <c r="BI2087" s="80"/>
      <c r="BJ2087" s="80"/>
      <c r="BK2087" s="80"/>
      <c r="BL2087" s="80"/>
      <c r="BM2087" s="80"/>
      <c r="BN2087" s="80"/>
      <c r="BP2087" s="80"/>
    </row>
    <row r="2088" spans="2:68" ht="27">
      <c r="B2088" s="141" t="s">
        <v>2718</v>
      </c>
      <c r="C2088" s="113"/>
      <c r="D2088" s="113"/>
      <c r="E2088" s="113"/>
      <c r="F2088" s="113"/>
      <c r="G2088" s="113"/>
      <c r="H2088" s="113"/>
      <c r="J2088" s="113"/>
      <c r="K2088" s="113"/>
      <c r="L2088" s="113"/>
      <c r="M2088" s="113"/>
      <c r="N2088" s="113" t="s">
        <v>3</v>
      </c>
      <c r="O2088" s="113"/>
      <c r="P2088" s="80"/>
      <c r="Q2088" s="80"/>
      <c r="R2088" s="80"/>
      <c r="S2088" s="113" t="s">
        <v>1</v>
      </c>
      <c r="T2088" s="80"/>
      <c r="U2088" s="80"/>
      <c r="V2088" s="80"/>
      <c r="W2088" s="80"/>
      <c r="X2088" s="80"/>
      <c r="Y2088" s="80"/>
      <c r="Z2088" s="80"/>
      <c r="AA2088" s="80"/>
      <c r="AB2088" s="80"/>
      <c r="AC2088" s="80"/>
      <c r="AD2088" s="80"/>
      <c r="AE2088" s="80"/>
      <c r="AF2088" s="80"/>
      <c r="AG2088" s="80"/>
      <c r="AH2088" s="80"/>
      <c r="AI2088" s="113"/>
      <c r="AJ2088" s="113"/>
      <c r="AK2088" s="113"/>
      <c r="AL2088" s="113"/>
      <c r="AM2088" s="113"/>
      <c r="AN2088" s="113"/>
      <c r="AO2088" s="113"/>
      <c r="AP2088" s="113"/>
      <c r="AQ2088" s="113"/>
      <c r="AR2088" s="113"/>
      <c r="AS2088" s="113"/>
      <c r="AT2088" s="113"/>
      <c r="AU2088" s="113"/>
      <c r="AV2088" s="113"/>
      <c r="AW2088" s="113"/>
      <c r="AX2088" s="113"/>
      <c r="AY2088" s="113"/>
      <c r="AZ2088" s="113"/>
      <c r="BA2088" s="80"/>
      <c r="BB2088" s="113"/>
      <c r="BC2088" s="80"/>
      <c r="BD2088" s="113"/>
      <c r="BH2088" s="80"/>
      <c r="BI2088" s="80"/>
      <c r="BJ2088" s="80"/>
      <c r="BK2088" s="80"/>
      <c r="BL2088" s="80"/>
      <c r="BM2088" s="80"/>
      <c r="BN2088" s="80"/>
      <c r="BP2088" s="80"/>
    </row>
    <row r="2089" spans="2:68" ht="27">
      <c r="B2089" s="141" t="s">
        <v>2719</v>
      </c>
      <c r="C2089" s="113"/>
      <c r="D2089" s="113"/>
      <c r="E2089" s="113"/>
      <c r="F2089" s="113"/>
      <c r="G2089" s="113"/>
      <c r="H2089" s="113"/>
      <c r="J2089" s="113"/>
      <c r="K2089" s="113"/>
      <c r="L2089" s="113"/>
      <c r="M2089" s="113"/>
      <c r="N2089" s="113" t="s">
        <v>3</v>
      </c>
      <c r="O2089" s="113"/>
      <c r="P2089" s="80"/>
      <c r="Q2089" s="80"/>
      <c r="R2089" s="80"/>
      <c r="S2089" s="113" t="s">
        <v>1</v>
      </c>
      <c r="T2089" s="80"/>
      <c r="U2089" s="80"/>
      <c r="V2089" s="80"/>
      <c r="W2089" s="80"/>
      <c r="X2089" s="80"/>
      <c r="Y2089" s="80"/>
      <c r="Z2089" s="80"/>
      <c r="AA2089" s="80"/>
      <c r="AB2089" s="80"/>
      <c r="AC2089" s="80"/>
      <c r="AD2089" s="80"/>
      <c r="AE2089" s="80"/>
      <c r="AF2089" s="80"/>
      <c r="AG2089" s="80"/>
      <c r="AH2089" s="80"/>
      <c r="AI2089" s="113"/>
      <c r="AJ2089" s="113"/>
      <c r="AK2089" s="113"/>
      <c r="AL2089" s="113"/>
      <c r="AM2089" s="113"/>
      <c r="AN2089" s="113"/>
      <c r="AO2089" s="113"/>
      <c r="AP2089" s="113"/>
      <c r="AQ2089" s="113"/>
      <c r="AR2089" s="113"/>
      <c r="AS2089" s="113"/>
      <c r="AT2089" s="113"/>
      <c r="AU2089" s="113"/>
      <c r="AV2089" s="113"/>
      <c r="AW2089" s="113"/>
      <c r="AX2089" s="113"/>
      <c r="AY2089" s="113"/>
      <c r="AZ2089" s="113"/>
      <c r="BA2089" s="80"/>
      <c r="BB2089" s="113"/>
      <c r="BC2089" s="80"/>
      <c r="BD2089" s="113"/>
      <c r="BH2089" s="80"/>
      <c r="BI2089" s="80"/>
      <c r="BJ2089" s="80"/>
      <c r="BK2089" s="80"/>
      <c r="BL2089" s="80"/>
      <c r="BM2089" s="80"/>
      <c r="BN2089" s="80"/>
      <c r="BP2089" s="80"/>
    </row>
    <row r="2090" spans="2:68" ht="27">
      <c r="B2090" s="141" t="s">
        <v>2720</v>
      </c>
      <c r="C2090" s="113"/>
      <c r="D2090" s="113"/>
      <c r="E2090" s="113"/>
      <c r="F2090" s="113"/>
      <c r="G2090" s="113"/>
      <c r="H2090" s="113"/>
      <c r="J2090" s="113"/>
      <c r="K2090" s="113"/>
      <c r="L2090" s="113"/>
      <c r="M2090" s="113"/>
      <c r="N2090" s="113" t="s">
        <v>3</v>
      </c>
      <c r="O2090" s="113"/>
      <c r="P2090" s="80"/>
      <c r="Q2090" s="80"/>
      <c r="R2090" s="80"/>
      <c r="S2090" s="113" t="s">
        <v>1</v>
      </c>
      <c r="T2090" s="80"/>
      <c r="U2090" s="80"/>
      <c r="V2090" s="80"/>
      <c r="W2090" s="80"/>
      <c r="X2090" s="80"/>
      <c r="Y2090" s="80"/>
      <c r="Z2090" s="80"/>
      <c r="AA2090" s="80"/>
      <c r="AB2090" s="80"/>
      <c r="AC2090" s="80"/>
      <c r="AD2090" s="80"/>
      <c r="AE2090" s="80"/>
      <c r="AF2090" s="80"/>
      <c r="AG2090" s="80"/>
      <c r="AH2090" s="80"/>
      <c r="AI2090" s="113"/>
      <c r="AJ2090" s="113"/>
      <c r="AK2090" s="113"/>
      <c r="AL2090" s="113"/>
      <c r="AM2090" s="113"/>
      <c r="AN2090" s="113"/>
      <c r="AO2090" s="113"/>
      <c r="AP2090" s="113"/>
      <c r="AQ2090" s="113"/>
      <c r="AR2090" s="113"/>
      <c r="AS2090" s="113"/>
      <c r="AT2090" s="113"/>
      <c r="AU2090" s="113"/>
      <c r="AV2090" s="113"/>
      <c r="AW2090" s="113"/>
      <c r="AX2090" s="113"/>
      <c r="AY2090" s="113"/>
      <c r="AZ2090" s="113"/>
      <c r="BA2090" s="80"/>
      <c r="BB2090" s="113"/>
      <c r="BC2090" s="80"/>
      <c r="BD2090" s="113"/>
      <c r="BH2090" s="80"/>
      <c r="BI2090" s="80"/>
      <c r="BJ2090" s="80"/>
      <c r="BK2090" s="80"/>
      <c r="BL2090" s="80"/>
      <c r="BM2090" s="80"/>
      <c r="BN2090" s="80"/>
      <c r="BP2090" s="80"/>
    </row>
    <row r="2091" spans="2:68">
      <c r="B2091" s="141" t="s">
        <v>2721</v>
      </c>
      <c r="C2091" s="113"/>
      <c r="D2091" s="113"/>
      <c r="E2091" s="113"/>
      <c r="F2091" s="113"/>
      <c r="G2091" s="113"/>
      <c r="H2091" s="113"/>
      <c r="J2091" s="113"/>
      <c r="K2091" s="113"/>
      <c r="L2091" s="113"/>
      <c r="M2091" s="113"/>
      <c r="N2091" s="113" t="s">
        <v>3</v>
      </c>
      <c r="O2091" s="113"/>
      <c r="P2091" s="80"/>
      <c r="Q2091" s="80"/>
      <c r="R2091" s="80"/>
      <c r="S2091" s="113" t="s">
        <v>1</v>
      </c>
      <c r="T2091" s="80"/>
      <c r="U2091" s="80"/>
      <c r="V2091" s="80"/>
      <c r="W2091" s="80"/>
      <c r="X2091" s="80"/>
      <c r="Y2091" s="80"/>
      <c r="Z2091" s="80"/>
      <c r="AA2091" s="80"/>
      <c r="AB2091" s="80"/>
      <c r="AC2091" s="80"/>
      <c r="AD2091" s="80"/>
      <c r="AE2091" s="80"/>
      <c r="AF2091" s="80"/>
      <c r="AG2091" s="80"/>
      <c r="AH2091" s="80"/>
      <c r="AI2091" s="113"/>
      <c r="AJ2091" s="113"/>
      <c r="AK2091" s="113"/>
      <c r="AL2091" s="113"/>
      <c r="AM2091" s="113"/>
      <c r="AN2091" s="113"/>
      <c r="AO2091" s="113"/>
      <c r="AP2091" s="113"/>
      <c r="AQ2091" s="113"/>
      <c r="AR2091" s="113"/>
      <c r="AS2091" s="113"/>
      <c r="AT2091" s="113"/>
      <c r="AU2091" s="113"/>
      <c r="AV2091" s="113"/>
      <c r="AW2091" s="113"/>
      <c r="AX2091" s="113"/>
      <c r="AY2091" s="113"/>
      <c r="AZ2091" s="113"/>
      <c r="BA2091" s="80"/>
      <c r="BB2091" s="113"/>
      <c r="BC2091" s="80"/>
      <c r="BD2091" s="113"/>
      <c r="BH2091" s="80"/>
      <c r="BI2091" s="80"/>
      <c r="BJ2091" s="80"/>
      <c r="BK2091" s="80"/>
      <c r="BL2091" s="80"/>
      <c r="BM2091" s="80"/>
      <c r="BN2091" s="80"/>
      <c r="BP2091" s="80"/>
    </row>
    <row r="2092" spans="2:68" ht="27">
      <c r="B2092" s="141" t="s">
        <v>2722</v>
      </c>
      <c r="C2092" s="113"/>
      <c r="D2092" s="113"/>
      <c r="E2092" s="113"/>
      <c r="F2092" s="113"/>
      <c r="G2092" s="113"/>
      <c r="H2092" s="113"/>
      <c r="J2092" s="113"/>
      <c r="K2092" s="113"/>
      <c r="L2092" s="113"/>
      <c r="M2092" s="113"/>
      <c r="N2092" s="113" t="s">
        <v>3</v>
      </c>
      <c r="O2092" s="113"/>
      <c r="P2092" s="80"/>
      <c r="Q2092" s="80"/>
      <c r="R2092" s="80"/>
      <c r="S2092" s="113" t="s">
        <v>1</v>
      </c>
      <c r="T2092" s="80"/>
      <c r="U2092" s="80"/>
      <c r="V2092" s="80"/>
      <c r="W2092" s="80"/>
      <c r="X2092" s="80"/>
      <c r="Y2092" s="80"/>
      <c r="Z2092" s="80"/>
      <c r="AA2092" s="80"/>
      <c r="AB2092" s="80"/>
      <c r="AC2092" s="80"/>
      <c r="AD2092" s="80"/>
      <c r="AE2092" s="80"/>
      <c r="AF2092" s="80"/>
      <c r="AG2092" s="80"/>
      <c r="AH2092" s="80"/>
      <c r="AI2092" s="113"/>
      <c r="AJ2092" s="113"/>
      <c r="AK2092" s="113"/>
      <c r="AL2092" s="113"/>
      <c r="AM2092" s="113"/>
      <c r="AN2092" s="113"/>
      <c r="AO2092" s="113"/>
      <c r="AP2092" s="113"/>
      <c r="AQ2092" s="113"/>
      <c r="AR2092" s="113"/>
      <c r="AS2092" s="113"/>
      <c r="AT2092" s="113"/>
      <c r="AU2092" s="113"/>
      <c r="AV2092" s="113"/>
      <c r="AW2092" s="113"/>
      <c r="AX2092" s="113"/>
      <c r="AY2092" s="113"/>
      <c r="AZ2092" s="113"/>
      <c r="BA2092" s="80"/>
      <c r="BB2092" s="113"/>
      <c r="BC2092" s="80"/>
      <c r="BD2092" s="113"/>
      <c r="BH2092" s="80"/>
      <c r="BI2092" s="80"/>
      <c r="BJ2092" s="80"/>
      <c r="BK2092" s="80"/>
      <c r="BL2092" s="80"/>
      <c r="BM2092" s="80"/>
      <c r="BN2092" s="80"/>
      <c r="BP2092" s="80"/>
    </row>
    <row r="2093" spans="2:68">
      <c r="B2093" s="141" t="s">
        <v>2723</v>
      </c>
      <c r="C2093" s="113"/>
      <c r="D2093" s="113"/>
      <c r="E2093" s="113"/>
      <c r="F2093" s="113"/>
      <c r="G2093" s="113"/>
      <c r="H2093" s="113"/>
      <c r="J2093" s="113"/>
      <c r="K2093" s="113"/>
      <c r="L2093" s="113"/>
      <c r="M2093" s="113"/>
      <c r="N2093" s="113" t="s">
        <v>3</v>
      </c>
      <c r="O2093" s="113"/>
      <c r="P2093" s="80"/>
      <c r="Q2093" s="80"/>
      <c r="R2093" s="80"/>
      <c r="S2093" s="113" t="s">
        <v>1</v>
      </c>
      <c r="T2093" s="80"/>
      <c r="U2093" s="80"/>
      <c r="V2093" s="80"/>
      <c r="W2093" s="80"/>
      <c r="X2093" s="80"/>
      <c r="Y2093" s="80"/>
      <c r="Z2093" s="80"/>
      <c r="AA2093" s="80"/>
      <c r="AB2093" s="80"/>
      <c r="AC2093" s="80"/>
      <c r="AD2093" s="80"/>
      <c r="AE2093" s="80"/>
      <c r="AF2093" s="80"/>
      <c r="AG2093" s="80"/>
      <c r="AH2093" s="80"/>
      <c r="AI2093" s="113"/>
      <c r="AJ2093" s="113"/>
      <c r="AK2093" s="113"/>
      <c r="AL2093" s="113"/>
      <c r="AM2093" s="113"/>
      <c r="AN2093" s="113"/>
      <c r="AO2093" s="113"/>
      <c r="AP2093" s="113"/>
      <c r="AQ2093" s="113"/>
      <c r="AR2093" s="113"/>
      <c r="AS2093" s="113"/>
      <c r="AT2093" s="113"/>
      <c r="AU2093" s="113"/>
      <c r="AV2093" s="113"/>
      <c r="AW2093" s="113"/>
      <c r="AX2093" s="113"/>
      <c r="AY2093" s="113"/>
      <c r="AZ2093" s="113"/>
      <c r="BA2093" s="80"/>
      <c r="BB2093" s="113"/>
      <c r="BC2093" s="80"/>
      <c r="BD2093" s="113"/>
      <c r="BH2093" s="80"/>
      <c r="BI2093" s="80"/>
      <c r="BJ2093" s="80"/>
      <c r="BK2093" s="80"/>
      <c r="BL2093" s="80"/>
      <c r="BM2093" s="80"/>
      <c r="BN2093" s="80"/>
      <c r="BP2093" s="80"/>
    </row>
    <row r="2094" spans="2:68" ht="27">
      <c r="B2094" s="141" t="s">
        <v>2724</v>
      </c>
      <c r="C2094" s="113"/>
      <c r="D2094" s="113"/>
      <c r="E2094" s="113"/>
      <c r="F2094" s="113"/>
      <c r="G2094" s="113"/>
      <c r="H2094" s="113"/>
      <c r="J2094" s="113"/>
      <c r="K2094" s="113"/>
      <c r="L2094" s="113"/>
      <c r="M2094" s="113"/>
      <c r="N2094" s="113" t="s">
        <v>3</v>
      </c>
      <c r="O2094" s="113"/>
      <c r="P2094" s="80"/>
      <c r="Q2094" s="80"/>
      <c r="R2094" s="80"/>
      <c r="S2094" s="113" t="s">
        <v>1</v>
      </c>
      <c r="T2094" s="80"/>
      <c r="U2094" s="80"/>
      <c r="V2094" s="80"/>
      <c r="W2094" s="80"/>
      <c r="X2094" s="80"/>
      <c r="Y2094" s="80"/>
      <c r="Z2094" s="80"/>
      <c r="AA2094" s="80"/>
      <c r="AB2094" s="80"/>
      <c r="AC2094" s="80"/>
      <c r="AD2094" s="80"/>
      <c r="AE2094" s="80"/>
      <c r="AF2094" s="80"/>
      <c r="AG2094" s="80"/>
      <c r="AH2094" s="80"/>
      <c r="AI2094" s="113"/>
      <c r="AJ2094" s="113"/>
      <c r="AK2094" s="113"/>
      <c r="AL2094" s="113"/>
      <c r="AM2094" s="113"/>
      <c r="AN2094" s="113"/>
      <c r="AO2094" s="113"/>
      <c r="AP2094" s="113"/>
      <c r="AQ2094" s="113"/>
      <c r="AR2094" s="113"/>
      <c r="AS2094" s="113"/>
      <c r="AT2094" s="113"/>
      <c r="AU2094" s="113"/>
      <c r="AV2094" s="113"/>
      <c r="AW2094" s="113"/>
      <c r="AX2094" s="113"/>
      <c r="AY2094" s="113"/>
      <c r="AZ2094" s="113"/>
      <c r="BA2094" s="80"/>
      <c r="BB2094" s="113"/>
      <c r="BC2094" s="80"/>
      <c r="BD2094" s="113"/>
      <c r="BH2094" s="80"/>
      <c r="BI2094" s="80"/>
      <c r="BJ2094" s="80"/>
      <c r="BK2094" s="80"/>
      <c r="BL2094" s="80"/>
      <c r="BM2094" s="80"/>
      <c r="BN2094" s="80"/>
      <c r="BP2094" s="80"/>
    </row>
    <row r="2095" spans="2:68">
      <c r="B2095" s="141" t="s">
        <v>2725</v>
      </c>
      <c r="C2095" s="113"/>
      <c r="D2095" s="113"/>
      <c r="E2095" s="113"/>
      <c r="F2095" s="113"/>
      <c r="G2095" s="113"/>
      <c r="H2095" s="113"/>
      <c r="J2095" s="113"/>
      <c r="K2095" s="113"/>
      <c r="L2095" s="113"/>
      <c r="M2095" s="113"/>
      <c r="N2095" s="113" t="s">
        <v>3</v>
      </c>
      <c r="O2095" s="113"/>
      <c r="P2095" s="80"/>
      <c r="Q2095" s="80"/>
      <c r="R2095" s="80"/>
      <c r="S2095" s="113" t="s">
        <v>1</v>
      </c>
      <c r="T2095" s="80"/>
      <c r="U2095" s="80"/>
      <c r="V2095" s="80"/>
      <c r="W2095" s="80"/>
      <c r="X2095" s="80"/>
      <c r="Y2095" s="80"/>
      <c r="Z2095" s="80"/>
      <c r="AA2095" s="80"/>
      <c r="AB2095" s="80"/>
      <c r="AC2095" s="80"/>
      <c r="AD2095" s="80"/>
      <c r="AE2095" s="80"/>
      <c r="AF2095" s="80"/>
      <c r="AG2095" s="80"/>
      <c r="AH2095" s="80"/>
      <c r="AI2095" s="113"/>
      <c r="AJ2095" s="113"/>
      <c r="AK2095" s="113"/>
      <c r="AL2095" s="113"/>
      <c r="AM2095" s="113"/>
      <c r="AN2095" s="113"/>
      <c r="AO2095" s="113"/>
      <c r="AP2095" s="113"/>
      <c r="AQ2095" s="113"/>
      <c r="AR2095" s="113"/>
      <c r="AS2095" s="113"/>
      <c r="AT2095" s="113"/>
      <c r="AU2095" s="113"/>
      <c r="AV2095" s="113"/>
      <c r="AW2095" s="113"/>
      <c r="AX2095" s="113"/>
      <c r="AY2095" s="113"/>
      <c r="AZ2095" s="113"/>
      <c r="BA2095" s="80"/>
      <c r="BB2095" s="113"/>
      <c r="BC2095" s="80"/>
      <c r="BD2095" s="113"/>
      <c r="BH2095" s="80"/>
      <c r="BI2095" s="80"/>
      <c r="BJ2095" s="80"/>
      <c r="BK2095" s="80"/>
      <c r="BL2095" s="80"/>
      <c r="BM2095" s="80"/>
      <c r="BN2095" s="80"/>
      <c r="BP2095" s="80"/>
    </row>
    <row r="2096" spans="2:68">
      <c r="B2096" s="141" t="s">
        <v>2726</v>
      </c>
      <c r="C2096" s="113"/>
      <c r="D2096" s="113"/>
      <c r="E2096" s="113"/>
      <c r="F2096" s="113"/>
      <c r="G2096" s="113"/>
      <c r="H2096" s="113"/>
      <c r="J2096" s="113"/>
      <c r="K2096" s="113"/>
      <c r="L2096" s="113"/>
      <c r="M2096" s="113"/>
      <c r="N2096" s="113" t="s">
        <v>3</v>
      </c>
      <c r="O2096" s="113"/>
      <c r="P2096" s="80"/>
      <c r="Q2096" s="80"/>
      <c r="R2096" s="80"/>
      <c r="S2096" s="113" t="s">
        <v>1</v>
      </c>
      <c r="T2096" s="80"/>
      <c r="U2096" s="80"/>
      <c r="V2096" s="80"/>
      <c r="W2096" s="80"/>
      <c r="X2096" s="80"/>
      <c r="Y2096" s="80"/>
      <c r="Z2096" s="80"/>
      <c r="AA2096" s="80"/>
      <c r="AB2096" s="80"/>
      <c r="AC2096" s="80"/>
      <c r="AD2096" s="80"/>
      <c r="AE2096" s="80"/>
      <c r="AF2096" s="80"/>
      <c r="AG2096" s="80"/>
      <c r="AH2096" s="80"/>
      <c r="AI2096" s="113"/>
      <c r="AJ2096" s="113"/>
      <c r="AK2096" s="113"/>
      <c r="AL2096" s="113"/>
      <c r="AM2096" s="113"/>
      <c r="AN2096" s="113"/>
      <c r="AO2096" s="113"/>
      <c r="AP2096" s="113"/>
      <c r="AQ2096" s="113"/>
      <c r="AR2096" s="113"/>
      <c r="AS2096" s="113"/>
      <c r="AT2096" s="113"/>
      <c r="AU2096" s="113"/>
      <c r="AV2096" s="113"/>
      <c r="AW2096" s="113"/>
      <c r="AX2096" s="113"/>
      <c r="AY2096" s="113"/>
      <c r="AZ2096" s="113"/>
      <c r="BA2096" s="80"/>
      <c r="BB2096" s="113"/>
      <c r="BC2096" s="80"/>
      <c r="BD2096" s="113"/>
      <c r="BH2096" s="80"/>
      <c r="BI2096" s="80"/>
      <c r="BJ2096" s="80"/>
      <c r="BK2096" s="80"/>
      <c r="BL2096" s="80"/>
      <c r="BM2096" s="80"/>
      <c r="BN2096" s="80"/>
      <c r="BP2096" s="80"/>
    </row>
    <row r="2097" spans="2:68">
      <c r="B2097" s="141" t="s">
        <v>2727</v>
      </c>
      <c r="C2097" s="113"/>
      <c r="D2097" s="113"/>
      <c r="E2097" s="113"/>
      <c r="F2097" s="113"/>
      <c r="G2097" s="113"/>
      <c r="H2097" s="113"/>
      <c r="J2097" s="113"/>
      <c r="K2097" s="113"/>
      <c r="L2097" s="113"/>
      <c r="M2097" s="113"/>
      <c r="N2097" s="113" t="s">
        <v>3</v>
      </c>
      <c r="O2097" s="113"/>
      <c r="P2097" s="80"/>
      <c r="Q2097" s="80"/>
      <c r="R2097" s="80"/>
      <c r="S2097" s="113" t="s">
        <v>1</v>
      </c>
      <c r="T2097" s="80"/>
      <c r="U2097" s="80"/>
      <c r="V2097" s="80"/>
      <c r="W2097" s="80"/>
      <c r="X2097" s="80"/>
      <c r="Y2097" s="80"/>
      <c r="Z2097" s="80"/>
      <c r="AA2097" s="80"/>
      <c r="AB2097" s="80"/>
      <c r="AC2097" s="80"/>
      <c r="AD2097" s="80"/>
      <c r="AE2097" s="80"/>
      <c r="AF2097" s="80"/>
      <c r="AG2097" s="80"/>
      <c r="AH2097" s="80"/>
      <c r="AI2097" s="113"/>
      <c r="AJ2097" s="113"/>
      <c r="AK2097" s="113"/>
      <c r="AL2097" s="113"/>
      <c r="AM2097" s="113"/>
      <c r="AN2097" s="113"/>
      <c r="AO2097" s="113"/>
      <c r="AP2097" s="113"/>
      <c r="AQ2097" s="113"/>
      <c r="AR2097" s="113"/>
      <c r="AS2097" s="113"/>
      <c r="AT2097" s="113"/>
      <c r="AU2097" s="113"/>
      <c r="AV2097" s="113"/>
      <c r="AW2097" s="113"/>
      <c r="AX2097" s="113"/>
      <c r="AY2097" s="113"/>
      <c r="AZ2097" s="113"/>
      <c r="BA2097" s="80"/>
      <c r="BB2097" s="113"/>
      <c r="BC2097" s="80"/>
      <c r="BD2097" s="113"/>
      <c r="BH2097" s="80"/>
      <c r="BI2097" s="80"/>
      <c r="BJ2097" s="80"/>
      <c r="BK2097" s="80"/>
      <c r="BL2097" s="80"/>
      <c r="BM2097" s="80"/>
      <c r="BN2097" s="80"/>
      <c r="BP2097" s="80"/>
    </row>
    <row r="2098" spans="2:68">
      <c r="C2098" s="105"/>
      <c r="D2098" s="105" t="s">
        <v>1</v>
      </c>
      <c r="E2098" s="105"/>
      <c r="F2098" s="105"/>
      <c r="G2098" s="105"/>
      <c r="H2098" s="105"/>
      <c r="J2098" s="105"/>
      <c r="K2098" s="105"/>
      <c r="L2098" s="105"/>
      <c r="M2098" s="105"/>
      <c r="N2098" s="105" t="s">
        <v>2</v>
      </c>
      <c r="O2098" s="105"/>
      <c r="P2098" s="80"/>
      <c r="Q2098" s="80"/>
      <c r="R2098" s="80"/>
      <c r="T2098" s="80"/>
      <c r="U2098" s="80"/>
      <c r="V2098" s="80"/>
      <c r="W2098" s="80"/>
      <c r="X2098" s="80"/>
      <c r="Y2098" s="80"/>
      <c r="Z2098" s="80"/>
      <c r="AA2098" s="80"/>
      <c r="AB2098" s="80"/>
      <c r="AC2098" s="80"/>
      <c r="AD2098" s="80"/>
      <c r="AE2098" s="80"/>
      <c r="AF2098" s="80"/>
      <c r="AG2098" s="80"/>
      <c r="AH2098" s="80"/>
      <c r="AI2098" s="105"/>
      <c r="AJ2098" s="105"/>
      <c r="AK2098" s="105"/>
      <c r="AL2098" s="105"/>
      <c r="AM2098" s="105"/>
      <c r="AN2098" s="105"/>
      <c r="AO2098" s="105"/>
      <c r="AP2098" s="105"/>
      <c r="AQ2098" s="105"/>
      <c r="AR2098" s="105"/>
      <c r="AS2098" s="105"/>
      <c r="AT2098" s="105"/>
      <c r="AU2098" s="105"/>
      <c r="AV2098" s="105"/>
      <c r="AW2098" s="105"/>
      <c r="AX2098" s="105"/>
      <c r="AY2098" s="105"/>
      <c r="AZ2098" s="80"/>
      <c r="BA2098" s="80"/>
      <c r="BB2098" s="80"/>
      <c r="BC2098" s="80"/>
      <c r="BD2098" s="80"/>
      <c r="BH2098" s="80"/>
      <c r="BI2098" s="80"/>
      <c r="BJ2098" s="80"/>
      <c r="BK2098" s="80"/>
      <c r="BL2098" s="80"/>
      <c r="BM2098" s="80"/>
      <c r="BN2098" s="80"/>
      <c r="BP2098" s="80"/>
    </row>
    <row r="2099" spans="2:68" ht="15.75">
      <c r="B2099" s="141" t="s">
        <v>2728</v>
      </c>
      <c r="C2099" s="105"/>
      <c r="D2099" s="105"/>
      <c r="E2099" s="105"/>
      <c r="F2099" s="105"/>
      <c r="G2099" s="105"/>
      <c r="H2099" s="105"/>
      <c r="J2099" s="105"/>
      <c r="K2099" s="105"/>
      <c r="L2099" s="105"/>
      <c r="M2099" s="105"/>
      <c r="N2099" s="114" t="s">
        <v>0</v>
      </c>
      <c r="O2099" s="105"/>
      <c r="P2099" s="80"/>
      <c r="Q2099" s="80"/>
      <c r="R2099" s="80"/>
      <c r="T2099" s="80"/>
      <c r="U2099" s="80"/>
      <c r="V2099" s="80"/>
      <c r="W2099" s="80"/>
      <c r="X2099" s="80"/>
      <c r="Y2099" s="80"/>
      <c r="Z2099" s="80"/>
      <c r="AA2099" s="80"/>
      <c r="AB2099" s="80"/>
      <c r="AC2099" s="80"/>
      <c r="AD2099" s="80"/>
      <c r="AE2099" s="80"/>
      <c r="AF2099" s="80"/>
      <c r="AG2099" s="80"/>
      <c r="AH2099" s="80"/>
      <c r="AI2099" s="105"/>
      <c r="AJ2099" s="105"/>
      <c r="AK2099" s="105"/>
      <c r="AL2099" s="105"/>
      <c r="AM2099" s="105"/>
      <c r="AN2099" s="105"/>
      <c r="AO2099" s="105"/>
      <c r="AP2099" s="105"/>
      <c r="AQ2099" s="105"/>
      <c r="AR2099" s="105"/>
      <c r="AS2099" s="105"/>
      <c r="AT2099" s="105"/>
      <c r="AU2099" s="105"/>
      <c r="AV2099" s="105"/>
      <c r="AW2099" s="105"/>
      <c r="AX2099" s="105"/>
      <c r="AY2099" s="105"/>
      <c r="AZ2099" s="80"/>
      <c r="BA2099" s="80"/>
      <c r="BB2099" s="80"/>
      <c r="BC2099" s="80"/>
      <c r="BD2099" s="80"/>
      <c r="BH2099" s="80"/>
      <c r="BI2099" s="80"/>
      <c r="BJ2099" s="80"/>
      <c r="BK2099" s="80"/>
      <c r="BL2099" s="80"/>
      <c r="BM2099" s="80"/>
      <c r="BN2099" s="80"/>
      <c r="BP2099" s="80"/>
    </row>
    <row r="2100" spans="2:68" ht="15.75">
      <c r="B2100" s="141" t="s">
        <v>2729</v>
      </c>
      <c r="C2100" s="105"/>
      <c r="D2100" s="114" t="s">
        <v>0</v>
      </c>
      <c r="E2100" s="105"/>
      <c r="F2100" s="105"/>
      <c r="G2100" s="105"/>
      <c r="H2100" s="105"/>
      <c r="J2100" s="105"/>
      <c r="K2100" s="114"/>
      <c r="L2100" s="114"/>
      <c r="M2100" s="114"/>
      <c r="N2100" s="105"/>
      <c r="O2100" s="114"/>
      <c r="P2100" s="80"/>
      <c r="Q2100" s="80"/>
      <c r="R2100" s="80"/>
      <c r="T2100" s="80"/>
      <c r="U2100" s="80"/>
      <c r="V2100" s="80"/>
      <c r="W2100" s="80"/>
      <c r="X2100" s="80"/>
      <c r="Y2100" s="80"/>
      <c r="Z2100" s="80"/>
      <c r="AA2100" s="80"/>
      <c r="AB2100" s="80"/>
      <c r="AC2100" s="80"/>
      <c r="AD2100" s="80"/>
      <c r="AE2100" s="80"/>
      <c r="AF2100" s="80"/>
      <c r="AG2100" s="80"/>
      <c r="AH2100" s="80"/>
      <c r="AI2100" s="114"/>
      <c r="AJ2100" s="114"/>
      <c r="AK2100" s="114"/>
      <c r="AL2100" s="114"/>
      <c r="AM2100" s="114"/>
      <c r="AN2100" s="114"/>
      <c r="AO2100" s="114"/>
      <c r="AP2100" s="114"/>
      <c r="AQ2100" s="114"/>
      <c r="AR2100" s="114"/>
      <c r="AS2100" s="114"/>
      <c r="AT2100" s="114"/>
      <c r="AU2100" s="114"/>
      <c r="AV2100" s="114"/>
      <c r="AW2100" s="114"/>
      <c r="AX2100" s="114"/>
      <c r="AY2100" s="114"/>
      <c r="AZ2100" s="80"/>
      <c r="BA2100" s="80"/>
      <c r="BB2100" s="80"/>
      <c r="BC2100" s="80"/>
      <c r="BD2100" s="80"/>
      <c r="BH2100" s="80"/>
      <c r="BI2100" s="80"/>
      <c r="BJ2100" s="80"/>
      <c r="BK2100" s="80"/>
      <c r="BL2100" s="80"/>
      <c r="BM2100" s="80"/>
      <c r="BN2100" s="80"/>
      <c r="BP2100" s="80"/>
    </row>
    <row r="2101" spans="2:68" ht="15.75">
      <c r="B2101" s="141" t="s">
        <v>2730</v>
      </c>
      <c r="C2101" s="105"/>
      <c r="D2101" s="114" t="s">
        <v>0</v>
      </c>
      <c r="E2101" s="105"/>
      <c r="F2101" s="105"/>
      <c r="G2101" s="105"/>
      <c r="H2101" s="105"/>
      <c r="J2101" s="105"/>
      <c r="K2101" s="114"/>
      <c r="L2101" s="114"/>
      <c r="M2101" s="114"/>
      <c r="N2101" s="105"/>
      <c r="O2101" s="114"/>
      <c r="P2101" s="80"/>
      <c r="Q2101" s="80"/>
      <c r="R2101" s="80"/>
      <c r="T2101" s="80"/>
      <c r="U2101" s="80"/>
      <c r="V2101" s="80"/>
      <c r="W2101" s="80"/>
      <c r="X2101" s="80"/>
      <c r="Y2101" s="80"/>
      <c r="Z2101" s="80"/>
      <c r="AA2101" s="80"/>
      <c r="AB2101" s="80"/>
      <c r="AC2101" s="80"/>
      <c r="AD2101" s="80"/>
      <c r="AE2101" s="80"/>
      <c r="AF2101" s="80"/>
      <c r="AG2101" s="80"/>
      <c r="AH2101" s="80"/>
      <c r="AI2101" s="114"/>
      <c r="AJ2101" s="114"/>
      <c r="AK2101" s="114"/>
      <c r="AL2101" s="114"/>
      <c r="AM2101" s="114"/>
      <c r="AN2101" s="114"/>
      <c r="AO2101" s="114"/>
      <c r="AP2101" s="114"/>
      <c r="AQ2101" s="114"/>
      <c r="AR2101" s="114"/>
      <c r="AS2101" s="114"/>
      <c r="AT2101" s="114"/>
      <c r="AU2101" s="114"/>
      <c r="AV2101" s="114"/>
      <c r="AW2101" s="114"/>
      <c r="AX2101" s="114"/>
      <c r="AY2101" s="114"/>
      <c r="AZ2101" s="80"/>
      <c r="BA2101" s="80"/>
      <c r="BB2101" s="80"/>
      <c r="BC2101" s="80"/>
      <c r="BD2101" s="80"/>
      <c r="BH2101" s="80"/>
      <c r="BI2101" s="80"/>
      <c r="BJ2101" s="80"/>
      <c r="BK2101" s="80"/>
      <c r="BL2101" s="80"/>
      <c r="BM2101" s="80"/>
      <c r="BN2101" s="80"/>
      <c r="BP2101" s="80"/>
    </row>
    <row r="2102" spans="2:68" ht="15.75">
      <c r="B2102" s="141" t="s">
        <v>2731</v>
      </c>
      <c r="C2102" s="105"/>
      <c r="D2102" s="114" t="s">
        <v>0</v>
      </c>
      <c r="E2102" s="105"/>
      <c r="F2102" s="105"/>
      <c r="G2102" s="105"/>
      <c r="H2102" s="105"/>
      <c r="J2102" s="105"/>
      <c r="K2102" s="114"/>
      <c r="L2102" s="114"/>
      <c r="M2102" s="114"/>
      <c r="N2102" s="105"/>
      <c r="O2102" s="114"/>
      <c r="P2102" s="80"/>
      <c r="Q2102" s="80"/>
      <c r="R2102" s="80"/>
      <c r="T2102" s="80"/>
      <c r="U2102" s="80"/>
      <c r="V2102" s="80"/>
      <c r="W2102" s="80"/>
      <c r="X2102" s="80"/>
      <c r="Y2102" s="80"/>
      <c r="Z2102" s="80"/>
      <c r="AA2102" s="80"/>
      <c r="AB2102" s="80"/>
      <c r="AC2102" s="80"/>
      <c r="AD2102" s="80"/>
      <c r="AE2102" s="80"/>
      <c r="AF2102" s="80"/>
      <c r="AG2102" s="80"/>
      <c r="AH2102" s="80"/>
      <c r="AI2102" s="114"/>
      <c r="AJ2102" s="114"/>
      <c r="AK2102" s="114"/>
      <c r="AL2102" s="114"/>
      <c r="AM2102" s="114"/>
      <c r="AN2102" s="114"/>
      <c r="AO2102" s="114"/>
      <c r="AP2102" s="114"/>
      <c r="AQ2102" s="114"/>
      <c r="AR2102" s="114"/>
      <c r="AS2102" s="114"/>
      <c r="AT2102" s="114"/>
      <c r="AU2102" s="114"/>
      <c r="AV2102" s="114"/>
      <c r="AW2102" s="114"/>
      <c r="AX2102" s="114"/>
      <c r="AY2102" s="114"/>
      <c r="AZ2102" s="80"/>
      <c r="BA2102" s="80"/>
      <c r="BB2102" s="80"/>
      <c r="BC2102" s="80"/>
      <c r="BD2102" s="80"/>
      <c r="BH2102" s="80"/>
      <c r="BI2102" s="80"/>
      <c r="BJ2102" s="80"/>
      <c r="BK2102" s="80"/>
      <c r="BL2102" s="80"/>
      <c r="BM2102" s="80"/>
      <c r="BN2102" s="80"/>
      <c r="BP2102" s="80"/>
    </row>
    <row r="2103" spans="2:68" ht="15.75">
      <c r="B2103" s="141" t="s">
        <v>2732</v>
      </c>
      <c r="C2103" s="105"/>
      <c r="D2103" s="105"/>
      <c r="E2103" s="105"/>
      <c r="F2103" s="105"/>
      <c r="G2103" s="105"/>
      <c r="H2103" s="105"/>
      <c r="J2103" s="105"/>
      <c r="K2103" s="105"/>
      <c r="L2103" s="105"/>
      <c r="M2103" s="105"/>
      <c r="N2103" s="114" t="s">
        <v>0</v>
      </c>
      <c r="O2103" s="105"/>
      <c r="P2103" s="80"/>
      <c r="Q2103" s="80"/>
      <c r="R2103" s="80"/>
      <c r="T2103" s="80"/>
      <c r="U2103" s="80"/>
      <c r="V2103" s="80"/>
      <c r="W2103" s="80"/>
      <c r="X2103" s="80"/>
      <c r="Y2103" s="80"/>
      <c r="Z2103" s="80"/>
      <c r="AA2103" s="80"/>
      <c r="AB2103" s="80"/>
      <c r="AC2103" s="80"/>
      <c r="AD2103" s="80"/>
      <c r="AE2103" s="80"/>
      <c r="AF2103" s="80"/>
      <c r="AG2103" s="80"/>
      <c r="AH2103" s="80"/>
      <c r="AI2103" s="105"/>
      <c r="AJ2103" s="105"/>
      <c r="AK2103" s="105"/>
      <c r="AL2103" s="105"/>
      <c r="AM2103" s="105"/>
      <c r="AN2103" s="105"/>
      <c r="AO2103" s="105"/>
      <c r="AP2103" s="105"/>
      <c r="AQ2103" s="105"/>
      <c r="AR2103" s="105"/>
      <c r="AS2103" s="105"/>
      <c r="AT2103" s="105"/>
      <c r="AU2103" s="105"/>
      <c r="AV2103" s="105"/>
      <c r="AW2103" s="105"/>
      <c r="AX2103" s="105"/>
      <c r="AY2103" s="105"/>
      <c r="AZ2103" s="80"/>
      <c r="BA2103" s="80"/>
      <c r="BB2103" s="80"/>
      <c r="BC2103" s="80"/>
      <c r="BD2103" s="80"/>
      <c r="BH2103" s="80"/>
      <c r="BI2103" s="80"/>
      <c r="BJ2103" s="80"/>
      <c r="BK2103" s="80"/>
      <c r="BL2103" s="80"/>
      <c r="BM2103" s="80"/>
      <c r="BN2103" s="80"/>
      <c r="BP2103" s="80"/>
    </row>
    <row r="2104" spans="2:68" ht="15.75">
      <c r="B2104" s="141" t="s">
        <v>2733</v>
      </c>
      <c r="C2104" s="105"/>
      <c r="D2104" s="105"/>
      <c r="E2104" s="105"/>
      <c r="F2104" s="105"/>
      <c r="G2104" s="105"/>
      <c r="H2104" s="105"/>
      <c r="J2104" s="105"/>
      <c r="K2104" s="105"/>
      <c r="L2104" s="105"/>
      <c r="M2104" s="105"/>
      <c r="N2104" s="114" t="s">
        <v>0</v>
      </c>
      <c r="O2104" s="105"/>
      <c r="P2104" s="80"/>
      <c r="Q2104" s="80"/>
      <c r="R2104" s="80"/>
      <c r="T2104" s="80"/>
      <c r="U2104" s="80"/>
      <c r="V2104" s="80"/>
      <c r="W2104" s="80"/>
      <c r="X2104" s="80"/>
      <c r="Y2104" s="80"/>
      <c r="Z2104" s="80"/>
      <c r="AA2104" s="80"/>
      <c r="AB2104" s="80"/>
      <c r="AC2104" s="80"/>
      <c r="AD2104" s="80"/>
      <c r="AE2104" s="80"/>
      <c r="AF2104" s="80"/>
      <c r="AG2104" s="80"/>
      <c r="AH2104" s="80"/>
      <c r="AI2104" s="105"/>
      <c r="AJ2104" s="105"/>
      <c r="AK2104" s="105"/>
      <c r="AL2104" s="105"/>
      <c r="AM2104" s="105"/>
      <c r="AN2104" s="105"/>
      <c r="AO2104" s="105"/>
      <c r="AP2104" s="105"/>
      <c r="AQ2104" s="105"/>
      <c r="AR2104" s="105"/>
      <c r="AS2104" s="105"/>
      <c r="AT2104" s="105"/>
      <c r="AU2104" s="105"/>
      <c r="AV2104" s="105"/>
      <c r="AW2104" s="105"/>
      <c r="AX2104" s="105"/>
      <c r="AY2104" s="105"/>
      <c r="AZ2104" s="80"/>
      <c r="BA2104" s="80"/>
      <c r="BB2104" s="80"/>
      <c r="BC2104" s="80"/>
      <c r="BD2104" s="80"/>
      <c r="BH2104" s="80"/>
      <c r="BI2104" s="80"/>
      <c r="BJ2104" s="80"/>
      <c r="BK2104" s="80"/>
      <c r="BL2104" s="80"/>
      <c r="BM2104" s="80"/>
      <c r="BN2104" s="80"/>
      <c r="BP2104" s="80"/>
    </row>
    <row r="2105" spans="2:68" ht="15.75">
      <c r="B2105" s="141" t="s">
        <v>2734</v>
      </c>
      <c r="C2105" s="105"/>
      <c r="D2105" s="105"/>
      <c r="E2105" s="105"/>
      <c r="F2105" s="105"/>
      <c r="G2105" s="105"/>
      <c r="H2105" s="105"/>
      <c r="J2105" s="105"/>
      <c r="K2105" s="105"/>
      <c r="L2105" s="105"/>
      <c r="M2105" s="105"/>
      <c r="N2105" s="114" t="s">
        <v>0</v>
      </c>
      <c r="O2105" s="105"/>
      <c r="P2105" s="80"/>
      <c r="Q2105" s="80"/>
      <c r="R2105" s="80"/>
      <c r="T2105" s="80"/>
      <c r="U2105" s="80"/>
      <c r="V2105" s="80"/>
      <c r="W2105" s="80"/>
      <c r="X2105" s="80"/>
      <c r="Y2105" s="80"/>
      <c r="Z2105" s="80"/>
      <c r="AA2105" s="80"/>
      <c r="AB2105" s="80"/>
      <c r="AC2105" s="80"/>
      <c r="AD2105" s="80"/>
      <c r="AE2105" s="80"/>
      <c r="AF2105" s="80"/>
      <c r="AG2105" s="80"/>
      <c r="AH2105" s="80"/>
      <c r="AI2105" s="105"/>
      <c r="AJ2105" s="105"/>
      <c r="AK2105" s="105"/>
      <c r="AL2105" s="105"/>
      <c r="AM2105" s="105"/>
      <c r="AN2105" s="105"/>
      <c r="AO2105" s="105"/>
      <c r="AP2105" s="105"/>
      <c r="AQ2105" s="105"/>
      <c r="AR2105" s="105"/>
      <c r="AS2105" s="105"/>
      <c r="AT2105" s="105"/>
      <c r="AU2105" s="105"/>
      <c r="AV2105" s="105"/>
      <c r="AW2105" s="105"/>
      <c r="AX2105" s="105"/>
      <c r="AY2105" s="105"/>
      <c r="AZ2105" s="80"/>
      <c r="BA2105" s="80"/>
      <c r="BB2105" s="80"/>
      <c r="BC2105" s="80"/>
      <c r="BD2105" s="80"/>
      <c r="BH2105" s="80"/>
      <c r="BI2105" s="80"/>
      <c r="BJ2105" s="80"/>
      <c r="BK2105" s="80"/>
      <c r="BL2105" s="80"/>
      <c r="BM2105" s="80"/>
      <c r="BN2105" s="80"/>
      <c r="BP2105" s="80"/>
    </row>
    <row r="2106" spans="2:68" ht="15.75">
      <c r="B2106" s="141" t="s">
        <v>2735</v>
      </c>
      <c r="C2106" s="105"/>
      <c r="D2106" s="105"/>
      <c r="E2106" s="105"/>
      <c r="F2106" s="105"/>
      <c r="G2106" s="105"/>
      <c r="H2106" s="105"/>
      <c r="J2106" s="105"/>
      <c r="K2106" s="105"/>
      <c r="L2106" s="105"/>
      <c r="M2106" s="105"/>
      <c r="N2106" s="114" t="s">
        <v>0</v>
      </c>
      <c r="O2106" s="105"/>
      <c r="P2106" s="80"/>
      <c r="Q2106" s="80"/>
      <c r="R2106" s="80"/>
      <c r="T2106" s="80"/>
      <c r="U2106" s="80"/>
      <c r="V2106" s="80"/>
      <c r="W2106" s="80"/>
      <c r="X2106" s="80"/>
      <c r="Y2106" s="80"/>
      <c r="Z2106" s="80"/>
      <c r="AA2106" s="80"/>
      <c r="AB2106" s="80"/>
      <c r="AC2106" s="80"/>
      <c r="AD2106" s="80"/>
      <c r="AE2106" s="80"/>
      <c r="AF2106" s="80"/>
      <c r="AG2106" s="80"/>
      <c r="AH2106" s="80"/>
      <c r="AI2106" s="105"/>
      <c r="AJ2106" s="105"/>
      <c r="AK2106" s="105"/>
      <c r="AL2106" s="105"/>
      <c r="AM2106" s="105"/>
      <c r="AN2106" s="105"/>
      <c r="AO2106" s="105"/>
      <c r="AP2106" s="105"/>
      <c r="AQ2106" s="105"/>
      <c r="AR2106" s="105"/>
      <c r="AS2106" s="105"/>
      <c r="AT2106" s="105"/>
      <c r="AU2106" s="105"/>
      <c r="AV2106" s="105"/>
      <c r="AW2106" s="105"/>
      <c r="AX2106" s="105"/>
      <c r="AY2106" s="105"/>
      <c r="AZ2106" s="80"/>
      <c r="BA2106" s="80"/>
      <c r="BB2106" s="80"/>
      <c r="BC2106" s="80"/>
      <c r="BD2106" s="80"/>
      <c r="BH2106" s="80"/>
      <c r="BI2106" s="80"/>
      <c r="BJ2106" s="80"/>
      <c r="BK2106" s="80"/>
      <c r="BL2106" s="80"/>
      <c r="BM2106" s="80"/>
      <c r="BN2106" s="80"/>
      <c r="BP2106" s="80"/>
    </row>
    <row r="2107" spans="2:68" ht="15.75">
      <c r="B2107" s="141" t="s">
        <v>2736</v>
      </c>
      <c r="C2107" s="105"/>
      <c r="D2107" s="114" t="s">
        <v>0</v>
      </c>
      <c r="E2107" s="105"/>
      <c r="F2107" s="105"/>
      <c r="G2107" s="105"/>
      <c r="H2107" s="105"/>
      <c r="J2107" s="105"/>
      <c r="K2107" s="114"/>
      <c r="L2107" s="114"/>
      <c r="M2107" s="114"/>
      <c r="N2107" s="114" t="s">
        <v>0</v>
      </c>
      <c r="O2107" s="114"/>
      <c r="P2107" s="80"/>
      <c r="Q2107" s="80"/>
      <c r="R2107" s="80"/>
      <c r="T2107" s="80"/>
      <c r="U2107" s="80"/>
      <c r="V2107" s="80"/>
      <c r="W2107" s="80"/>
      <c r="X2107" s="80"/>
      <c r="Y2107" s="80"/>
      <c r="Z2107" s="80"/>
      <c r="AA2107" s="80"/>
      <c r="AB2107" s="80"/>
      <c r="AC2107" s="80"/>
      <c r="AD2107" s="80"/>
      <c r="AE2107" s="80"/>
      <c r="AF2107" s="80"/>
      <c r="AG2107" s="80"/>
      <c r="AH2107" s="80"/>
      <c r="AI2107" s="114"/>
      <c r="AJ2107" s="114"/>
      <c r="AK2107" s="114"/>
      <c r="AL2107" s="114"/>
      <c r="AM2107" s="114"/>
      <c r="AN2107" s="114"/>
      <c r="AO2107" s="114"/>
      <c r="AP2107" s="114"/>
      <c r="AQ2107" s="114"/>
      <c r="AR2107" s="114"/>
      <c r="AS2107" s="114"/>
      <c r="AT2107" s="114"/>
      <c r="AU2107" s="114"/>
      <c r="AV2107" s="114"/>
      <c r="AW2107" s="114"/>
      <c r="AX2107" s="114"/>
      <c r="AY2107" s="114"/>
      <c r="AZ2107" s="80"/>
      <c r="BA2107" s="80"/>
      <c r="BB2107" s="80"/>
      <c r="BC2107" s="80"/>
      <c r="BD2107" s="80"/>
      <c r="BH2107" s="80"/>
      <c r="BI2107" s="80"/>
      <c r="BJ2107" s="80"/>
      <c r="BK2107" s="80"/>
      <c r="BL2107" s="80"/>
      <c r="BM2107" s="80"/>
      <c r="BN2107" s="80"/>
      <c r="BP2107" s="80"/>
    </row>
    <row r="2108" spans="2:68" ht="15.75">
      <c r="B2108" s="141" t="s">
        <v>2737</v>
      </c>
      <c r="C2108" s="105"/>
      <c r="D2108" s="105"/>
      <c r="E2108" s="105"/>
      <c r="F2108" s="105"/>
      <c r="G2108" s="105"/>
      <c r="H2108" s="105"/>
      <c r="J2108" s="105"/>
      <c r="K2108" s="105"/>
      <c r="L2108" s="105"/>
      <c r="M2108" s="105"/>
      <c r="N2108" s="114" t="s">
        <v>0</v>
      </c>
      <c r="O2108" s="105"/>
      <c r="P2108" s="80"/>
      <c r="Q2108" s="80"/>
      <c r="R2108" s="80"/>
      <c r="T2108" s="80"/>
      <c r="U2108" s="80"/>
      <c r="V2108" s="80"/>
      <c r="W2108" s="80"/>
      <c r="X2108" s="80"/>
      <c r="Y2108" s="80"/>
      <c r="Z2108" s="80"/>
      <c r="AA2108" s="80"/>
      <c r="AB2108" s="80"/>
      <c r="AC2108" s="80"/>
      <c r="AD2108" s="80"/>
      <c r="AE2108" s="80"/>
      <c r="AF2108" s="80"/>
      <c r="AG2108" s="80"/>
      <c r="AH2108" s="80"/>
      <c r="AI2108" s="105"/>
      <c r="AJ2108" s="105"/>
      <c r="AK2108" s="105"/>
      <c r="AL2108" s="105"/>
      <c r="AM2108" s="105"/>
      <c r="AN2108" s="105"/>
      <c r="AO2108" s="105"/>
      <c r="AP2108" s="105"/>
      <c r="AQ2108" s="105"/>
      <c r="AR2108" s="105"/>
      <c r="AS2108" s="105"/>
      <c r="AT2108" s="105"/>
      <c r="AU2108" s="105"/>
      <c r="AV2108" s="105"/>
      <c r="AW2108" s="105"/>
      <c r="AX2108" s="105"/>
      <c r="AY2108" s="105"/>
      <c r="AZ2108" s="80"/>
      <c r="BA2108" s="80"/>
      <c r="BB2108" s="80"/>
      <c r="BC2108" s="80"/>
      <c r="BD2108" s="80"/>
      <c r="BH2108" s="80"/>
      <c r="BI2108" s="80"/>
      <c r="BJ2108" s="80"/>
      <c r="BK2108" s="80"/>
      <c r="BL2108" s="80"/>
      <c r="BM2108" s="80"/>
      <c r="BN2108" s="80"/>
      <c r="BP2108" s="80"/>
    </row>
    <row r="2109" spans="2:68" ht="15.75">
      <c r="B2109" s="141" t="s">
        <v>2738</v>
      </c>
      <c r="C2109" s="105"/>
      <c r="D2109" s="105"/>
      <c r="E2109" s="105"/>
      <c r="F2109" s="105"/>
      <c r="G2109" s="105"/>
      <c r="H2109" s="105"/>
      <c r="J2109" s="105"/>
      <c r="K2109" s="105"/>
      <c r="L2109" s="105"/>
      <c r="M2109" s="105"/>
      <c r="N2109" s="114" t="s">
        <v>0</v>
      </c>
      <c r="O2109" s="105"/>
      <c r="P2109" s="80"/>
      <c r="Q2109" s="80"/>
      <c r="R2109" s="80"/>
      <c r="T2109" s="80"/>
      <c r="U2109" s="80"/>
      <c r="V2109" s="80"/>
      <c r="W2109" s="80"/>
      <c r="X2109" s="80"/>
      <c r="Y2109" s="80"/>
      <c r="Z2109" s="80"/>
      <c r="AA2109" s="80"/>
      <c r="AB2109" s="80"/>
      <c r="AC2109" s="80"/>
      <c r="AD2109" s="80"/>
      <c r="AE2109" s="80"/>
      <c r="AF2109" s="80"/>
      <c r="AG2109" s="80"/>
      <c r="AH2109" s="80"/>
      <c r="AI2109" s="105"/>
      <c r="AJ2109" s="105"/>
      <c r="AK2109" s="105"/>
      <c r="AL2109" s="105"/>
      <c r="AM2109" s="105"/>
      <c r="AN2109" s="105"/>
      <c r="AO2109" s="105"/>
      <c r="AP2109" s="105"/>
      <c r="AQ2109" s="105"/>
      <c r="AR2109" s="105"/>
      <c r="AS2109" s="105"/>
      <c r="AT2109" s="105"/>
      <c r="AU2109" s="105"/>
      <c r="AV2109" s="105"/>
      <c r="AW2109" s="105"/>
      <c r="AX2109" s="105"/>
      <c r="AY2109" s="105"/>
      <c r="AZ2109" s="80"/>
      <c r="BA2109" s="80"/>
      <c r="BB2109" s="80"/>
      <c r="BC2109" s="80"/>
      <c r="BD2109" s="80"/>
      <c r="BH2109" s="80"/>
      <c r="BI2109" s="80"/>
      <c r="BJ2109" s="80"/>
      <c r="BK2109" s="80"/>
      <c r="BL2109" s="80"/>
      <c r="BM2109" s="80"/>
      <c r="BN2109" s="80"/>
      <c r="BP2109" s="80"/>
    </row>
    <row r="2110" spans="2:68" ht="15.75">
      <c r="B2110" s="141" t="s">
        <v>2739</v>
      </c>
      <c r="C2110" s="105"/>
      <c r="D2110" s="105"/>
      <c r="E2110" s="105"/>
      <c r="F2110" s="105"/>
      <c r="G2110" s="105"/>
      <c r="H2110" s="105"/>
      <c r="J2110" s="105"/>
      <c r="K2110" s="105"/>
      <c r="L2110" s="105"/>
      <c r="M2110" s="105"/>
      <c r="N2110" s="114" t="s">
        <v>0</v>
      </c>
      <c r="O2110" s="105"/>
      <c r="P2110" s="80"/>
      <c r="Q2110" s="80"/>
      <c r="R2110" s="80"/>
      <c r="T2110" s="80"/>
      <c r="U2110" s="80"/>
      <c r="V2110" s="80"/>
      <c r="W2110" s="80"/>
      <c r="X2110" s="80"/>
      <c r="Y2110" s="80"/>
      <c r="Z2110" s="80"/>
      <c r="AA2110" s="80"/>
      <c r="AB2110" s="80"/>
      <c r="AC2110" s="80"/>
      <c r="AD2110" s="80"/>
      <c r="AE2110" s="80"/>
      <c r="AF2110" s="80"/>
      <c r="AG2110" s="80"/>
      <c r="AH2110" s="80"/>
      <c r="AI2110" s="105"/>
      <c r="AJ2110" s="105"/>
      <c r="AK2110" s="105"/>
      <c r="AL2110" s="105"/>
      <c r="AM2110" s="105"/>
      <c r="AN2110" s="105"/>
      <c r="AO2110" s="105"/>
      <c r="AP2110" s="105"/>
      <c r="AQ2110" s="105"/>
      <c r="AR2110" s="105"/>
      <c r="AS2110" s="105"/>
      <c r="AT2110" s="105"/>
      <c r="AU2110" s="105"/>
      <c r="AV2110" s="105"/>
      <c r="AW2110" s="105"/>
      <c r="AX2110" s="105"/>
      <c r="AY2110" s="105"/>
      <c r="AZ2110" s="80"/>
      <c r="BA2110" s="80"/>
      <c r="BB2110" s="80"/>
      <c r="BC2110" s="80"/>
      <c r="BD2110" s="80"/>
      <c r="BH2110" s="80"/>
      <c r="BI2110" s="80"/>
      <c r="BJ2110" s="80"/>
      <c r="BK2110" s="80"/>
      <c r="BL2110" s="80"/>
      <c r="BM2110" s="80"/>
      <c r="BN2110" s="80"/>
      <c r="BP2110" s="80"/>
    </row>
    <row r="2111" spans="2:68">
      <c r="B2111" s="141" t="s">
        <v>2740</v>
      </c>
      <c r="C2111" s="105"/>
      <c r="D2111" s="105"/>
      <c r="E2111" s="105"/>
      <c r="F2111" s="105"/>
      <c r="G2111" s="105"/>
      <c r="H2111" s="105"/>
      <c r="J2111" s="105"/>
      <c r="K2111" s="105"/>
      <c r="L2111" s="105"/>
      <c r="M2111" s="105"/>
      <c r="N2111" s="105"/>
      <c r="O2111" s="105"/>
      <c r="P2111" s="80"/>
      <c r="Q2111" s="80"/>
      <c r="R2111" s="80"/>
      <c r="T2111" s="80"/>
      <c r="U2111" s="80"/>
      <c r="V2111" s="80"/>
      <c r="W2111" s="80"/>
      <c r="X2111" s="80"/>
      <c r="Y2111" s="80"/>
      <c r="Z2111" s="80"/>
      <c r="AA2111" s="80"/>
      <c r="AB2111" s="80"/>
      <c r="AC2111" s="80"/>
      <c r="AD2111" s="80"/>
      <c r="AE2111" s="80"/>
      <c r="AF2111" s="80"/>
      <c r="AG2111" s="80"/>
      <c r="AH2111" s="80"/>
      <c r="AI2111" s="105"/>
      <c r="AJ2111" s="105"/>
      <c r="AK2111" s="105"/>
      <c r="AL2111" s="105"/>
      <c r="AM2111" s="105"/>
      <c r="AN2111" s="105"/>
      <c r="AO2111" s="105"/>
      <c r="AP2111" s="105"/>
      <c r="AQ2111" s="105"/>
      <c r="AR2111" s="105"/>
      <c r="AS2111" s="105"/>
      <c r="AT2111" s="105"/>
      <c r="AU2111" s="105"/>
      <c r="AV2111" s="105"/>
      <c r="AW2111" s="105"/>
      <c r="AX2111" s="105"/>
      <c r="AY2111" s="105"/>
      <c r="AZ2111" s="80"/>
      <c r="BA2111" s="80"/>
      <c r="BB2111" s="80"/>
      <c r="BC2111" s="80"/>
      <c r="BD2111" s="80"/>
      <c r="BH2111" s="80"/>
      <c r="BI2111" s="80"/>
      <c r="BJ2111" s="80"/>
      <c r="BK2111" s="80"/>
      <c r="BL2111" s="80"/>
      <c r="BM2111" s="80"/>
      <c r="BN2111" s="80"/>
      <c r="BP2111" s="80"/>
    </row>
    <row r="2112" spans="2:68" ht="15.75">
      <c r="B2112" s="141" t="s">
        <v>2741</v>
      </c>
      <c r="C2112" s="105"/>
      <c r="D2112" s="114" t="s">
        <v>0</v>
      </c>
      <c r="E2112" s="105"/>
      <c r="F2112" s="105"/>
      <c r="G2112" s="105"/>
      <c r="H2112" s="105"/>
      <c r="J2112" s="105"/>
      <c r="K2112" s="114"/>
      <c r="L2112" s="114"/>
      <c r="M2112" s="114"/>
      <c r="N2112" s="114" t="s">
        <v>0</v>
      </c>
      <c r="O2112" s="114"/>
      <c r="P2112" s="80"/>
      <c r="Q2112" s="80"/>
      <c r="R2112" s="80"/>
      <c r="T2112" s="80"/>
      <c r="U2112" s="80"/>
      <c r="V2112" s="80"/>
      <c r="W2112" s="80"/>
      <c r="X2112" s="80"/>
      <c r="Y2112" s="80"/>
      <c r="Z2112" s="80"/>
      <c r="AA2112" s="80"/>
      <c r="AB2112" s="80"/>
      <c r="AC2112" s="80"/>
      <c r="AD2112" s="80"/>
      <c r="AE2112" s="80"/>
      <c r="AF2112" s="80"/>
      <c r="AG2112" s="80"/>
      <c r="AH2112" s="80"/>
      <c r="AI2112" s="114"/>
      <c r="AJ2112" s="114"/>
      <c r="AK2112" s="114"/>
      <c r="AL2112" s="114"/>
      <c r="AM2112" s="114"/>
      <c r="AN2112" s="114"/>
      <c r="AO2112" s="114"/>
      <c r="AP2112" s="114"/>
      <c r="AQ2112" s="114"/>
      <c r="AR2112" s="114"/>
      <c r="AS2112" s="114"/>
      <c r="AT2112" s="114"/>
      <c r="AU2112" s="114"/>
      <c r="AV2112" s="114"/>
      <c r="AW2112" s="114"/>
      <c r="AX2112" s="114"/>
      <c r="AY2112" s="114"/>
      <c r="AZ2112" s="80"/>
      <c r="BA2112" s="80"/>
      <c r="BB2112" s="80"/>
      <c r="BC2112" s="80"/>
      <c r="BD2112" s="80"/>
      <c r="BH2112" s="80"/>
      <c r="BI2112" s="80"/>
      <c r="BJ2112" s="80"/>
      <c r="BK2112" s="80"/>
      <c r="BL2112" s="80"/>
      <c r="BM2112" s="80"/>
      <c r="BN2112" s="80"/>
      <c r="BP2112" s="80"/>
    </row>
    <row r="2113" spans="2:68" ht="15.75">
      <c r="B2113" s="141" t="s">
        <v>2742</v>
      </c>
      <c r="C2113" s="105"/>
      <c r="D2113" s="114" t="s">
        <v>0</v>
      </c>
      <c r="E2113" s="105"/>
      <c r="F2113" s="105"/>
      <c r="G2113" s="105"/>
      <c r="H2113" s="105"/>
      <c r="J2113" s="105"/>
      <c r="K2113" s="114"/>
      <c r="L2113" s="114"/>
      <c r="M2113" s="114"/>
      <c r="N2113" s="105"/>
      <c r="O2113" s="114"/>
      <c r="P2113" s="80"/>
      <c r="Q2113" s="80"/>
      <c r="R2113" s="80"/>
      <c r="T2113" s="80"/>
      <c r="U2113" s="80"/>
      <c r="V2113" s="80"/>
      <c r="W2113" s="80"/>
      <c r="X2113" s="80"/>
      <c r="Y2113" s="80"/>
      <c r="Z2113" s="80"/>
      <c r="AA2113" s="80"/>
      <c r="AB2113" s="80"/>
      <c r="AC2113" s="80"/>
      <c r="AD2113" s="80"/>
      <c r="AE2113" s="80"/>
      <c r="AF2113" s="80"/>
      <c r="AG2113" s="80"/>
      <c r="AH2113" s="80"/>
      <c r="AI2113" s="114"/>
      <c r="AJ2113" s="114"/>
      <c r="AK2113" s="114"/>
      <c r="AL2113" s="114"/>
      <c r="AM2113" s="114"/>
      <c r="AN2113" s="114"/>
      <c r="AO2113" s="114"/>
      <c r="AP2113" s="114"/>
      <c r="AQ2113" s="114"/>
      <c r="AR2113" s="114"/>
      <c r="AS2113" s="114"/>
      <c r="AT2113" s="114"/>
      <c r="AU2113" s="114"/>
      <c r="AV2113" s="114"/>
      <c r="AW2113" s="114"/>
      <c r="AX2113" s="114"/>
      <c r="AY2113" s="114"/>
      <c r="AZ2113" s="80"/>
      <c r="BA2113" s="80"/>
      <c r="BB2113" s="80"/>
      <c r="BC2113" s="80"/>
      <c r="BD2113" s="80"/>
      <c r="BH2113" s="80"/>
      <c r="BI2113" s="80"/>
      <c r="BJ2113" s="80"/>
      <c r="BK2113" s="80"/>
      <c r="BL2113" s="80"/>
      <c r="BM2113" s="80"/>
      <c r="BN2113" s="80"/>
      <c r="BP2113" s="80"/>
    </row>
    <row r="2114" spans="2:68" ht="15.75">
      <c r="B2114" s="141" t="s">
        <v>2743</v>
      </c>
      <c r="C2114" s="105"/>
      <c r="D2114" s="105"/>
      <c r="E2114" s="105"/>
      <c r="F2114" s="105"/>
      <c r="G2114" s="105"/>
      <c r="H2114" s="105"/>
      <c r="J2114" s="105"/>
      <c r="K2114" s="105"/>
      <c r="L2114" s="105"/>
      <c r="M2114" s="105"/>
      <c r="N2114" s="114" t="s">
        <v>0</v>
      </c>
      <c r="O2114" s="105"/>
      <c r="P2114" s="80"/>
      <c r="Q2114" s="80"/>
      <c r="R2114" s="80"/>
      <c r="T2114" s="80"/>
      <c r="U2114" s="80"/>
      <c r="V2114" s="80"/>
      <c r="W2114" s="80"/>
      <c r="X2114" s="80"/>
      <c r="Y2114" s="80"/>
      <c r="Z2114" s="80"/>
      <c r="AA2114" s="80"/>
      <c r="AB2114" s="80"/>
      <c r="AC2114" s="80"/>
      <c r="AD2114" s="80"/>
      <c r="AE2114" s="80"/>
      <c r="AF2114" s="80"/>
      <c r="AG2114" s="80"/>
      <c r="AH2114" s="80"/>
      <c r="AI2114" s="105"/>
      <c r="AJ2114" s="105"/>
      <c r="AK2114" s="105"/>
      <c r="AL2114" s="105"/>
      <c r="AM2114" s="105"/>
      <c r="AN2114" s="105"/>
      <c r="AO2114" s="105"/>
      <c r="AP2114" s="105"/>
      <c r="AQ2114" s="105"/>
      <c r="AR2114" s="105"/>
      <c r="AS2114" s="105"/>
      <c r="AT2114" s="105"/>
      <c r="AU2114" s="105"/>
      <c r="AV2114" s="105"/>
      <c r="AW2114" s="105"/>
      <c r="AX2114" s="105"/>
      <c r="AY2114" s="105"/>
      <c r="AZ2114" s="80"/>
      <c r="BA2114" s="80"/>
      <c r="BB2114" s="80"/>
      <c r="BC2114" s="80"/>
      <c r="BD2114" s="80"/>
      <c r="BH2114" s="80"/>
      <c r="BI2114" s="80"/>
      <c r="BJ2114" s="80"/>
      <c r="BK2114" s="80"/>
      <c r="BL2114" s="80"/>
      <c r="BM2114" s="80"/>
      <c r="BN2114" s="80"/>
      <c r="BP2114" s="80"/>
    </row>
    <row r="2115" spans="2:68" ht="15.75">
      <c r="B2115" s="141" t="s">
        <v>2744</v>
      </c>
      <c r="C2115" s="105"/>
      <c r="D2115" s="114" t="s">
        <v>0</v>
      </c>
      <c r="E2115" s="105"/>
      <c r="F2115" s="105"/>
      <c r="G2115" s="105"/>
      <c r="H2115" s="105"/>
      <c r="J2115" s="105"/>
      <c r="K2115" s="114"/>
      <c r="L2115" s="114"/>
      <c r="M2115" s="114"/>
      <c r="N2115" s="114" t="s">
        <v>0</v>
      </c>
      <c r="O2115" s="114"/>
      <c r="P2115" s="80"/>
      <c r="Q2115" s="80"/>
      <c r="R2115" s="80"/>
      <c r="T2115" s="80"/>
      <c r="U2115" s="80"/>
      <c r="V2115" s="80"/>
      <c r="W2115" s="80"/>
      <c r="X2115" s="80"/>
      <c r="Y2115" s="80"/>
      <c r="Z2115" s="80"/>
      <c r="AA2115" s="80"/>
      <c r="AB2115" s="80"/>
      <c r="AC2115" s="80"/>
      <c r="AD2115" s="80"/>
      <c r="AE2115" s="80"/>
      <c r="AF2115" s="80"/>
      <c r="AG2115" s="80"/>
      <c r="AH2115" s="80"/>
      <c r="AI2115" s="114"/>
      <c r="AJ2115" s="114"/>
      <c r="AK2115" s="114"/>
      <c r="AL2115" s="114"/>
      <c r="AM2115" s="114"/>
      <c r="AN2115" s="114"/>
      <c r="AO2115" s="114"/>
      <c r="AP2115" s="114"/>
      <c r="AQ2115" s="114"/>
      <c r="AR2115" s="114"/>
      <c r="AS2115" s="114"/>
      <c r="AT2115" s="114"/>
      <c r="AU2115" s="114"/>
      <c r="AV2115" s="114"/>
      <c r="AW2115" s="114"/>
      <c r="AX2115" s="114"/>
      <c r="AY2115" s="114"/>
      <c r="AZ2115" s="80"/>
      <c r="BA2115" s="80"/>
      <c r="BB2115" s="80"/>
      <c r="BC2115" s="80"/>
      <c r="BD2115" s="80"/>
      <c r="BH2115" s="80"/>
      <c r="BI2115" s="80"/>
      <c r="BJ2115" s="80"/>
      <c r="BK2115" s="80"/>
      <c r="BL2115" s="80"/>
      <c r="BM2115" s="80"/>
      <c r="BN2115" s="80"/>
      <c r="BP2115" s="80"/>
    </row>
    <row r="2116" spans="2:68">
      <c r="C2116" s="105"/>
      <c r="D2116" s="105"/>
      <c r="E2116" s="105"/>
      <c r="F2116" s="105"/>
      <c r="G2116" s="105"/>
      <c r="H2116" s="105"/>
      <c r="J2116" s="105"/>
      <c r="K2116" s="105"/>
      <c r="L2116" s="105"/>
      <c r="M2116" s="105"/>
      <c r="N2116" s="105"/>
      <c r="O2116" s="105"/>
      <c r="P2116" s="80"/>
      <c r="Q2116" s="80"/>
      <c r="R2116" s="80"/>
      <c r="T2116" s="80"/>
      <c r="U2116" s="80"/>
      <c r="V2116" s="80"/>
      <c r="W2116" s="80"/>
      <c r="X2116" s="80"/>
      <c r="Y2116" s="80"/>
      <c r="Z2116" s="80"/>
      <c r="AA2116" s="80"/>
      <c r="AB2116" s="80"/>
      <c r="AC2116" s="80"/>
      <c r="AD2116" s="80"/>
      <c r="AE2116" s="80"/>
      <c r="AF2116" s="80"/>
      <c r="AG2116" s="80"/>
      <c r="AH2116" s="80"/>
      <c r="AI2116" s="105"/>
      <c r="AJ2116" s="105"/>
      <c r="AK2116" s="105"/>
      <c r="AL2116" s="105"/>
      <c r="AM2116" s="105"/>
      <c r="AN2116" s="105"/>
      <c r="AO2116" s="105"/>
      <c r="AP2116" s="105"/>
      <c r="AQ2116" s="105"/>
      <c r="AR2116" s="105"/>
      <c r="AS2116" s="105"/>
      <c r="AT2116" s="105"/>
      <c r="AU2116" s="105"/>
      <c r="AV2116" s="105"/>
      <c r="AW2116" s="105"/>
      <c r="AX2116" s="105"/>
      <c r="AY2116" s="105"/>
      <c r="AZ2116" s="80"/>
      <c r="BA2116" s="80"/>
      <c r="BB2116" s="80"/>
      <c r="BC2116" s="80"/>
      <c r="BD2116" s="80"/>
      <c r="BH2116" s="80"/>
      <c r="BI2116" s="80"/>
      <c r="BJ2116" s="80"/>
      <c r="BK2116" s="80"/>
      <c r="BL2116" s="80"/>
      <c r="BM2116" s="80"/>
      <c r="BN2116" s="80"/>
      <c r="BP2116" s="80"/>
    </row>
    <row r="2117" spans="2:68">
      <c r="B2117" s="141" t="s">
        <v>2667</v>
      </c>
      <c r="C2117" s="110"/>
      <c r="D2117" s="80"/>
      <c r="E2117" s="110"/>
      <c r="F2117" s="110"/>
      <c r="G2117" s="110"/>
      <c r="H2117" s="110"/>
      <c r="J2117" s="110"/>
      <c r="K2117" s="80"/>
      <c r="L2117" s="80"/>
      <c r="M2117" s="80"/>
      <c r="N2117" s="80"/>
      <c r="O2117" s="80"/>
      <c r="P2117" s="80"/>
      <c r="Q2117" s="80"/>
      <c r="R2117" s="80"/>
      <c r="T2117" s="80"/>
      <c r="U2117" s="80"/>
      <c r="V2117" s="80"/>
      <c r="W2117" s="80"/>
      <c r="X2117" s="80"/>
      <c r="Y2117" s="80"/>
      <c r="Z2117" s="80"/>
      <c r="AA2117" s="80"/>
      <c r="AB2117" s="80"/>
      <c r="AC2117" s="80"/>
      <c r="AD2117" s="80"/>
      <c r="AE2117" s="80"/>
      <c r="AF2117" s="80"/>
      <c r="AG2117" s="80"/>
      <c r="AH2117" s="80"/>
      <c r="AI2117" s="80"/>
      <c r="AJ2117" s="80"/>
      <c r="AK2117" s="80"/>
      <c r="AL2117" s="80"/>
      <c r="AM2117" s="80"/>
      <c r="AN2117" s="80"/>
      <c r="AO2117" s="80"/>
      <c r="AP2117" s="80"/>
      <c r="AQ2117" s="80"/>
      <c r="AR2117" s="80"/>
      <c r="AS2117" s="80"/>
      <c r="AT2117" s="80"/>
      <c r="AU2117" s="80"/>
      <c r="AV2117" s="80"/>
      <c r="AW2117" s="80"/>
      <c r="AX2117" s="80"/>
      <c r="AY2117" s="80"/>
      <c r="AZ2117" s="80"/>
      <c r="BA2117" s="80"/>
      <c r="BB2117" s="80"/>
      <c r="BC2117" s="80"/>
      <c r="BD2117" s="80"/>
      <c r="BH2117" s="80"/>
      <c r="BI2117" s="80"/>
      <c r="BJ2117" s="80"/>
      <c r="BK2117" s="80"/>
      <c r="BL2117" s="80"/>
      <c r="BM2117" s="80"/>
      <c r="BN2117" s="80"/>
      <c r="BP2117" s="80"/>
    </row>
    <row r="2118" spans="2:68">
      <c r="B2118" s="141" t="s">
        <v>2681</v>
      </c>
      <c r="C2118" s="110"/>
      <c r="D2118" s="80"/>
      <c r="E2118" s="110"/>
      <c r="F2118" s="110"/>
      <c r="G2118" s="110"/>
      <c r="H2118" s="110"/>
      <c r="J2118" s="110"/>
      <c r="K2118" s="80"/>
      <c r="L2118" s="80"/>
      <c r="M2118" s="80"/>
      <c r="N2118" s="80"/>
      <c r="O2118" s="80"/>
      <c r="P2118" s="80"/>
      <c r="Q2118" s="80"/>
      <c r="R2118" s="80"/>
      <c r="T2118" s="80"/>
      <c r="U2118" s="80"/>
      <c r="V2118" s="80"/>
      <c r="W2118" s="80"/>
      <c r="X2118" s="80"/>
      <c r="Y2118" s="80"/>
      <c r="Z2118" s="80"/>
      <c r="AA2118" s="80"/>
      <c r="AB2118" s="80"/>
      <c r="AC2118" s="80"/>
      <c r="AD2118" s="80"/>
      <c r="AE2118" s="80"/>
      <c r="AF2118" s="80"/>
      <c r="AG2118" s="80"/>
      <c r="AH2118" s="80"/>
      <c r="AI2118" s="80"/>
      <c r="AJ2118" s="80"/>
      <c r="AK2118" s="80"/>
      <c r="AL2118" s="80"/>
      <c r="AM2118" s="80"/>
      <c r="AN2118" s="80"/>
      <c r="AO2118" s="80"/>
      <c r="AP2118" s="80"/>
      <c r="AQ2118" s="80"/>
      <c r="AR2118" s="80"/>
      <c r="AS2118" s="80"/>
      <c r="AT2118" s="80"/>
      <c r="AU2118" s="80"/>
      <c r="AV2118" s="80"/>
      <c r="AW2118" s="80"/>
      <c r="AX2118" s="80"/>
      <c r="AY2118" s="80"/>
      <c r="AZ2118" s="80"/>
      <c r="BA2118" s="80"/>
      <c r="BB2118" s="80"/>
      <c r="BC2118" s="80"/>
      <c r="BD2118" s="80"/>
      <c r="BH2118" s="80"/>
      <c r="BI2118" s="80"/>
      <c r="BJ2118" s="80"/>
      <c r="BK2118" s="80"/>
      <c r="BL2118" s="80"/>
      <c r="BM2118" s="80"/>
      <c r="BN2118" s="80"/>
      <c r="BP2118" s="80"/>
    </row>
    <row r="2119" spans="2:68">
      <c r="B2119" s="141" t="s">
        <v>2670</v>
      </c>
      <c r="C2119" s="110"/>
      <c r="D2119" s="80"/>
      <c r="E2119" s="110"/>
      <c r="F2119" s="110"/>
      <c r="G2119" s="110"/>
      <c r="H2119" s="110"/>
      <c r="J2119" s="110"/>
      <c r="K2119" s="80"/>
      <c r="L2119" s="80"/>
      <c r="M2119" s="80"/>
      <c r="N2119" s="80"/>
      <c r="O2119" s="80"/>
      <c r="P2119" s="80"/>
      <c r="Q2119" s="80"/>
      <c r="R2119" s="80"/>
      <c r="T2119" s="80"/>
      <c r="U2119" s="80"/>
      <c r="V2119" s="80"/>
      <c r="W2119" s="80"/>
      <c r="X2119" s="80"/>
      <c r="Y2119" s="80"/>
      <c r="Z2119" s="80"/>
      <c r="AA2119" s="80"/>
      <c r="AB2119" s="80"/>
      <c r="AC2119" s="80"/>
      <c r="AD2119" s="80"/>
      <c r="AE2119" s="80"/>
      <c r="AF2119" s="80"/>
      <c r="AG2119" s="80"/>
      <c r="AH2119" s="80"/>
      <c r="AI2119" s="80"/>
      <c r="AJ2119" s="80"/>
      <c r="AK2119" s="80"/>
      <c r="AL2119" s="80"/>
      <c r="AM2119" s="80"/>
      <c r="AN2119" s="80"/>
      <c r="AO2119" s="80"/>
      <c r="AP2119" s="80"/>
      <c r="AQ2119" s="80"/>
      <c r="AR2119" s="80"/>
      <c r="AS2119" s="80"/>
      <c r="AT2119" s="80"/>
      <c r="AU2119" s="80"/>
      <c r="AV2119" s="80"/>
      <c r="AW2119" s="80"/>
      <c r="AX2119" s="80"/>
      <c r="AY2119" s="80"/>
      <c r="AZ2119" s="80"/>
      <c r="BA2119" s="80"/>
      <c r="BB2119" s="80"/>
      <c r="BC2119" s="80"/>
      <c r="BD2119" s="80"/>
      <c r="BH2119" s="80"/>
      <c r="BI2119" s="80"/>
      <c r="BJ2119" s="80"/>
      <c r="BK2119" s="80"/>
      <c r="BL2119" s="80"/>
      <c r="BM2119" s="80"/>
      <c r="BN2119" s="80"/>
      <c r="BP2119" s="80"/>
    </row>
    <row r="2120" spans="2:68">
      <c r="B2120" s="141" t="s">
        <v>2674</v>
      </c>
      <c r="C2120" s="110"/>
      <c r="D2120" s="80"/>
      <c r="E2120" s="110"/>
      <c r="F2120" s="110"/>
      <c r="G2120" s="110"/>
      <c r="H2120" s="110"/>
      <c r="J2120" s="110"/>
      <c r="K2120" s="80"/>
      <c r="L2120" s="80"/>
      <c r="M2120" s="80"/>
      <c r="N2120" s="80"/>
      <c r="O2120" s="80"/>
      <c r="P2120" s="80"/>
      <c r="Q2120" s="80"/>
      <c r="R2120" s="80"/>
      <c r="T2120" s="80"/>
      <c r="U2120" s="80"/>
      <c r="V2120" s="80"/>
      <c r="W2120" s="80"/>
      <c r="X2120" s="80"/>
      <c r="Y2120" s="80"/>
      <c r="Z2120" s="80"/>
      <c r="AA2120" s="80"/>
      <c r="AB2120" s="80"/>
      <c r="AC2120" s="80"/>
      <c r="AD2120" s="80"/>
      <c r="AE2120" s="80"/>
      <c r="AF2120" s="80"/>
      <c r="AG2120" s="80"/>
      <c r="AH2120" s="80"/>
      <c r="AI2120" s="80"/>
      <c r="AJ2120" s="80"/>
      <c r="AK2120" s="80"/>
      <c r="AL2120" s="80"/>
      <c r="AM2120" s="80"/>
      <c r="AN2120" s="80"/>
      <c r="AO2120" s="80"/>
      <c r="AP2120" s="80"/>
      <c r="AQ2120" s="80"/>
      <c r="AR2120" s="80"/>
      <c r="AS2120" s="80"/>
      <c r="AT2120" s="80"/>
      <c r="AU2120" s="80"/>
      <c r="AV2120" s="80"/>
      <c r="AW2120" s="80"/>
      <c r="AX2120" s="80"/>
      <c r="AY2120" s="80"/>
      <c r="AZ2120" s="80"/>
      <c r="BA2120" s="80"/>
      <c r="BB2120" s="80"/>
      <c r="BC2120" s="80"/>
      <c r="BD2120" s="80"/>
      <c r="BH2120" s="80"/>
      <c r="BI2120" s="80"/>
      <c r="BJ2120" s="80"/>
      <c r="BK2120" s="80"/>
      <c r="BL2120" s="80"/>
      <c r="BM2120" s="80"/>
      <c r="BN2120" s="80"/>
      <c r="BP2120" s="80"/>
    </row>
    <row r="2121" spans="2:68">
      <c r="B2121" s="141" t="s">
        <v>2673</v>
      </c>
      <c r="C2121" s="110"/>
      <c r="D2121" s="80"/>
      <c r="E2121" s="110"/>
      <c r="F2121" s="110"/>
      <c r="G2121" s="110"/>
      <c r="H2121" s="110"/>
      <c r="J2121" s="110"/>
      <c r="K2121" s="80"/>
      <c r="L2121" s="80"/>
      <c r="M2121" s="80"/>
      <c r="N2121" s="80"/>
      <c r="O2121" s="80"/>
      <c r="P2121" s="80"/>
      <c r="Q2121" s="80"/>
      <c r="R2121" s="80"/>
      <c r="T2121" s="80"/>
      <c r="U2121" s="80"/>
      <c r="V2121" s="80"/>
      <c r="W2121" s="80"/>
      <c r="X2121" s="80"/>
      <c r="Y2121" s="80"/>
      <c r="Z2121" s="80"/>
      <c r="AA2121" s="80"/>
      <c r="AB2121" s="80"/>
      <c r="AC2121" s="80"/>
      <c r="AD2121" s="80"/>
      <c r="AE2121" s="80"/>
      <c r="AF2121" s="80"/>
      <c r="AG2121" s="80"/>
      <c r="AH2121" s="80"/>
      <c r="AI2121" s="80"/>
      <c r="AJ2121" s="80"/>
      <c r="AK2121" s="80"/>
      <c r="AL2121" s="80"/>
      <c r="AM2121" s="80"/>
      <c r="AN2121" s="80"/>
      <c r="AO2121" s="80"/>
      <c r="AP2121" s="80"/>
      <c r="AQ2121" s="80"/>
      <c r="AR2121" s="80"/>
      <c r="AS2121" s="80"/>
      <c r="AT2121" s="80"/>
      <c r="AU2121" s="80"/>
      <c r="AV2121" s="80"/>
      <c r="AW2121" s="80"/>
      <c r="AX2121" s="80"/>
      <c r="AY2121" s="80"/>
      <c r="AZ2121" s="80"/>
      <c r="BA2121" s="80"/>
      <c r="BB2121" s="80"/>
      <c r="BC2121" s="80"/>
      <c r="BD2121" s="80"/>
      <c r="BH2121" s="80"/>
      <c r="BI2121" s="80"/>
      <c r="BJ2121" s="80"/>
      <c r="BK2121" s="80"/>
      <c r="BL2121" s="80"/>
      <c r="BM2121" s="80"/>
      <c r="BN2121" s="80"/>
      <c r="BP2121" s="80"/>
    </row>
    <row r="2122" spans="2:68">
      <c r="B2122" s="141" t="s">
        <v>2671</v>
      </c>
      <c r="C2122" s="110"/>
      <c r="D2122" s="80"/>
      <c r="E2122" s="110"/>
      <c r="F2122" s="110"/>
      <c r="G2122" s="110"/>
      <c r="H2122" s="110"/>
      <c r="J2122" s="110"/>
      <c r="K2122" s="80"/>
      <c r="L2122" s="80"/>
      <c r="M2122" s="80"/>
      <c r="N2122" s="80"/>
      <c r="O2122" s="80"/>
      <c r="P2122" s="80"/>
      <c r="Q2122" s="80"/>
      <c r="R2122" s="80"/>
      <c r="T2122" s="80"/>
      <c r="U2122" s="80"/>
      <c r="V2122" s="80"/>
      <c r="W2122" s="80"/>
      <c r="X2122" s="80"/>
      <c r="Y2122" s="80"/>
      <c r="Z2122" s="80"/>
      <c r="AA2122" s="80"/>
      <c r="AB2122" s="80"/>
      <c r="AC2122" s="80"/>
      <c r="AD2122" s="80"/>
      <c r="AE2122" s="80"/>
      <c r="AF2122" s="80"/>
      <c r="AG2122" s="80"/>
      <c r="AH2122" s="80"/>
      <c r="AI2122" s="80"/>
      <c r="AJ2122" s="80"/>
      <c r="AK2122" s="80"/>
      <c r="AL2122" s="80"/>
      <c r="AM2122" s="80"/>
      <c r="AN2122" s="80"/>
      <c r="AO2122" s="80"/>
      <c r="AP2122" s="80"/>
      <c r="AQ2122" s="80"/>
      <c r="AR2122" s="80"/>
      <c r="AS2122" s="80"/>
      <c r="AT2122" s="80"/>
      <c r="AU2122" s="80"/>
      <c r="AV2122" s="80"/>
      <c r="AW2122" s="80"/>
      <c r="AX2122" s="80"/>
      <c r="AY2122" s="80"/>
      <c r="AZ2122" s="80"/>
      <c r="BA2122" s="80"/>
      <c r="BB2122" s="80"/>
      <c r="BC2122" s="80"/>
      <c r="BD2122" s="80"/>
      <c r="BH2122" s="80"/>
      <c r="BI2122" s="80"/>
      <c r="BJ2122" s="80"/>
      <c r="BK2122" s="80"/>
      <c r="BL2122" s="80"/>
      <c r="BM2122" s="80"/>
      <c r="BN2122" s="80"/>
      <c r="BP2122" s="80"/>
    </row>
    <row r="2123" spans="2:68">
      <c r="B2123" s="141" t="s">
        <v>2678</v>
      </c>
      <c r="C2123" s="110"/>
      <c r="D2123" s="80"/>
      <c r="E2123" s="110"/>
      <c r="F2123" s="110"/>
      <c r="G2123" s="110"/>
      <c r="H2123" s="110"/>
      <c r="J2123" s="110"/>
      <c r="K2123" s="80"/>
      <c r="L2123" s="80"/>
      <c r="M2123" s="80"/>
      <c r="N2123" s="80"/>
      <c r="O2123" s="80"/>
      <c r="P2123" s="80"/>
      <c r="Q2123" s="80"/>
      <c r="R2123" s="80"/>
      <c r="T2123" s="80"/>
      <c r="U2123" s="80"/>
      <c r="V2123" s="80"/>
      <c r="W2123" s="80"/>
      <c r="X2123" s="80"/>
      <c r="Y2123" s="80"/>
      <c r="Z2123" s="80"/>
      <c r="AA2123" s="80"/>
      <c r="AB2123" s="80"/>
      <c r="AC2123" s="80"/>
      <c r="AD2123" s="80"/>
      <c r="AE2123" s="80"/>
      <c r="AF2123" s="80"/>
      <c r="AG2123" s="80"/>
      <c r="AH2123" s="80"/>
      <c r="AI2123" s="80"/>
      <c r="AJ2123" s="80"/>
      <c r="AK2123" s="80"/>
      <c r="AL2123" s="80"/>
      <c r="AM2123" s="80"/>
      <c r="AN2123" s="80"/>
      <c r="AO2123" s="80"/>
      <c r="AP2123" s="80"/>
      <c r="AQ2123" s="80"/>
      <c r="AR2123" s="80"/>
      <c r="AS2123" s="80"/>
      <c r="AT2123" s="80"/>
      <c r="AU2123" s="80"/>
      <c r="AV2123" s="80"/>
      <c r="AW2123" s="80"/>
      <c r="AX2123" s="80"/>
      <c r="AY2123" s="80"/>
      <c r="AZ2123" s="80"/>
      <c r="BA2123" s="80"/>
      <c r="BB2123" s="80"/>
      <c r="BC2123" s="80"/>
      <c r="BD2123" s="80"/>
      <c r="BH2123" s="80"/>
      <c r="BI2123" s="80"/>
      <c r="BJ2123" s="80"/>
      <c r="BK2123" s="80"/>
      <c r="BL2123" s="80"/>
      <c r="BM2123" s="80"/>
      <c r="BN2123" s="80"/>
      <c r="BP2123" s="80"/>
    </row>
    <row r="2124" spans="2:68">
      <c r="B2124" s="141" t="s">
        <v>2669</v>
      </c>
      <c r="C2124" s="110"/>
      <c r="D2124" s="80"/>
      <c r="E2124" s="110"/>
      <c r="F2124" s="110"/>
      <c r="G2124" s="110"/>
      <c r="H2124" s="110"/>
      <c r="J2124" s="110"/>
      <c r="K2124" s="80"/>
      <c r="L2124" s="80"/>
      <c r="M2124" s="80"/>
      <c r="N2124" s="80"/>
      <c r="O2124" s="80"/>
      <c r="P2124" s="80"/>
      <c r="Q2124" s="80"/>
      <c r="R2124" s="80"/>
      <c r="T2124" s="80"/>
      <c r="U2124" s="80"/>
      <c r="V2124" s="80"/>
      <c r="W2124" s="80"/>
      <c r="X2124" s="80"/>
      <c r="Y2124" s="80"/>
      <c r="Z2124" s="80"/>
      <c r="AA2124" s="80"/>
      <c r="AB2124" s="80"/>
      <c r="AC2124" s="80"/>
      <c r="AD2124" s="80"/>
      <c r="AE2124" s="80"/>
      <c r="AF2124" s="80"/>
      <c r="AG2124" s="80"/>
      <c r="AH2124" s="80"/>
      <c r="AI2124" s="80"/>
      <c r="AJ2124" s="80"/>
      <c r="AK2124" s="80"/>
      <c r="AL2124" s="80"/>
      <c r="AM2124" s="80"/>
      <c r="AN2124" s="80"/>
      <c r="AO2124" s="80"/>
      <c r="AP2124" s="80"/>
      <c r="AQ2124" s="80"/>
      <c r="AR2124" s="80"/>
      <c r="AS2124" s="80"/>
      <c r="AT2124" s="80"/>
      <c r="AU2124" s="80"/>
      <c r="AV2124" s="80"/>
      <c r="AW2124" s="80"/>
      <c r="AX2124" s="80"/>
      <c r="AY2124" s="80"/>
      <c r="AZ2124" s="80"/>
      <c r="BA2124" s="80"/>
      <c r="BB2124" s="80"/>
      <c r="BC2124" s="80"/>
      <c r="BD2124" s="80"/>
      <c r="BH2124" s="80"/>
      <c r="BI2124" s="80"/>
      <c r="BJ2124" s="80"/>
      <c r="BK2124" s="80"/>
      <c r="BL2124" s="80"/>
      <c r="BM2124" s="80"/>
      <c r="BN2124" s="80"/>
      <c r="BP2124" s="80"/>
    </row>
    <row r="2125" spans="2:68">
      <c r="B2125" s="141" t="s">
        <v>2682</v>
      </c>
      <c r="C2125" s="110"/>
      <c r="D2125" s="80"/>
      <c r="E2125" s="110"/>
      <c r="F2125" s="110"/>
      <c r="G2125" s="110"/>
      <c r="H2125" s="110"/>
      <c r="J2125" s="110"/>
      <c r="K2125" s="80"/>
      <c r="L2125" s="80"/>
      <c r="M2125" s="80"/>
      <c r="N2125" s="80"/>
      <c r="O2125" s="80"/>
      <c r="P2125" s="80"/>
      <c r="Q2125" s="80"/>
      <c r="R2125" s="80"/>
      <c r="T2125" s="80"/>
      <c r="U2125" s="80"/>
      <c r="V2125" s="80"/>
      <c r="W2125" s="80"/>
      <c r="X2125" s="80"/>
      <c r="Y2125" s="80"/>
      <c r="Z2125" s="80"/>
      <c r="AA2125" s="80"/>
      <c r="AB2125" s="80"/>
      <c r="AC2125" s="80"/>
      <c r="AD2125" s="80"/>
      <c r="AE2125" s="80"/>
      <c r="AF2125" s="80"/>
      <c r="AG2125" s="80"/>
      <c r="AH2125" s="80"/>
      <c r="AI2125" s="80"/>
      <c r="AJ2125" s="80"/>
      <c r="AK2125" s="80"/>
      <c r="AL2125" s="80"/>
      <c r="AM2125" s="80"/>
      <c r="AN2125" s="80"/>
      <c r="AO2125" s="80"/>
      <c r="AP2125" s="80"/>
      <c r="AQ2125" s="80"/>
      <c r="AR2125" s="80"/>
      <c r="AS2125" s="80"/>
      <c r="AT2125" s="80"/>
      <c r="AU2125" s="80"/>
      <c r="AV2125" s="80"/>
      <c r="AW2125" s="80"/>
      <c r="AX2125" s="80"/>
      <c r="AY2125" s="80"/>
      <c r="AZ2125" s="80"/>
      <c r="BA2125" s="80"/>
      <c r="BB2125" s="80"/>
      <c r="BC2125" s="80"/>
      <c r="BD2125" s="80"/>
      <c r="BH2125" s="80"/>
      <c r="BI2125" s="80"/>
      <c r="BJ2125" s="80"/>
      <c r="BK2125" s="80"/>
      <c r="BL2125" s="80"/>
      <c r="BM2125" s="80"/>
      <c r="BN2125" s="80"/>
      <c r="BP2125" s="80"/>
    </row>
    <row r="2126" spans="2:68">
      <c r="B2126" s="141" t="s">
        <v>2677</v>
      </c>
      <c r="C2126" s="110"/>
      <c r="D2126" s="80"/>
      <c r="E2126" s="110"/>
      <c r="F2126" s="110"/>
      <c r="G2126" s="110"/>
      <c r="H2126" s="110"/>
      <c r="J2126" s="110"/>
      <c r="K2126" s="80"/>
      <c r="L2126" s="80"/>
      <c r="M2126" s="80"/>
      <c r="N2126" s="80"/>
      <c r="O2126" s="80"/>
      <c r="P2126" s="80"/>
      <c r="Q2126" s="80"/>
      <c r="R2126" s="80"/>
      <c r="T2126" s="80"/>
      <c r="U2126" s="80"/>
      <c r="V2126" s="80"/>
      <c r="W2126" s="80"/>
      <c r="X2126" s="80"/>
      <c r="Y2126" s="80"/>
      <c r="Z2126" s="80"/>
      <c r="AA2126" s="80"/>
      <c r="AB2126" s="80"/>
      <c r="AC2126" s="80"/>
      <c r="AD2126" s="80"/>
      <c r="AE2126" s="80"/>
      <c r="AF2126" s="80"/>
      <c r="AG2126" s="80"/>
      <c r="AH2126" s="80"/>
      <c r="AI2126" s="80"/>
      <c r="AJ2126" s="80"/>
      <c r="AK2126" s="80"/>
      <c r="AL2126" s="80"/>
      <c r="AM2126" s="80"/>
      <c r="AN2126" s="80"/>
      <c r="AO2126" s="80"/>
      <c r="AP2126" s="80"/>
      <c r="AQ2126" s="80"/>
      <c r="AR2126" s="80"/>
      <c r="AS2126" s="80"/>
      <c r="AT2126" s="80"/>
      <c r="AU2126" s="80"/>
      <c r="AV2126" s="80"/>
      <c r="AW2126" s="80"/>
      <c r="AX2126" s="80"/>
      <c r="AY2126" s="80"/>
      <c r="AZ2126" s="80"/>
      <c r="BA2126" s="80"/>
      <c r="BB2126" s="80"/>
      <c r="BC2126" s="80"/>
      <c r="BD2126" s="80"/>
      <c r="BH2126" s="80"/>
      <c r="BI2126" s="80"/>
      <c r="BJ2126" s="80"/>
      <c r="BK2126" s="80"/>
      <c r="BL2126" s="80"/>
      <c r="BM2126" s="80"/>
      <c r="BN2126" s="80"/>
      <c r="BP2126" s="80"/>
    </row>
    <row r="2127" spans="2:68">
      <c r="B2127" s="141" t="s">
        <v>2672</v>
      </c>
      <c r="C2127" s="110"/>
      <c r="D2127" s="80"/>
      <c r="E2127" s="110"/>
      <c r="F2127" s="110"/>
      <c r="G2127" s="110"/>
      <c r="H2127" s="110"/>
      <c r="J2127" s="110"/>
      <c r="K2127" s="80"/>
      <c r="L2127" s="80"/>
      <c r="M2127" s="80"/>
      <c r="N2127" s="80"/>
      <c r="O2127" s="80"/>
      <c r="P2127" s="80"/>
      <c r="Q2127" s="80"/>
      <c r="R2127" s="80"/>
      <c r="T2127" s="80"/>
      <c r="U2127" s="80"/>
      <c r="V2127" s="80"/>
      <c r="W2127" s="80"/>
      <c r="X2127" s="80"/>
      <c r="Y2127" s="80"/>
      <c r="Z2127" s="80"/>
      <c r="AA2127" s="80"/>
      <c r="AB2127" s="80"/>
      <c r="AC2127" s="80"/>
      <c r="AD2127" s="80"/>
      <c r="AE2127" s="80"/>
      <c r="AF2127" s="80"/>
      <c r="AG2127" s="80"/>
      <c r="AH2127" s="80"/>
      <c r="AI2127" s="80"/>
      <c r="AJ2127" s="80"/>
      <c r="AK2127" s="80"/>
      <c r="AL2127" s="80"/>
      <c r="AM2127" s="80"/>
      <c r="AN2127" s="80"/>
      <c r="AO2127" s="80"/>
      <c r="AP2127" s="80"/>
      <c r="AQ2127" s="80"/>
      <c r="AR2127" s="80"/>
      <c r="AS2127" s="80"/>
      <c r="AT2127" s="80"/>
      <c r="AU2127" s="80"/>
      <c r="AV2127" s="80"/>
      <c r="AW2127" s="80"/>
      <c r="AX2127" s="80"/>
      <c r="AY2127" s="80"/>
      <c r="AZ2127" s="80"/>
      <c r="BA2127" s="80"/>
      <c r="BB2127" s="80"/>
      <c r="BC2127" s="80"/>
      <c r="BD2127" s="80"/>
      <c r="BH2127" s="80"/>
      <c r="BI2127" s="80"/>
      <c r="BJ2127" s="80"/>
      <c r="BK2127" s="80"/>
      <c r="BL2127" s="80"/>
      <c r="BM2127" s="80"/>
      <c r="BN2127" s="80"/>
      <c r="BP2127" s="80"/>
    </row>
    <row r="2128" spans="2:68">
      <c r="B2128" s="141" t="s">
        <v>2745</v>
      </c>
      <c r="C2128" s="110"/>
      <c r="D2128" s="80"/>
      <c r="E2128" s="110"/>
      <c r="F2128" s="110"/>
      <c r="G2128" s="110"/>
      <c r="H2128" s="110"/>
      <c r="J2128" s="110"/>
      <c r="K2128" s="80"/>
      <c r="L2128" s="80"/>
      <c r="M2128" s="80"/>
      <c r="N2128" s="80"/>
      <c r="O2128" s="80"/>
      <c r="P2128" s="80"/>
      <c r="Q2128" s="80"/>
      <c r="R2128" s="80"/>
      <c r="T2128" s="80"/>
      <c r="U2128" s="80"/>
      <c r="V2128" s="80"/>
      <c r="W2128" s="80"/>
      <c r="X2128" s="80"/>
      <c r="Y2128" s="80"/>
      <c r="Z2128" s="80"/>
      <c r="AA2128" s="80"/>
      <c r="AB2128" s="80"/>
      <c r="AC2128" s="80"/>
      <c r="AD2128" s="80"/>
      <c r="AE2128" s="80"/>
      <c r="AF2128" s="80"/>
      <c r="AG2128" s="80"/>
      <c r="AH2128" s="80"/>
      <c r="AI2128" s="80"/>
      <c r="AJ2128" s="80"/>
      <c r="AK2128" s="80"/>
      <c r="AL2128" s="80"/>
      <c r="AM2128" s="80"/>
      <c r="AN2128" s="80"/>
      <c r="AO2128" s="80"/>
      <c r="AP2128" s="80"/>
      <c r="AQ2128" s="80"/>
      <c r="AR2128" s="80"/>
      <c r="AS2128" s="80"/>
      <c r="AT2128" s="80"/>
      <c r="AU2128" s="80"/>
      <c r="AV2128" s="80"/>
      <c r="AW2128" s="80"/>
      <c r="AX2128" s="80"/>
      <c r="AY2128" s="80"/>
      <c r="AZ2128" s="80"/>
      <c r="BA2128" s="80"/>
      <c r="BB2128" s="80"/>
      <c r="BC2128" s="80"/>
      <c r="BD2128" s="80"/>
      <c r="BH2128" s="80"/>
      <c r="BI2128" s="80"/>
      <c r="BJ2128" s="80"/>
      <c r="BK2128" s="80"/>
      <c r="BL2128" s="80"/>
      <c r="BM2128" s="80"/>
      <c r="BN2128" s="80"/>
      <c r="BP2128" s="80"/>
    </row>
    <row r="2129" spans="2:68">
      <c r="B2129" s="141" t="s">
        <v>2668</v>
      </c>
      <c r="C2129" s="110"/>
      <c r="D2129" s="80"/>
      <c r="E2129" s="110"/>
      <c r="F2129" s="110"/>
      <c r="G2129" s="110"/>
      <c r="H2129" s="110"/>
      <c r="J2129" s="110"/>
      <c r="K2129" s="80"/>
      <c r="L2129" s="80"/>
      <c r="M2129" s="80"/>
      <c r="N2129" s="80"/>
      <c r="O2129" s="80"/>
      <c r="P2129" s="80"/>
      <c r="Q2129" s="80"/>
      <c r="R2129" s="80"/>
      <c r="T2129" s="80"/>
      <c r="U2129" s="80"/>
      <c r="V2129" s="80"/>
      <c r="W2129" s="80"/>
      <c r="X2129" s="80"/>
      <c r="Y2129" s="80"/>
      <c r="Z2129" s="80"/>
      <c r="AA2129" s="80"/>
      <c r="AB2129" s="80"/>
      <c r="AC2129" s="80"/>
      <c r="AD2129" s="80"/>
      <c r="AE2129" s="80"/>
      <c r="AF2129" s="80"/>
      <c r="AG2129" s="80"/>
      <c r="AH2129" s="80"/>
      <c r="AI2129" s="80"/>
      <c r="AJ2129" s="80"/>
      <c r="AK2129" s="80"/>
      <c r="AL2129" s="80"/>
      <c r="AM2129" s="80"/>
      <c r="AN2129" s="80"/>
      <c r="AO2129" s="80"/>
      <c r="AP2129" s="80"/>
      <c r="AQ2129" s="80"/>
      <c r="AR2129" s="80"/>
      <c r="AS2129" s="80"/>
      <c r="AT2129" s="80"/>
      <c r="AU2129" s="80"/>
      <c r="AV2129" s="80"/>
      <c r="AW2129" s="80"/>
      <c r="AX2129" s="80"/>
      <c r="AY2129" s="80"/>
      <c r="AZ2129" s="80"/>
      <c r="BA2129" s="80"/>
      <c r="BB2129" s="80"/>
      <c r="BC2129" s="80"/>
      <c r="BD2129" s="80"/>
      <c r="BH2129" s="80"/>
      <c r="BI2129" s="80"/>
      <c r="BJ2129" s="80"/>
      <c r="BK2129" s="80"/>
      <c r="BL2129" s="80"/>
      <c r="BM2129" s="80"/>
      <c r="BN2129" s="80"/>
      <c r="BP2129" s="80"/>
    </row>
    <row r="2130" spans="2:68">
      <c r="B2130" s="141" t="s">
        <v>2684</v>
      </c>
      <c r="C2130" s="110"/>
      <c r="D2130" s="80"/>
      <c r="E2130" s="110"/>
      <c r="F2130" s="110"/>
      <c r="G2130" s="110"/>
      <c r="H2130" s="110"/>
      <c r="J2130" s="110"/>
      <c r="K2130" s="80"/>
      <c r="L2130" s="80"/>
      <c r="M2130" s="80"/>
      <c r="N2130" s="80"/>
      <c r="O2130" s="80"/>
      <c r="P2130" s="80"/>
      <c r="Q2130" s="80"/>
      <c r="R2130" s="80"/>
      <c r="T2130" s="80"/>
      <c r="U2130" s="80"/>
      <c r="V2130" s="80"/>
      <c r="W2130" s="80"/>
      <c r="X2130" s="80"/>
      <c r="Y2130" s="80"/>
      <c r="Z2130" s="80"/>
      <c r="AA2130" s="80"/>
      <c r="AB2130" s="80"/>
      <c r="AC2130" s="80"/>
      <c r="AD2130" s="80"/>
      <c r="AE2130" s="80"/>
      <c r="AF2130" s="80"/>
      <c r="AG2130" s="80"/>
      <c r="AH2130" s="80"/>
      <c r="AI2130" s="80"/>
      <c r="AJ2130" s="80"/>
      <c r="AK2130" s="80"/>
      <c r="AL2130" s="80"/>
      <c r="AM2130" s="80"/>
      <c r="AN2130" s="80"/>
      <c r="AO2130" s="80"/>
      <c r="AP2130" s="80"/>
      <c r="AQ2130" s="80"/>
      <c r="AR2130" s="80"/>
      <c r="AS2130" s="80"/>
      <c r="AT2130" s="80"/>
      <c r="AU2130" s="80"/>
      <c r="AV2130" s="80"/>
      <c r="AW2130" s="80"/>
      <c r="AX2130" s="80"/>
      <c r="AY2130" s="80"/>
      <c r="AZ2130" s="80"/>
      <c r="BA2130" s="80"/>
      <c r="BB2130" s="80"/>
      <c r="BC2130" s="80"/>
      <c r="BD2130" s="80"/>
      <c r="BH2130" s="80"/>
      <c r="BI2130" s="80"/>
      <c r="BJ2130" s="80"/>
      <c r="BK2130" s="80"/>
      <c r="BL2130" s="80"/>
      <c r="BM2130" s="80"/>
      <c r="BN2130" s="80"/>
      <c r="BP2130" s="80"/>
    </row>
    <row r="2131" spans="2:68">
      <c r="B2131" s="141" t="s">
        <v>2683</v>
      </c>
      <c r="C2131" s="110"/>
      <c r="D2131" s="80"/>
      <c r="E2131" s="110"/>
      <c r="F2131" s="110"/>
      <c r="G2131" s="110"/>
      <c r="H2131" s="110"/>
      <c r="J2131" s="110"/>
      <c r="K2131" s="80"/>
      <c r="L2131" s="80"/>
      <c r="M2131" s="80"/>
      <c r="N2131" s="80"/>
      <c r="O2131" s="80"/>
      <c r="P2131" s="80"/>
      <c r="Q2131" s="80"/>
      <c r="R2131" s="80"/>
      <c r="T2131" s="80"/>
      <c r="U2131" s="80"/>
      <c r="V2131" s="80"/>
      <c r="W2131" s="80"/>
      <c r="X2131" s="80"/>
      <c r="Y2131" s="80"/>
      <c r="Z2131" s="80"/>
      <c r="AA2131" s="80"/>
      <c r="AB2131" s="80"/>
      <c r="AC2131" s="80"/>
      <c r="AD2131" s="80"/>
      <c r="AE2131" s="80"/>
      <c r="AF2131" s="80"/>
      <c r="AG2131" s="80"/>
      <c r="AH2131" s="80"/>
      <c r="AI2131" s="80"/>
      <c r="AJ2131" s="80"/>
      <c r="AK2131" s="80"/>
      <c r="AL2131" s="80"/>
      <c r="AM2131" s="80"/>
      <c r="AN2131" s="80"/>
      <c r="AO2131" s="80"/>
      <c r="AP2131" s="80"/>
      <c r="AQ2131" s="80"/>
      <c r="AR2131" s="80"/>
      <c r="AS2131" s="80"/>
      <c r="AT2131" s="80"/>
      <c r="AU2131" s="80"/>
      <c r="AV2131" s="80"/>
      <c r="AW2131" s="80"/>
      <c r="AX2131" s="80"/>
      <c r="AY2131" s="80"/>
      <c r="AZ2131" s="80"/>
      <c r="BA2131" s="80"/>
      <c r="BB2131" s="80"/>
      <c r="BC2131" s="80"/>
      <c r="BD2131" s="80"/>
      <c r="BH2131" s="80"/>
      <c r="BI2131" s="80"/>
      <c r="BJ2131" s="80"/>
      <c r="BK2131" s="80"/>
      <c r="BL2131" s="80"/>
      <c r="BM2131" s="80"/>
      <c r="BN2131" s="80"/>
      <c r="BP2131" s="80"/>
    </row>
    <row r="2132" spans="2:68">
      <c r="B2132" s="141" t="s">
        <v>2746</v>
      </c>
      <c r="C2132" s="110"/>
      <c r="D2132" s="80"/>
      <c r="E2132" s="110"/>
      <c r="F2132" s="110"/>
      <c r="G2132" s="110"/>
      <c r="H2132" s="110"/>
      <c r="J2132" s="110"/>
      <c r="K2132" s="80"/>
      <c r="L2132" s="80"/>
      <c r="M2132" s="80"/>
      <c r="N2132" s="80"/>
      <c r="O2132" s="80"/>
      <c r="P2132" s="80"/>
      <c r="Q2132" s="80"/>
      <c r="R2132" s="80"/>
      <c r="T2132" s="80"/>
      <c r="U2132" s="80"/>
      <c r="V2132" s="80"/>
      <c r="W2132" s="80"/>
      <c r="X2132" s="80"/>
      <c r="Y2132" s="80"/>
      <c r="Z2132" s="80"/>
      <c r="AA2132" s="80"/>
      <c r="AB2132" s="80"/>
      <c r="AC2132" s="80"/>
      <c r="AD2132" s="80"/>
      <c r="AE2132" s="80"/>
      <c r="AF2132" s="80"/>
      <c r="AG2132" s="80"/>
      <c r="AH2132" s="80"/>
      <c r="AI2132" s="80"/>
      <c r="AJ2132" s="80"/>
      <c r="AK2132" s="80"/>
      <c r="AL2132" s="80"/>
      <c r="AM2132" s="80"/>
      <c r="AN2132" s="80"/>
      <c r="AO2132" s="80"/>
      <c r="AP2132" s="80"/>
      <c r="AQ2132" s="80"/>
      <c r="AR2132" s="80"/>
      <c r="AS2132" s="80"/>
      <c r="AT2132" s="80"/>
      <c r="AU2132" s="80"/>
      <c r="AV2132" s="80"/>
      <c r="AW2132" s="80"/>
      <c r="AX2132" s="80"/>
      <c r="AY2132" s="80"/>
      <c r="AZ2132" s="80"/>
      <c r="BA2132" s="80"/>
      <c r="BB2132" s="80"/>
      <c r="BC2132" s="80"/>
      <c r="BD2132" s="80"/>
      <c r="BH2132" s="80"/>
      <c r="BI2132" s="80"/>
      <c r="BJ2132" s="80"/>
      <c r="BK2132" s="80"/>
      <c r="BL2132" s="80"/>
      <c r="BM2132" s="80"/>
      <c r="BN2132" s="80"/>
      <c r="BP2132" s="80"/>
    </row>
    <row r="2133" spans="2:68">
      <c r="B2133" s="141" t="s">
        <v>2693</v>
      </c>
      <c r="C2133" s="110"/>
      <c r="D2133" s="80"/>
      <c r="E2133" s="110"/>
      <c r="F2133" s="110"/>
      <c r="G2133" s="110"/>
      <c r="H2133" s="110"/>
      <c r="J2133" s="110"/>
      <c r="K2133" s="80"/>
      <c r="L2133" s="80"/>
      <c r="M2133" s="80"/>
      <c r="N2133" s="80"/>
      <c r="O2133" s="80"/>
      <c r="P2133" s="80"/>
      <c r="Q2133" s="80"/>
      <c r="R2133" s="80"/>
      <c r="T2133" s="80"/>
      <c r="U2133" s="80"/>
      <c r="V2133" s="80"/>
      <c r="W2133" s="80"/>
      <c r="X2133" s="80"/>
      <c r="Y2133" s="80"/>
      <c r="Z2133" s="80"/>
      <c r="AA2133" s="80"/>
      <c r="AB2133" s="80"/>
      <c r="AC2133" s="80"/>
      <c r="AD2133" s="80"/>
      <c r="AE2133" s="80"/>
      <c r="AF2133" s="80"/>
      <c r="AG2133" s="80"/>
      <c r="AH2133" s="80"/>
      <c r="AI2133" s="80"/>
      <c r="AJ2133" s="80"/>
      <c r="AK2133" s="80"/>
      <c r="AL2133" s="80"/>
      <c r="AM2133" s="80"/>
      <c r="AN2133" s="80"/>
      <c r="AO2133" s="80"/>
      <c r="AP2133" s="80"/>
      <c r="AQ2133" s="80"/>
      <c r="AR2133" s="80"/>
      <c r="AS2133" s="80"/>
      <c r="AT2133" s="80"/>
      <c r="AU2133" s="80"/>
      <c r="AV2133" s="80"/>
      <c r="AW2133" s="80"/>
      <c r="AX2133" s="80"/>
      <c r="AY2133" s="80"/>
      <c r="AZ2133" s="80"/>
      <c r="BA2133" s="80"/>
      <c r="BB2133" s="80"/>
      <c r="BC2133" s="80"/>
      <c r="BD2133" s="80"/>
      <c r="BH2133" s="80"/>
      <c r="BI2133" s="80"/>
      <c r="BJ2133" s="80"/>
      <c r="BK2133" s="80"/>
      <c r="BL2133" s="80"/>
      <c r="BM2133" s="80"/>
      <c r="BN2133" s="80"/>
      <c r="BP2133" s="80"/>
    </row>
    <row r="2134" spans="2:68">
      <c r="B2134" s="141" t="s">
        <v>2679</v>
      </c>
      <c r="C2134" s="110"/>
      <c r="D2134" s="80"/>
      <c r="E2134" s="110"/>
      <c r="F2134" s="110"/>
      <c r="G2134" s="110"/>
      <c r="H2134" s="110"/>
      <c r="J2134" s="110"/>
      <c r="K2134" s="80"/>
      <c r="L2134" s="80"/>
      <c r="M2134" s="80"/>
      <c r="N2134" s="80"/>
      <c r="O2134" s="80"/>
      <c r="P2134" s="80"/>
      <c r="Q2134" s="80"/>
      <c r="R2134" s="80"/>
      <c r="T2134" s="80"/>
      <c r="U2134" s="80"/>
      <c r="V2134" s="80"/>
      <c r="W2134" s="80"/>
      <c r="X2134" s="80"/>
      <c r="Y2134" s="80"/>
      <c r="Z2134" s="80"/>
      <c r="AA2134" s="80"/>
      <c r="AB2134" s="80"/>
      <c r="AC2134" s="80"/>
      <c r="AD2134" s="80"/>
      <c r="AE2134" s="80"/>
      <c r="AF2134" s="80"/>
      <c r="AG2134" s="80"/>
      <c r="AH2134" s="80"/>
      <c r="AI2134" s="80"/>
      <c r="AJ2134" s="80"/>
      <c r="AK2134" s="80"/>
      <c r="AL2134" s="80"/>
      <c r="AM2134" s="80"/>
      <c r="AN2134" s="80"/>
      <c r="AO2134" s="80"/>
      <c r="AP2134" s="80"/>
      <c r="AQ2134" s="80"/>
      <c r="AR2134" s="80"/>
      <c r="AS2134" s="80"/>
      <c r="AT2134" s="80"/>
      <c r="AU2134" s="80"/>
      <c r="AV2134" s="80"/>
      <c r="AW2134" s="80"/>
      <c r="AX2134" s="80"/>
      <c r="AY2134" s="80"/>
      <c r="AZ2134" s="80"/>
      <c r="BA2134" s="80"/>
      <c r="BB2134" s="80"/>
      <c r="BC2134" s="80"/>
      <c r="BD2134" s="80"/>
      <c r="BH2134" s="80"/>
      <c r="BI2134" s="80"/>
      <c r="BJ2134" s="80"/>
      <c r="BK2134" s="80"/>
      <c r="BL2134" s="80"/>
      <c r="BM2134" s="80"/>
      <c r="BN2134" s="80"/>
      <c r="BP2134" s="80"/>
    </row>
    <row r="2135" spans="2:68">
      <c r="B2135" s="141" t="s">
        <v>2676</v>
      </c>
      <c r="C2135" s="110"/>
      <c r="D2135" s="80"/>
      <c r="E2135" s="110"/>
      <c r="F2135" s="110"/>
      <c r="G2135" s="110"/>
      <c r="H2135" s="110"/>
      <c r="J2135" s="110"/>
      <c r="K2135" s="80"/>
      <c r="L2135" s="80"/>
      <c r="M2135" s="80"/>
      <c r="N2135" s="80"/>
      <c r="O2135" s="80"/>
      <c r="P2135" s="80"/>
      <c r="Q2135" s="80"/>
      <c r="R2135" s="80"/>
      <c r="T2135" s="80"/>
      <c r="U2135" s="80"/>
      <c r="V2135" s="80"/>
      <c r="W2135" s="80"/>
      <c r="X2135" s="80"/>
      <c r="Y2135" s="80"/>
      <c r="Z2135" s="80"/>
      <c r="AA2135" s="80"/>
      <c r="AB2135" s="80"/>
      <c r="AC2135" s="80"/>
      <c r="AD2135" s="80"/>
      <c r="AE2135" s="80"/>
      <c r="AF2135" s="80"/>
      <c r="AG2135" s="80"/>
      <c r="AH2135" s="80"/>
      <c r="AI2135" s="80"/>
      <c r="AJ2135" s="80"/>
      <c r="AK2135" s="80"/>
      <c r="AL2135" s="80"/>
      <c r="AM2135" s="80"/>
      <c r="AN2135" s="80"/>
      <c r="AO2135" s="80"/>
      <c r="AP2135" s="80"/>
      <c r="AQ2135" s="80"/>
      <c r="AR2135" s="80"/>
      <c r="AS2135" s="80"/>
      <c r="AT2135" s="80"/>
      <c r="AU2135" s="80"/>
      <c r="AV2135" s="80"/>
      <c r="AW2135" s="80"/>
      <c r="AX2135" s="80"/>
      <c r="AY2135" s="80"/>
      <c r="AZ2135" s="80"/>
      <c r="BA2135" s="80"/>
      <c r="BB2135" s="80"/>
      <c r="BC2135" s="80"/>
      <c r="BD2135" s="80"/>
      <c r="BH2135" s="80"/>
      <c r="BI2135" s="80"/>
      <c r="BJ2135" s="80"/>
      <c r="BK2135" s="80"/>
      <c r="BL2135" s="80"/>
      <c r="BM2135" s="80"/>
      <c r="BN2135" s="80"/>
      <c r="BP2135" s="80"/>
    </row>
    <row r="2136" spans="2:68">
      <c r="B2136" s="141" t="s">
        <v>2694</v>
      </c>
      <c r="C2136" s="110"/>
      <c r="D2136" s="80"/>
      <c r="E2136" s="110"/>
      <c r="F2136" s="110"/>
      <c r="G2136" s="110"/>
      <c r="H2136" s="110"/>
      <c r="J2136" s="110"/>
      <c r="K2136" s="80"/>
      <c r="L2136" s="80"/>
      <c r="M2136" s="80"/>
      <c r="N2136" s="80"/>
      <c r="O2136" s="80"/>
      <c r="P2136" s="80"/>
      <c r="Q2136" s="80"/>
      <c r="R2136" s="80"/>
      <c r="T2136" s="80"/>
      <c r="U2136" s="80"/>
      <c r="V2136" s="80"/>
      <c r="W2136" s="80"/>
      <c r="X2136" s="80"/>
      <c r="Y2136" s="80"/>
      <c r="Z2136" s="80"/>
      <c r="AA2136" s="80"/>
      <c r="AB2136" s="80"/>
      <c r="AC2136" s="80"/>
      <c r="AD2136" s="80"/>
      <c r="AE2136" s="80"/>
      <c r="AF2136" s="80"/>
      <c r="AG2136" s="80"/>
      <c r="AH2136" s="80"/>
      <c r="AI2136" s="80"/>
      <c r="AJ2136" s="80"/>
      <c r="AK2136" s="80"/>
      <c r="AL2136" s="80"/>
      <c r="AM2136" s="80"/>
      <c r="AN2136" s="80"/>
      <c r="AO2136" s="80"/>
      <c r="AP2136" s="80"/>
      <c r="AQ2136" s="80"/>
      <c r="AR2136" s="80"/>
      <c r="AS2136" s="80"/>
      <c r="AT2136" s="80"/>
      <c r="AU2136" s="80"/>
      <c r="AV2136" s="80"/>
      <c r="AW2136" s="80"/>
      <c r="AX2136" s="80"/>
      <c r="AY2136" s="80"/>
      <c r="AZ2136" s="80"/>
      <c r="BA2136" s="80"/>
      <c r="BB2136" s="80"/>
      <c r="BC2136" s="80"/>
      <c r="BD2136" s="80"/>
      <c r="BH2136" s="80"/>
      <c r="BI2136" s="80"/>
      <c r="BJ2136" s="80"/>
      <c r="BK2136" s="80"/>
      <c r="BL2136" s="80"/>
      <c r="BM2136" s="80"/>
      <c r="BN2136" s="80"/>
      <c r="BP2136" s="80"/>
    </row>
    <row r="2137" spans="2:68">
      <c r="C2137" s="110"/>
      <c r="D2137" s="80"/>
      <c r="E2137" s="110"/>
      <c r="F2137" s="110"/>
      <c r="G2137" s="110"/>
      <c r="H2137" s="110"/>
      <c r="J2137" s="110"/>
      <c r="K2137" s="80"/>
      <c r="L2137" s="80"/>
      <c r="M2137" s="80"/>
      <c r="N2137" s="80"/>
      <c r="O2137" s="80"/>
      <c r="P2137" s="80"/>
      <c r="Q2137" s="80"/>
      <c r="R2137" s="80"/>
      <c r="T2137" s="80"/>
      <c r="U2137" s="80"/>
      <c r="V2137" s="80"/>
      <c r="W2137" s="80"/>
      <c r="X2137" s="80"/>
      <c r="Y2137" s="80"/>
      <c r="Z2137" s="80"/>
      <c r="AA2137" s="80"/>
      <c r="AB2137" s="80"/>
      <c r="AC2137" s="80"/>
      <c r="AD2137" s="80"/>
      <c r="AE2137" s="80"/>
      <c r="AF2137" s="80"/>
      <c r="AG2137" s="80"/>
      <c r="AH2137" s="80"/>
      <c r="AI2137" s="80"/>
      <c r="AJ2137" s="80"/>
      <c r="AK2137" s="80"/>
      <c r="AL2137" s="80"/>
      <c r="AM2137" s="80"/>
      <c r="AN2137" s="80"/>
      <c r="AO2137" s="80"/>
      <c r="AP2137" s="80"/>
      <c r="AQ2137" s="80"/>
      <c r="AR2137" s="80"/>
      <c r="AS2137" s="80"/>
      <c r="AT2137" s="80"/>
      <c r="AU2137" s="80"/>
      <c r="AV2137" s="80"/>
      <c r="AW2137" s="80"/>
      <c r="AX2137" s="80"/>
      <c r="AY2137" s="80"/>
      <c r="AZ2137" s="80"/>
      <c r="BA2137" s="80"/>
      <c r="BB2137" s="80"/>
      <c r="BC2137" s="80"/>
      <c r="BD2137" s="80"/>
      <c r="BH2137" s="80"/>
      <c r="BI2137" s="80"/>
      <c r="BJ2137" s="80"/>
      <c r="BK2137" s="80"/>
      <c r="BL2137" s="80"/>
      <c r="BM2137" s="80"/>
      <c r="BN2137" s="80"/>
      <c r="BP2137" s="80"/>
    </row>
    <row r="2138" spans="2:68">
      <c r="B2138" s="141" t="s">
        <v>2680</v>
      </c>
      <c r="C2138" s="110"/>
      <c r="D2138" s="80"/>
      <c r="E2138" s="110"/>
      <c r="F2138" s="110"/>
      <c r="G2138" s="110"/>
      <c r="H2138" s="110"/>
      <c r="J2138" s="110"/>
      <c r="K2138" s="80"/>
      <c r="L2138" s="80"/>
      <c r="M2138" s="80"/>
      <c r="N2138" s="80"/>
      <c r="O2138" s="80"/>
      <c r="P2138" s="80"/>
      <c r="Q2138" s="80"/>
      <c r="R2138" s="80"/>
      <c r="T2138" s="80"/>
      <c r="U2138" s="80"/>
      <c r="V2138" s="80"/>
      <c r="W2138" s="80"/>
      <c r="X2138" s="80"/>
      <c r="Y2138" s="80"/>
      <c r="Z2138" s="80"/>
      <c r="AA2138" s="80"/>
      <c r="AB2138" s="80"/>
      <c r="AC2138" s="80"/>
      <c r="AD2138" s="80"/>
      <c r="AE2138" s="80"/>
      <c r="AF2138" s="80"/>
      <c r="AG2138" s="80"/>
      <c r="AH2138" s="80"/>
      <c r="AI2138" s="80"/>
      <c r="AJ2138" s="80"/>
      <c r="AK2138" s="80"/>
      <c r="AL2138" s="80"/>
      <c r="AM2138" s="80"/>
      <c r="AN2138" s="80"/>
      <c r="AO2138" s="80"/>
      <c r="AP2138" s="80"/>
      <c r="AQ2138" s="80"/>
      <c r="AR2138" s="80"/>
      <c r="AS2138" s="80"/>
      <c r="AT2138" s="80"/>
      <c r="AU2138" s="80"/>
      <c r="AV2138" s="80"/>
      <c r="AW2138" s="80"/>
      <c r="AX2138" s="80"/>
      <c r="AY2138" s="80"/>
      <c r="AZ2138" s="80"/>
      <c r="BA2138" s="80"/>
      <c r="BB2138" s="80"/>
      <c r="BC2138" s="80"/>
      <c r="BD2138" s="80"/>
      <c r="BH2138" s="80"/>
      <c r="BI2138" s="80"/>
      <c r="BJ2138" s="80"/>
      <c r="BK2138" s="80"/>
      <c r="BL2138" s="80"/>
      <c r="BM2138" s="80"/>
      <c r="BN2138" s="80"/>
      <c r="BP2138" s="80"/>
    </row>
    <row r="2139" spans="2:68">
      <c r="B2139" s="141" t="s">
        <v>2687</v>
      </c>
      <c r="C2139" s="110"/>
      <c r="D2139" s="80"/>
      <c r="E2139" s="110"/>
      <c r="F2139" s="110"/>
      <c r="G2139" s="110"/>
      <c r="H2139" s="110"/>
      <c r="J2139" s="110"/>
      <c r="K2139" s="80"/>
      <c r="L2139" s="80"/>
      <c r="M2139" s="80"/>
      <c r="N2139" s="80"/>
      <c r="O2139" s="80"/>
      <c r="P2139" s="80"/>
      <c r="Q2139" s="80"/>
      <c r="R2139" s="80"/>
      <c r="T2139" s="80"/>
      <c r="U2139" s="80"/>
      <c r="V2139" s="80"/>
      <c r="W2139" s="80"/>
      <c r="X2139" s="80"/>
      <c r="Y2139" s="80"/>
      <c r="Z2139" s="80"/>
      <c r="AA2139" s="80"/>
      <c r="AB2139" s="80"/>
      <c r="AC2139" s="80"/>
      <c r="AD2139" s="80"/>
      <c r="AE2139" s="80"/>
      <c r="AF2139" s="80"/>
      <c r="AG2139" s="80"/>
      <c r="AH2139" s="80"/>
      <c r="AI2139" s="80"/>
      <c r="AJ2139" s="80"/>
      <c r="AK2139" s="80"/>
      <c r="AL2139" s="80"/>
      <c r="AM2139" s="80"/>
      <c r="AN2139" s="80"/>
      <c r="AO2139" s="80"/>
      <c r="AP2139" s="80"/>
      <c r="AQ2139" s="80"/>
      <c r="AR2139" s="80"/>
      <c r="AS2139" s="80"/>
      <c r="AT2139" s="80"/>
      <c r="AU2139" s="80"/>
      <c r="AV2139" s="80"/>
      <c r="AW2139" s="80"/>
      <c r="AX2139" s="80"/>
      <c r="AY2139" s="80"/>
      <c r="AZ2139" s="80"/>
      <c r="BA2139" s="80"/>
      <c r="BB2139" s="80"/>
      <c r="BC2139" s="80"/>
      <c r="BD2139" s="80"/>
      <c r="BH2139" s="80"/>
      <c r="BI2139" s="80"/>
      <c r="BJ2139" s="80"/>
      <c r="BK2139" s="80"/>
      <c r="BL2139" s="80"/>
      <c r="BM2139" s="80"/>
      <c r="BN2139" s="80"/>
      <c r="BP2139" s="80"/>
    </row>
    <row r="2140" spans="2:68" ht="27">
      <c r="B2140" s="141" t="s">
        <v>2686</v>
      </c>
      <c r="C2140" s="110"/>
      <c r="D2140" s="80"/>
      <c r="E2140" s="110"/>
      <c r="F2140" s="110"/>
      <c r="G2140" s="110"/>
      <c r="H2140" s="110"/>
      <c r="J2140" s="110"/>
      <c r="K2140" s="80"/>
      <c r="L2140" s="80"/>
      <c r="M2140" s="80"/>
      <c r="N2140" s="80"/>
      <c r="O2140" s="80"/>
      <c r="P2140" s="80"/>
      <c r="Q2140" s="80"/>
      <c r="R2140" s="80"/>
      <c r="T2140" s="80"/>
      <c r="U2140" s="80"/>
      <c r="V2140" s="80"/>
      <c r="W2140" s="80"/>
      <c r="X2140" s="80"/>
      <c r="Y2140" s="80"/>
      <c r="Z2140" s="80"/>
      <c r="AA2140" s="80"/>
      <c r="AB2140" s="80"/>
      <c r="AC2140" s="80"/>
      <c r="AD2140" s="80"/>
      <c r="AE2140" s="80"/>
      <c r="AF2140" s="80"/>
      <c r="AG2140" s="80"/>
      <c r="AH2140" s="80"/>
      <c r="AI2140" s="80"/>
      <c r="AJ2140" s="80"/>
      <c r="AK2140" s="80"/>
      <c r="AL2140" s="80"/>
      <c r="AM2140" s="80"/>
      <c r="AN2140" s="80"/>
      <c r="AO2140" s="80"/>
      <c r="AP2140" s="80"/>
      <c r="AQ2140" s="80"/>
      <c r="AR2140" s="80"/>
      <c r="AS2140" s="80"/>
      <c r="AT2140" s="80"/>
      <c r="AU2140" s="80"/>
      <c r="AV2140" s="80"/>
      <c r="AW2140" s="80"/>
      <c r="AX2140" s="80"/>
      <c r="AY2140" s="80"/>
      <c r="AZ2140" s="80"/>
      <c r="BA2140" s="80"/>
      <c r="BB2140" s="80"/>
      <c r="BC2140" s="80"/>
      <c r="BD2140" s="80"/>
      <c r="BH2140" s="80"/>
      <c r="BI2140" s="80"/>
      <c r="BJ2140" s="80"/>
      <c r="BK2140" s="80"/>
      <c r="BL2140" s="80"/>
      <c r="BM2140" s="80"/>
      <c r="BN2140" s="80"/>
      <c r="BP2140" s="80"/>
    </row>
    <row r="2141" spans="2:68">
      <c r="B2141" s="141" t="s">
        <v>2688</v>
      </c>
      <c r="C2141" s="110"/>
      <c r="D2141" s="80"/>
      <c r="E2141" s="110"/>
      <c r="F2141" s="110"/>
      <c r="G2141" s="110"/>
      <c r="H2141" s="110"/>
      <c r="J2141" s="110"/>
      <c r="K2141" s="80"/>
      <c r="L2141" s="80"/>
      <c r="M2141" s="80"/>
      <c r="N2141" s="80"/>
      <c r="O2141" s="80"/>
      <c r="P2141" s="80"/>
      <c r="Q2141" s="80"/>
      <c r="R2141" s="80"/>
      <c r="T2141" s="80"/>
      <c r="U2141" s="80"/>
      <c r="V2141" s="80"/>
      <c r="W2141" s="80"/>
      <c r="X2141" s="80"/>
      <c r="Y2141" s="80"/>
      <c r="Z2141" s="80"/>
      <c r="AA2141" s="80"/>
      <c r="AB2141" s="80"/>
      <c r="AC2141" s="80"/>
      <c r="AD2141" s="80"/>
      <c r="AE2141" s="80"/>
      <c r="AF2141" s="80"/>
      <c r="AG2141" s="80"/>
      <c r="AH2141" s="80"/>
      <c r="AI2141" s="80"/>
      <c r="AJ2141" s="80"/>
      <c r="AK2141" s="80"/>
      <c r="AL2141" s="80"/>
      <c r="AM2141" s="80"/>
      <c r="AN2141" s="80"/>
      <c r="AO2141" s="80"/>
      <c r="AP2141" s="80"/>
      <c r="AQ2141" s="80"/>
      <c r="AR2141" s="80"/>
      <c r="AS2141" s="80"/>
      <c r="AT2141" s="80"/>
      <c r="AU2141" s="80"/>
      <c r="AV2141" s="80"/>
      <c r="AW2141" s="80"/>
      <c r="AX2141" s="80"/>
      <c r="AY2141" s="80"/>
      <c r="AZ2141" s="80"/>
      <c r="BA2141" s="80"/>
      <c r="BB2141" s="80"/>
      <c r="BC2141" s="80"/>
      <c r="BD2141" s="80"/>
      <c r="BH2141" s="80"/>
      <c r="BI2141" s="80"/>
      <c r="BJ2141" s="80"/>
      <c r="BK2141" s="80"/>
      <c r="BL2141" s="80"/>
      <c r="BM2141" s="80"/>
      <c r="BN2141" s="80"/>
      <c r="BP2141" s="80"/>
    </row>
    <row r="2142" spans="2:68">
      <c r="B2142" s="141" t="s">
        <v>2692</v>
      </c>
      <c r="C2142" s="110"/>
      <c r="D2142" s="80"/>
      <c r="E2142" s="110"/>
      <c r="F2142" s="110"/>
      <c r="G2142" s="110"/>
      <c r="H2142" s="110"/>
      <c r="J2142" s="110"/>
      <c r="K2142" s="80"/>
      <c r="L2142" s="80"/>
      <c r="M2142" s="80"/>
      <c r="N2142" s="80"/>
      <c r="O2142" s="80"/>
      <c r="P2142" s="80"/>
      <c r="Q2142" s="80"/>
      <c r="R2142" s="80"/>
      <c r="T2142" s="80"/>
      <c r="U2142" s="80"/>
      <c r="V2142" s="80"/>
      <c r="W2142" s="80"/>
      <c r="X2142" s="80"/>
      <c r="Y2142" s="80"/>
      <c r="Z2142" s="80"/>
      <c r="AA2142" s="80"/>
      <c r="AB2142" s="80"/>
      <c r="AC2142" s="80"/>
      <c r="AD2142" s="80"/>
      <c r="AE2142" s="80"/>
      <c r="AF2142" s="80"/>
      <c r="AG2142" s="80"/>
      <c r="AH2142" s="80"/>
      <c r="AI2142" s="80"/>
      <c r="AJ2142" s="80"/>
      <c r="AK2142" s="80"/>
      <c r="AL2142" s="80"/>
      <c r="AM2142" s="80"/>
      <c r="AN2142" s="80"/>
      <c r="AO2142" s="80"/>
      <c r="AP2142" s="80"/>
      <c r="AQ2142" s="80"/>
      <c r="AR2142" s="80"/>
      <c r="AS2142" s="80"/>
      <c r="AT2142" s="80"/>
      <c r="AU2142" s="80"/>
      <c r="AV2142" s="80"/>
      <c r="AW2142" s="80"/>
      <c r="AX2142" s="80"/>
      <c r="AY2142" s="80"/>
      <c r="AZ2142" s="80"/>
      <c r="BA2142" s="80"/>
      <c r="BB2142" s="80"/>
      <c r="BC2142" s="80"/>
      <c r="BD2142" s="80"/>
      <c r="BH2142" s="80"/>
      <c r="BI2142" s="80"/>
      <c r="BJ2142" s="80"/>
      <c r="BK2142" s="80"/>
      <c r="BL2142" s="80"/>
      <c r="BM2142" s="80"/>
      <c r="BN2142" s="80"/>
      <c r="BP2142" s="80"/>
    </row>
    <row r="2143" spans="2:68">
      <c r="B2143" s="141" t="s">
        <v>2689</v>
      </c>
      <c r="C2143" s="110"/>
      <c r="D2143" s="80"/>
      <c r="E2143" s="110"/>
      <c r="F2143" s="110"/>
      <c r="G2143" s="110"/>
      <c r="H2143" s="110"/>
      <c r="J2143" s="110"/>
      <c r="K2143" s="80"/>
      <c r="L2143" s="80"/>
      <c r="M2143" s="80"/>
      <c r="N2143" s="80"/>
      <c r="O2143" s="80"/>
      <c r="P2143" s="80"/>
      <c r="Q2143" s="80"/>
      <c r="R2143" s="80"/>
      <c r="T2143" s="80"/>
      <c r="U2143" s="80"/>
      <c r="V2143" s="80"/>
      <c r="W2143" s="80"/>
      <c r="X2143" s="80"/>
      <c r="Y2143" s="80"/>
      <c r="Z2143" s="80"/>
      <c r="AA2143" s="80"/>
      <c r="AB2143" s="80"/>
      <c r="AC2143" s="80"/>
      <c r="AD2143" s="80"/>
      <c r="AE2143" s="80"/>
      <c r="AF2143" s="80"/>
      <c r="AG2143" s="80"/>
      <c r="AH2143" s="80"/>
      <c r="AI2143" s="80"/>
      <c r="AJ2143" s="80"/>
      <c r="AK2143" s="80"/>
      <c r="AL2143" s="80"/>
      <c r="AM2143" s="80"/>
      <c r="AN2143" s="80"/>
      <c r="AO2143" s="80"/>
      <c r="AP2143" s="80"/>
      <c r="AQ2143" s="80"/>
      <c r="AR2143" s="80"/>
      <c r="AS2143" s="80"/>
      <c r="AT2143" s="80"/>
      <c r="AU2143" s="80"/>
      <c r="AV2143" s="80"/>
      <c r="AW2143" s="80"/>
      <c r="AX2143" s="80"/>
      <c r="AY2143" s="80"/>
      <c r="AZ2143" s="80"/>
      <c r="BA2143" s="80"/>
      <c r="BB2143" s="80"/>
      <c r="BC2143" s="80"/>
      <c r="BD2143" s="80"/>
      <c r="BH2143" s="80"/>
      <c r="BI2143" s="80"/>
      <c r="BJ2143" s="80"/>
      <c r="BK2143" s="80"/>
      <c r="BL2143" s="80"/>
      <c r="BM2143" s="80"/>
      <c r="BN2143" s="80"/>
      <c r="BP2143" s="80"/>
    </row>
    <row r="2144" spans="2:68" ht="40.5">
      <c r="B2144" s="141" t="s">
        <v>2747</v>
      </c>
      <c r="C2144" s="110"/>
      <c r="D2144" s="80"/>
      <c r="E2144" s="110"/>
      <c r="F2144" s="110"/>
      <c r="G2144" s="110"/>
      <c r="H2144" s="110"/>
      <c r="J2144" s="110"/>
      <c r="K2144" s="80"/>
      <c r="L2144" s="80"/>
      <c r="M2144" s="80"/>
      <c r="N2144" s="80"/>
      <c r="O2144" s="80"/>
      <c r="P2144" s="80"/>
      <c r="Q2144" s="80"/>
      <c r="R2144" s="80"/>
      <c r="T2144" s="80"/>
      <c r="U2144" s="80"/>
      <c r="V2144" s="80"/>
      <c r="W2144" s="80"/>
      <c r="X2144" s="80"/>
      <c r="Y2144" s="80"/>
      <c r="Z2144" s="80"/>
      <c r="AA2144" s="80"/>
      <c r="AB2144" s="80"/>
      <c r="AC2144" s="80"/>
      <c r="AD2144" s="80"/>
      <c r="AE2144" s="80"/>
      <c r="AF2144" s="80"/>
      <c r="AG2144" s="80"/>
      <c r="AH2144" s="80"/>
      <c r="AI2144" s="80"/>
      <c r="AJ2144" s="80"/>
      <c r="AK2144" s="80"/>
      <c r="AL2144" s="80"/>
      <c r="AM2144" s="80"/>
      <c r="AN2144" s="80"/>
      <c r="AO2144" s="80"/>
      <c r="AP2144" s="80"/>
      <c r="AQ2144" s="80"/>
      <c r="AR2144" s="80"/>
      <c r="AS2144" s="80"/>
      <c r="AT2144" s="80"/>
      <c r="AU2144" s="80"/>
      <c r="AV2144" s="80"/>
      <c r="AW2144" s="80"/>
      <c r="AX2144" s="80"/>
      <c r="AY2144" s="80"/>
      <c r="AZ2144" s="80"/>
      <c r="BA2144" s="80"/>
      <c r="BB2144" s="80"/>
      <c r="BC2144" s="80"/>
      <c r="BD2144" s="80"/>
      <c r="BH2144" s="80"/>
      <c r="BI2144" s="80"/>
      <c r="BJ2144" s="80"/>
      <c r="BK2144" s="80"/>
      <c r="BL2144" s="80"/>
      <c r="BM2144" s="80"/>
      <c r="BN2144" s="80"/>
      <c r="BP2144" s="80"/>
    </row>
    <row r="2145" spans="3:68">
      <c r="C2145" s="80"/>
      <c r="D2145" s="80"/>
      <c r="E2145" s="80"/>
      <c r="F2145" s="80"/>
      <c r="G2145" s="80"/>
      <c r="H2145" s="80"/>
      <c r="J2145" s="80"/>
      <c r="K2145" s="80"/>
      <c r="L2145" s="80"/>
      <c r="M2145" s="80"/>
      <c r="N2145" s="80"/>
      <c r="O2145" s="80"/>
      <c r="P2145" s="80"/>
      <c r="Q2145" s="80"/>
      <c r="R2145" s="80"/>
      <c r="T2145" s="80"/>
      <c r="U2145" s="80"/>
      <c r="V2145" s="80"/>
      <c r="W2145" s="80"/>
      <c r="X2145" s="80"/>
      <c r="Y2145" s="80"/>
      <c r="Z2145" s="80"/>
      <c r="AA2145" s="80"/>
      <c r="AB2145" s="80"/>
      <c r="AC2145" s="80"/>
      <c r="AD2145" s="80"/>
      <c r="AE2145" s="80"/>
      <c r="AF2145" s="80"/>
      <c r="AG2145" s="80"/>
      <c r="AH2145" s="80"/>
      <c r="AI2145" s="80"/>
      <c r="AJ2145" s="80"/>
      <c r="AK2145" s="80"/>
      <c r="AL2145" s="80"/>
      <c r="AM2145" s="80"/>
      <c r="AN2145" s="80"/>
      <c r="AO2145" s="80"/>
      <c r="AP2145" s="80"/>
      <c r="AQ2145" s="80"/>
      <c r="AR2145" s="80"/>
      <c r="AS2145" s="80"/>
      <c r="AT2145" s="80"/>
      <c r="AU2145" s="80"/>
      <c r="AV2145" s="80"/>
      <c r="AW2145" s="80"/>
      <c r="AX2145" s="80"/>
      <c r="AY2145" s="80"/>
      <c r="AZ2145" s="80"/>
      <c r="BA2145" s="80"/>
      <c r="BB2145" s="80"/>
      <c r="BC2145" s="80"/>
      <c r="BD2145" s="80"/>
      <c r="BH2145" s="80"/>
      <c r="BI2145" s="80"/>
      <c r="BJ2145" s="80"/>
      <c r="BK2145" s="80"/>
      <c r="BL2145" s="80"/>
      <c r="BM2145" s="80"/>
      <c r="BN2145" s="80"/>
      <c r="BP2145" s="80"/>
    </row>
    <row r="2146" spans="3:68">
      <c r="C2146" s="80"/>
      <c r="D2146" s="80"/>
      <c r="E2146" s="80"/>
      <c r="F2146" s="80"/>
      <c r="G2146" s="80"/>
      <c r="H2146" s="80"/>
      <c r="J2146" s="80"/>
      <c r="K2146" s="80"/>
      <c r="L2146" s="80"/>
      <c r="M2146" s="80"/>
      <c r="N2146" s="80"/>
      <c r="O2146" s="80"/>
      <c r="P2146" s="80"/>
      <c r="Q2146" s="80"/>
      <c r="R2146" s="80"/>
      <c r="T2146" s="80"/>
      <c r="U2146" s="80"/>
      <c r="V2146" s="80"/>
      <c r="W2146" s="80"/>
      <c r="X2146" s="80"/>
      <c r="Y2146" s="80"/>
      <c r="Z2146" s="80"/>
      <c r="AA2146" s="80"/>
      <c r="AB2146" s="80"/>
      <c r="AC2146" s="80"/>
      <c r="AD2146" s="80"/>
      <c r="AE2146" s="80"/>
      <c r="AF2146" s="80"/>
      <c r="AG2146" s="80"/>
      <c r="AH2146" s="80"/>
      <c r="AI2146" s="80"/>
      <c r="AJ2146" s="80"/>
      <c r="AK2146" s="80"/>
      <c r="AL2146" s="80"/>
      <c r="AM2146" s="80"/>
      <c r="AN2146" s="80"/>
      <c r="AO2146" s="80"/>
      <c r="AP2146" s="80"/>
      <c r="AQ2146" s="80"/>
      <c r="AR2146" s="80"/>
      <c r="AS2146" s="80"/>
      <c r="AT2146" s="80"/>
      <c r="AU2146" s="80"/>
      <c r="AV2146" s="80"/>
      <c r="AW2146" s="80"/>
      <c r="AX2146" s="80"/>
      <c r="AY2146" s="80"/>
      <c r="AZ2146" s="80"/>
      <c r="BA2146" s="80"/>
      <c r="BB2146" s="80"/>
      <c r="BC2146" s="80"/>
      <c r="BD2146" s="80"/>
      <c r="BH2146" s="80"/>
      <c r="BI2146" s="80"/>
      <c r="BJ2146" s="80"/>
      <c r="BK2146" s="80"/>
      <c r="BL2146" s="80"/>
      <c r="BM2146" s="80"/>
      <c r="BN2146" s="80"/>
      <c r="BP2146" s="80"/>
    </row>
    <row r="2147" spans="3:68">
      <c r="C2147" s="80"/>
      <c r="D2147" s="80"/>
      <c r="E2147" s="80"/>
      <c r="F2147" s="80"/>
      <c r="G2147" s="80"/>
      <c r="H2147" s="80"/>
      <c r="J2147" s="80"/>
      <c r="K2147" s="80"/>
      <c r="L2147" s="80"/>
      <c r="M2147" s="80"/>
      <c r="N2147" s="80"/>
      <c r="O2147" s="80"/>
      <c r="P2147" s="80"/>
      <c r="Q2147" s="80"/>
      <c r="R2147" s="80"/>
      <c r="T2147" s="80"/>
      <c r="U2147" s="80"/>
      <c r="V2147" s="80"/>
      <c r="W2147" s="80"/>
      <c r="X2147" s="80"/>
      <c r="Y2147" s="80"/>
      <c r="Z2147" s="80"/>
      <c r="AA2147" s="80"/>
      <c r="AB2147" s="80"/>
      <c r="AC2147" s="80"/>
      <c r="AD2147" s="80"/>
      <c r="AE2147" s="80"/>
      <c r="AF2147" s="80"/>
      <c r="AG2147" s="80"/>
      <c r="AH2147" s="80"/>
      <c r="AI2147" s="80"/>
      <c r="AJ2147" s="80"/>
      <c r="AK2147" s="80"/>
      <c r="AL2147" s="80"/>
      <c r="AM2147" s="80"/>
      <c r="AN2147" s="80"/>
      <c r="AO2147" s="80"/>
      <c r="AP2147" s="80"/>
      <c r="AQ2147" s="80"/>
      <c r="AR2147" s="80"/>
      <c r="AS2147" s="80"/>
      <c r="AT2147" s="80"/>
      <c r="AU2147" s="80"/>
      <c r="AV2147" s="80"/>
      <c r="AW2147" s="80"/>
      <c r="AX2147" s="80"/>
      <c r="AY2147" s="80"/>
      <c r="AZ2147" s="80"/>
      <c r="BA2147" s="80"/>
      <c r="BB2147" s="80"/>
      <c r="BC2147" s="80"/>
      <c r="BD2147" s="80"/>
      <c r="BH2147" s="80"/>
      <c r="BI2147" s="80"/>
      <c r="BJ2147" s="80"/>
      <c r="BK2147" s="80"/>
      <c r="BL2147" s="80"/>
      <c r="BM2147" s="80"/>
      <c r="BN2147" s="80"/>
      <c r="BP2147" s="80"/>
    </row>
    <row r="2148" spans="3:68">
      <c r="C2148" s="80"/>
      <c r="D2148" s="80"/>
      <c r="E2148" s="80"/>
      <c r="F2148" s="80"/>
      <c r="G2148" s="80"/>
      <c r="H2148" s="80"/>
      <c r="J2148" s="80"/>
      <c r="K2148" s="80"/>
      <c r="L2148" s="80"/>
      <c r="M2148" s="80"/>
      <c r="N2148" s="80"/>
      <c r="O2148" s="80"/>
      <c r="P2148" s="80"/>
      <c r="Q2148" s="80"/>
      <c r="R2148" s="80"/>
      <c r="T2148" s="80"/>
      <c r="U2148" s="80"/>
      <c r="V2148" s="80"/>
      <c r="W2148" s="80"/>
      <c r="X2148" s="80"/>
      <c r="Y2148" s="80"/>
      <c r="Z2148" s="80"/>
      <c r="AA2148" s="80"/>
      <c r="AB2148" s="80"/>
      <c r="AC2148" s="80"/>
      <c r="AD2148" s="80"/>
      <c r="AE2148" s="80"/>
      <c r="AF2148" s="80"/>
      <c r="AG2148" s="80"/>
      <c r="AH2148" s="80"/>
      <c r="AI2148" s="80"/>
      <c r="AJ2148" s="80"/>
      <c r="AK2148" s="80"/>
      <c r="AL2148" s="80"/>
      <c r="AM2148" s="80"/>
      <c r="AN2148" s="80"/>
      <c r="AO2148" s="80"/>
      <c r="AP2148" s="80"/>
      <c r="AQ2148" s="80"/>
      <c r="AR2148" s="80"/>
      <c r="AS2148" s="80"/>
      <c r="AT2148" s="80"/>
      <c r="AU2148" s="80"/>
      <c r="AV2148" s="80"/>
      <c r="AW2148" s="80"/>
      <c r="AX2148" s="80"/>
      <c r="AY2148" s="80"/>
      <c r="AZ2148" s="80"/>
      <c r="BA2148" s="80"/>
      <c r="BB2148" s="80"/>
      <c r="BC2148" s="80"/>
      <c r="BD2148" s="80"/>
      <c r="BH2148" s="80"/>
      <c r="BI2148" s="80"/>
      <c r="BJ2148" s="80"/>
      <c r="BK2148" s="80"/>
      <c r="BL2148" s="80"/>
      <c r="BM2148" s="80"/>
      <c r="BN2148" s="80"/>
      <c r="BP2148" s="80"/>
    </row>
    <row r="2149" spans="3:68">
      <c r="C2149" s="80"/>
      <c r="D2149" s="80"/>
      <c r="E2149" s="80"/>
      <c r="F2149" s="80"/>
      <c r="G2149" s="80"/>
      <c r="H2149" s="80"/>
      <c r="J2149" s="80"/>
      <c r="K2149" s="80"/>
      <c r="L2149" s="80"/>
      <c r="M2149" s="80"/>
      <c r="N2149" s="80"/>
      <c r="O2149" s="80"/>
      <c r="P2149" s="80"/>
      <c r="Q2149" s="80"/>
      <c r="R2149" s="80"/>
      <c r="T2149" s="80"/>
      <c r="U2149" s="80"/>
      <c r="V2149" s="80"/>
      <c r="W2149" s="80"/>
      <c r="X2149" s="80"/>
      <c r="Y2149" s="80"/>
      <c r="Z2149" s="80"/>
      <c r="AA2149" s="80"/>
      <c r="AB2149" s="80"/>
      <c r="AC2149" s="80"/>
      <c r="AD2149" s="80"/>
      <c r="AE2149" s="80"/>
      <c r="AF2149" s="80"/>
      <c r="AG2149" s="80"/>
      <c r="AH2149" s="80"/>
      <c r="AI2149" s="80"/>
      <c r="AJ2149" s="80"/>
      <c r="AK2149" s="80"/>
      <c r="AL2149" s="80"/>
      <c r="AM2149" s="80"/>
      <c r="AN2149" s="80"/>
      <c r="AO2149" s="80"/>
      <c r="AP2149" s="80"/>
      <c r="AQ2149" s="80"/>
      <c r="AR2149" s="80"/>
      <c r="AS2149" s="80"/>
      <c r="AT2149" s="80"/>
      <c r="AU2149" s="80"/>
      <c r="AV2149" s="80"/>
      <c r="AW2149" s="80"/>
      <c r="AX2149" s="80"/>
      <c r="AY2149" s="80"/>
      <c r="AZ2149" s="80"/>
      <c r="BA2149" s="80"/>
      <c r="BB2149" s="80"/>
      <c r="BC2149" s="80"/>
      <c r="BD2149" s="80"/>
      <c r="BH2149" s="80"/>
      <c r="BI2149" s="80"/>
      <c r="BJ2149" s="80"/>
      <c r="BK2149" s="80"/>
      <c r="BL2149" s="80"/>
      <c r="BM2149" s="80"/>
      <c r="BN2149" s="80"/>
      <c r="BP2149" s="80"/>
    </row>
    <row r="2150" spans="3:68">
      <c r="C2150" s="80"/>
      <c r="D2150" s="80"/>
      <c r="E2150" s="80"/>
      <c r="F2150" s="80"/>
      <c r="G2150" s="80"/>
      <c r="H2150" s="80"/>
      <c r="J2150" s="80"/>
      <c r="K2150" s="80"/>
      <c r="L2150" s="80"/>
      <c r="M2150" s="80"/>
      <c r="N2150" s="80"/>
      <c r="O2150" s="80"/>
      <c r="P2150" s="80"/>
      <c r="Q2150" s="80"/>
      <c r="R2150" s="80"/>
      <c r="T2150" s="80"/>
      <c r="U2150" s="80"/>
      <c r="V2150" s="80"/>
      <c r="W2150" s="80"/>
      <c r="X2150" s="80"/>
      <c r="Y2150" s="80"/>
      <c r="Z2150" s="80"/>
      <c r="AA2150" s="80"/>
      <c r="AB2150" s="80"/>
      <c r="AC2150" s="80"/>
      <c r="AD2150" s="80"/>
      <c r="AE2150" s="80"/>
      <c r="AF2150" s="80"/>
      <c r="AG2150" s="80"/>
      <c r="AH2150" s="80"/>
      <c r="AI2150" s="80"/>
      <c r="AJ2150" s="80"/>
      <c r="AK2150" s="80"/>
      <c r="AL2150" s="80"/>
      <c r="AM2150" s="80"/>
      <c r="AN2150" s="80"/>
      <c r="AO2150" s="80"/>
      <c r="AP2150" s="80"/>
      <c r="AQ2150" s="80"/>
      <c r="AR2150" s="80"/>
      <c r="AS2150" s="80"/>
      <c r="AT2150" s="80"/>
      <c r="AU2150" s="80"/>
      <c r="AV2150" s="80"/>
      <c r="AW2150" s="80"/>
      <c r="AX2150" s="80"/>
      <c r="AY2150" s="80"/>
      <c r="AZ2150" s="80"/>
      <c r="BA2150" s="80"/>
      <c r="BB2150" s="80"/>
      <c r="BC2150" s="80"/>
      <c r="BD2150" s="80"/>
      <c r="BH2150" s="80"/>
      <c r="BI2150" s="80"/>
      <c r="BJ2150" s="80"/>
      <c r="BK2150" s="80"/>
      <c r="BL2150" s="80"/>
      <c r="BM2150" s="80"/>
      <c r="BN2150" s="80"/>
      <c r="BP2150" s="80"/>
    </row>
    <row r="2151" spans="3:68">
      <c r="C2151" s="80"/>
      <c r="D2151" s="80"/>
      <c r="E2151" s="80"/>
      <c r="F2151" s="80"/>
      <c r="G2151" s="80"/>
      <c r="H2151" s="80"/>
      <c r="J2151" s="80"/>
      <c r="K2151" s="80"/>
      <c r="L2151" s="80"/>
      <c r="M2151" s="80"/>
      <c r="N2151" s="80"/>
      <c r="O2151" s="80"/>
      <c r="P2151" s="80"/>
      <c r="Q2151" s="80"/>
      <c r="R2151" s="80"/>
      <c r="T2151" s="80"/>
      <c r="U2151" s="80"/>
      <c r="V2151" s="80"/>
      <c r="W2151" s="80"/>
      <c r="X2151" s="80"/>
      <c r="Y2151" s="80"/>
      <c r="Z2151" s="80"/>
      <c r="AA2151" s="80"/>
      <c r="AB2151" s="80"/>
      <c r="AC2151" s="80"/>
      <c r="AD2151" s="80"/>
      <c r="AE2151" s="80"/>
      <c r="AF2151" s="80"/>
      <c r="AG2151" s="80"/>
      <c r="AH2151" s="80"/>
      <c r="AI2151" s="80"/>
      <c r="AJ2151" s="80"/>
      <c r="AK2151" s="80"/>
      <c r="AL2151" s="80"/>
      <c r="AM2151" s="80"/>
      <c r="AN2151" s="80"/>
      <c r="AO2151" s="80"/>
      <c r="AP2151" s="80"/>
      <c r="AQ2151" s="80"/>
      <c r="AR2151" s="80"/>
      <c r="AS2151" s="80"/>
      <c r="AT2151" s="80"/>
      <c r="AU2151" s="80"/>
      <c r="AV2151" s="80"/>
      <c r="AW2151" s="80"/>
      <c r="AX2151" s="80"/>
      <c r="AY2151" s="80"/>
      <c r="AZ2151" s="80"/>
      <c r="BA2151" s="80"/>
      <c r="BB2151" s="80"/>
      <c r="BC2151" s="80"/>
      <c r="BD2151" s="80"/>
      <c r="BH2151" s="80"/>
      <c r="BI2151" s="80"/>
      <c r="BJ2151" s="80"/>
      <c r="BK2151" s="80"/>
      <c r="BL2151" s="80"/>
      <c r="BM2151" s="80"/>
      <c r="BN2151" s="80"/>
      <c r="BP2151" s="80"/>
    </row>
    <row r="2152" spans="3:68">
      <c r="C2152" s="80"/>
      <c r="D2152" s="80"/>
      <c r="E2152" s="80"/>
      <c r="F2152" s="80"/>
      <c r="G2152" s="80"/>
      <c r="H2152" s="80"/>
      <c r="J2152" s="80"/>
      <c r="K2152" s="80"/>
      <c r="L2152" s="80"/>
      <c r="M2152" s="80"/>
      <c r="N2152" s="80"/>
      <c r="O2152" s="80"/>
      <c r="P2152" s="80"/>
      <c r="Q2152" s="80"/>
      <c r="R2152" s="80"/>
      <c r="T2152" s="80"/>
      <c r="U2152" s="80"/>
      <c r="V2152" s="80"/>
      <c r="W2152" s="80"/>
      <c r="X2152" s="80"/>
      <c r="Y2152" s="80"/>
      <c r="Z2152" s="80"/>
      <c r="AA2152" s="80"/>
      <c r="AB2152" s="80"/>
      <c r="AC2152" s="80"/>
      <c r="AD2152" s="80"/>
      <c r="AE2152" s="80"/>
      <c r="AF2152" s="80"/>
      <c r="AG2152" s="80"/>
      <c r="AH2152" s="80"/>
      <c r="AI2152" s="80"/>
      <c r="AJ2152" s="80"/>
      <c r="AK2152" s="80"/>
      <c r="AL2152" s="80"/>
      <c r="AM2152" s="80"/>
      <c r="AN2152" s="80"/>
      <c r="AO2152" s="80"/>
      <c r="AP2152" s="80"/>
      <c r="AQ2152" s="80"/>
      <c r="AR2152" s="80"/>
      <c r="AS2152" s="80"/>
      <c r="AT2152" s="80"/>
      <c r="AU2152" s="80"/>
      <c r="AV2152" s="80"/>
      <c r="AW2152" s="80"/>
      <c r="AX2152" s="80"/>
      <c r="AY2152" s="80"/>
      <c r="AZ2152" s="80"/>
      <c r="BA2152" s="80"/>
      <c r="BB2152" s="80"/>
      <c r="BC2152" s="80"/>
      <c r="BD2152" s="80"/>
      <c r="BH2152" s="80"/>
      <c r="BI2152" s="80"/>
      <c r="BJ2152" s="80"/>
      <c r="BK2152" s="80"/>
      <c r="BL2152" s="80"/>
      <c r="BM2152" s="80"/>
      <c r="BN2152" s="80"/>
      <c r="BP2152" s="80"/>
    </row>
    <row r="2153" spans="3:68">
      <c r="C2153" s="80"/>
      <c r="D2153" s="80"/>
      <c r="E2153" s="80"/>
      <c r="F2153" s="80"/>
      <c r="G2153" s="80"/>
      <c r="H2153" s="80"/>
      <c r="J2153" s="80"/>
      <c r="K2153" s="80"/>
      <c r="L2153" s="80"/>
      <c r="M2153" s="80"/>
      <c r="N2153" s="80"/>
      <c r="O2153" s="80"/>
      <c r="P2153" s="80"/>
      <c r="Q2153" s="80"/>
      <c r="R2153" s="80"/>
      <c r="T2153" s="80"/>
      <c r="U2153" s="80"/>
      <c r="V2153" s="80"/>
      <c r="W2153" s="80"/>
      <c r="X2153" s="80"/>
      <c r="Y2153" s="80"/>
      <c r="Z2153" s="80"/>
      <c r="AA2153" s="80"/>
      <c r="AB2153" s="80"/>
      <c r="AC2153" s="80"/>
      <c r="AD2153" s="80"/>
      <c r="AE2153" s="80"/>
      <c r="AF2153" s="80"/>
      <c r="AG2153" s="80"/>
      <c r="AH2153" s="80"/>
      <c r="AI2153" s="80"/>
      <c r="AJ2153" s="80"/>
      <c r="AK2153" s="80"/>
      <c r="AL2153" s="80"/>
      <c r="AM2153" s="80"/>
      <c r="AN2153" s="80"/>
      <c r="AO2153" s="80"/>
      <c r="AP2153" s="80"/>
      <c r="AQ2153" s="80"/>
      <c r="AR2153" s="80"/>
      <c r="AS2153" s="80"/>
      <c r="AT2153" s="80"/>
      <c r="AU2153" s="80"/>
      <c r="AV2153" s="80"/>
      <c r="AW2153" s="80"/>
      <c r="AX2153" s="80"/>
      <c r="AY2153" s="80"/>
      <c r="AZ2153" s="80"/>
      <c r="BA2153" s="80"/>
      <c r="BB2153" s="80"/>
      <c r="BC2153" s="80"/>
      <c r="BD2153" s="80"/>
      <c r="BH2153" s="80"/>
      <c r="BI2153" s="80"/>
      <c r="BJ2153" s="80"/>
      <c r="BK2153" s="80"/>
      <c r="BL2153" s="80"/>
      <c r="BM2153" s="80"/>
      <c r="BN2153" s="80"/>
      <c r="BP2153" s="80"/>
    </row>
    <row r="2154" spans="3:68">
      <c r="C2154" s="80"/>
      <c r="D2154" s="80"/>
      <c r="E2154" s="80"/>
      <c r="F2154" s="80"/>
      <c r="G2154" s="80"/>
      <c r="H2154" s="80"/>
      <c r="J2154" s="80"/>
      <c r="K2154" s="80"/>
      <c r="L2154" s="80"/>
      <c r="M2154" s="80"/>
      <c r="N2154" s="80"/>
      <c r="O2154" s="80"/>
      <c r="P2154" s="80"/>
      <c r="Q2154" s="80"/>
      <c r="R2154" s="80"/>
      <c r="T2154" s="80"/>
      <c r="U2154" s="80"/>
      <c r="V2154" s="80"/>
      <c r="W2154" s="80"/>
      <c r="X2154" s="80"/>
      <c r="Y2154" s="80"/>
      <c r="Z2154" s="80"/>
      <c r="AA2154" s="80"/>
      <c r="AB2154" s="80"/>
      <c r="AC2154" s="80"/>
      <c r="AD2154" s="80"/>
      <c r="AE2154" s="80"/>
      <c r="AF2154" s="80"/>
      <c r="AG2154" s="80"/>
      <c r="AH2154" s="80"/>
      <c r="AI2154" s="80"/>
      <c r="AJ2154" s="80"/>
      <c r="AK2154" s="80"/>
      <c r="AL2154" s="80"/>
      <c r="AM2154" s="80"/>
      <c r="AN2154" s="80"/>
      <c r="AO2154" s="80"/>
      <c r="AP2154" s="80"/>
      <c r="AQ2154" s="80"/>
      <c r="AR2154" s="80"/>
      <c r="AS2154" s="80"/>
      <c r="AT2154" s="80"/>
      <c r="AU2154" s="80"/>
      <c r="AV2154" s="80"/>
      <c r="AW2154" s="80"/>
      <c r="AX2154" s="80"/>
      <c r="AY2154" s="80"/>
      <c r="AZ2154" s="80"/>
      <c r="BA2154" s="80"/>
      <c r="BB2154" s="80"/>
      <c r="BC2154" s="80"/>
      <c r="BD2154" s="80"/>
      <c r="BH2154" s="80"/>
      <c r="BI2154" s="80"/>
      <c r="BJ2154" s="80"/>
      <c r="BK2154" s="80"/>
      <c r="BL2154" s="80"/>
      <c r="BM2154" s="80"/>
      <c r="BN2154" s="80"/>
      <c r="BP2154" s="80"/>
    </row>
    <row r="2182" spans="1:69" ht="18.75">
      <c r="A2182" s="142" t="s">
        <v>2772</v>
      </c>
      <c r="B2182" s="142" t="s">
        <v>2772</v>
      </c>
      <c r="C2182" s="142" t="s">
        <v>2772</v>
      </c>
      <c r="D2182" s="115"/>
      <c r="E2182" s="115"/>
      <c r="F2182" s="116"/>
      <c r="G2182" s="116"/>
      <c r="H2182" s="116"/>
      <c r="I2182" s="116"/>
      <c r="K2182" s="115"/>
      <c r="L2182" s="115"/>
      <c r="M2182" s="115"/>
      <c r="N2182" s="115"/>
      <c r="O2182" s="115"/>
      <c r="P2182" s="58"/>
      <c r="Q2182" s="58"/>
      <c r="R2182" s="58"/>
      <c r="S2182" s="116"/>
      <c r="T2182" s="58" t="s">
        <v>2866</v>
      </c>
      <c r="U2182" s="58"/>
      <c r="V2182" s="58"/>
      <c r="W2182" s="58"/>
      <c r="X2182" s="58"/>
      <c r="Y2182" s="58"/>
      <c r="Z2182" s="58"/>
      <c r="AA2182" s="58">
        <f>COUNTA(AA2:AA2181)</f>
        <v>9</v>
      </c>
      <c r="AB2182" s="58">
        <f t="shared" ref="AB2182:AG2182" si="5">COUNTA(AB2:AB2181)</f>
        <v>2</v>
      </c>
      <c r="AC2182" s="58">
        <f t="shared" si="5"/>
        <v>2</v>
      </c>
      <c r="AD2182" s="58">
        <f t="shared" si="5"/>
        <v>50</v>
      </c>
      <c r="AE2182" s="58">
        <f t="shared" si="5"/>
        <v>24</v>
      </c>
      <c r="AF2182" s="58">
        <f t="shared" si="5"/>
        <v>45</v>
      </c>
      <c r="AG2182" s="58">
        <f t="shared" si="5"/>
        <v>37</v>
      </c>
      <c r="AH2182" s="58">
        <f>COUNTA(AH2:AH2181)</f>
        <v>21</v>
      </c>
      <c r="AI2182" s="58">
        <f>COUNTA(AI2:AI2181)</f>
        <v>528</v>
      </c>
      <c r="AJ2182" s="58">
        <f>COUNTA(AJ2:AJ2181)</f>
        <v>45</v>
      </c>
      <c r="AK2182" s="58">
        <f>COUNTA(AK2:AK2181)</f>
        <v>48</v>
      </c>
      <c r="AL2182" s="58">
        <f>COUNTA(AL2:AL2181)</f>
        <v>47</v>
      </c>
      <c r="AM2182" s="58">
        <f>COUNTA(AM2:AM2181)</f>
        <v>34</v>
      </c>
      <c r="AN2182" s="115"/>
      <c r="AO2182" s="115"/>
      <c r="AP2182" s="115"/>
      <c r="AQ2182" s="115"/>
      <c r="AR2182" s="115"/>
      <c r="AS2182" s="115"/>
      <c r="AT2182" s="115"/>
      <c r="AU2182" s="115"/>
      <c r="AV2182" s="115"/>
      <c r="AW2182" s="115"/>
      <c r="AX2182" s="115"/>
      <c r="AY2182" s="115"/>
      <c r="AZ2182" s="115"/>
      <c r="BA2182" s="58"/>
      <c r="BB2182" s="115"/>
      <c r="BC2182" s="58"/>
      <c r="BD2182" s="115"/>
      <c r="BE2182" s="116"/>
      <c r="BF2182" s="116"/>
      <c r="BG2182" s="116"/>
      <c r="BH2182" s="58"/>
      <c r="BI2182" s="58"/>
      <c r="BJ2182" s="58"/>
      <c r="BK2182" s="58"/>
      <c r="BL2182" s="58"/>
      <c r="BM2182" s="58"/>
      <c r="BN2182" s="58"/>
      <c r="BO2182" s="116"/>
      <c r="BP2182" s="58"/>
      <c r="BQ2182" s="162">
        <v>44596.634675925925</v>
      </c>
    </row>
    <row r="2183" spans="1:69" s="139" customFormat="1">
      <c r="B2183" s="141"/>
      <c r="D2183" s="140"/>
      <c r="E2183" s="140"/>
      <c r="G2183" s="140"/>
      <c r="J2183" s="140"/>
      <c r="K2183" s="140"/>
      <c r="L2183" s="140"/>
      <c r="M2183" s="140"/>
      <c r="N2183" s="140"/>
      <c r="O2183" s="140"/>
      <c r="P2183" s="122"/>
      <c r="Q2183" s="122"/>
      <c r="R2183" s="122"/>
      <c r="T2183" s="122"/>
      <c r="U2183" s="122"/>
      <c r="V2183" s="122"/>
      <c r="W2183" s="122"/>
      <c r="X2183" s="122"/>
      <c r="Y2183" s="122"/>
      <c r="Z2183" s="122"/>
      <c r="AA2183" s="122"/>
      <c r="AB2183" s="122"/>
      <c r="AC2183" s="122"/>
      <c r="AD2183" s="122"/>
      <c r="AE2183" s="122"/>
      <c r="AF2183" s="122"/>
      <c r="AG2183" s="122"/>
      <c r="AH2183" s="122"/>
      <c r="AI2183" s="140"/>
      <c r="AJ2183" s="140"/>
      <c r="AK2183" s="140"/>
      <c r="AL2183" s="140"/>
      <c r="AM2183" s="140"/>
      <c r="AN2183" s="140"/>
      <c r="AO2183" s="140"/>
      <c r="AP2183" s="140"/>
      <c r="AQ2183" s="140"/>
      <c r="AR2183" s="140"/>
      <c r="AS2183" s="140"/>
      <c r="AT2183" s="140"/>
      <c r="AU2183" s="140"/>
      <c r="AV2183" s="140"/>
      <c r="AW2183" s="140"/>
      <c r="AX2183" s="140"/>
      <c r="AY2183" s="140"/>
      <c r="AZ2183" s="140"/>
      <c r="BA2183" s="122"/>
      <c r="BB2183" s="140"/>
      <c r="BC2183" s="122"/>
      <c r="BD2183" s="140"/>
      <c r="BH2183" s="122"/>
      <c r="BI2183" s="122"/>
      <c r="BJ2183" s="122"/>
      <c r="BK2183" s="122"/>
      <c r="BL2183" s="122"/>
      <c r="BM2183" s="122"/>
      <c r="BN2183" s="122"/>
      <c r="BP2183" s="122"/>
      <c r="BQ2183" s="150">
        <v>44596.638831018521</v>
      </c>
    </row>
    <row r="2184" spans="1:69" s="139" customFormat="1">
      <c r="B2184" s="141"/>
      <c r="D2184" s="140"/>
      <c r="E2184" s="140"/>
      <c r="G2184" s="140"/>
      <c r="J2184" s="140"/>
      <c r="K2184" s="140"/>
      <c r="L2184" s="140"/>
      <c r="M2184" s="140"/>
      <c r="N2184" s="140"/>
      <c r="O2184" s="140"/>
      <c r="P2184" s="122"/>
      <c r="Q2184" s="122"/>
      <c r="R2184" s="122"/>
      <c r="T2184" s="122"/>
      <c r="U2184" s="122"/>
      <c r="V2184" s="122"/>
      <c r="W2184" s="122"/>
      <c r="X2184" s="122"/>
      <c r="Y2184" s="122"/>
      <c r="Z2184" s="122"/>
      <c r="AA2184" s="122"/>
      <c r="AB2184" s="122"/>
      <c r="AC2184" s="122"/>
      <c r="AD2184" s="131">
        <v>44596</v>
      </c>
      <c r="AE2184" s="132">
        <v>92</v>
      </c>
      <c r="AF2184" s="133">
        <v>79</v>
      </c>
      <c r="AG2184" s="132">
        <v>102</v>
      </c>
      <c r="AH2184" s="133">
        <v>51.83</v>
      </c>
      <c r="AI2184" s="132">
        <v>43</v>
      </c>
      <c r="AJ2184" s="132">
        <v>23.43</v>
      </c>
      <c r="AK2184" s="132">
        <v>66.739999999999995</v>
      </c>
      <c r="AL2184" s="132">
        <v>67.53</v>
      </c>
      <c r="AM2184" s="140">
        <v>56.09</v>
      </c>
      <c r="AN2184" s="140"/>
      <c r="AO2184" s="140"/>
      <c r="AP2184" s="140"/>
      <c r="AQ2184" s="140"/>
      <c r="AR2184" s="140"/>
      <c r="AS2184" s="140"/>
      <c r="AT2184" s="140"/>
      <c r="AU2184" s="140"/>
      <c r="AV2184" s="140"/>
      <c r="AW2184" s="140"/>
      <c r="AX2184" s="140"/>
      <c r="AY2184" s="140"/>
      <c r="AZ2184" s="140"/>
      <c r="BA2184" s="122"/>
      <c r="BB2184" s="140"/>
      <c r="BC2184" s="122"/>
      <c r="BD2184" s="140"/>
      <c r="BH2184" s="122"/>
      <c r="BI2184" s="122"/>
      <c r="BJ2184" s="122"/>
      <c r="BK2184" s="122"/>
      <c r="BL2184" s="122"/>
      <c r="BM2184" s="122"/>
      <c r="BN2184" s="122"/>
      <c r="BP2184" s="122"/>
      <c r="BQ2184" s="150">
        <v>44596.593773148146</v>
      </c>
    </row>
    <row r="2185" spans="1:69">
      <c r="AB2185" s="80"/>
      <c r="AD2185" s="131">
        <v>44584</v>
      </c>
      <c r="AE2185" s="132">
        <v>73</v>
      </c>
      <c r="AF2185" s="133">
        <v>65</v>
      </c>
      <c r="AG2185" s="132">
        <v>73</v>
      </c>
      <c r="AH2185" s="133">
        <v>32.83</v>
      </c>
      <c r="AI2185" s="132">
        <v>30</v>
      </c>
      <c r="AJ2185" s="132">
        <v>9.43</v>
      </c>
      <c r="AK2185" s="132">
        <v>61.36</v>
      </c>
      <c r="AL2185" s="132">
        <v>53.53</v>
      </c>
      <c r="AM2185" s="132">
        <v>42.09</v>
      </c>
      <c r="BQ2185" s="162">
        <v>44596.593923611108</v>
      </c>
    </row>
    <row r="2186" spans="1:69">
      <c r="AB2186" s="80"/>
      <c r="AD2186" s="131">
        <v>44573</v>
      </c>
      <c r="AE2186" s="132">
        <v>39</v>
      </c>
      <c r="AF2186" s="133">
        <v>38</v>
      </c>
      <c r="AG2186" s="132">
        <v>39</v>
      </c>
      <c r="AH2186" s="133"/>
      <c r="AI2186" s="132">
        <v>51</v>
      </c>
      <c r="AJ2186" s="132">
        <v>33.72</v>
      </c>
      <c r="AK2186" s="132"/>
      <c r="AL2186" s="132">
        <v>80.83</v>
      </c>
      <c r="AM2186" s="132">
        <v>60</v>
      </c>
    </row>
  </sheetData>
  <autoFilter ref="A1:BO2181" xr:uid="{526E78F3-4246-45A6-860F-A98121D63766}"/>
  <phoneticPr fontId="30" type="noConversion"/>
  <dataValidations count="11">
    <dataValidation type="list" allowBlank="1" showInputMessage="1" showErrorMessage="1" sqref="I1983:I1987 R1761:R1815 T1761:T1815 T1695:T1740 I1741:I1760" xr:uid="{7E9F3924-3A42-46D8-BEA3-AB2E5F7CD364}">
      <formula1>$I$1543:$I$1560</formula1>
    </dataValidation>
    <dataValidation type="list" allowBlank="1" showInputMessage="1" showErrorMessage="1" sqref="N1695:O1760 R1695:AI1729 AM1695:AM1729 K1730:K1757 D1730:D1757 R1761:R1815" xr:uid="{72A1E3C8-30F4-40FD-B679-984BA503D544}">
      <formula1>$N$1543:$N$1560</formula1>
    </dataValidation>
    <dataValidation type="list" allowBlank="1" showInputMessage="1" showErrorMessage="1" sqref="S1919:S1920 T1817:T1872 R1817:R1872 AOC1978:AOC1982 AXY1978:AXY1982 BHU1978:BHU1982 BRQ1978:BRQ1982 CBM1978:CBM1982 CLI1978:CLI1982 CVE1978:CVE1982 DFA1978:DFA1982 DOW1978:DOW1982 DYS1978:DYS1982 EIO1978:EIO1982 ESK1978:ESK1982 FCG1978:FCG1982 FMC1978:FMC1982 FVY1978:FVY1982 GFU1978:GFU1982 GPQ1978:GPQ1982 GZM1978:GZM1982 HJI1978:HJI1982 HTE1978:HTE1982 IDA1978:IDA1982 IMW1978:IMW1982 IWS1978:IWS1982 JGO1978:JGO1982 JQK1978:JQK1982 KAG1978:KAG1982 KKC1978:KKC1982 KTY1978:KTY1982 LDU1978:LDU1982 LNQ1978:LNQ1982 LXM1978:LXM1982 MHI1978:MHI1982 MRE1978:MRE1982 NBA1978:NBA1982 NKW1978:NKW1982 NUS1978:NUS1982 OEO1978:OEO1982 OOK1978:OOK1982 OYG1978:OYG1982 PIC1978:PIC1982 PRY1978:PRY1982 QBU1978:QBU1982 QLQ1978:QLQ1982 QVM1978:QVM1982 RFI1978:RFI1982 RPE1978:RPE1982 RZA1978:RZA1982 SIW1978:SIW1982 SSS1978:SSS1982 TCO1978:TCO1982 TMK1978:TMK1982 TWG1978:TWG1982 UGC1978:UGC1982 UPY1978:UPY1982 UZU1978:UZU1982 VJQ1978:VJQ1982 VTM1978:VTM1982 WDI1978:WDI1982 WNE1978:WNE1982 WXA1978:WXA1982 S1978:S1982 WXA1876:WXA1892 WNE1876:WNE1892 WDI1876:WDI1892 VTM1876:VTM1892 VJQ1876:VJQ1892 UZU1876:UZU1892 UPY1876:UPY1892 UGC1876:UGC1892 TWG1876:TWG1892 TMK1876:TMK1892 TCO1876:TCO1892 SSS1876:SSS1892 SIW1876:SIW1892 RZA1876:RZA1892 RPE1876:RPE1892 RFI1876:RFI1892 QVM1876:QVM1892 QLQ1876:QLQ1892 QBU1876:QBU1892 PRY1876:PRY1892 PIC1876:PIC1892 OYG1876:OYG1892 OOK1876:OOK1892 OEO1876:OEO1892 NUS1876:NUS1892 NKW1876:NKW1892 NBA1876:NBA1892 MRE1876:MRE1892 MHI1876:MHI1892 LXM1876:LXM1892 LNQ1876:LNQ1892 LDU1876:LDU1892 KTY1876:KTY1892 KKC1876:KKC1892 KAG1876:KAG1892 JQK1876:JQK1892 JGO1876:JGO1892 IWS1876:IWS1892 IMW1876:IMW1892 IDA1876:IDA1892 HTE1876:HTE1892 HJI1876:HJI1892 GZM1876:GZM1892 GPQ1876:GPQ1892 GFU1876:GFU1892 FVY1876:FVY1892 FMC1876:FMC1892 FCG1876:FCG1892 ESK1876:ESK1892 EIO1876:EIO1892 DYS1876:DYS1892 DOW1876:DOW1892 DFA1876:DFA1892 CVE1876:CVE1892 CLI1876:CLI1892 CBM1876:CBM1892 BRQ1876:BRQ1892 BHU1876:BHU1892 AXY1876:AXY1892 AOC1876:AOC1892 AEG1876:AEG1892 UK1876:UK1892 KO1876:KO1892 S1876:S1892 KO1978:KO1982 WXD1817:WXD1872 WXC1873:WXC1875 WNH1817:WNH1872 WNG1873:WNG1875 WDL1817:WDL1872 WDK1873:WDK1875 VTP1817:VTP1872 VTO1873:VTO1875 VJT1817:VJT1872 VJS1873:VJS1875 UZX1817:UZX1872 UZW1873:UZW1875 UQB1817:UQB1872 UQA1873:UQA1875 UGF1817:UGF1872 UGE1873:UGE1875 TWJ1817:TWJ1872 TWI1873:TWI1875 TMN1817:TMN1872 TMM1873:TMM1875 TCR1817:TCR1872 TCQ1873:TCQ1875 SSV1817:SSV1872 SSU1873:SSU1875 SIZ1817:SIZ1872 SIY1873:SIY1875 RZD1817:RZD1872 RZC1873:RZC1875 RPH1817:RPH1872 RPG1873:RPG1875 RFL1817:RFL1872 RFK1873:RFK1875 QVP1817:QVP1872 QVO1873:QVO1875 QLT1817:QLT1872 QLS1873:QLS1875 QBX1817:QBX1872 QBW1873:QBW1875 PSB1817:PSB1872 PSA1873:PSA1875 PIF1817:PIF1872 PIE1873:PIE1875 OYJ1817:OYJ1872 OYI1873:OYI1875 OON1817:OON1872 OOM1873:OOM1875 OER1817:OER1872 OEQ1873:OEQ1875 NUV1817:NUV1872 NUU1873:NUU1875 NKZ1817:NKZ1872 NKY1873:NKY1875 NBD1817:NBD1872 NBC1873:NBC1875 MRH1817:MRH1872 MRG1873:MRG1875 MHL1817:MHL1872 MHK1873:MHK1875 LXP1817:LXP1872 LXO1873:LXO1875 LNT1817:LNT1872 LNS1873:LNS1875 LDX1817:LDX1872 LDW1873:LDW1875 KUB1817:KUB1872 KUA1873:KUA1875 KKF1817:KKF1872 KKE1873:KKE1875 KAJ1817:KAJ1872 KAI1873:KAI1875 JQN1817:JQN1872 JQM1873:JQM1875 JGR1817:JGR1872 JGQ1873:JGQ1875 IWV1817:IWV1872 IWU1873:IWU1875 IMZ1817:IMZ1872 IMY1873:IMY1875 IDD1817:IDD1872 IDC1873:IDC1875 HTH1817:HTH1872 HTG1873:HTG1875 HJL1817:HJL1872 HJK1873:HJK1875 GZP1817:GZP1872 GZO1873:GZO1875 GPT1817:GPT1872 GPS1873:GPS1875 GFX1817:GFX1872 GFW1873:GFW1875 FWB1817:FWB1872 FWA1873:FWA1875 FMF1817:FMF1872 FME1873:FME1875 FCJ1817:FCJ1872 FCI1873:FCI1875 ESN1817:ESN1872 ESM1873:ESM1875 EIR1817:EIR1872 EIQ1873:EIQ1875 DYV1817:DYV1872 DYU1873:DYU1875 DOZ1817:DOZ1872 DOY1873:DOY1875 DFD1817:DFD1872 DFC1873:DFC1875 CVH1817:CVH1872 CVG1873:CVG1875 CLL1817:CLL1872 CLK1873:CLK1875 CBP1817:CBP1872 CBO1873:CBO1875 BRT1817:BRT1872 BRS1873:BRS1875 BHX1817:BHX1872 BHW1873:BHW1875 AYB1817:AYB1872 AYA1873:AYA1875 AOF1817:AOF1872 AOE1873:AOE1875 AEJ1817:AEJ1872 AEI1873:AEI1875 UN1817:UN1872 UM1873:UM1875 KR1817:KR1872 KQ1873:KQ1875 KO1919:KO1920 WXA1919:WXA1920 WNE1919:WNE1920 WDI1919:WDI1920 VTM1919:VTM1920 VJQ1919:VJQ1920 UZU1919:UZU1920 UPY1919:UPY1920 UGC1919:UGC1920 TWG1919:TWG1920 TMK1919:TMK1920 TCO1919:TCO1920 SSS1919:SSS1920 SIW1919:SIW1920 RZA1919:RZA1920 RPE1919:RPE1920 RFI1919:RFI1920 QVM1919:QVM1920 QLQ1919:QLQ1920 QBU1919:QBU1920 PRY1919:PRY1920 PIC1919:PIC1920 OYG1919:OYG1920 OOK1919:OOK1920 OEO1919:OEO1920 NUS1919:NUS1920 NKW1919:NKW1920 NBA1919:NBA1920 MRE1919:MRE1920 MHI1919:MHI1920 LXM1919:LXM1920 LNQ1919:LNQ1920 LDU1919:LDU1920 KTY1919:KTY1920 KKC1919:KKC1920 KAG1919:KAG1920 JQK1919:JQK1920 JGO1919:JGO1920 IWS1919:IWS1920 IMW1919:IMW1920 IDA1919:IDA1920 HTE1919:HTE1920 HJI1919:HJI1920 GZM1919:GZM1920 GPQ1919:GPQ1920 GFU1919:GFU1920 FVY1919:FVY1920 FMC1919:FMC1920 FCG1919:FCG1920 ESK1919:ESK1920 EIO1919:EIO1920 DYS1919:DYS1920 DOW1919:DOW1920 DFA1919:DFA1920 CVE1919:CVE1920 CLI1919:CLI1920 CBM1919:CBM1920 BRQ1919:BRQ1920 BHU1919:BHU1920 AXY1919:AXY1920 AOC1919:AOC1920 AEG1919:AEG1920 UK1919:UK1920 UK1978:UK1982 AEG1978:AEG1982" xr:uid="{67DD9F04-7CE9-47F8-AFD6-1BC9FAD71065}">
      <formula1>$S$1368:$S$1376</formula1>
    </dataValidation>
    <dataValidation type="list" allowBlank="1" showInputMessage="1" showErrorMessage="1" sqref="UE1978:UE1982 J1978:K1982 N1978:O1982 J1919:K1920 N1919:O1920 J1817:K1892 N1817:O1892 C1978:E1982 C1817:E1892 C1919:E1920 H1978:H1982 H1817:H1892 H1919:H1920 AEA1978:AEA1982 ANW1978:ANW1982 AXS1978:AXS1982 BHO1978:BHO1982 BRK1978:BRK1982 CBG1978:CBG1982 CLC1978:CLC1982 CUY1978:CUY1982 DEU1978:DEU1982 DOQ1978:DOQ1982 DYM1978:DYM1982 EII1978:EII1982 ESE1978:ESE1982 FCA1978:FCA1982 FLW1978:FLW1982 FVS1978:FVS1982 GFO1978:GFO1982 GPK1978:GPK1982 GZG1978:GZG1982 HJC1978:HJC1982 HSY1978:HSY1982 ICU1978:ICU1982 IMQ1978:IMQ1982 IWM1978:IWM1982 JGI1978:JGI1982 JQE1978:JQE1982 KAA1978:KAA1982 KJW1978:KJW1982 KTS1978:KTS1982 LDO1978:LDO1982 LNK1978:LNK1982 LXG1978:LXG1982 MHC1978:MHC1982 MQY1978:MQY1982 NAU1978:NAU1982 NKQ1978:NKQ1982 NUM1978:NUM1982 OEI1978:OEI1982 OOE1978:OOE1982 OYA1978:OYA1982 PHW1978:PHW1982 PRS1978:PRS1982 QBO1978:QBO1982 QLK1978:QLK1982 QVG1978:QVG1982 RFC1978:RFC1982 ROY1978:ROY1982 RYU1978:RYU1982 SIQ1978:SIQ1982 SSM1978:SSM1982 TCI1978:TCI1982 TME1978:TME1982 TWA1978:TWA1982 UFW1978:UFW1982 UPS1978:UPS1982 UZO1978:UZO1982 VJK1978:VJK1982 VTG1978:VTG1982 WDC1978:WDC1982 WMY1978:WMY1982 WWU1978:WWU1982 KK1873:KK1875 KI1876:KI1892 UE1876:UE1892 AEA1876:AEA1892 ANW1876:ANW1892 AXS1876:AXS1892 BHO1876:BHO1892 BRK1876:BRK1892 CBG1876:CBG1892 CLC1876:CLC1892 CUY1876:CUY1892 DEU1876:DEU1892 DOQ1876:DOQ1892 DYM1876:DYM1892 EII1876:EII1892 ESE1876:ESE1892 FCA1876:FCA1892 FLW1876:FLW1892 FVS1876:FVS1892 GFO1876:GFO1892 GPK1876:GPK1892 GZG1876:GZG1892 HJC1876:HJC1892 HSY1876:HSY1892 ICU1876:ICU1892 IMQ1876:IMQ1892 IWM1876:IWM1892 JGI1876:JGI1892 JQE1876:JQE1892 KAA1876:KAA1892 KJW1876:KJW1892 KTS1876:KTS1892 LDO1876:LDO1892 LNK1876:LNK1892 LXG1876:LXG1892 MHC1876:MHC1892 MQY1876:MQY1892 NAU1876:NAU1892 NKQ1876:NKQ1892 NUM1876:NUM1892 OEI1876:OEI1892 OOE1876:OOE1892 OYA1876:OYA1892 PHW1876:PHW1892 PRS1876:PRS1892 QBO1876:QBO1892 QLK1876:QLK1892 QVG1876:QVG1892 RFC1876:RFC1892 ROY1876:ROY1892 RYU1876:RYU1892 SIQ1876:SIQ1892 SSM1876:SSM1892 TCI1876:TCI1892 TME1876:TME1892 TWA1876:TWA1892 UFW1876:UFW1892 UPS1876:UPS1892 UZO1876:UZO1892 VJK1876:VJK1892 VTG1876:VTG1892 WDC1876:WDC1892 WMY1876:WMY1892 WWU1876:WWU1892 WWX1817:WWX1872 WWW1873:WWW1875 WNB1817:WNB1872 WNA1873:WNA1875 WDF1817:WDF1872 WDE1873:WDE1875 VTJ1817:VTJ1872 VTI1873:VTI1875 VJN1817:VJN1872 VJM1873:VJM1875 UZR1817:UZR1872 UZQ1873:UZQ1875 UPV1817:UPV1872 UPU1873:UPU1875 UFZ1817:UFZ1872 UFY1873:UFY1875 TWD1817:TWD1872 TWC1873:TWC1875 TMH1817:TMH1872 TMG1873:TMG1875 TCL1817:TCL1872 TCK1873:TCK1875 SSP1817:SSP1872 SSO1873:SSO1875 SIT1817:SIT1872 SIS1873:SIS1875 RYX1817:RYX1872 RYW1873:RYW1875 RPB1817:RPB1872 RPA1873:RPA1875 RFF1817:RFF1872 RFE1873:RFE1875 QVJ1817:QVJ1872 QVI1873:QVI1875 QLN1817:QLN1872 QLM1873:QLM1875 QBR1817:QBR1872 QBQ1873:QBQ1875 PRV1817:PRV1872 PRU1873:PRU1875 PHZ1817:PHZ1872 PHY1873:PHY1875 OYD1817:OYD1872 OYC1873:OYC1875 OOH1817:OOH1872 OOG1873:OOG1875 OEL1817:OEL1872 OEK1873:OEK1875 NUP1817:NUP1872 NUO1873:NUO1875 NKT1817:NKT1872 NKS1873:NKS1875 NAX1817:NAX1872 NAW1873:NAW1875 MRB1817:MRB1872 MRA1873:MRA1875 MHF1817:MHF1872 MHE1873:MHE1875 LXJ1817:LXJ1872 LXI1873:LXI1875 LNN1817:LNN1872 LNM1873:LNM1875 LDR1817:LDR1872 LDQ1873:LDQ1875 KTV1817:KTV1872 KTU1873:KTU1875 KJZ1817:KJZ1872 KJY1873:KJY1875 KAD1817:KAD1872 KAC1873:KAC1875 JQH1817:JQH1872 JQG1873:JQG1875 JGL1817:JGL1872 JGK1873:JGK1875 IWP1817:IWP1872 IWO1873:IWO1875 IMT1817:IMT1872 IMS1873:IMS1875 ICX1817:ICX1872 ICW1873:ICW1875 HTB1817:HTB1872 HTA1873:HTA1875 HJF1817:HJF1872 HJE1873:HJE1875 GZJ1817:GZJ1872 GZI1873:GZI1875 GPN1817:GPN1872 GPM1873:GPM1875 GFR1817:GFR1872 GFQ1873:GFQ1875 FVV1817:FVV1872 FVU1873:FVU1875 FLZ1817:FLZ1872 FLY1873:FLY1875 FCD1817:FCD1872 FCC1873:FCC1875 ESH1817:ESH1872 ESG1873:ESG1875 EIL1817:EIL1872 EIK1873:EIK1875 DYP1817:DYP1872 DYO1873:DYO1875 DOT1817:DOT1872 DOS1873:DOS1875 DEX1817:DEX1872 DEW1873:DEW1875 CVB1817:CVB1872 CVA1873:CVA1875 CLF1817:CLF1872 CLE1873:CLE1875 CBJ1817:CBJ1872 CBI1873:CBI1875 BRN1817:BRN1872 BRM1873:BRM1875 BHR1817:BHR1872 BHQ1873:BHQ1875 AXV1817:AXV1872 AXU1873:AXU1875 ANZ1817:ANZ1872 ANY1873:ANY1875 AED1817:AED1872 AEC1873:AEC1875 UH1817:UH1872 UG1873:UG1875 KL1817:KL1872 WWU1919:WWU1920 WMY1919:WMY1920 WDC1919:WDC1920 VTG1919:VTG1920 VJK1919:VJK1920 UZO1919:UZO1920 UPS1919:UPS1920 UFW1919:UFW1920 TWA1919:TWA1920 TME1919:TME1920 TCI1919:TCI1920 SSM1919:SSM1920 SIQ1919:SIQ1920 RYU1919:RYU1920 ROY1919:ROY1920 RFC1919:RFC1920 QVG1919:QVG1920 QLK1919:QLK1920 QBO1919:QBO1920 PRS1919:PRS1920 PHW1919:PHW1920 OYA1919:OYA1920 OOE1919:OOE1920 OEI1919:OEI1920 NUM1919:NUM1920 NKQ1919:NKQ1920 NAU1919:NAU1920 MQY1919:MQY1920 MHC1919:MHC1920 LXG1919:LXG1920 LNK1919:LNK1920 LDO1919:LDO1920 KTS1919:KTS1920 KJW1919:KJW1920 KAA1919:KAA1920 JQE1919:JQE1920 JGI1919:JGI1920 IWM1919:IWM1920 IMQ1919:IMQ1920 ICU1919:ICU1920 HSY1919:HSY1920 HJC1919:HJC1920 GZG1919:GZG1920 GPK1919:GPK1920 GFO1919:GFO1920 FVS1919:FVS1920 FLW1919:FLW1920 FCA1919:FCA1920 ESE1919:ESE1920 EII1919:EII1920 DYM1919:DYM1920 DOQ1919:DOQ1920 DEU1919:DEU1920 CUY1919:CUY1920 CLC1919:CLC1920 CBG1919:CBG1920 BRK1919:BRK1920 BHO1919:BHO1920 AXS1919:AXS1920 ANW1919:ANW1920 AEA1919:AEA1920 UE1919:UE1920 KI1919:KI1920 KI1978:KI1982 R1817:R1892 R1919:R1920" xr:uid="{989D9F7C-1F19-49DF-96FC-E691DDB3AE02}">
      <formula1>$B$1368:$B$1376</formula1>
    </dataValidation>
    <dataValidation type="list" allowBlank="1" showInputMessage="1" showErrorMessage="1" sqref="WWU1970:WWU1977 J1922:K1977 N1922:O1977 B1893:E1918 C1922:E1977 H1922:H1977 H1893:H1918 WWU1893:WWU1918 WMY1893:WMY1918 WDC1893:WDC1918 VTG1893:VTG1918 VJK1893:VJK1918 UZO1893:UZO1918 UPS1893:UPS1918 UFW1893:UFW1918 TWA1893:TWA1918 TME1893:TME1918 TCI1893:TCI1918 SSM1893:SSM1918 SIQ1893:SIQ1918 RYU1893:RYU1918 ROY1893:ROY1918 RFC1893:RFC1918 QVG1893:QVG1918 QLK1893:QLK1918 QBO1893:QBO1918 PRS1893:PRS1918 PHW1893:PHW1918 OYA1893:OYA1918 OOE1893:OOE1918 OEI1893:OEI1918 NUM1893:NUM1918 NKQ1893:NKQ1918 NAU1893:NAU1918 MQY1893:MQY1918 MHC1893:MHC1918 LXG1893:LXG1918 LNK1893:LNK1918 LDO1893:LDO1918 KTS1893:KTS1918 KJW1893:KJW1918 KAA1893:KAA1918 JQE1893:JQE1918 JGI1893:JGI1918 IWM1893:IWM1918 IMQ1893:IMQ1918 ICU1893:ICU1918 HSY1893:HSY1918 HJC1893:HJC1918 GZG1893:GZG1918 GPK1893:GPK1918 GFO1893:GFO1918 FVS1893:FVS1918 FLW1893:FLW1918 FCA1893:FCA1918 ESE1893:ESE1918 EII1893:EII1918 DYM1893:DYM1918 DOQ1893:DOQ1918 DEU1893:DEU1918 CUY1893:CUY1918 CLC1893:CLC1918 CBG1893:CBG1918 BRK1893:BRK1918 BHO1893:BHO1918 AXS1893:AXS1918 ANW1893:ANW1918 AEA1893:AEA1918 UE1893:UE1918 KI1893:KI1918 KL1922:KL1969 KI1970:KI1977 UH1922:UH1969 UE1970:UE1977 AED1922:AED1969 AEA1970:AEA1977 ANZ1922:ANZ1969 ANW1970:ANW1977 AXV1922:AXV1969 AXS1970:AXS1977 BHR1922:BHR1969 BHO1970:BHO1977 BRN1922:BRN1969 BRK1970:BRK1977 CBJ1922:CBJ1969 CBG1970:CBG1977 CLF1922:CLF1969 CLC1970:CLC1977 CVB1922:CVB1969 CUY1970:CUY1977 DEX1922:DEX1969 DEU1970:DEU1977 DOT1922:DOT1969 DOQ1970:DOQ1977 DYP1922:DYP1969 DYM1970:DYM1977 EIL1922:EIL1969 EII1970:EII1977 ESH1922:ESH1969 ESE1970:ESE1977 FCD1922:FCD1969 FCA1970:FCA1977 FLZ1922:FLZ1969 FLW1970:FLW1977 FVV1922:FVV1969 FVS1970:FVS1977 GFR1922:GFR1969 GFO1970:GFO1977 GPN1922:GPN1969 GPK1970:GPK1977 GZJ1922:GZJ1969 GZG1970:GZG1977 HJF1922:HJF1969 HJC1970:HJC1977 HTB1922:HTB1969 HSY1970:HSY1977 ICX1922:ICX1969 ICU1970:ICU1977 IMT1922:IMT1969 IMQ1970:IMQ1977 IWP1922:IWP1969 IWM1970:IWM1977 JGL1922:JGL1969 JGI1970:JGI1977 JQH1922:JQH1969 JQE1970:JQE1977 KAD1922:KAD1969 KAA1970:KAA1977 KJZ1922:KJZ1969 KJW1970:KJW1977 KTV1922:KTV1969 KTS1970:KTS1977 LDR1922:LDR1969 LDO1970:LDO1977 LNN1922:LNN1969 LNK1970:LNK1977 LXJ1922:LXJ1969 LXG1970:LXG1977 MHF1922:MHF1969 MHC1970:MHC1977 MRB1922:MRB1969 MQY1970:MQY1977 NAX1922:NAX1969 NAU1970:NAU1977 NKT1922:NKT1969 NKQ1970:NKQ1977 NUP1922:NUP1969 NUM1970:NUM1977 OEL1922:OEL1969 OEI1970:OEI1977 OOH1922:OOH1969 OOE1970:OOE1977 OYD1922:OYD1969 OYA1970:OYA1977 PHZ1922:PHZ1969 PHW1970:PHW1977 PRV1922:PRV1969 PRS1970:PRS1977 QBR1922:QBR1969 QBO1970:QBO1977 QLN1922:QLN1969 QLK1970:QLK1977 QVJ1922:QVJ1969 QVG1970:QVG1977 RFF1922:RFF1969 RFC1970:RFC1977 RPB1922:RPB1969 ROY1970:ROY1977 RYX1922:RYX1969 RYU1970:RYU1977 SIT1922:SIT1969 SIQ1970:SIQ1977 SSP1922:SSP1969 SSM1970:SSM1977 TCL1922:TCL1969 TCI1970:TCI1977 TMH1922:TMH1969 TME1970:TME1977 TWD1922:TWD1969 TWA1970:TWA1977 UFZ1922:UFZ1969 UFW1970:UFW1977 UPV1922:UPV1969 UPS1970:UPS1977 UZR1922:UZR1969 UZO1970:UZO1977 VJN1922:VJN1969 VJK1970:VJK1977 VTJ1922:VTJ1969 VTG1970:VTG1977 WDF1922:WDF1969 WDC1970:WDC1977 WNB1922:WNB1969 WMY1970:WMY1977 WWX1922:WWX1969 R1922:R1958 J1893:AY1918" xr:uid="{20305C8B-4113-46E7-9D8A-96DFADDFFB44}">
      <formula1>$B$1348:$B$1356</formula1>
    </dataValidation>
    <dataValidation type="list" allowBlank="1" showInputMessage="1" showErrorMessage="1" sqref="AZ1893:BA1918 WWX1970:WWX1977 WXA1922:WXA1969 WNB1970:WNB1977 WNE1922:WNE1969 WDF1970:WDF1977 WDI1922:WDI1969 VTJ1970:VTJ1977 VTM1922:VTM1969 VJN1970:VJN1977 VJQ1922:VJQ1969 UZR1970:UZR1977 UZU1922:UZU1969 UPV1970:UPV1977 UPY1922:UPY1969 UFZ1970:UFZ1977 UGC1922:UGC1969 TWD1970:TWD1977 TWG1922:TWG1969 TMH1970:TMH1977 TMK1922:TMK1969 TCL1970:TCL1977 TCO1922:TCO1969 SSP1970:SSP1977 SSS1922:SSS1969 SIT1970:SIT1977 SIW1922:SIW1969 RYX1970:RYX1977 RZA1922:RZA1969 RPB1970:RPB1977 RPE1922:RPE1969 RFF1970:RFF1977 RFI1922:RFI1969 QVJ1970:QVJ1977 QVM1922:QVM1969 QLN1970:QLN1977 QLQ1922:QLQ1969 QBR1970:QBR1977 QBU1922:QBU1969 PRV1970:PRV1977 PRY1922:PRY1969 PHZ1970:PHZ1977 PIC1922:PIC1969 OYD1970:OYD1977 OYG1922:OYG1969 OOH1970:OOH1977 OOK1922:OOK1969 OEL1970:OEL1977 OEO1922:OEO1969 NUP1970:NUP1977 NUS1922:NUS1969 NKT1970:NKT1977 NKW1922:NKW1969 NAX1970:NAX1977 NBA1922:NBA1969 MRB1970:MRB1977 MRE1922:MRE1969 MHF1970:MHF1977 MHI1922:MHI1969 LXJ1970:LXJ1977 LXM1922:LXM1969 LNN1970:LNN1977 LNQ1922:LNQ1969 LDR1970:LDR1977 LDU1922:LDU1969 KTV1970:KTV1977 KTY1922:KTY1969 KJZ1970:KJZ1977 KKC1922:KKC1969 KAD1970:KAD1977 KAG1922:KAG1969 JQH1970:JQH1977 JQK1922:JQK1969 JGL1970:JGL1977 JGO1922:JGO1969 IWP1970:IWP1977 IWS1922:IWS1969 IMT1970:IMT1977 IMW1922:IMW1969 ICX1970:ICX1977 IDA1922:IDA1969 HTB1970:HTB1977 HTE1922:HTE1969 HJF1970:HJF1977 HJI1922:HJI1969 GZJ1970:GZJ1977 GZM1922:GZM1969 GPN1970:GPN1977 GPQ1922:GPQ1969 GFR1970:GFR1977 GFU1922:GFU1969 FVV1970:FVV1977 FVY1922:FVY1969 FLZ1970:FLZ1977 FMC1922:FMC1969 FCD1970:FCD1977 FCG1922:FCG1969 ESH1970:ESH1977 ESK1922:ESK1969 EIL1970:EIL1977 EIO1922:EIO1969 DYP1970:DYP1977 DYS1922:DYS1969 DOT1970:DOT1977 DOW1922:DOW1969 DEX1970:DEX1977 DFA1922:DFA1969 CVB1970:CVB1977 CVE1922:CVE1969 CLF1970:CLF1977 CLI1922:CLI1969 CBJ1970:CBJ1977 CBM1922:CBM1969 BRN1970:BRN1977 BRQ1922:BRQ1969 BHR1970:BHR1977 BHU1922:BHU1969 AXV1970:AXV1977 AXY1922:AXY1969 ANZ1970:ANZ1977 AOC1922:AOC1969 AED1970:AED1977 AEG1922:AEG1969 UH1970:UH1977 UK1922:UK1969 KL1970:KL1977 KO1922:KO1969 AZ1971:BA1977 KL1893:KL1918 UH1893:UH1918 AED1893:AED1918 ANZ1893:ANZ1918 AXV1893:AXV1918 BHR1893:BHR1918 BRN1893:BRN1918 CBJ1893:CBJ1918 CLF1893:CLF1918 CVB1893:CVB1918 DEX1893:DEX1918 DOT1893:DOT1918 DYP1893:DYP1918 EIL1893:EIL1918 ESH1893:ESH1918 FCD1893:FCD1918 FLZ1893:FLZ1918 FVV1893:FVV1918 GFR1893:GFR1918 GPN1893:GPN1918 GZJ1893:GZJ1918 HJF1893:HJF1918 HTB1893:HTB1918 ICX1893:ICX1918 IMT1893:IMT1918 IWP1893:IWP1918 JGL1893:JGL1918 JQH1893:JQH1918 KAD1893:KAD1918 KJZ1893:KJZ1918 KTV1893:KTV1918 LDR1893:LDR1918 LNN1893:LNN1918 LXJ1893:LXJ1918 MHF1893:MHF1918 MRB1893:MRB1918 NAX1893:NAX1918 NKT1893:NKT1918 NUP1893:NUP1918 OEL1893:OEL1918 OOH1893:OOH1918 OYD1893:OYD1918 PHZ1893:PHZ1918 PRV1893:PRV1918 QBR1893:QBR1918 QLN1893:QLN1918 QVJ1893:QVJ1918 RFF1893:RFF1918 RPB1893:RPB1918 RYX1893:RYX1918 SIT1893:SIT1918 SSP1893:SSP1918 TCL1893:TCL1918 TMH1893:TMH1918 TWD1893:TWD1918 UFZ1893:UFZ1918 UPV1893:UPV1918 UZR1893:UZR1918 VJN1893:VJN1918 VTJ1893:VTJ1918 WDF1893:WDF1918 WNB1893:WNB1918 WWX1893:WWX1918 R1922:R1958" xr:uid="{060D76EF-B75D-4A91-94FF-0ABFCC1E8081}">
      <formula1>$AZ$1348:$AZ$1356</formula1>
    </dataValidation>
    <dataValidation type="list" allowBlank="1" showInputMessage="1" showErrorMessage="1" sqref="WXB1970:WXB1977 WXB1893:WXB1918 WNF1893:WNF1918 WDJ1893:WDJ1918 VTN1893:VTN1918 VJR1893:VJR1918 UZV1893:UZV1918 UPZ1893:UPZ1918 UGD1893:UGD1918 TWH1893:TWH1918 TML1893:TML1918 TCP1893:TCP1918 SST1893:SST1918 SIX1893:SIX1918 RZB1893:RZB1918 RPF1893:RPF1918 RFJ1893:RFJ1918 QVN1893:QVN1918 QLR1893:QLR1918 QBV1893:QBV1918 PRZ1893:PRZ1918 PID1893:PID1918 OYH1893:OYH1918 OOL1893:OOL1918 OEP1893:OEP1918 NUT1893:NUT1918 NKX1893:NKX1918 NBB1893:NBB1918 MRF1893:MRF1918 MHJ1893:MHJ1918 LXN1893:LXN1918 LNR1893:LNR1918 LDV1893:LDV1918 KTZ1893:KTZ1918 KKD1893:KKD1918 KAH1893:KAH1918 JQL1893:JQL1918 JGP1893:JGP1918 IWT1893:IWT1918 IMX1893:IMX1918 IDB1893:IDB1918 HTF1893:HTF1918 HJJ1893:HJJ1918 GZN1893:GZN1918 GPR1893:GPR1918 GFV1893:GFV1918 FVZ1893:FVZ1918 FMD1893:FMD1918 FCH1893:FCH1918 ESL1893:ESL1918 EIP1893:EIP1918 DYT1893:DYT1918 DOX1893:DOX1918 DFB1893:DFB1918 CVF1893:CVF1918 CLJ1893:CLJ1918 CBN1893:CBN1918 BRR1893:BRR1918 BHV1893:BHV1918 AXZ1893:AXZ1918 AOD1893:AOD1918 AEH1893:AEH1918 UL1893:UL1918 KP1893:KP1918 H1971:H1977 S1970 KS1922:KS1969 KP1970:KP1977 UO1922:UO1969 UL1970:UL1977 AEK1922:AEK1969 AEH1970:AEH1977 AOG1922:AOG1969 AOD1970:AOD1977 AYC1922:AYC1969 AXZ1970:AXZ1977 BHY1922:BHY1969 BHV1970:BHV1977 BRU1922:BRU1969 BRR1970:BRR1977 CBQ1922:CBQ1969 CBN1970:CBN1977 CLM1922:CLM1969 CLJ1970:CLJ1977 CVI1922:CVI1969 CVF1970:CVF1977 DFE1922:DFE1969 DFB1970:DFB1977 DPA1922:DPA1969 DOX1970:DOX1977 DYW1922:DYW1969 DYT1970:DYT1977 EIS1922:EIS1969 EIP1970:EIP1977 ESO1922:ESO1969 ESL1970:ESL1977 FCK1922:FCK1969 FCH1970:FCH1977 FMG1922:FMG1969 FMD1970:FMD1977 FWC1922:FWC1969 FVZ1970:FVZ1977 GFY1922:GFY1969 GFV1970:GFV1977 GPU1922:GPU1969 GPR1970:GPR1977 GZQ1922:GZQ1969 GZN1970:GZN1977 HJM1922:HJM1969 HJJ1970:HJJ1977 HTI1922:HTI1969 HTF1970:HTF1977 IDE1922:IDE1969 IDB1970:IDB1977 INA1922:INA1969 IMX1970:IMX1977 IWW1922:IWW1969 IWT1970:IWT1977 JGS1922:JGS1969 JGP1970:JGP1977 JQO1922:JQO1969 JQL1970:JQL1977 KAK1922:KAK1969 KAH1970:KAH1977 KKG1922:KKG1969 KKD1970:KKD1977 KUC1922:KUC1969 KTZ1970:KTZ1977 LDY1922:LDY1969 LDV1970:LDV1977 LNU1922:LNU1969 LNR1970:LNR1977 LXQ1922:LXQ1969 LXN1970:LXN1977 MHM1922:MHM1969 MHJ1970:MHJ1977 MRI1922:MRI1969 MRF1970:MRF1977 NBE1922:NBE1969 NBB1970:NBB1977 NLA1922:NLA1969 NKX1970:NKX1977 NUW1922:NUW1969 NUT1970:NUT1977 OES1922:OES1969 OEP1970:OEP1977 OOO1922:OOO1969 OOL1970:OOL1977 OYK1922:OYK1969 OYH1970:OYH1977 PIG1922:PIG1969 PID1970:PID1977 PSC1922:PSC1969 PRZ1970:PRZ1977 QBY1922:QBY1969 QBV1970:QBV1977 QLU1922:QLU1969 QLR1970:QLR1977 QVQ1922:QVQ1969 QVN1970:QVN1977 RFM1922:RFM1969 RFJ1970:RFJ1977 RPI1922:RPI1969 RPF1970:RPF1977 RZE1922:RZE1969 RZB1970:RZB1977 SJA1922:SJA1969 SIX1970:SIX1977 SSW1922:SSW1969 SST1970:SST1977 TCS1922:TCS1969 TCP1970:TCP1977 TMO1922:TMO1969 TML1970:TML1977 TWK1922:TWK1969 TWH1970:TWH1977 UGG1922:UGG1969 UGD1970:UGD1977 UQC1922:UQC1969 UPZ1970:UPZ1977 UZY1922:UZY1969 UZV1970:UZV1977 VJU1922:VJU1969 VJR1970:VJR1977 VTQ1922:VTQ1969 VTN1970:VTN1977 WDM1922:WDM1969 WDJ1970:WDJ1977 WNI1922:WNI1969 WNF1970:WNF1977 WXE1922:WXE1969 H1893:H1918 R1922:R1958 T1922:T1969" xr:uid="{6BF03AC6-EF61-4D95-A258-71FE424D0241}">
      <formula1>#REF!</formula1>
    </dataValidation>
    <dataValidation type="list" allowBlank="1" showInputMessage="1" showErrorMessage="1" sqref="E1695:H1740 R1695:AI1729 AM1695:AM1729 J1695:J1740 N1695:O1815 E1741:J1760 J1983:K1987 N1983:O1987 J1761:K1815 C1730:E1815 C1983:E1987 B1695:B1760 C1695:D1729 H1983:H1987 H1761:H1815 K1695:K1757 D1695:D1757 S1695:S1760 R1761:R1815 T1695:T1740" xr:uid="{3B53A3CC-9F2C-473F-B497-75FF53678521}">
      <formula1>$B$1543:$B$1560</formula1>
    </dataValidation>
    <dataValidation type="list" allowBlank="1" showInputMessage="1" showErrorMessage="1" sqref="WWV1970:WWV1977 BF1922:BF1969 I1970 KM1922:KM1969 KJ1970:KJ1977 UI1922:UI1969 UF1970:UF1977 AEE1922:AEE1969 AEB1970:AEB1977 AOA1922:AOA1969 ANX1970:ANX1977 AXW1922:AXW1969 AXT1970:AXT1977 BHS1922:BHS1969 BHP1970:BHP1977 BRO1922:BRO1969 BRL1970:BRL1977 CBK1922:CBK1969 CBH1970:CBH1977 CLG1922:CLG1969 CLD1970:CLD1977 CVC1922:CVC1969 CUZ1970:CUZ1977 DEY1922:DEY1969 DEV1970:DEV1977 DOU1922:DOU1969 DOR1970:DOR1977 DYQ1922:DYQ1969 DYN1970:DYN1977 EIM1922:EIM1969 EIJ1970:EIJ1977 ESI1922:ESI1969 ESF1970:ESF1977 FCE1922:FCE1969 FCB1970:FCB1977 FMA1922:FMA1969 FLX1970:FLX1977 FVW1922:FVW1969 FVT1970:FVT1977 GFS1922:GFS1969 GFP1970:GFP1977 GPO1922:GPO1969 GPL1970:GPL1977 GZK1922:GZK1969 GZH1970:GZH1977 HJG1922:HJG1969 HJD1970:HJD1977 HTC1922:HTC1969 HSZ1970:HSZ1977 ICY1922:ICY1969 ICV1970:ICV1977 IMU1922:IMU1969 IMR1970:IMR1977 IWQ1922:IWQ1969 IWN1970:IWN1977 JGM1922:JGM1969 JGJ1970:JGJ1977 JQI1922:JQI1969 JQF1970:JQF1977 KAE1922:KAE1969 KAB1970:KAB1977 KKA1922:KKA1969 KJX1970:KJX1977 KTW1922:KTW1969 KTT1970:KTT1977 LDS1922:LDS1969 LDP1970:LDP1977 LNO1922:LNO1969 LNL1970:LNL1977 LXK1922:LXK1969 LXH1970:LXH1977 MHG1922:MHG1969 MHD1970:MHD1977 MRC1922:MRC1969 MQZ1970:MQZ1977 NAY1922:NAY1969 NAV1970:NAV1977 NKU1922:NKU1969 NKR1970:NKR1977 NUQ1922:NUQ1969 NUN1970:NUN1977 OEM1922:OEM1969 OEJ1970:OEJ1977 OOI1922:OOI1969 OOF1970:OOF1977 OYE1922:OYE1969 OYB1970:OYB1977 PIA1922:PIA1969 PHX1970:PHX1977 PRW1922:PRW1969 PRT1970:PRT1977 QBS1922:QBS1969 QBP1970:QBP1977 QLO1922:QLO1969 QLL1970:QLL1977 QVK1922:QVK1969 QVH1970:QVH1977 RFG1922:RFG1969 RFD1970:RFD1977 RPC1922:RPC1969 ROZ1970:ROZ1977 RYY1922:RYY1969 RYV1970:RYV1977 SIU1922:SIU1969 SIR1970:SIR1977 SSQ1922:SSQ1969 SSN1970:SSN1977 TCM1922:TCM1969 TCJ1970:TCJ1977 TMI1922:TMI1969 TMF1970:TMF1977 TWE1922:TWE1969 TWB1970:TWB1977 UGA1922:UGA1969 UFX1970:UFX1977 UPW1922:UPW1969 UPT1970:UPT1977 UZS1922:UZS1969 UZP1970:UZP1977 VJO1922:VJO1969 VJL1970:VJL1977 VTK1922:VTK1969 VTH1970:VTH1977 WDG1922:WDG1969 WDD1970:WDD1977 WNC1922:WNC1969 WMZ1970:WMZ1977 WWY1922:WWY1969 B1971:E1977 K1971:AY1977" xr:uid="{2A043878-5112-4285-8156-5BAA1F3CD9B3}">
      <formula1>$D$1348:$D$1356</formula1>
    </dataValidation>
    <dataValidation type="list" allowBlank="1" showInputMessage="1" showErrorMessage="1" sqref="WWV1893:WWV1918 KJ1893:KJ1918 UF1893:UF1918 AEB1893:AEB1918 ANX1893:ANX1918 AXT1893:AXT1918 BHP1893:BHP1918 BRL1893:BRL1918 CBH1893:CBH1918 CLD1893:CLD1918 CUZ1893:CUZ1918 DEV1893:DEV1918 DOR1893:DOR1918 DYN1893:DYN1918 EIJ1893:EIJ1918 ESF1893:ESF1918 FCB1893:FCB1918 FLX1893:FLX1918 FVT1893:FVT1918 GFP1893:GFP1918 GPL1893:GPL1918 GZH1893:GZH1918 HJD1893:HJD1918 HSZ1893:HSZ1918 ICV1893:ICV1918 IMR1893:IMR1918 IWN1893:IWN1918 JGJ1893:JGJ1918 JQF1893:JQF1918 KAB1893:KAB1918 KJX1893:KJX1918 KTT1893:KTT1918 LDP1893:LDP1918 LNL1893:LNL1918 LXH1893:LXH1918 MHD1893:MHD1918 MQZ1893:MQZ1918 NAV1893:NAV1918 NKR1893:NKR1918 NUN1893:NUN1918 OEJ1893:OEJ1918 OOF1893:OOF1918 OYB1893:OYB1918 PHX1893:PHX1918 PRT1893:PRT1918 QBP1893:QBP1918 QLL1893:QLL1918 QVH1893:QVH1918 RFD1893:RFD1918 ROZ1893:ROZ1918 RYV1893:RYV1918 SIR1893:SIR1918 SSN1893:SSN1918 TCJ1893:TCJ1918 TMF1893:TMF1918 TWB1893:TWB1918 UFX1893:UFX1918 UPT1893:UPT1918 UZP1893:UZP1918 VJL1893:VJL1918 VTH1893:VTH1918 WDD1893:WDD1918 WMZ1893:WMZ1918" xr:uid="{847D06FC-6C23-4BC8-AD93-A9155DD3BAC7}">
      <formula1>$D$1355:$D$1356</formula1>
    </dataValidation>
    <dataValidation type="list" allowBlank="1" showInputMessage="1" showErrorMessage="1" sqref="KM1873:KM1875 R1817:R1892 R1919:R1920 KK1978:KK1982 KK1919:KK1920 WWW1919:WWW1920 WNA1919:WNA1920 WDE1919:WDE1920 VTI1919:VTI1920 VJM1919:VJM1920 UZQ1919:UZQ1920 UPU1919:UPU1920 UFY1919:UFY1920 TWC1919:TWC1920 TMG1919:TMG1920 TCK1919:TCK1920 SSO1919:SSO1920 SIS1919:SIS1920 RYW1919:RYW1920 RPA1919:RPA1920 RFE1919:RFE1920 QVI1919:QVI1920 QLM1919:QLM1920 QBQ1919:QBQ1920 PRU1919:PRU1920 PHY1919:PHY1920 OYC1919:OYC1920 OOG1919:OOG1920 OEK1919:OEK1920 NUO1919:NUO1920 NKS1919:NKS1920 NAW1919:NAW1920 MRA1919:MRA1920 MHE1919:MHE1920 LXI1919:LXI1920 LNM1919:LNM1920 LDQ1919:LDQ1920 KTU1919:KTU1920 KJY1919:KJY1920 KAC1919:KAC1920 JQG1919:JQG1920 JGK1919:JGK1920 IWO1919:IWO1920 IMS1919:IMS1920 ICW1919:ICW1920 HTA1919:HTA1920 HJE1919:HJE1920 GZI1919:GZI1920 GPM1919:GPM1920 GFQ1919:GFQ1920 FVU1919:FVU1920 FLY1919:FLY1920 FCC1919:FCC1920 ESG1919:ESG1920 EIK1919:EIK1920 DYO1919:DYO1920 DOS1919:DOS1920 DEW1919:DEW1920 CVA1919:CVA1920 CLE1919:CLE1920 CBI1919:CBI1920 BRM1919:BRM1920 BHQ1919:BHQ1920 AXU1919:AXU1920 ANY1919:ANY1920 AEC1919:AEC1920 UG1919:UG1920 UG1978:UG1982 AEC1978:AEC1982 ANY1978:ANY1982 AXU1978:AXU1982 BHQ1978:BHQ1982 BRM1978:BRM1982 CBI1978:CBI1982 CLE1978:CLE1982 CVA1978:CVA1982 DEW1978:DEW1982 DOS1978:DOS1982 DYO1978:DYO1982 EIK1978:EIK1982 ESG1978:ESG1982 FCC1978:FCC1982 FLY1978:FLY1982 FVU1978:FVU1982 GFQ1978:GFQ1982 GPM1978:GPM1982 GZI1978:GZI1982 HJE1978:HJE1982 HTA1978:HTA1982 ICW1978:ICW1982 IMS1978:IMS1982 IWO1978:IWO1982 JGK1978:JGK1982 JQG1978:JQG1982 KAC1978:KAC1982 KJY1978:KJY1982 KTU1978:KTU1982 LDQ1978:LDQ1982 LNM1978:LNM1982 LXI1978:LXI1982 MHE1978:MHE1982 MRA1978:MRA1982 NAW1978:NAW1982 NKS1978:NKS1982 NUO1978:NUO1982 OEK1978:OEK1982 OOG1978:OOG1982 OYC1978:OYC1982 PHY1978:PHY1982 PRU1978:PRU1982 QBQ1978:QBQ1982 QLM1978:QLM1982 QVI1978:QVI1982 RFE1978:RFE1982 RPA1978:RPA1982 RYW1978:RYW1982 SIS1978:SIS1982 SSO1978:SSO1982 TCK1978:TCK1982 TMG1978:TMG1982 TWC1978:TWC1982 UFY1978:UFY1982 UPU1978:UPU1982 UZQ1978:UZQ1982 VJM1978:VJM1982 VTI1978:VTI1982 WDE1978:WDE1982 WNA1978:WNA1982 WWW1978:WWW1982 KK1876:KK1892 UG1876:UG1892 AEC1876:AEC1892 ANY1876:ANY1892 AXU1876:AXU1892 BHQ1876:BHQ1892 BRM1876:BRM1892 CBI1876:CBI1892 CLE1876:CLE1892 CVA1876:CVA1892 DEW1876:DEW1892 DOS1876:DOS1892 DYO1876:DYO1892 EIK1876:EIK1892 ESG1876:ESG1892 FCC1876:FCC1892 FLY1876:FLY1892 FVU1876:FVU1892 GFQ1876:GFQ1892 GPM1876:GPM1892 GZI1876:GZI1892 HJE1876:HJE1892 HTA1876:HTA1892 ICW1876:ICW1892 IMS1876:IMS1892 IWO1876:IWO1892 JGK1876:JGK1892 JQG1876:JQG1892 KAC1876:KAC1892 KJY1876:KJY1892 KTU1876:KTU1892 LDQ1876:LDQ1892 LNM1876:LNM1892 LXI1876:LXI1892 MHE1876:MHE1892 MRA1876:MRA1892 NAW1876:NAW1892 NKS1876:NKS1892 NUO1876:NUO1892 OEK1876:OEK1892 OOG1876:OOG1892 OYC1876:OYC1892 PHY1876:PHY1892 PRU1876:PRU1892 QBQ1876:QBQ1892 QLM1876:QLM1892 QVI1876:QVI1892 RFE1876:RFE1892 RPA1876:RPA1892 RYW1876:RYW1892 SIS1876:SIS1892 SSO1876:SSO1892 TCK1876:TCK1892 TMG1876:TMG1892 TWC1876:TWC1892 UFY1876:UFY1892 UPU1876:UPU1892 UZQ1876:UZQ1892 VJM1876:VJM1892 VTI1876:VTI1892 WDE1876:WDE1892 WNA1876:WNA1892 WWW1876:WWW1892 WWZ1817:WWZ1872 WWY1873:WWY1875 WND1817:WND1872 WNC1873:WNC1875 WDH1817:WDH1872 WDG1873:WDG1875 VTL1817:VTL1872 VTK1873:VTK1875 VJP1817:VJP1872 VJO1873:VJO1875 UZT1817:UZT1872 UZS1873:UZS1875 UPX1817:UPX1872 UPW1873:UPW1875 UGB1817:UGB1872 UGA1873:UGA1875 TWF1817:TWF1872 TWE1873:TWE1875 TMJ1817:TMJ1872 TMI1873:TMI1875 TCN1817:TCN1872 TCM1873:TCM1875 SSR1817:SSR1872 SSQ1873:SSQ1875 SIV1817:SIV1872 SIU1873:SIU1875 RYZ1817:RYZ1872 RYY1873:RYY1875 RPD1817:RPD1872 RPC1873:RPC1875 RFH1817:RFH1872 RFG1873:RFG1875 QVL1817:QVL1872 QVK1873:QVK1875 QLP1817:QLP1872 QLO1873:QLO1875 QBT1817:QBT1872 QBS1873:QBS1875 PRX1817:PRX1872 PRW1873:PRW1875 PIB1817:PIB1872 PIA1873:PIA1875 OYF1817:OYF1872 OYE1873:OYE1875 OOJ1817:OOJ1872 OOI1873:OOI1875 OEN1817:OEN1872 OEM1873:OEM1875 NUR1817:NUR1872 NUQ1873:NUQ1875 NKV1817:NKV1872 NKU1873:NKU1875 NAZ1817:NAZ1872 NAY1873:NAY1875 MRD1817:MRD1872 MRC1873:MRC1875 MHH1817:MHH1872 MHG1873:MHG1875 LXL1817:LXL1872 LXK1873:LXK1875 LNP1817:LNP1872 LNO1873:LNO1875 LDT1817:LDT1872 LDS1873:LDS1875 KTX1817:KTX1872 KTW1873:KTW1875 KKB1817:KKB1872 KKA1873:KKA1875 KAF1817:KAF1872 KAE1873:KAE1875 JQJ1817:JQJ1872 JQI1873:JQI1875 JGN1817:JGN1872 JGM1873:JGM1875 IWR1817:IWR1872 IWQ1873:IWQ1875 IMV1817:IMV1872 IMU1873:IMU1875 ICZ1817:ICZ1872 ICY1873:ICY1875 HTD1817:HTD1872 HTC1873:HTC1875 HJH1817:HJH1872 HJG1873:HJG1875 GZL1817:GZL1872 GZK1873:GZK1875 GPP1817:GPP1872 GPO1873:GPO1875 GFT1817:GFT1872 GFS1873:GFS1875 FVX1817:FVX1872 FVW1873:FVW1875 FMB1817:FMB1872 FMA1873:FMA1875 FCF1817:FCF1872 FCE1873:FCE1875 ESJ1817:ESJ1872 ESI1873:ESI1875 EIN1817:EIN1872 EIM1873:EIM1875 DYR1817:DYR1872 DYQ1873:DYQ1875 DOV1817:DOV1872 DOU1873:DOU1875 DEZ1817:DEZ1872 DEY1873:DEY1875 CVD1817:CVD1872 CVC1873:CVC1875 CLH1817:CLH1872 CLG1873:CLG1875 CBL1817:CBL1872 CBK1873:CBK1875 BRP1817:BRP1872 BRO1873:BRO1875 BHT1817:BHT1872 BHS1873:BHS1875 AXX1817:AXX1872 AXW1873:AXW1875 AOB1817:AOB1872 AOA1873:AOA1875 AEF1817:AEF1872 AEE1873:AEE1875 UJ1817:UJ1872 UI1873:UI1875 KN1817:KN1872" xr:uid="{2300FDF4-18C6-4062-93EF-09D99795B06A}">
      <formula1>$N$1368:$N$1376</formula1>
    </dataValidation>
  </dataValidations>
  <hyperlinks>
    <hyperlink ref="S1665" r:id="rId1" location="catalog" xr:uid="{95BAE8EE-FF6A-4D3A-BDB9-65772BE447EF}"/>
    <hyperlink ref="S1654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I852"/>
  <sheetViews>
    <sheetView zoomScale="80" zoomScaleNormal="80" workbookViewId="0">
      <pane xSplit="2" ySplit="1" topLeftCell="C490" activePane="bottomRight" state="frozen"/>
      <selection pane="topRight" activeCell="D1" sqref="D1"/>
      <selection pane="bottomLeft" activeCell="A2" sqref="A2"/>
      <selection pane="bottomRight" activeCell="E495" sqref="E495:E505"/>
    </sheetView>
  </sheetViews>
  <sheetFormatPr defaultColWidth="9" defaultRowHeight="26.25" customHeight="1"/>
  <cols>
    <col min="1" max="1" width="52.375" style="9" customWidth="1"/>
    <col min="2" max="2" width="22.875" style="2" customWidth="1"/>
    <col min="3" max="3" width="16.25" style="53" customWidth="1"/>
    <col min="4" max="4" width="16" style="9" customWidth="1"/>
    <col min="5" max="5" width="14.375" style="2" customWidth="1"/>
    <col min="6" max="6" width="18.5" style="2" customWidth="1"/>
    <col min="7" max="7" width="10.375" style="2" customWidth="1"/>
    <col min="8" max="9" width="8.625" style="2" customWidth="1"/>
    <col min="10" max="10" width="8.625" style="4" customWidth="1"/>
    <col min="11" max="16384" width="9" style="4"/>
  </cols>
  <sheetData>
    <row r="1" spans="1:9" s="1" customFormat="1" ht="26.25" customHeight="1">
      <c r="A1" s="1" t="s">
        <v>1345</v>
      </c>
      <c r="B1" s="1" t="s">
        <v>1346</v>
      </c>
      <c r="C1" s="126" t="s">
        <v>1347</v>
      </c>
      <c r="D1" s="7" t="s">
        <v>1349</v>
      </c>
      <c r="E1" s="128" t="s">
        <v>1348</v>
      </c>
      <c r="F1" s="6" t="s">
        <v>1352</v>
      </c>
      <c r="G1" s="144" t="s">
        <v>1353</v>
      </c>
      <c r="H1" s="6"/>
      <c r="I1" s="6"/>
    </row>
    <row r="2" spans="1:9" s="13" customFormat="1" ht="26.25" customHeight="1">
      <c r="A2" s="13" t="s">
        <v>621</v>
      </c>
      <c r="B2" s="15"/>
      <c r="C2" s="46"/>
      <c r="D2" s="14">
        <v>401768</v>
      </c>
      <c r="E2" s="129"/>
      <c r="F2" s="17"/>
      <c r="G2" s="17"/>
      <c r="H2" s="17"/>
      <c r="I2" s="17"/>
    </row>
    <row r="3" spans="1:9" s="13" customFormat="1" ht="26.25" customHeight="1">
      <c r="A3" s="19" t="s">
        <v>1169</v>
      </c>
      <c r="B3" s="14" t="s">
        <v>1171</v>
      </c>
      <c r="C3" s="14" t="s">
        <v>1170</v>
      </c>
      <c r="D3" s="14">
        <v>401768</v>
      </c>
      <c r="E3" s="129" t="s">
        <v>1354</v>
      </c>
      <c r="F3" s="17"/>
      <c r="G3" s="17"/>
      <c r="H3" s="17"/>
      <c r="I3" s="17"/>
    </row>
    <row r="4" spans="1:9" s="13" customFormat="1" ht="26.25" customHeight="1">
      <c r="A4" s="19" t="s">
        <v>1172</v>
      </c>
      <c r="B4" s="14" t="s">
        <v>1173</v>
      </c>
      <c r="C4" s="14" t="s">
        <v>1174</v>
      </c>
      <c r="D4" s="14">
        <v>401768</v>
      </c>
      <c r="E4" s="129" t="s">
        <v>1354</v>
      </c>
      <c r="F4" s="17"/>
      <c r="G4" s="17"/>
      <c r="H4" s="17"/>
      <c r="I4" s="17"/>
    </row>
    <row r="5" spans="1:9" s="13" customFormat="1" ht="26.25" customHeight="1">
      <c r="A5" s="13" t="s">
        <v>628</v>
      </c>
      <c r="B5" s="15"/>
      <c r="C5" s="46"/>
      <c r="D5" s="14">
        <v>401768</v>
      </c>
      <c r="E5" s="129" t="s">
        <v>1354</v>
      </c>
      <c r="F5" s="17"/>
      <c r="G5" s="17"/>
      <c r="H5" s="17"/>
      <c r="I5" s="17"/>
    </row>
    <row r="6" spans="1:9" s="13" customFormat="1" ht="26.25" customHeight="1">
      <c r="A6" s="13" t="s">
        <v>631</v>
      </c>
      <c r="B6" s="15"/>
      <c r="C6" s="46"/>
      <c r="D6" s="14">
        <v>401768</v>
      </c>
      <c r="E6" s="129" t="s">
        <v>1354</v>
      </c>
      <c r="F6" s="17"/>
      <c r="G6" s="17"/>
      <c r="H6" s="17"/>
      <c r="I6" s="17"/>
    </row>
    <row r="7" spans="1:9" s="13" customFormat="1" ht="26.25" customHeight="1">
      <c r="A7" s="13" t="s">
        <v>630</v>
      </c>
      <c r="B7" s="15"/>
      <c r="C7" s="46"/>
      <c r="D7" s="14">
        <v>401768</v>
      </c>
      <c r="E7" s="129" t="s">
        <v>1354</v>
      </c>
      <c r="F7" s="17"/>
      <c r="G7" s="17"/>
      <c r="H7" s="17"/>
      <c r="I7" s="17"/>
    </row>
    <row r="8" spans="1:9" s="13" customFormat="1" ht="26.25" customHeight="1">
      <c r="A8" s="13" t="s">
        <v>644</v>
      </c>
      <c r="B8" s="15"/>
      <c r="C8" s="46"/>
      <c r="D8" s="14">
        <v>401768</v>
      </c>
      <c r="E8" s="129" t="s">
        <v>1354</v>
      </c>
      <c r="F8" s="17"/>
      <c r="G8" s="17"/>
      <c r="H8" s="17"/>
      <c r="I8" s="17"/>
    </row>
    <row r="9" spans="1:9" s="13" customFormat="1" ht="26.25" customHeight="1">
      <c r="A9" s="13" t="s">
        <v>645</v>
      </c>
      <c r="B9" s="15"/>
      <c r="C9" s="46"/>
      <c r="D9" s="14">
        <v>401768</v>
      </c>
      <c r="E9" s="129" t="s">
        <v>1354</v>
      </c>
      <c r="F9" s="17"/>
      <c r="G9" s="17"/>
      <c r="H9" s="17"/>
      <c r="I9" s="17"/>
    </row>
    <row r="10" spans="1:9" s="13" customFormat="1" ht="26.25" customHeight="1">
      <c r="A10" s="13" t="s">
        <v>941</v>
      </c>
      <c r="B10" s="15"/>
      <c r="C10" s="46"/>
      <c r="D10" s="14">
        <v>401768</v>
      </c>
      <c r="E10" s="129" t="s">
        <v>1354</v>
      </c>
      <c r="F10" s="17"/>
      <c r="G10" s="17"/>
      <c r="H10" s="17"/>
      <c r="I10" s="17"/>
    </row>
    <row r="11" spans="1:9" s="13" customFormat="1" ht="26.25" customHeight="1">
      <c r="A11" s="13" t="s">
        <v>646</v>
      </c>
      <c r="B11" s="15"/>
      <c r="C11" s="46"/>
      <c r="D11" s="14">
        <v>401768</v>
      </c>
      <c r="E11" s="129" t="s">
        <v>1354</v>
      </c>
      <c r="F11" s="17"/>
      <c r="G11" s="17"/>
      <c r="H11" s="17"/>
      <c r="I11" s="17"/>
    </row>
    <row r="12" spans="1:9" s="13" customFormat="1" ht="26.25" customHeight="1">
      <c r="A12" s="13" t="s">
        <v>647</v>
      </c>
      <c r="B12" s="15"/>
      <c r="C12" s="46"/>
      <c r="D12" s="14">
        <v>401768</v>
      </c>
      <c r="E12" s="129" t="s">
        <v>1354</v>
      </c>
      <c r="F12" s="17"/>
      <c r="G12" s="17"/>
      <c r="H12" s="17"/>
      <c r="I12" s="17"/>
    </row>
    <row r="13" spans="1:9" s="13" customFormat="1" ht="26.25" customHeight="1">
      <c r="A13" s="13" t="s">
        <v>648</v>
      </c>
      <c r="B13" s="15"/>
      <c r="C13" s="46"/>
      <c r="D13" s="14">
        <v>401768</v>
      </c>
      <c r="E13" s="129" t="s">
        <v>1354</v>
      </c>
      <c r="F13" s="17"/>
      <c r="G13" s="17"/>
      <c r="H13" s="17"/>
      <c r="I13" s="17"/>
    </row>
    <row r="14" spans="1:9" s="13" customFormat="1" ht="26.25" customHeight="1">
      <c r="A14" s="13" t="s">
        <v>649</v>
      </c>
      <c r="B14" s="15"/>
      <c r="C14" s="46"/>
      <c r="D14" s="14">
        <v>401768</v>
      </c>
      <c r="E14" s="129" t="s">
        <v>1354</v>
      </c>
      <c r="F14" s="17"/>
      <c r="G14" s="17"/>
      <c r="H14" s="17"/>
      <c r="I14" s="17"/>
    </row>
    <row r="15" spans="1:9" s="13" customFormat="1" ht="26.25" customHeight="1">
      <c r="A15" s="13" t="s">
        <v>650</v>
      </c>
      <c r="B15" s="15"/>
      <c r="C15" s="46"/>
      <c r="D15" s="14">
        <v>401768</v>
      </c>
      <c r="E15" s="129" t="s">
        <v>1354</v>
      </c>
      <c r="F15" s="17"/>
      <c r="G15" s="17"/>
      <c r="H15" s="17"/>
      <c r="I15" s="17"/>
    </row>
    <row r="16" spans="1:9" s="13" customFormat="1" ht="26.25" customHeight="1">
      <c r="A16" s="13" t="s">
        <v>651</v>
      </c>
      <c r="B16" s="15"/>
      <c r="C16" s="46"/>
      <c r="D16" s="14">
        <v>401768</v>
      </c>
      <c r="E16" s="129" t="s">
        <v>1354</v>
      </c>
      <c r="F16" s="17"/>
      <c r="G16" s="17"/>
      <c r="H16" s="17"/>
      <c r="I16" s="17"/>
    </row>
    <row r="17" spans="1:9" s="13" customFormat="1" ht="26.25" customHeight="1">
      <c r="A17" s="13" t="s">
        <v>840</v>
      </c>
      <c r="B17" s="15"/>
      <c r="C17" s="46"/>
      <c r="D17" s="14">
        <v>401768</v>
      </c>
      <c r="E17" s="129" t="s">
        <v>1354</v>
      </c>
      <c r="F17" s="17"/>
      <c r="G17" s="17"/>
      <c r="H17" s="17"/>
      <c r="I17" s="17"/>
    </row>
    <row r="18" spans="1:9" s="13" customFormat="1" ht="26.25" customHeight="1">
      <c r="A18" s="13" t="s">
        <v>847</v>
      </c>
      <c r="B18" s="15"/>
      <c r="C18" s="46"/>
      <c r="D18" s="14">
        <v>401768</v>
      </c>
      <c r="E18" s="129" t="s">
        <v>1354</v>
      </c>
      <c r="F18" s="17"/>
      <c r="G18" s="17"/>
      <c r="H18" s="17"/>
      <c r="I18" s="17"/>
    </row>
    <row r="19" spans="1:9" s="13" customFormat="1" ht="26.25" customHeight="1">
      <c r="A19" s="13" t="s">
        <v>848</v>
      </c>
      <c r="B19" s="15"/>
      <c r="C19" s="46"/>
      <c r="D19" s="14">
        <v>401768</v>
      </c>
      <c r="E19" s="129" t="s">
        <v>1354</v>
      </c>
      <c r="F19" s="17"/>
      <c r="G19" s="17"/>
      <c r="H19" s="17"/>
      <c r="I19" s="17"/>
    </row>
    <row r="20" spans="1:9" s="13" customFormat="1" ht="26.25" customHeight="1">
      <c r="A20" s="13" t="s">
        <v>850</v>
      </c>
      <c r="B20" s="15"/>
      <c r="C20" s="46"/>
      <c r="D20" s="14">
        <v>401768</v>
      </c>
      <c r="E20" s="129" t="s">
        <v>1354</v>
      </c>
      <c r="F20" s="17"/>
      <c r="G20" s="17"/>
      <c r="H20" s="17"/>
      <c r="I20" s="17"/>
    </row>
    <row r="21" spans="1:9" s="13" customFormat="1" ht="26.25" customHeight="1">
      <c r="A21" s="13" t="s">
        <v>851</v>
      </c>
      <c r="B21" s="15"/>
      <c r="C21" s="46"/>
      <c r="D21" s="14">
        <v>401768</v>
      </c>
      <c r="E21" s="129" t="s">
        <v>1354</v>
      </c>
      <c r="F21" s="17"/>
      <c r="G21" s="17"/>
      <c r="H21" s="17"/>
      <c r="I21" s="17"/>
    </row>
    <row r="22" spans="1:9" s="13" customFormat="1" ht="26.25" customHeight="1">
      <c r="A22" s="13" t="s">
        <v>852</v>
      </c>
      <c r="B22" s="15"/>
      <c r="C22" s="46"/>
      <c r="D22" s="14">
        <v>401768</v>
      </c>
      <c r="E22" s="129" t="s">
        <v>1354</v>
      </c>
      <c r="F22" s="17"/>
      <c r="G22" s="17"/>
      <c r="H22" s="17"/>
      <c r="I22" s="17"/>
    </row>
    <row r="23" spans="1:9" s="13" customFormat="1" ht="26.25" customHeight="1">
      <c r="A23" s="13" t="s">
        <v>854</v>
      </c>
      <c r="B23" s="15"/>
      <c r="C23" s="46"/>
      <c r="D23" s="14">
        <v>401768</v>
      </c>
      <c r="E23" s="129" t="s">
        <v>1354</v>
      </c>
      <c r="F23" s="17"/>
      <c r="G23" s="17"/>
      <c r="H23" s="17"/>
      <c r="I23" s="17"/>
    </row>
    <row r="24" spans="1:9" s="13" customFormat="1" ht="26.25" customHeight="1">
      <c r="A24" s="13" t="s">
        <v>856</v>
      </c>
      <c r="B24" s="15"/>
      <c r="C24" s="46"/>
      <c r="D24" s="14">
        <v>401768</v>
      </c>
      <c r="E24" s="129" t="s">
        <v>1354</v>
      </c>
      <c r="F24" s="17"/>
      <c r="G24" s="17"/>
      <c r="H24" s="17"/>
      <c r="I24" s="17"/>
    </row>
    <row r="25" spans="1:9" s="13" customFormat="1" ht="26.25" customHeight="1">
      <c r="A25" s="13" t="s">
        <v>857</v>
      </c>
      <c r="B25" s="15"/>
      <c r="C25" s="46"/>
      <c r="D25" s="14">
        <v>401768</v>
      </c>
      <c r="E25" s="129" t="s">
        <v>1354</v>
      </c>
      <c r="F25" s="17"/>
      <c r="G25" s="17"/>
      <c r="H25" s="17"/>
      <c r="I25" s="17"/>
    </row>
    <row r="26" spans="1:9" s="13" customFormat="1" ht="26.25" customHeight="1">
      <c r="A26" s="13" t="s">
        <v>859</v>
      </c>
      <c r="B26" s="15"/>
      <c r="C26" s="46"/>
      <c r="D26" s="14">
        <v>401768</v>
      </c>
      <c r="E26" s="129" t="s">
        <v>1354</v>
      </c>
      <c r="F26" s="17"/>
      <c r="G26" s="17"/>
      <c r="H26" s="17"/>
      <c r="I26" s="17"/>
    </row>
    <row r="27" spans="1:9" s="13" customFormat="1" ht="26.25" customHeight="1">
      <c r="A27" s="13" t="s">
        <v>860</v>
      </c>
      <c r="B27" s="15"/>
      <c r="C27" s="46"/>
      <c r="D27" s="14">
        <v>401768</v>
      </c>
      <c r="E27" s="129" t="s">
        <v>1354</v>
      </c>
      <c r="F27" s="17"/>
      <c r="G27" s="17"/>
      <c r="H27" s="17"/>
      <c r="I27" s="17"/>
    </row>
    <row r="28" spans="1:9" s="13" customFormat="1" ht="26.25" customHeight="1">
      <c r="A28" s="13" t="s">
        <v>862</v>
      </c>
      <c r="B28" s="15"/>
      <c r="C28" s="46"/>
      <c r="D28" s="14">
        <v>401768</v>
      </c>
      <c r="E28" s="129" t="s">
        <v>1354</v>
      </c>
      <c r="F28" s="17"/>
      <c r="G28" s="17"/>
      <c r="H28" s="17"/>
      <c r="I28" s="17"/>
    </row>
    <row r="29" spans="1:9" s="13" customFormat="1" ht="26.25" customHeight="1">
      <c r="A29" s="13" t="s">
        <v>866</v>
      </c>
      <c r="B29" s="15"/>
      <c r="C29" s="46"/>
      <c r="D29" s="14">
        <v>401768</v>
      </c>
      <c r="E29" s="129" t="s">
        <v>1354</v>
      </c>
      <c r="F29" s="17"/>
      <c r="G29" s="17"/>
      <c r="H29" s="17"/>
      <c r="I29" s="17"/>
    </row>
    <row r="30" spans="1:9" s="13" customFormat="1" ht="26.25" customHeight="1">
      <c r="A30" s="13" t="s">
        <v>867</v>
      </c>
      <c r="B30" s="15"/>
      <c r="C30" s="46"/>
      <c r="D30" s="14">
        <v>401768</v>
      </c>
      <c r="E30" s="129" t="s">
        <v>1354</v>
      </c>
      <c r="F30" s="17"/>
      <c r="G30" s="17"/>
      <c r="H30" s="17"/>
      <c r="I30" s="17"/>
    </row>
    <row r="31" spans="1:9" s="13" customFormat="1" ht="26.25" customHeight="1">
      <c r="A31" s="13" t="s">
        <v>868</v>
      </c>
      <c r="B31" s="15"/>
      <c r="C31" s="46"/>
      <c r="D31" s="14">
        <v>401768</v>
      </c>
      <c r="E31" s="129" t="s">
        <v>1354</v>
      </c>
      <c r="F31" s="17"/>
      <c r="G31" s="17"/>
      <c r="H31" s="17"/>
      <c r="I31" s="17"/>
    </row>
    <row r="32" spans="1:9" s="13" customFormat="1" ht="26.25" customHeight="1">
      <c r="A32" s="13" t="s">
        <v>869</v>
      </c>
      <c r="B32" s="15"/>
      <c r="C32" s="46"/>
      <c r="D32" s="14">
        <v>401768</v>
      </c>
      <c r="E32" s="129" t="s">
        <v>1354</v>
      </c>
      <c r="F32" s="17"/>
      <c r="G32" s="17"/>
      <c r="H32" s="17"/>
      <c r="I32" s="17"/>
    </row>
    <row r="33" spans="1:9" s="13" customFormat="1" ht="26.25" customHeight="1">
      <c r="A33" s="13" t="s">
        <v>870</v>
      </c>
      <c r="B33" s="15"/>
      <c r="C33" s="46"/>
      <c r="D33" s="14">
        <v>401768</v>
      </c>
      <c r="E33" s="129" t="s">
        <v>1354</v>
      </c>
      <c r="F33" s="17"/>
      <c r="G33" s="17"/>
      <c r="H33" s="17"/>
      <c r="I33" s="17"/>
    </row>
    <row r="34" spans="1:9" s="13" customFormat="1" ht="26.25" customHeight="1">
      <c r="A34" s="13" t="s">
        <v>871</v>
      </c>
      <c r="B34" s="15"/>
      <c r="C34" s="46"/>
      <c r="D34" s="14">
        <v>401768</v>
      </c>
      <c r="E34" s="129" t="s">
        <v>1354</v>
      </c>
      <c r="F34" s="17"/>
      <c r="G34" s="17"/>
      <c r="H34" s="17"/>
      <c r="I34" s="17"/>
    </row>
    <row r="35" spans="1:9" s="13" customFormat="1" ht="26.25" customHeight="1">
      <c r="A35" s="13" t="s">
        <v>872</v>
      </c>
      <c r="B35" s="15"/>
      <c r="C35" s="46"/>
      <c r="D35" s="14">
        <v>401768</v>
      </c>
      <c r="E35" s="129" t="s">
        <v>1354</v>
      </c>
      <c r="F35" s="17"/>
      <c r="G35" s="17"/>
      <c r="H35" s="17"/>
      <c r="I35" s="17"/>
    </row>
    <row r="36" spans="1:9" s="13" customFormat="1" ht="26.25" customHeight="1">
      <c r="A36" s="13" t="s">
        <v>873</v>
      </c>
      <c r="B36" s="15"/>
      <c r="C36" s="46"/>
      <c r="D36" s="14">
        <v>401768</v>
      </c>
      <c r="E36" s="129" t="s">
        <v>1354</v>
      </c>
      <c r="F36" s="17"/>
      <c r="G36" s="17"/>
      <c r="H36" s="17"/>
      <c r="I36" s="17"/>
    </row>
    <row r="37" spans="1:9" s="13" customFormat="1" ht="26.25" customHeight="1">
      <c r="A37" s="13" t="s">
        <v>874</v>
      </c>
      <c r="B37" s="15"/>
      <c r="C37" s="46"/>
      <c r="D37" s="14">
        <v>401768</v>
      </c>
      <c r="E37" s="129" t="s">
        <v>1354</v>
      </c>
      <c r="F37" s="17"/>
      <c r="G37" s="17"/>
      <c r="H37" s="17"/>
      <c r="I37" s="17"/>
    </row>
    <row r="38" spans="1:9" s="13" customFormat="1" ht="26.25" customHeight="1">
      <c r="A38" s="13" t="s">
        <v>875</v>
      </c>
      <c r="B38" s="15"/>
      <c r="C38" s="46"/>
      <c r="D38" s="14">
        <v>401768</v>
      </c>
      <c r="E38" s="129" t="s">
        <v>1354</v>
      </c>
      <c r="F38" s="17"/>
      <c r="G38" s="17"/>
      <c r="H38" s="17"/>
      <c r="I38" s="17"/>
    </row>
    <row r="39" spans="1:9" s="13" customFormat="1" ht="26.25" customHeight="1">
      <c r="A39" s="13" t="s">
        <v>876</v>
      </c>
      <c r="B39" s="15"/>
      <c r="C39" s="46"/>
      <c r="D39" s="14">
        <v>401768</v>
      </c>
      <c r="E39" s="129" t="s">
        <v>1354</v>
      </c>
      <c r="F39" s="17"/>
      <c r="G39" s="17"/>
      <c r="H39" s="17"/>
      <c r="I39" s="17"/>
    </row>
    <row r="40" spans="1:9" s="13" customFormat="1" ht="26.25" customHeight="1">
      <c r="A40" s="13" t="s">
        <v>877</v>
      </c>
      <c r="B40" s="15"/>
      <c r="C40" s="46"/>
      <c r="D40" s="14">
        <v>401768</v>
      </c>
      <c r="E40" s="129" t="s">
        <v>1354</v>
      </c>
      <c r="F40" s="17"/>
      <c r="G40" s="17"/>
      <c r="H40" s="17"/>
      <c r="I40" s="17"/>
    </row>
    <row r="41" spans="1:9" s="13" customFormat="1" ht="26.25" customHeight="1">
      <c r="A41" s="13" t="s">
        <v>878</v>
      </c>
      <c r="B41" s="15"/>
      <c r="C41" s="46"/>
      <c r="D41" s="14">
        <v>401768</v>
      </c>
      <c r="E41" s="129" t="s">
        <v>1354</v>
      </c>
      <c r="F41" s="17"/>
      <c r="G41" s="17"/>
      <c r="H41" s="17"/>
      <c r="I41" s="17"/>
    </row>
    <row r="42" spans="1:9" s="13" customFormat="1" ht="26.25" customHeight="1">
      <c r="A42" s="13" t="s">
        <v>879</v>
      </c>
      <c r="B42" s="15"/>
      <c r="C42" s="46"/>
      <c r="D42" s="14">
        <v>401768</v>
      </c>
      <c r="E42" s="129" t="s">
        <v>1354</v>
      </c>
      <c r="F42" s="17"/>
      <c r="G42" s="17"/>
      <c r="H42" s="17"/>
      <c r="I42" s="17"/>
    </row>
    <row r="43" spans="1:9" s="13" customFormat="1" ht="26.25" customHeight="1">
      <c r="A43" s="13" t="s">
        <v>880</v>
      </c>
      <c r="B43" s="15"/>
      <c r="C43" s="46"/>
      <c r="D43" s="14">
        <v>401768</v>
      </c>
      <c r="E43" s="129" t="s">
        <v>1354</v>
      </c>
      <c r="F43" s="17"/>
      <c r="G43" s="17"/>
      <c r="H43" s="17"/>
      <c r="I43" s="17"/>
    </row>
    <row r="44" spans="1:9" s="13" customFormat="1" ht="26.25" customHeight="1">
      <c r="A44" s="13" t="s">
        <v>881</v>
      </c>
      <c r="B44" s="15"/>
      <c r="C44" s="46"/>
      <c r="D44" s="14">
        <v>401768</v>
      </c>
      <c r="E44" s="129" t="s">
        <v>1354</v>
      </c>
      <c r="F44" s="17"/>
      <c r="G44" s="17"/>
      <c r="H44" s="17"/>
      <c r="I44" s="17"/>
    </row>
    <row r="45" spans="1:9" s="13" customFormat="1" ht="26.25" customHeight="1">
      <c r="A45" s="13" t="s">
        <v>882</v>
      </c>
      <c r="B45" s="15"/>
      <c r="C45" s="46"/>
      <c r="D45" s="14">
        <v>401768</v>
      </c>
      <c r="E45" s="129" t="s">
        <v>1354</v>
      </c>
      <c r="F45" s="17"/>
      <c r="G45" s="17"/>
      <c r="H45" s="17"/>
      <c r="I45" s="17"/>
    </row>
    <row r="46" spans="1:9" s="13" customFormat="1" ht="26.25" customHeight="1">
      <c r="A46" s="13" t="s">
        <v>883</v>
      </c>
      <c r="B46" s="15"/>
      <c r="C46" s="46"/>
      <c r="D46" s="14">
        <v>401768</v>
      </c>
      <c r="E46" s="129" t="s">
        <v>1354</v>
      </c>
      <c r="F46" s="17"/>
      <c r="G46" s="17"/>
      <c r="H46" s="17"/>
      <c r="I46" s="17"/>
    </row>
    <row r="47" spans="1:9" s="13" customFormat="1" ht="26.25" customHeight="1">
      <c r="A47" s="13" t="s">
        <v>884</v>
      </c>
      <c r="B47" s="15"/>
      <c r="C47" s="46"/>
      <c r="D47" s="14">
        <v>401768</v>
      </c>
      <c r="E47" s="129" t="s">
        <v>1354</v>
      </c>
      <c r="F47" s="17"/>
      <c r="G47" s="17"/>
      <c r="H47" s="17"/>
      <c r="I47" s="17"/>
    </row>
    <row r="48" spans="1:9" s="13" customFormat="1" ht="26.25" customHeight="1">
      <c r="A48" s="13" t="s">
        <v>885</v>
      </c>
      <c r="B48" s="15"/>
      <c r="C48" s="46"/>
      <c r="D48" s="14">
        <v>401768</v>
      </c>
      <c r="E48" s="129" t="s">
        <v>1354</v>
      </c>
      <c r="F48" s="17"/>
      <c r="G48" s="17"/>
      <c r="H48" s="17"/>
      <c r="I48" s="17"/>
    </row>
    <row r="49" spans="1:9" s="13" customFormat="1" ht="26.25" customHeight="1">
      <c r="A49" s="13" t="s">
        <v>886</v>
      </c>
      <c r="B49" s="15"/>
      <c r="C49" s="46"/>
      <c r="D49" s="14">
        <v>401768</v>
      </c>
      <c r="E49" s="129" t="s">
        <v>1354</v>
      </c>
      <c r="F49" s="17"/>
      <c r="G49" s="17"/>
      <c r="H49" s="17"/>
      <c r="I49" s="17"/>
    </row>
    <row r="50" spans="1:9" s="13" customFormat="1" ht="26.25" customHeight="1">
      <c r="A50" s="13" t="s">
        <v>887</v>
      </c>
      <c r="B50" s="15"/>
      <c r="C50" s="46"/>
      <c r="D50" s="14">
        <v>401768</v>
      </c>
      <c r="E50" s="129" t="s">
        <v>1354</v>
      </c>
      <c r="F50" s="17"/>
      <c r="G50" s="17"/>
      <c r="H50" s="17"/>
      <c r="I50" s="17"/>
    </row>
    <row r="51" spans="1:9" s="13" customFormat="1" ht="26.25" customHeight="1">
      <c r="A51" s="13" t="s">
        <v>888</v>
      </c>
      <c r="B51" s="15"/>
      <c r="C51" s="46"/>
      <c r="D51" s="14">
        <v>401768</v>
      </c>
      <c r="E51" s="129" t="s">
        <v>1354</v>
      </c>
      <c r="F51" s="17"/>
      <c r="G51" s="17"/>
      <c r="H51" s="17"/>
      <c r="I51" s="17"/>
    </row>
    <row r="52" spans="1:9" s="13" customFormat="1" ht="26.25" customHeight="1">
      <c r="A52" s="13" t="s">
        <v>890</v>
      </c>
      <c r="B52" s="15"/>
      <c r="C52" s="46"/>
      <c r="D52" s="14">
        <v>401768</v>
      </c>
      <c r="E52" s="129" t="s">
        <v>1354</v>
      </c>
      <c r="F52" s="17"/>
      <c r="G52" s="17"/>
      <c r="H52" s="17"/>
      <c r="I52" s="17"/>
    </row>
    <row r="53" spans="1:9" s="13" customFormat="1" ht="26.25" customHeight="1">
      <c r="A53" s="13" t="s">
        <v>897</v>
      </c>
      <c r="B53" s="15"/>
      <c r="C53" s="46"/>
      <c r="D53" s="14">
        <v>401768</v>
      </c>
      <c r="E53" s="129" t="s">
        <v>1354</v>
      </c>
      <c r="F53" s="17"/>
      <c r="G53" s="17"/>
      <c r="H53" s="17"/>
      <c r="I53" s="17"/>
    </row>
    <row r="54" spans="1:9" s="13" customFormat="1" ht="26.25" customHeight="1">
      <c r="A54" s="13" t="s">
        <v>898</v>
      </c>
      <c r="B54" s="15"/>
      <c r="C54" s="46"/>
      <c r="D54" s="14">
        <v>401768</v>
      </c>
      <c r="E54" s="129" t="s">
        <v>1354</v>
      </c>
      <c r="F54" s="17"/>
      <c r="G54" s="17"/>
      <c r="H54" s="17"/>
      <c r="I54" s="17"/>
    </row>
    <row r="55" spans="1:9" s="13" customFormat="1" ht="26.25" customHeight="1">
      <c r="A55" s="13" t="s">
        <v>899</v>
      </c>
      <c r="B55" s="15"/>
      <c r="C55" s="46"/>
      <c r="D55" s="14">
        <v>401768</v>
      </c>
      <c r="E55" s="129" t="s">
        <v>1354</v>
      </c>
      <c r="F55" s="17"/>
      <c r="G55" s="17"/>
      <c r="H55" s="17"/>
      <c r="I55" s="17"/>
    </row>
    <row r="56" spans="1:9" s="13" customFormat="1" ht="26.25" customHeight="1">
      <c r="A56" s="13" t="s">
        <v>900</v>
      </c>
      <c r="B56" s="15"/>
      <c r="C56" s="46"/>
      <c r="D56" s="14">
        <v>401768</v>
      </c>
      <c r="E56" s="129" t="s">
        <v>1354</v>
      </c>
      <c r="F56" s="17"/>
      <c r="G56" s="17"/>
      <c r="H56" s="17"/>
      <c r="I56" s="17"/>
    </row>
    <row r="57" spans="1:9" s="13" customFormat="1" ht="26.25" customHeight="1">
      <c r="A57" s="13" t="s">
        <v>901</v>
      </c>
      <c r="B57" s="15"/>
      <c r="C57" s="46"/>
      <c r="D57" s="14">
        <v>401768</v>
      </c>
      <c r="E57" s="129" t="s">
        <v>1354</v>
      </c>
      <c r="F57" s="17"/>
      <c r="G57" s="17"/>
      <c r="H57" s="17"/>
      <c r="I57" s="17"/>
    </row>
    <row r="58" spans="1:9" s="13" customFormat="1" ht="26.25" customHeight="1">
      <c r="A58" s="13" t="s">
        <v>902</v>
      </c>
      <c r="B58" s="15"/>
      <c r="C58" s="46"/>
      <c r="D58" s="14">
        <v>401768</v>
      </c>
      <c r="E58" s="129" t="s">
        <v>1354</v>
      </c>
      <c r="F58" s="17"/>
      <c r="G58" s="17"/>
      <c r="H58" s="17"/>
      <c r="I58" s="17"/>
    </row>
    <row r="59" spans="1:9" s="13" customFormat="1" ht="26.25" customHeight="1">
      <c r="A59" s="13" t="s">
        <v>903</v>
      </c>
      <c r="B59" s="15"/>
      <c r="C59" s="46"/>
      <c r="D59" s="14">
        <v>401768</v>
      </c>
      <c r="E59" s="129" t="s">
        <v>1354</v>
      </c>
      <c r="F59" s="17"/>
      <c r="G59" s="17"/>
      <c r="H59" s="17"/>
      <c r="I59" s="17"/>
    </row>
    <row r="60" spans="1:9" s="13" customFormat="1" ht="26.25" customHeight="1">
      <c r="A60" s="13" t="s">
        <v>904</v>
      </c>
      <c r="B60" s="15"/>
      <c r="C60" s="46"/>
      <c r="D60" s="14">
        <v>401768</v>
      </c>
      <c r="E60" s="129" t="s">
        <v>1354</v>
      </c>
      <c r="F60" s="17"/>
      <c r="G60" s="17"/>
      <c r="H60" s="17"/>
      <c r="I60" s="17"/>
    </row>
    <row r="61" spans="1:9" s="13" customFormat="1" ht="26.25" customHeight="1">
      <c r="A61" s="13" t="s">
        <v>905</v>
      </c>
      <c r="B61" s="15"/>
      <c r="C61" s="46"/>
      <c r="D61" s="14">
        <v>401768</v>
      </c>
      <c r="E61" s="129" t="s">
        <v>1354</v>
      </c>
      <c r="F61" s="17"/>
      <c r="G61" s="17"/>
      <c r="H61" s="17"/>
      <c r="I61" s="17"/>
    </row>
    <row r="62" spans="1:9" s="13" customFormat="1" ht="26.25" customHeight="1">
      <c r="A62" s="13" t="s">
        <v>906</v>
      </c>
      <c r="B62" s="15"/>
      <c r="C62" s="46"/>
      <c r="D62" s="14">
        <v>401768</v>
      </c>
      <c r="E62" s="129" t="s">
        <v>1354</v>
      </c>
      <c r="F62" s="17"/>
      <c r="G62" s="17"/>
      <c r="H62" s="17"/>
      <c r="I62" s="17"/>
    </row>
    <row r="63" spans="1:9" s="13" customFormat="1" ht="26.25" customHeight="1">
      <c r="A63" s="13" t="s">
        <v>907</v>
      </c>
      <c r="B63" s="15"/>
      <c r="C63" s="46"/>
      <c r="D63" s="14">
        <v>401768</v>
      </c>
      <c r="E63" s="129" t="s">
        <v>1354</v>
      </c>
      <c r="F63" s="17"/>
      <c r="G63" s="17"/>
      <c r="H63" s="17"/>
      <c r="I63" s="17"/>
    </row>
    <row r="64" spans="1:9" s="13" customFormat="1" ht="26.25" customHeight="1">
      <c r="A64" s="13" t="s">
        <v>908</v>
      </c>
      <c r="B64" s="15"/>
      <c r="C64" s="46"/>
      <c r="D64" s="14">
        <v>401768</v>
      </c>
      <c r="E64" s="129" t="s">
        <v>1354</v>
      </c>
      <c r="F64" s="17"/>
      <c r="G64" s="17"/>
      <c r="H64" s="17"/>
      <c r="I64" s="17"/>
    </row>
    <row r="65" spans="1:9" s="13" customFormat="1" ht="26.25" customHeight="1">
      <c r="A65" s="13" t="s">
        <v>909</v>
      </c>
      <c r="B65" s="15"/>
      <c r="C65" s="46"/>
      <c r="D65" s="14">
        <v>401768</v>
      </c>
      <c r="E65" s="129" t="s">
        <v>1354</v>
      </c>
      <c r="F65" s="17"/>
      <c r="G65" s="17"/>
      <c r="H65" s="17"/>
      <c r="I65" s="17"/>
    </row>
    <row r="66" spans="1:9" s="13" customFormat="1" ht="26.25" customHeight="1">
      <c r="A66" s="13" t="s">
        <v>910</v>
      </c>
      <c r="B66" s="15"/>
      <c r="C66" s="46"/>
      <c r="D66" s="14">
        <v>401768</v>
      </c>
      <c r="E66" s="129" t="s">
        <v>1354</v>
      </c>
      <c r="F66" s="17"/>
      <c r="G66" s="17"/>
      <c r="H66" s="17"/>
      <c r="I66" s="17"/>
    </row>
    <row r="67" spans="1:9" s="13" customFormat="1" ht="26.25" customHeight="1">
      <c r="A67" s="13" t="s">
        <v>911</v>
      </c>
      <c r="B67" s="15"/>
      <c r="C67" s="46"/>
      <c r="D67" s="14">
        <v>401768</v>
      </c>
      <c r="E67" s="129" t="s">
        <v>1354</v>
      </c>
      <c r="F67" s="17"/>
      <c r="G67" s="17"/>
      <c r="H67" s="17"/>
      <c r="I67" s="17"/>
    </row>
    <row r="68" spans="1:9" s="13" customFormat="1" ht="26.25" customHeight="1">
      <c r="A68" s="13" t="s">
        <v>912</v>
      </c>
      <c r="B68" s="15"/>
      <c r="C68" s="46"/>
      <c r="D68" s="14">
        <v>401768</v>
      </c>
      <c r="E68" s="129" t="s">
        <v>1354</v>
      </c>
      <c r="F68" s="17"/>
      <c r="G68" s="17"/>
      <c r="H68" s="17"/>
      <c r="I68" s="17"/>
    </row>
    <row r="69" spans="1:9" s="13" customFormat="1" ht="26.25" customHeight="1">
      <c r="A69" s="13" t="s">
        <v>913</v>
      </c>
      <c r="B69" s="15"/>
      <c r="C69" s="46"/>
      <c r="D69" s="14">
        <v>401768</v>
      </c>
      <c r="E69" s="129" t="s">
        <v>1354</v>
      </c>
      <c r="F69" s="17"/>
      <c r="G69" s="17"/>
      <c r="H69" s="17"/>
      <c r="I69" s="17"/>
    </row>
    <row r="70" spans="1:9" s="13" customFormat="1" ht="26.25" customHeight="1">
      <c r="A70" s="13" t="s">
        <v>915</v>
      </c>
      <c r="B70" s="15"/>
      <c r="C70" s="46"/>
      <c r="D70" s="14">
        <v>401768</v>
      </c>
      <c r="E70" s="129" t="s">
        <v>1354</v>
      </c>
      <c r="F70" s="17"/>
      <c r="G70" s="17"/>
      <c r="H70" s="17"/>
      <c r="I70" s="17"/>
    </row>
    <row r="71" spans="1:9" s="13" customFormat="1" ht="26.25" customHeight="1">
      <c r="A71" s="13" t="s">
        <v>916</v>
      </c>
      <c r="B71" s="15"/>
      <c r="C71" s="46"/>
      <c r="D71" s="14">
        <v>401768</v>
      </c>
      <c r="E71" s="129" t="s">
        <v>1354</v>
      </c>
      <c r="F71" s="17"/>
      <c r="G71" s="17"/>
      <c r="H71" s="17"/>
      <c r="I71" s="17"/>
    </row>
    <row r="72" spans="1:9" s="13" customFormat="1" ht="26.25" customHeight="1">
      <c r="A72" s="13" t="s">
        <v>917</v>
      </c>
      <c r="B72" s="15"/>
      <c r="C72" s="46"/>
      <c r="D72" s="14">
        <v>401768</v>
      </c>
      <c r="E72" s="129" t="s">
        <v>1354</v>
      </c>
      <c r="F72" s="17"/>
      <c r="G72" s="17"/>
      <c r="H72" s="17"/>
      <c r="I72" s="17"/>
    </row>
    <row r="73" spans="1:9" s="13" customFormat="1" ht="26.25" customHeight="1">
      <c r="A73" s="13" t="s">
        <v>918</v>
      </c>
      <c r="B73" s="15"/>
      <c r="C73" s="46"/>
      <c r="D73" s="14">
        <v>401768</v>
      </c>
      <c r="E73" s="129" t="s">
        <v>1354</v>
      </c>
      <c r="F73" s="17"/>
      <c r="G73" s="17"/>
      <c r="H73" s="17"/>
      <c r="I73" s="17"/>
    </row>
    <row r="74" spans="1:9" s="13" customFormat="1" ht="26.25" customHeight="1">
      <c r="A74" s="13" t="s">
        <v>919</v>
      </c>
      <c r="B74" s="15"/>
      <c r="C74" s="46"/>
      <c r="D74" s="14">
        <v>401768</v>
      </c>
      <c r="E74" s="129" t="s">
        <v>1354</v>
      </c>
      <c r="F74" s="17"/>
      <c r="G74" s="17"/>
      <c r="H74" s="17"/>
      <c r="I74" s="17"/>
    </row>
    <row r="75" spans="1:9" s="13" customFormat="1" ht="26.25" customHeight="1">
      <c r="A75" s="13" t="s">
        <v>920</v>
      </c>
      <c r="B75" s="15"/>
      <c r="C75" s="46"/>
      <c r="D75" s="14">
        <v>401768</v>
      </c>
      <c r="E75" s="129" t="s">
        <v>1354</v>
      </c>
      <c r="F75" s="17"/>
      <c r="G75" s="17"/>
      <c r="H75" s="17"/>
      <c r="I75" s="17"/>
    </row>
    <row r="76" spans="1:9" s="13" customFormat="1" ht="26.25" customHeight="1">
      <c r="A76" s="13" t="s">
        <v>921</v>
      </c>
      <c r="B76" s="15"/>
      <c r="C76" s="46"/>
      <c r="D76" s="14">
        <v>401768</v>
      </c>
      <c r="E76" s="129" t="s">
        <v>1354</v>
      </c>
      <c r="F76" s="17"/>
      <c r="G76" s="17"/>
      <c r="H76" s="17"/>
      <c r="I76" s="17"/>
    </row>
    <row r="77" spans="1:9" s="13" customFormat="1" ht="26.25" customHeight="1">
      <c r="A77" s="13" t="s">
        <v>922</v>
      </c>
      <c r="B77" s="15"/>
      <c r="C77" s="46"/>
      <c r="D77" s="14">
        <v>401768</v>
      </c>
      <c r="E77" s="129" t="s">
        <v>1354</v>
      </c>
      <c r="F77" s="17"/>
      <c r="G77" s="17"/>
      <c r="H77" s="17"/>
      <c r="I77" s="17"/>
    </row>
    <row r="78" spans="1:9" s="13" customFormat="1" ht="26.25" customHeight="1">
      <c r="A78" s="13" t="s">
        <v>923</v>
      </c>
      <c r="B78" s="15"/>
      <c r="C78" s="46"/>
      <c r="D78" s="14">
        <v>401768</v>
      </c>
      <c r="E78" s="129" t="s">
        <v>1354</v>
      </c>
      <c r="F78" s="17"/>
      <c r="G78" s="17"/>
      <c r="H78" s="17"/>
      <c r="I78" s="17"/>
    </row>
    <row r="79" spans="1:9" s="13" customFormat="1" ht="26.25" customHeight="1">
      <c r="A79" s="13" t="s">
        <v>924</v>
      </c>
      <c r="B79" s="15"/>
      <c r="C79" s="46"/>
      <c r="D79" s="14">
        <v>401768</v>
      </c>
      <c r="E79" s="129" t="s">
        <v>1354</v>
      </c>
      <c r="F79" s="17"/>
      <c r="G79" s="17"/>
      <c r="H79" s="17"/>
      <c r="I79" s="17"/>
    </row>
    <row r="80" spans="1:9" s="13" customFormat="1" ht="26.25" customHeight="1">
      <c r="A80" s="13" t="s">
        <v>925</v>
      </c>
      <c r="B80" s="15"/>
      <c r="C80" s="46"/>
      <c r="D80" s="14">
        <v>401768</v>
      </c>
      <c r="E80" s="129" t="s">
        <v>1354</v>
      </c>
      <c r="F80" s="17"/>
      <c r="G80" s="17"/>
      <c r="H80" s="17"/>
      <c r="I80" s="17"/>
    </row>
    <row r="81" spans="1:9" s="13" customFormat="1" ht="26.25" customHeight="1">
      <c r="A81" s="13" t="s">
        <v>926</v>
      </c>
      <c r="B81" s="15"/>
      <c r="C81" s="46"/>
      <c r="D81" s="14">
        <v>401768</v>
      </c>
      <c r="E81" s="129" t="s">
        <v>1354</v>
      </c>
      <c r="F81" s="17"/>
      <c r="G81" s="17"/>
      <c r="H81" s="17"/>
      <c r="I81" s="17"/>
    </row>
    <row r="82" spans="1:9" s="13" customFormat="1" ht="26.25" customHeight="1">
      <c r="A82" s="13" t="s">
        <v>927</v>
      </c>
      <c r="B82" s="15"/>
      <c r="C82" s="46"/>
      <c r="D82" s="14">
        <v>401768</v>
      </c>
      <c r="E82" s="129" t="s">
        <v>1354</v>
      </c>
      <c r="F82" s="17"/>
      <c r="G82" s="17"/>
      <c r="H82" s="17"/>
      <c r="I82" s="17"/>
    </row>
    <row r="83" spans="1:9" s="13" customFormat="1" ht="26.25" customHeight="1">
      <c r="A83" s="13" t="s">
        <v>928</v>
      </c>
      <c r="B83" s="15"/>
      <c r="C83" s="46"/>
      <c r="D83" s="14">
        <v>401768</v>
      </c>
      <c r="E83" s="129" t="s">
        <v>1354</v>
      </c>
      <c r="F83" s="17"/>
      <c r="G83" s="17"/>
      <c r="H83" s="17"/>
      <c r="I83" s="17"/>
    </row>
    <row r="84" spans="1:9" s="13" customFormat="1" ht="26.25" customHeight="1">
      <c r="A84" s="13" t="s">
        <v>929</v>
      </c>
      <c r="B84" s="15"/>
      <c r="C84" s="46"/>
      <c r="D84" s="14">
        <v>401768</v>
      </c>
      <c r="E84" s="129" t="s">
        <v>1354</v>
      </c>
      <c r="F84" s="17"/>
      <c r="G84" s="17"/>
      <c r="H84" s="17"/>
      <c r="I84" s="17"/>
    </row>
    <row r="85" spans="1:9" s="13" customFormat="1" ht="26.25" customHeight="1">
      <c r="A85" s="13" t="s">
        <v>930</v>
      </c>
      <c r="B85" s="15"/>
      <c r="C85" s="46"/>
      <c r="D85" s="14">
        <v>401768</v>
      </c>
      <c r="E85" s="129" t="s">
        <v>1354</v>
      </c>
      <c r="F85" s="17"/>
      <c r="G85" s="17"/>
      <c r="H85" s="17"/>
      <c r="I85" s="17"/>
    </row>
    <row r="86" spans="1:9" s="13" customFormat="1" ht="26.25" customHeight="1">
      <c r="A86" s="13" t="s">
        <v>931</v>
      </c>
      <c r="B86" s="15"/>
      <c r="C86" s="46"/>
      <c r="D86" s="14">
        <v>401768</v>
      </c>
      <c r="E86" s="129" t="s">
        <v>1354</v>
      </c>
      <c r="F86" s="17"/>
      <c r="G86" s="17"/>
      <c r="H86" s="17"/>
      <c r="I86" s="17"/>
    </row>
    <row r="87" spans="1:9" s="13" customFormat="1" ht="26.25" customHeight="1">
      <c r="A87" s="13" t="s">
        <v>932</v>
      </c>
      <c r="B87" s="15"/>
      <c r="C87" s="46"/>
      <c r="D87" s="14">
        <v>401768</v>
      </c>
      <c r="E87" s="129" t="s">
        <v>1354</v>
      </c>
      <c r="F87" s="17"/>
      <c r="G87" s="17"/>
      <c r="H87" s="17"/>
      <c r="I87" s="17"/>
    </row>
    <row r="88" spans="1:9" s="13" customFormat="1" ht="26.25" customHeight="1">
      <c r="A88" s="13" t="s">
        <v>933</v>
      </c>
      <c r="B88" s="15"/>
      <c r="C88" s="46"/>
      <c r="D88" s="14">
        <v>401768</v>
      </c>
      <c r="E88" s="129" t="s">
        <v>1354</v>
      </c>
      <c r="F88" s="17"/>
      <c r="G88" s="17"/>
      <c r="H88" s="17"/>
      <c r="I88" s="17"/>
    </row>
    <row r="89" spans="1:9" s="13" customFormat="1" ht="26.25" customHeight="1">
      <c r="A89" s="13" t="s">
        <v>934</v>
      </c>
      <c r="B89" s="15"/>
      <c r="C89" s="46"/>
      <c r="D89" s="14">
        <v>401768</v>
      </c>
      <c r="E89" s="129" t="s">
        <v>1354</v>
      </c>
      <c r="F89" s="17"/>
      <c r="G89" s="17"/>
      <c r="H89" s="17"/>
      <c r="I89" s="17"/>
    </row>
    <row r="90" spans="1:9" s="13" customFormat="1" ht="26.25" customHeight="1">
      <c r="A90" s="13" t="s">
        <v>935</v>
      </c>
      <c r="B90" s="15"/>
      <c r="C90" s="46"/>
      <c r="D90" s="14">
        <v>401768</v>
      </c>
      <c r="E90" s="129" t="s">
        <v>1354</v>
      </c>
      <c r="F90" s="17"/>
      <c r="G90" s="17"/>
      <c r="H90" s="17"/>
      <c r="I90" s="17"/>
    </row>
    <row r="91" spans="1:9" s="13" customFormat="1" ht="26.25" customHeight="1">
      <c r="A91" s="13" t="s">
        <v>936</v>
      </c>
      <c r="B91" s="15"/>
      <c r="C91" s="46"/>
      <c r="D91" s="14">
        <v>401768</v>
      </c>
      <c r="E91" s="129" t="s">
        <v>1354</v>
      </c>
      <c r="F91" s="17"/>
      <c r="G91" s="17"/>
      <c r="H91" s="17"/>
      <c r="I91" s="17"/>
    </row>
    <row r="92" spans="1:9" s="13" customFormat="1" ht="26.25" customHeight="1">
      <c r="A92" s="13" t="s">
        <v>937</v>
      </c>
      <c r="B92" s="15"/>
      <c r="C92" s="46"/>
      <c r="D92" s="14">
        <v>401768</v>
      </c>
      <c r="E92" s="129" t="s">
        <v>1354</v>
      </c>
      <c r="F92" s="17"/>
      <c r="G92" s="17"/>
      <c r="H92" s="17"/>
      <c r="I92" s="17"/>
    </row>
    <row r="93" spans="1:9" s="13" customFormat="1" ht="26.25" customHeight="1">
      <c r="A93" s="13" t="s">
        <v>939</v>
      </c>
      <c r="B93" s="15"/>
      <c r="C93" s="46"/>
      <c r="D93" s="14">
        <v>401768</v>
      </c>
      <c r="E93" s="129" t="s">
        <v>1354</v>
      </c>
      <c r="F93" s="17"/>
      <c r="G93" s="17"/>
      <c r="H93" s="17"/>
      <c r="I93" s="17"/>
    </row>
    <row r="94" spans="1:9" s="13" customFormat="1" ht="26.25" customHeight="1">
      <c r="A94" s="13" t="s">
        <v>940</v>
      </c>
      <c r="B94" s="15"/>
      <c r="C94" s="46"/>
      <c r="D94" s="14">
        <v>401768</v>
      </c>
      <c r="E94" s="129" t="s">
        <v>1354</v>
      </c>
      <c r="F94" s="17"/>
      <c r="G94" s="17"/>
      <c r="H94" s="17"/>
      <c r="I94" s="17"/>
    </row>
    <row r="95" spans="1:9" s="13" customFormat="1" ht="26.25" customHeight="1">
      <c r="A95" s="13" t="s">
        <v>942</v>
      </c>
      <c r="B95" s="15"/>
      <c r="C95" s="46"/>
      <c r="D95" s="14">
        <v>401768</v>
      </c>
      <c r="E95" s="129" t="s">
        <v>1354</v>
      </c>
      <c r="F95" s="17"/>
      <c r="G95" s="17"/>
      <c r="H95" s="17"/>
      <c r="I95" s="17"/>
    </row>
    <row r="96" spans="1:9" s="13" customFormat="1" ht="26.25" customHeight="1">
      <c r="A96" s="13" t="s">
        <v>943</v>
      </c>
      <c r="B96" s="15"/>
      <c r="C96" s="46"/>
      <c r="D96" s="14">
        <v>401768</v>
      </c>
      <c r="E96" s="129" t="s">
        <v>1354</v>
      </c>
      <c r="F96" s="17"/>
      <c r="G96" s="17"/>
      <c r="H96" s="17"/>
      <c r="I96" s="17"/>
    </row>
    <row r="97" spans="1:9" s="13" customFormat="1" ht="26.25" customHeight="1">
      <c r="A97" s="13" t="s">
        <v>945</v>
      </c>
      <c r="B97" s="15"/>
      <c r="C97" s="46"/>
      <c r="D97" s="14">
        <v>401768</v>
      </c>
      <c r="E97" s="129" t="s">
        <v>1354</v>
      </c>
      <c r="F97" s="17"/>
      <c r="G97" s="17"/>
      <c r="H97" s="17"/>
      <c r="I97" s="17"/>
    </row>
    <row r="98" spans="1:9" s="13" customFormat="1" ht="26.25" customHeight="1">
      <c r="A98" s="13" t="s">
        <v>948</v>
      </c>
      <c r="B98" s="15"/>
      <c r="C98" s="46"/>
      <c r="D98" s="14">
        <v>401768</v>
      </c>
      <c r="E98" s="129" t="s">
        <v>1354</v>
      </c>
      <c r="F98" s="17"/>
      <c r="G98" s="17"/>
      <c r="H98" s="17"/>
      <c r="I98" s="17"/>
    </row>
    <row r="99" spans="1:9" s="13" customFormat="1" ht="26.25" customHeight="1">
      <c r="A99" s="13" t="s">
        <v>949</v>
      </c>
      <c r="B99" s="15"/>
      <c r="C99" s="46"/>
      <c r="D99" s="14">
        <v>401768</v>
      </c>
      <c r="E99" s="129" t="s">
        <v>1354</v>
      </c>
      <c r="F99" s="17"/>
      <c r="G99" s="17"/>
      <c r="H99" s="17"/>
      <c r="I99" s="17"/>
    </row>
    <row r="100" spans="1:9" s="13" customFormat="1" ht="26.25" customHeight="1">
      <c r="A100" s="13" t="s">
        <v>950</v>
      </c>
      <c r="B100" s="15"/>
      <c r="C100" s="46"/>
      <c r="D100" s="14">
        <v>401768</v>
      </c>
      <c r="E100" s="129" t="s">
        <v>1354</v>
      </c>
      <c r="F100" s="17"/>
      <c r="G100" s="17"/>
      <c r="H100" s="17"/>
      <c r="I100" s="17"/>
    </row>
    <row r="101" spans="1:9" s="13" customFormat="1" ht="26.25" customHeight="1">
      <c r="A101" s="13" t="s">
        <v>951</v>
      </c>
      <c r="B101" s="15"/>
      <c r="C101" s="46"/>
      <c r="D101" s="14">
        <v>401768</v>
      </c>
      <c r="E101" s="129" t="s">
        <v>1354</v>
      </c>
      <c r="F101" s="17"/>
      <c r="G101" s="17"/>
      <c r="H101" s="17"/>
      <c r="I101" s="17"/>
    </row>
    <row r="102" spans="1:9" s="13" customFormat="1" ht="26.25" customHeight="1">
      <c r="A102" s="13" t="s">
        <v>952</v>
      </c>
      <c r="B102" s="15"/>
      <c r="C102" s="46"/>
      <c r="D102" s="14">
        <v>401768</v>
      </c>
      <c r="E102" s="129" t="s">
        <v>1354</v>
      </c>
      <c r="F102" s="17"/>
      <c r="G102" s="17"/>
      <c r="H102" s="17"/>
      <c r="I102" s="17"/>
    </row>
    <row r="103" spans="1:9" s="13" customFormat="1" ht="36.75" customHeight="1">
      <c r="A103" s="13" t="s">
        <v>953</v>
      </c>
      <c r="B103" s="15"/>
      <c r="C103" s="46"/>
      <c r="D103" s="14">
        <v>401768</v>
      </c>
      <c r="E103" s="129" t="s">
        <v>1354</v>
      </c>
      <c r="F103" s="17"/>
      <c r="G103" s="17"/>
      <c r="H103" s="17"/>
      <c r="I103" s="17"/>
    </row>
    <row r="104" spans="1:9" s="13" customFormat="1" ht="26.25" customHeight="1">
      <c r="A104" s="13" t="s">
        <v>954</v>
      </c>
      <c r="B104" s="15"/>
      <c r="C104" s="46"/>
      <c r="D104" s="14">
        <v>401768</v>
      </c>
      <c r="E104" s="129" t="s">
        <v>1354</v>
      </c>
      <c r="F104" s="17"/>
      <c r="G104" s="17"/>
      <c r="H104" s="17"/>
      <c r="I104" s="17"/>
    </row>
    <row r="105" spans="1:9" s="13" customFormat="1" ht="26.25" customHeight="1">
      <c r="A105" s="13" t="s">
        <v>955</v>
      </c>
      <c r="B105" s="15"/>
      <c r="C105" s="46"/>
      <c r="D105" s="14">
        <v>401768</v>
      </c>
      <c r="E105" s="129" t="s">
        <v>1354</v>
      </c>
      <c r="F105" s="17"/>
      <c r="G105" s="17"/>
      <c r="H105" s="17"/>
      <c r="I105" s="17"/>
    </row>
    <row r="106" spans="1:9" s="13" customFormat="1" ht="26.25" customHeight="1">
      <c r="A106" s="13" t="s">
        <v>956</v>
      </c>
      <c r="B106" s="15"/>
      <c r="C106" s="46"/>
      <c r="D106" s="14">
        <v>401768</v>
      </c>
      <c r="E106" s="129" t="s">
        <v>1354</v>
      </c>
      <c r="F106" s="17"/>
      <c r="G106" s="17"/>
      <c r="H106" s="17"/>
      <c r="I106" s="17"/>
    </row>
    <row r="107" spans="1:9" s="13" customFormat="1" ht="26.25" customHeight="1">
      <c r="A107" s="13" t="s">
        <v>957</v>
      </c>
      <c r="B107" s="15"/>
      <c r="C107" s="46"/>
      <c r="D107" s="14">
        <v>401768</v>
      </c>
      <c r="E107" s="129" t="s">
        <v>1354</v>
      </c>
      <c r="F107" s="17"/>
      <c r="G107" s="17"/>
      <c r="H107" s="17"/>
      <c r="I107" s="17"/>
    </row>
    <row r="108" spans="1:9" s="13" customFormat="1" ht="26.25" customHeight="1">
      <c r="A108" s="13" t="s">
        <v>958</v>
      </c>
      <c r="B108" s="15"/>
      <c r="C108" s="46"/>
      <c r="D108" s="14">
        <v>401768</v>
      </c>
      <c r="E108" s="129" t="s">
        <v>1354</v>
      </c>
      <c r="F108" s="17"/>
      <c r="G108" s="17"/>
      <c r="H108" s="17"/>
      <c r="I108" s="17"/>
    </row>
    <row r="109" spans="1:9" s="13" customFormat="1" ht="26.25" customHeight="1">
      <c r="A109" s="13" t="s">
        <v>959</v>
      </c>
      <c r="B109" s="15"/>
      <c r="C109" s="46"/>
      <c r="D109" s="14">
        <v>401768</v>
      </c>
      <c r="E109" s="129" t="s">
        <v>1354</v>
      </c>
      <c r="F109" s="17"/>
      <c r="G109" s="17"/>
      <c r="H109" s="17"/>
      <c r="I109" s="17"/>
    </row>
    <row r="110" spans="1:9" s="13" customFormat="1" ht="26.25" customHeight="1">
      <c r="A110" s="13" t="s">
        <v>960</v>
      </c>
      <c r="B110" s="15"/>
      <c r="C110" s="46"/>
      <c r="D110" s="14">
        <v>401768</v>
      </c>
      <c r="E110" s="129" t="s">
        <v>1354</v>
      </c>
      <c r="F110" s="17"/>
      <c r="G110" s="17"/>
      <c r="H110" s="17"/>
      <c r="I110" s="17"/>
    </row>
    <row r="111" spans="1:9" s="13" customFormat="1" ht="26.25" customHeight="1">
      <c r="A111" s="13" t="s">
        <v>961</v>
      </c>
      <c r="B111" s="15"/>
      <c r="C111" s="46"/>
      <c r="D111" s="14">
        <v>401768</v>
      </c>
      <c r="E111" s="129" t="s">
        <v>1354</v>
      </c>
      <c r="F111" s="17"/>
      <c r="G111" s="17"/>
      <c r="H111" s="17"/>
      <c r="I111" s="17"/>
    </row>
    <row r="112" spans="1:9" s="13" customFormat="1" ht="26.25" customHeight="1">
      <c r="A112" s="13" t="s">
        <v>962</v>
      </c>
      <c r="B112" s="15"/>
      <c r="C112" s="46"/>
      <c r="D112" s="14">
        <v>401768</v>
      </c>
      <c r="E112" s="129" t="s">
        <v>1354</v>
      </c>
      <c r="F112" s="17"/>
      <c r="G112" s="17"/>
      <c r="H112" s="17"/>
      <c r="I112" s="17"/>
    </row>
    <row r="113" spans="1:9" s="13" customFormat="1" ht="26.25" customHeight="1">
      <c r="A113" s="13" t="s">
        <v>963</v>
      </c>
      <c r="B113" s="15"/>
      <c r="C113" s="46"/>
      <c r="D113" s="14">
        <v>401768</v>
      </c>
      <c r="E113" s="129" t="s">
        <v>1354</v>
      </c>
      <c r="F113" s="17"/>
      <c r="G113" s="17"/>
      <c r="H113" s="17"/>
      <c r="I113" s="17"/>
    </row>
    <row r="114" spans="1:9" s="13" customFormat="1" ht="26.25" customHeight="1">
      <c r="A114" s="13" t="s">
        <v>964</v>
      </c>
      <c r="B114" s="15"/>
      <c r="C114" s="46"/>
      <c r="D114" s="14">
        <v>401768</v>
      </c>
      <c r="E114" s="129" t="s">
        <v>1354</v>
      </c>
      <c r="F114" s="17"/>
      <c r="G114" s="17"/>
      <c r="H114" s="17"/>
      <c r="I114" s="17"/>
    </row>
    <row r="115" spans="1:9" s="13" customFormat="1" ht="26.25" customHeight="1">
      <c r="A115" s="13" t="s">
        <v>965</v>
      </c>
      <c r="B115" s="15"/>
      <c r="C115" s="46"/>
      <c r="D115" s="14">
        <v>401768</v>
      </c>
      <c r="E115" s="129" t="s">
        <v>1354</v>
      </c>
      <c r="F115" s="17"/>
      <c r="G115" s="17"/>
      <c r="H115" s="17"/>
      <c r="I115" s="17"/>
    </row>
    <row r="116" spans="1:9" s="13" customFormat="1" ht="26.25" customHeight="1">
      <c r="A116" s="13" t="s">
        <v>967</v>
      </c>
      <c r="B116" s="15"/>
      <c r="C116" s="46"/>
      <c r="D116" s="14">
        <v>401768</v>
      </c>
      <c r="E116" s="129" t="s">
        <v>1354</v>
      </c>
      <c r="F116" s="17"/>
      <c r="G116" s="17"/>
      <c r="H116" s="17"/>
      <c r="I116" s="17"/>
    </row>
    <row r="117" spans="1:9" s="13" customFormat="1" ht="26.25" customHeight="1">
      <c r="A117" s="13" t="s">
        <v>966</v>
      </c>
      <c r="B117" s="15"/>
      <c r="C117" s="46"/>
      <c r="D117" s="14">
        <v>401768</v>
      </c>
      <c r="E117" s="129" t="s">
        <v>1354</v>
      </c>
      <c r="F117" s="17"/>
      <c r="G117" s="17"/>
      <c r="H117" s="17"/>
      <c r="I117" s="17"/>
    </row>
    <row r="118" spans="1:9" s="13" customFormat="1" ht="26.25" customHeight="1">
      <c r="A118" s="13" t="s">
        <v>968</v>
      </c>
      <c r="B118" s="15"/>
      <c r="C118" s="46"/>
      <c r="D118" s="14">
        <v>401768</v>
      </c>
      <c r="E118" s="129" t="s">
        <v>1354</v>
      </c>
      <c r="F118" s="17"/>
      <c r="G118" s="17"/>
      <c r="H118" s="17"/>
      <c r="I118" s="17"/>
    </row>
    <row r="119" spans="1:9" s="13" customFormat="1" ht="26.25" customHeight="1">
      <c r="A119" s="13" t="s">
        <v>969</v>
      </c>
      <c r="B119" s="15"/>
      <c r="C119" s="46"/>
      <c r="D119" s="14">
        <v>401768</v>
      </c>
      <c r="E119" s="129" t="s">
        <v>1354</v>
      </c>
      <c r="F119" s="17"/>
      <c r="G119" s="17"/>
      <c r="H119" s="17"/>
      <c r="I119" s="17"/>
    </row>
    <row r="120" spans="1:9" s="13" customFormat="1" ht="26.25" customHeight="1">
      <c r="A120" s="13" t="s">
        <v>970</v>
      </c>
      <c r="B120" s="15"/>
      <c r="C120" s="46"/>
      <c r="D120" s="14">
        <v>401768</v>
      </c>
      <c r="E120" s="129" t="s">
        <v>1354</v>
      </c>
      <c r="F120" s="17"/>
      <c r="G120" s="17"/>
      <c r="H120" s="17"/>
      <c r="I120" s="17"/>
    </row>
    <row r="121" spans="1:9" s="13" customFormat="1" ht="26.25" customHeight="1">
      <c r="A121" s="13" t="s">
        <v>971</v>
      </c>
      <c r="B121" s="15"/>
      <c r="C121" s="46"/>
      <c r="D121" s="14">
        <v>401768</v>
      </c>
      <c r="E121" s="129" t="s">
        <v>1354</v>
      </c>
      <c r="F121" s="17"/>
      <c r="G121" s="17"/>
      <c r="H121" s="17"/>
      <c r="I121" s="17"/>
    </row>
    <row r="122" spans="1:9" s="13" customFormat="1" ht="26.25" customHeight="1">
      <c r="A122" s="13" t="s">
        <v>972</v>
      </c>
      <c r="B122" s="15"/>
      <c r="C122" s="46"/>
      <c r="D122" s="14">
        <v>401768</v>
      </c>
      <c r="E122" s="129" t="s">
        <v>1354</v>
      </c>
      <c r="F122" s="17"/>
      <c r="G122" s="17"/>
      <c r="H122" s="17"/>
      <c r="I122" s="17"/>
    </row>
    <row r="123" spans="1:9" s="13" customFormat="1" ht="26.25" customHeight="1">
      <c r="A123" s="13" t="s">
        <v>973</v>
      </c>
      <c r="B123" s="15"/>
      <c r="C123" s="46"/>
      <c r="D123" s="14">
        <v>401768</v>
      </c>
      <c r="E123" s="129" t="s">
        <v>1354</v>
      </c>
      <c r="F123" s="17"/>
      <c r="G123" s="17"/>
      <c r="H123" s="17"/>
      <c r="I123" s="17"/>
    </row>
    <row r="124" spans="1:9" s="13" customFormat="1" ht="26.25" customHeight="1">
      <c r="A124" s="13" t="s">
        <v>974</v>
      </c>
      <c r="B124" s="15"/>
      <c r="C124" s="46"/>
      <c r="D124" s="14">
        <v>401768</v>
      </c>
      <c r="E124" s="129" t="s">
        <v>1354</v>
      </c>
      <c r="F124" s="17"/>
      <c r="G124" s="17"/>
      <c r="H124" s="17"/>
      <c r="I124" s="17"/>
    </row>
    <row r="125" spans="1:9" s="13" customFormat="1" ht="26.25" customHeight="1">
      <c r="A125" s="13" t="s">
        <v>975</v>
      </c>
      <c r="B125" s="15"/>
      <c r="C125" s="46"/>
      <c r="D125" s="14">
        <v>401768</v>
      </c>
      <c r="E125" s="129" t="s">
        <v>1354</v>
      </c>
      <c r="F125" s="17"/>
      <c r="G125" s="17"/>
      <c r="H125" s="17"/>
      <c r="I125" s="17"/>
    </row>
    <row r="126" spans="1:9" s="13" customFormat="1" ht="26.25" customHeight="1">
      <c r="A126" s="13" t="s">
        <v>976</v>
      </c>
      <c r="B126" s="15"/>
      <c r="C126" s="46"/>
      <c r="D126" s="14">
        <v>401768</v>
      </c>
      <c r="E126" s="129" t="s">
        <v>1354</v>
      </c>
      <c r="F126" s="17"/>
      <c r="G126" s="17"/>
      <c r="H126" s="17"/>
      <c r="I126" s="17"/>
    </row>
    <row r="127" spans="1:9" s="13" customFormat="1" ht="26.25" customHeight="1">
      <c r="A127" s="13" t="s">
        <v>977</v>
      </c>
      <c r="B127" s="15"/>
      <c r="C127" s="46"/>
      <c r="D127" s="14">
        <v>401768</v>
      </c>
      <c r="E127" s="129" t="s">
        <v>1354</v>
      </c>
      <c r="F127" s="17"/>
      <c r="G127" s="17"/>
      <c r="H127" s="17"/>
      <c r="I127" s="17"/>
    </row>
    <row r="128" spans="1:9" s="13" customFormat="1" ht="26.25" customHeight="1">
      <c r="A128" s="13" t="s">
        <v>979</v>
      </c>
      <c r="B128" s="15"/>
      <c r="C128" s="46"/>
      <c r="D128" s="14">
        <v>401768</v>
      </c>
      <c r="E128" s="129" t="s">
        <v>1354</v>
      </c>
      <c r="F128" s="17"/>
      <c r="G128" s="17"/>
      <c r="H128" s="17"/>
      <c r="I128" s="17"/>
    </row>
    <row r="129" spans="1:9" s="13" customFormat="1" ht="26.25" customHeight="1">
      <c r="A129" s="13" t="s">
        <v>981</v>
      </c>
      <c r="B129" s="15"/>
      <c r="C129" s="46"/>
      <c r="D129" s="14">
        <v>401768</v>
      </c>
      <c r="E129" s="129" t="s">
        <v>1354</v>
      </c>
      <c r="F129" s="17"/>
      <c r="G129" s="17"/>
      <c r="H129" s="17"/>
      <c r="I129" s="17"/>
    </row>
    <row r="130" spans="1:9" s="13" customFormat="1" ht="26.25" customHeight="1">
      <c r="A130" s="13" t="s">
        <v>982</v>
      </c>
      <c r="B130" s="15"/>
      <c r="C130" s="46"/>
      <c r="D130" s="14">
        <v>401768</v>
      </c>
      <c r="E130" s="129" t="s">
        <v>1354</v>
      </c>
      <c r="F130" s="17"/>
      <c r="G130" s="17"/>
      <c r="H130" s="17"/>
      <c r="I130" s="17"/>
    </row>
    <row r="131" spans="1:9" s="13" customFormat="1" ht="26.25" customHeight="1">
      <c r="A131" s="13" t="s">
        <v>983</v>
      </c>
      <c r="B131" s="15"/>
      <c r="C131" s="46"/>
      <c r="D131" s="14">
        <v>401768</v>
      </c>
      <c r="E131" s="129" t="s">
        <v>1354</v>
      </c>
      <c r="F131" s="17"/>
      <c r="G131" s="17"/>
      <c r="H131" s="17"/>
      <c r="I131" s="17"/>
    </row>
    <row r="132" spans="1:9" s="13" customFormat="1" ht="26.25" customHeight="1">
      <c r="A132" s="13" t="s">
        <v>985</v>
      </c>
      <c r="B132" s="15"/>
      <c r="C132" s="46"/>
      <c r="D132" s="14">
        <v>401768</v>
      </c>
      <c r="E132" s="129" t="s">
        <v>1354</v>
      </c>
      <c r="F132" s="17"/>
      <c r="G132" s="17"/>
      <c r="H132" s="17"/>
      <c r="I132" s="17"/>
    </row>
    <row r="133" spans="1:9" s="13" customFormat="1" ht="26.25" customHeight="1">
      <c r="A133" s="13" t="s">
        <v>986</v>
      </c>
      <c r="B133" s="15"/>
      <c r="C133" s="46"/>
      <c r="D133" s="14">
        <v>401768</v>
      </c>
      <c r="E133" s="129" t="s">
        <v>1354</v>
      </c>
      <c r="F133" s="17"/>
      <c r="G133" s="17"/>
      <c r="H133" s="17"/>
      <c r="I133" s="17"/>
    </row>
    <row r="134" spans="1:9" s="13" customFormat="1" ht="26.25" customHeight="1">
      <c r="A134" s="13" t="s">
        <v>987</v>
      </c>
      <c r="B134" s="15"/>
      <c r="C134" s="46"/>
      <c r="D134" s="14">
        <v>401768</v>
      </c>
      <c r="E134" s="129" t="s">
        <v>1354</v>
      </c>
      <c r="F134" s="17"/>
      <c r="G134" s="17"/>
      <c r="H134" s="17"/>
      <c r="I134" s="17"/>
    </row>
    <row r="135" spans="1:9" s="13" customFormat="1" ht="26.25" customHeight="1">
      <c r="A135" s="13" t="s">
        <v>988</v>
      </c>
      <c r="B135" s="15"/>
      <c r="C135" s="46"/>
      <c r="D135" s="14">
        <v>401768</v>
      </c>
      <c r="E135" s="129" t="s">
        <v>1354</v>
      </c>
      <c r="F135" s="17"/>
      <c r="G135" s="17"/>
      <c r="H135" s="17"/>
      <c r="I135" s="17"/>
    </row>
    <row r="136" spans="1:9" s="13" customFormat="1" ht="26.25" customHeight="1">
      <c r="A136" s="13" t="s">
        <v>989</v>
      </c>
      <c r="B136" s="15"/>
      <c r="C136" s="46"/>
      <c r="D136" s="14">
        <v>401768</v>
      </c>
      <c r="E136" s="129" t="s">
        <v>1354</v>
      </c>
      <c r="F136" s="17"/>
      <c r="G136" s="17"/>
      <c r="H136" s="17"/>
      <c r="I136" s="17"/>
    </row>
    <row r="137" spans="1:9" s="13" customFormat="1" ht="26.25" customHeight="1">
      <c r="A137" s="13" t="s">
        <v>990</v>
      </c>
      <c r="B137" s="15"/>
      <c r="C137" s="46"/>
      <c r="D137" s="14">
        <v>401768</v>
      </c>
      <c r="E137" s="129" t="s">
        <v>1354</v>
      </c>
      <c r="F137" s="17"/>
      <c r="G137" s="17"/>
      <c r="H137" s="17"/>
      <c r="I137" s="17"/>
    </row>
    <row r="138" spans="1:9" s="13" customFormat="1" ht="26.25" customHeight="1">
      <c r="A138" s="13" t="s">
        <v>991</v>
      </c>
      <c r="B138" s="15"/>
      <c r="C138" s="46"/>
      <c r="D138" s="14">
        <v>401768</v>
      </c>
      <c r="E138" s="129" t="s">
        <v>1354</v>
      </c>
      <c r="F138" s="17"/>
      <c r="G138" s="17"/>
      <c r="H138" s="17"/>
      <c r="I138" s="17"/>
    </row>
    <row r="139" spans="1:9" s="13" customFormat="1" ht="26.25" customHeight="1">
      <c r="A139" s="13" t="s">
        <v>992</v>
      </c>
      <c r="B139" s="15"/>
      <c r="C139" s="46"/>
      <c r="D139" s="14">
        <v>401768</v>
      </c>
      <c r="E139" s="129" t="s">
        <v>1354</v>
      </c>
      <c r="F139" s="17"/>
      <c r="G139" s="17"/>
      <c r="H139" s="17"/>
      <c r="I139" s="17"/>
    </row>
    <row r="140" spans="1:9" s="13" customFormat="1" ht="26.25" customHeight="1">
      <c r="A140" s="13" t="s">
        <v>993</v>
      </c>
      <c r="B140" s="15"/>
      <c r="C140" s="46"/>
      <c r="D140" s="14">
        <v>401768</v>
      </c>
      <c r="E140" s="129" t="s">
        <v>1354</v>
      </c>
      <c r="F140" s="17"/>
      <c r="G140" s="17"/>
      <c r="H140" s="17"/>
      <c r="I140" s="17"/>
    </row>
    <row r="141" spans="1:9" s="13" customFormat="1" ht="26.25" customHeight="1">
      <c r="A141" s="13" t="s">
        <v>994</v>
      </c>
      <c r="B141" s="15"/>
      <c r="C141" s="46"/>
      <c r="D141" s="14">
        <v>401768</v>
      </c>
      <c r="E141" s="129" t="s">
        <v>1354</v>
      </c>
      <c r="F141" s="17"/>
      <c r="G141" s="17"/>
      <c r="H141" s="17"/>
      <c r="I141" s="17"/>
    </row>
    <row r="142" spans="1:9" s="13" customFormat="1" ht="26.25" customHeight="1">
      <c r="A142" s="13" t="s">
        <v>995</v>
      </c>
      <c r="B142" s="15"/>
      <c r="C142" s="46"/>
      <c r="D142" s="14">
        <v>401768</v>
      </c>
      <c r="E142" s="129" t="s">
        <v>1354</v>
      </c>
      <c r="F142" s="17"/>
      <c r="G142" s="17"/>
      <c r="H142" s="17"/>
      <c r="I142" s="17"/>
    </row>
    <row r="143" spans="1:9" s="13" customFormat="1" ht="26.25" customHeight="1">
      <c r="A143" s="13" t="s">
        <v>996</v>
      </c>
      <c r="B143" s="15"/>
      <c r="C143" s="46"/>
      <c r="D143" s="14">
        <v>401768</v>
      </c>
      <c r="E143" s="129" t="s">
        <v>1354</v>
      </c>
      <c r="F143" s="17"/>
      <c r="G143" s="17"/>
      <c r="H143" s="17"/>
      <c r="I143" s="17"/>
    </row>
    <row r="144" spans="1:9" s="13" customFormat="1" ht="26.25" customHeight="1">
      <c r="A144" s="13" t="s">
        <v>997</v>
      </c>
      <c r="B144" s="15"/>
      <c r="C144" s="46"/>
      <c r="D144" s="14">
        <v>401768</v>
      </c>
      <c r="E144" s="129" t="s">
        <v>1354</v>
      </c>
      <c r="F144" s="17"/>
      <c r="G144" s="17"/>
      <c r="H144" s="17"/>
      <c r="I144" s="17"/>
    </row>
    <row r="145" spans="1:9" s="13" customFormat="1" ht="26.25" customHeight="1">
      <c r="A145" s="13" t="s">
        <v>998</v>
      </c>
      <c r="B145" s="15"/>
      <c r="C145" s="46"/>
      <c r="D145" s="14">
        <v>401768</v>
      </c>
      <c r="E145" s="129" t="s">
        <v>1354</v>
      </c>
      <c r="F145" s="17"/>
      <c r="G145" s="17"/>
      <c r="H145" s="17"/>
      <c r="I145" s="17"/>
    </row>
    <row r="146" spans="1:9" s="13" customFormat="1" ht="26.25" customHeight="1">
      <c r="A146" s="13" t="s">
        <v>999</v>
      </c>
      <c r="B146" s="15"/>
      <c r="C146" s="46"/>
      <c r="D146" s="14">
        <v>401768</v>
      </c>
      <c r="E146" s="129" t="s">
        <v>1354</v>
      </c>
      <c r="F146" s="17"/>
      <c r="G146" s="17"/>
      <c r="H146" s="17"/>
      <c r="I146" s="17"/>
    </row>
    <row r="147" spans="1:9" s="13" customFormat="1" ht="26.25" customHeight="1">
      <c r="A147" s="13" t="s">
        <v>1001</v>
      </c>
      <c r="B147" s="15"/>
      <c r="C147" s="46"/>
      <c r="D147" s="14">
        <v>401768</v>
      </c>
      <c r="E147" s="129" t="s">
        <v>1354</v>
      </c>
      <c r="F147" s="17"/>
      <c r="G147" s="17"/>
      <c r="H147" s="17"/>
      <c r="I147" s="17"/>
    </row>
    <row r="148" spans="1:9" s="13" customFormat="1" ht="26.25" customHeight="1">
      <c r="A148" s="13" t="s">
        <v>1002</v>
      </c>
      <c r="B148" s="15"/>
      <c r="C148" s="46"/>
      <c r="D148" s="14">
        <v>401768</v>
      </c>
      <c r="E148" s="129" t="s">
        <v>1354</v>
      </c>
      <c r="F148" s="17"/>
      <c r="G148" s="17"/>
      <c r="H148" s="17"/>
      <c r="I148" s="17"/>
    </row>
    <row r="149" spans="1:9" s="13" customFormat="1" ht="26.25" customHeight="1">
      <c r="A149" s="13" t="s">
        <v>1003</v>
      </c>
      <c r="B149" s="15"/>
      <c r="C149" s="46"/>
      <c r="D149" s="14">
        <v>401768</v>
      </c>
      <c r="E149" s="129" t="s">
        <v>1354</v>
      </c>
      <c r="F149" s="17"/>
      <c r="G149" s="17"/>
      <c r="H149" s="17"/>
      <c r="I149" s="17"/>
    </row>
    <row r="150" spans="1:9" s="13" customFormat="1" ht="26.25" customHeight="1">
      <c r="A150" s="13" t="s">
        <v>1004</v>
      </c>
      <c r="B150" s="15"/>
      <c r="C150" s="46"/>
      <c r="D150" s="14">
        <v>401768</v>
      </c>
      <c r="E150" s="129" t="s">
        <v>1354</v>
      </c>
      <c r="F150" s="17"/>
      <c r="G150" s="17"/>
      <c r="H150" s="17"/>
      <c r="I150" s="17"/>
    </row>
    <row r="151" spans="1:9" s="13" customFormat="1" ht="26.25" customHeight="1">
      <c r="A151" s="13" t="s">
        <v>1005</v>
      </c>
      <c r="B151" s="15"/>
      <c r="C151" s="46"/>
      <c r="D151" s="14">
        <v>401768</v>
      </c>
      <c r="E151" s="129" t="s">
        <v>1354</v>
      </c>
      <c r="F151" s="17"/>
      <c r="G151" s="17"/>
      <c r="H151" s="17"/>
      <c r="I151" s="17"/>
    </row>
    <row r="152" spans="1:9" s="13" customFormat="1" ht="26.25" customHeight="1">
      <c r="A152" s="13" t="s">
        <v>1006</v>
      </c>
      <c r="B152" s="15"/>
      <c r="C152" s="46"/>
      <c r="D152" s="14">
        <v>401768</v>
      </c>
      <c r="E152" s="129" t="s">
        <v>1354</v>
      </c>
      <c r="F152" s="17"/>
      <c r="G152" s="17"/>
      <c r="H152" s="17"/>
      <c r="I152" s="17"/>
    </row>
    <row r="153" spans="1:9" s="13" customFormat="1" ht="26.25" customHeight="1">
      <c r="A153" s="13" t="s">
        <v>1007</v>
      </c>
      <c r="B153" s="15"/>
      <c r="C153" s="46"/>
      <c r="D153" s="14">
        <v>401768</v>
      </c>
      <c r="E153" s="129" t="s">
        <v>1354</v>
      </c>
      <c r="F153" s="17"/>
      <c r="G153" s="17"/>
      <c r="H153" s="17"/>
      <c r="I153" s="17"/>
    </row>
    <row r="154" spans="1:9" s="13" customFormat="1" ht="26.25" customHeight="1">
      <c r="A154" s="13" t="s">
        <v>1008</v>
      </c>
      <c r="B154" s="15"/>
      <c r="C154" s="46"/>
      <c r="D154" s="14">
        <v>401768</v>
      </c>
      <c r="E154" s="129" t="s">
        <v>1354</v>
      </c>
      <c r="F154" s="17"/>
      <c r="G154" s="17"/>
      <c r="H154" s="17"/>
      <c r="I154" s="17"/>
    </row>
    <row r="155" spans="1:9" s="13" customFormat="1" ht="26.25" customHeight="1">
      <c r="A155" s="13" t="s">
        <v>1009</v>
      </c>
      <c r="B155" s="15"/>
      <c r="C155" s="46"/>
      <c r="D155" s="14">
        <v>401768</v>
      </c>
      <c r="E155" s="129" t="s">
        <v>1354</v>
      </c>
      <c r="F155" s="17"/>
      <c r="G155" s="17"/>
      <c r="H155" s="17"/>
      <c r="I155" s="17"/>
    </row>
    <row r="156" spans="1:9" s="13" customFormat="1" ht="26.25" customHeight="1">
      <c r="A156" s="13" t="s">
        <v>1010</v>
      </c>
      <c r="B156" s="15"/>
      <c r="C156" s="46"/>
      <c r="D156" s="14">
        <v>401768</v>
      </c>
      <c r="E156" s="129" t="s">
        <v>1354</v>
      </c>
      <c r="F156" s="17"/>
      <c r="G156" s="17"/>
      <c r="H156" s="17"/>
      <c r="I156" s="17"/>
    </row>
    <row r="157" spans="1:9" s="13" customFormat="1" ht="26.25" customHeight="1">
      <c r="A157" s="13" t="s">
        <v>1011</v>
      </c>
      <c r="B157" s="15"/>
      <c r="C157" s="46"/>
      <c r="D157" s="14">
        <v>401768</v>
      </c>
      <c r="E157" s="129" t="s">
        <v>1354</v>
      </c>
      <c r="F157" s="17"/>
      <c r="G157" s="17"/>
      <c r="H157" s="17"/>
      <c r="I157" s="17"/>
    </row>
    <row r="158" spans="1:9" s="13" customFormat="1" ht="26.25" customHeight="1">
      <c r="A158" s="13" t="s">
        <v>1012</v>
      </c>
      <c r="B158" s="15"/>
      <c r="C158" s="46"/>
      <c r="D158" s="14">
        <v>401768</v>
      </c>
      <c r="E158" s="129" t="s">
        <v>1354</v>
      </c>
      <c r="F158" s="17"/>
      <c r="G158" s="17"/>
      <c r="H158" s="17"/>
      <c r="I158" s="17"/>
    </row>
    <row r="159" spans="1:9" s="13" customFormat="1" ht="26.25" customHeight="1">
      <c r="A159" s="13" t="s">
        <v>1013</v>
      </c>
      <c r="B159" s="15"/>
      <c r="C159" s="46"/>
      <c r="D159" s="14">
        <v>401768</v>
      </c>
      <c r="E159" s="129" t="s">
        <v>1354</v>
      </c>
      <c r="F159" s="17"/>
      <c r="G159" s="17"/>
      <c r="H159" s="17"/>
      <c r="I159" s="17"/>
    </row>
    <row r="160" spans="1:9" s="13" customFormat="1" ht="26.25" customHeight="1">
      <c r="A160" s="13" t="s">
        <v>1014</v>
      </c>
      <c r="B160" s="15"/>
      <c r="C160" s="46"/>
      <c r="D160" s="14">
        <v>401768</v>
      </c>
      <c r="E160" s="129" t="s">
        <v>1354</v>
      </c>
      <c r="F160" s="17"/>
      <c r="G160" s="17"/>
      <c r="H160" s="17"/>
      <c r="I160" s="17"/>
    </row>
    <row r="161" spans="1:9" s="13" customFormat="1" ht="26.25" customHeight="1">
      <c r="A161" s="13" t="s">
        <v>1015</v>
      </c>
      <c r="B161" s="15"/>
      <c r="C161" s="46"/>
      <c r="D161" s="14">
        <v>401768</v>
      </c>
      <c r="E161" s="129" t="s">
        <v>1354</v>
      </c>
      <c r="F161" s="17"/>
      <c r="G161" s="17"/>
      <c r="H161" s="17"/>
      <c r="I161" s="17"/>
    </row>
    <row r="162" spans="1:9" s="13" customFormat="1" ht="26.25" customHeight="1">
      <c r="A162" s="13" t="s">
        <v>1016</v>
      </c>
      <c r="B162" s="15"/>
      <c r="C162" s="46"/>
      <c r="D162" s="14">
        <v>401768</v>
      </c>
      <c r="E162" s="129" t="s">
        <v>1354</v>
      </c>
      <c r="F162" s="17"/>
      <c r="G162" s="17"/>
      <c r="H162" s="17"/>
      <c r="I162" s="17"/>
    </row>
    <row r="163" spans="1:9" s="13" customFormat="1" ht="26.25" customHeight="1">
      <c r="A163" s="13" t="s">
        <v>1017</v>
      </c>
      <c r="B163" s="15"/>
      <c r="C163" s="46"/>
      <c r="D163" s="14">
        <v>401768</v>
      </c>
      <c r="E163" s="129" t="s">
        <v>1354</v>
      </c>
      <c r="F163" s="17"/>
      <c r="G163" s="17"/>
      <c r="H163" s="17"/>
      <c r="I163" s="17"/>
    </row>
    <row r="164" spans="1:9" s="13" customFormat="1" ht="26.25" customHeight="1">
      <c r="A164" s="13" t="s">
        <v>1018</v>
      </c>
      <c r="B164" s="15"/>
      <c r="C164" s="46"/>
      <c r="D164" s="14">
        <v>401768</v>
      </c>
      <c r="E164" s="129" t="s">
        <v>1354</v>
      </c>
      <c r="F164" s="17"/>
      <c r="G164" s="17"/>
      <c r="H164" s="17"/>
      <c r="I164" s="17"/>
    </row>
    <row r="165" spans="1:9" s="13" customFormat="1" ht="26.25" customHeight="1">
      <c r="A165" s="13" t="s">
        <v>1019</v>
      </c>
      <c r="B165" s="15"/>
      <c r="C165" s="46"/>
      <c r="D165" s="14">
        <v>401768</v>
      </c>
      <c r="E165" s="129" t="s">
        <v>1354</v>
      </c>
      <c r="F165" s="17"/>
      <c r="G165" s="17"/>
      <c r="H165" s="17"/>
      <c r="I165" s="17"/>
    </row>
    <row r="166" spans="1:9" s="13" customFormat="1" ht="26.25" customHeight="1">
      <c r="A166" s="13" t="s">
        <v>1020</v>
      </c>
      <c r="B166" s="15"/>
      <c r="C166" s="46"/>
      <c r="D166" s="14">
        <v>401768</v>
      </c>
      <c r="E166" s="129" t="s">
        <v>1354</v>
      </c>
      <c r="F166" s="17"/>
      <c r="G166" s="17"/>
      <c r="H166" s="17"/>
      <c r="I166" s="17"/>
    </row>
    <row r="167" spans="1:9" s="13" customFormat="1" ht="26.25" customHeight="1">
      <c r="A167" s="13" t="s">
        <v>1021</v>
      </c>
      <c r="B167" s="15"/>
      <c r="C167" s="46"/>
      <c r="D167" s="14">
        <v>401768</v>
      </c>
      <c r="E167" s="129" t="s">
        <v>1354</v>
      </c>
      <c r="F167" s="17"/>
      <c r="G167" s="17"/>
      <c r="H167" s="17"/>
      <c r="I167" s="17"/>
    </row>
    <row r="168" spans="1:9" s="13" customFormat="1" ht="26.25" customHeight="1">
      <c r="A168" s="13" t="s">
        <v>1022</v>
      </c>
      <c r="B168" s="15"/>
      <c r="C168" s="46"/>
      <c r="D168" s="14">
        <v>401768</v>
      </c>
      <c r="E168" s="129" t="s">
        <v>1354</v>
      </c>
      <c r="F168" s="17"/>
      <c r="G168" s="17"/>
      <c r="H168" s="17"/>
      <c r="I168" s="17"/>
    </row>
    <row r="169" spans="1:9" s="13" customFormat="1" ht="26.25" customHeight="1">
      <c r="A169" s="13" t="s">
        <v>1023</v>
      </c>
      <c r="B169" s="15"/>
      <c r="C169" s="46"/>
      <c r="D169" s="14">
        <v>401768</v>
      </c>
      <c r="E169" s="129" t="s">
        <v>1354</v>
      </c>
      <c r="F169" s="17"/>
      <c r="G169" s="17"/>
      <c r="H169" s="17"/>
      <c r="I169" s="17"/>
    </row>
    <row r="170" spans="1:9" s="13" customFormat="1" ht="26.25" customHeight="1">
      <c r="A170" s="13" t="s">
        <v>1024</v>
      </c>
      <c r="B170" s="15"/>
      <c r="C170" s="46"/>
      <c r="D170" s="14">
        <v>401768</v>
      </c>
      <c r="E170" s="129" t="s">
        <v>1354</v>
      </c>
      <c r="F170" s="17"/>
      <c r="G170" s="17"/>
      <c r="H170" s="17"/>
      <c r="I170" s="17"/>
    </row>
    <row r="171" spans="1:9" s="13" customFormat="1" ht="26.25" customHeight="1">
      <c r="A171" s="13" t="s">
        <v>1025</v>
      </c>
      <c r="B171" s="15"/>
      <c r="C171" s="46"/>
      <c r="D171" s="14">
        <v>401768</v>
      </c>
      <c r="E171" s="129" t="s">
        <v>1354</v>
      </c>
      <c r="F171" s="17"/>
      <c r="G171" s="17"/>
      <c r="H171" s="17"/>
      <c r="I171" s="17"/>
    </row>
    <row r="172" spans="1:9" s="13" customFormat="1" ht="26.25" customHeight="1">
      <c r="A172" s="13" t="s">
        <v>1026</v>
      </c>
      <c r="B172" s="15"/>
      <c r="C172" s="46"/>
      <c r="D172" s="14">
        <v>401768</v>
      </c>
      <c r="E172" s="129" t="s">
        <v>1354</v>
      </c>
      <c r="F172" s="17"/>
      <c r="G172" s="17"/>
      <c r="H172" s="17"/>
      <c r="I172" s="17"/>
    </row>
    <row r="173" spans="1:9" s="13" customFormat="1" ht="26.25" customHeight="1">
      <c r="A173" s="13" t="s">
        <v>1027</v>
      </c>
      <c r="B173" s="15"/>
      <c r="C173" s="46"/>
      <c r="D173" s="14">
        <v>401768</v>
      </c>
      <c r="E173" s="129" t="s">
        <v>1354</v>
      </c>
      <c r="F173" s="17"/>
      <c r="G173" s="17"/>
      <c r="H173" s="17"/>
      <c r="I173" s="17"/>
    </row>
    <row r="174" spans="1:9" s="13" customFormat="1" ht="26.25" customHeight="1">
      <c r="A174" s="13" t="s">
        <v>1028</v>
      </c>
      <c r="B174" s="15"/>
      <c r="C174" s="46"/>
      <c r="D174" s="14">
        <v>401768</v>
      </c>
      <c r="E174" s="129" t="s">
        <v>1354</v>
      </c>
      <c r="F174" s="17"/>
      <c r="G174" s="17"/>
      <c r="H174" s="17"/>
      <c r="I174" s="17"/>
    </row>
    <row r="175" spans="1:9" s="13" customFormat="1" ht="26.25" customHeight="1">
      <c r="A175" s="13" t="s">
        <v>1029</v>
      </c>
      <c r="B175" s="15"/>
      <c r="C175" s="46"/>
      <c r="D175" s="14">
        <v>401768</v>
      </c>
      <c r="E175" s="129" t="s">
        <v>1354</v>
      </c>
      <c r="F175" s="17"/>
      <c r="G175" s="17"/>
      <c r="H175" s="17"/>
      <c r="I175" s="17"/>
    </row>
    <row r="176" spans="1:9" s="13" customFormat="1" ht="26.25" customHeight="1">
      <c r="A176" s="13" t="s">
        <v>1030</v>
      </c>
      <c r="B176" s="15"/>
      <c r="C176" s="46"/>
      <c r="D176" s="14">
        <v>401768</v>
      </c>
      <c r="E176" s="129" t="s">
        <v>1354</v>
      </c>
      <c r="F176" s="17"/>
      <c r="G176" s="17"/>
      <c r="H176" s="17"/>
      <c r="I176" s="17"/>
    </row>
    <row r="177" spans="1:9" s="13" customFormat="1" ht="26.25" customHeight="1">
      <c r="A177" s="13" t="s">
        <v>1031</v>
      </c>
      <c r="B177" s="15"/>
      <c r="C177" s="46"/>
      <c r="D177" s="14">
        <v>401768</v>
      </c>
      <c r="E177" s="129" t="s">
        <v>1354</v>
      </c>
      <c r="F177" s="17"/>
      <c r="G177" s="17"/>
      <c r="H177" s="17"/>
      <c r="I177" s="17"/>
    </row>
    <row r="178" spans="1:9" s="13" customFormat="1" ht="26.25" customHeight="1">
      <c r="A178" s="13" t="s">
        <v>1032</v>
      </c>
      <c r="B178" s="15"/>
      <c r="C178" s="46"/>
      <c r="D178" s="14">
        <v>401768</v>
      </c>
      <c r="E178" s="129" t="s">
        <v>1354</v>
      </c>
      <c r="F178" s="17"/>
      <c r="G178" s="17"/>
      <c r="H178" s="17"/>
      <c r="I178" s="17"/>
    </row>
    <row r="179" spans="1:9" s="13" customFormat="1" ht="26.25" customHeight="1">
      <c r="A179" s="13" t="s">
        <v>1033</v>
      </c>
      <c r="B179" s="15"/>
      <c r="C179" s="46"/>
      <c r="D179" s="14">
        <v>401768</v>
      </c>
      <c r="E179" s="129" t="s">
        <v>1354</v>
      </c>
      <c r="F179" s="17"/>
      <c r="G179" s="17"/>
      <c r="H179" s="17"/>
      <c r="I179" s="17"/>
    </row>
    <row r="180" spans="1:9" s="13" customFormat="1" ht="26.25" customHeight="1">
      <c r="A180" s="13" t="s">
        <v>1034</v>
      </c>
      <c r="B180" s="15"/>
      <c r="C180" s="46"/>
      <c r="D180" s="14">
        <v>401768</v>
      </c>
      <c r="E180" s="129" t="s">
        <v>1354</v>
      </c>
      <c r="F180" s="17"/>
      <c r="G180" s="17"/>
      <c r="H180" s="17"/>
      <c r="I180" s="17"/>
    </row>
    <row r="181" spans="1:9" s="13" customFormat="1" ht="26.25" customHeight="1">
      <c r="A181" s="13" t="s">
        <v>1035</v>
      </c>
      <c r="B181" s="15"/>
      <c r="C181" s="46"/>
      <c r="D181" s="14">
        <v>401768</v>
      </c>
      <c r="E181" s="129" t="s">
        <v>1354</v>
      </c>
      <c r="F181" s="17"/>
      <c r="G181" s="17"/>
      <c r="H181" s="17"/>
      <c r="I181" s="17"/>
    </row>
    <row r="182" spans="1:9" s="13" customFormat="1" ht="26.25" customHeight="1">
      <c r="A182" s="13" t="s">
        <v>1036</v>
      </c>
      <c r="B182" s="15"/>
      <c r="C182" s="46"/>
      <c r="D182" s="14">
        <v>401768</v>
      </c>
      <c r="E182" s="129" t="s">
        <v>1354</v>
      </c>
      <c r="F182" s="17"/>
      <c r="G182" s="17"/>
      <c r="H182" s="17"/>
      <c r="I182" s="17"/>
    </row>
    <row r="183" spans="1:9" s="13" customFormat="1" ht="26.25" customHeight="1">
      <c r="A183" s="13" t="s">
        <v>1037</v>
      </c>
      <c r="B183" s="15"/>
      <c r="C183" s="46"/>
      <c r="D183" s="14">
        <v>401768</v>
      </c>
      <c r="E183" s="129" t="s">
        <v>1354</v>
      </c>
      <c r="F183" s="17"/>
      <c r="G183" s="17"/>
      <c r="H183" s="17"/>
      <c r="I183" s="17"/>
    </row>
    <row r="184" spans="1:9" s="13" customFormat="1" ht="26.25" customHeight="1">
      <c r="A184" s="13" t="s">
        <v>1038</v>
      </c>
      <c r="B184" s="15"/>
      <c r="C184" s="46"/>
      <c r="D184" s="14">
        <v>401768</v>
      </c>
      <c r="E184" s="129" t="s">
        <v>1354</v>
      </c>
      <c r="F184" s="17"/>
      <c r="G184" s="17"/>
      <c r="H184" s="17"/>
      <c r="I184" s="17"/>
    </row>
    <row r="185" spans="1:9" s="13" customFormat="1" ht="26.25" customHeight="1">
      <c r="A185" s="13" t="s">
        <v>1039</v>
      </c>
      <c r="B185" s="15"/>
      <c r="C185" s="46"/>
      <c r="D185" s="14">
        <v>401768</v>
      </c>
      <c r="E185" s="129" t="s">
        <v>1354</v>
      </c>
      <c r="F185" s="17"/>
      <c r="G185" s="17"/>
      <c r="H185" s="17"/>
      <c r="I185" s="17"/>
    </row>
    <row r="186" spans="1:9" s="13" customFormat="1" ht="26.25" customHeight="1">
      <c r="A186" s="13" t="s">
        <v>1040</v>
      </c>
      <c r="B186" s="15"/>
      <c r="C186" s="46"/>
      <c r="D186" s="14">
        <v>401768</v>
      </c>
      <c r="E186" s="129" t="s">
        <v>1354</v>
      </c>
      <c r="F186" s="17"/>
      <c r="G186" s="17"/>
      <c r="H186" s="17"/>
      <c r="I186" s="17"/>
    </row>
    <row r="187" spans="1:9" s="13" customFormat="1" ht="26.25" customHeight="1">
      <c r="A187" s="13" t="s">
        <v>1041</v>
      </c>
      <c r="B187" s="15"/>
      <c r="C187" s="46"/>
      <c r="D187" s="14">
        <v>401768</v>
      </c>
      <c r="E187" s="129" t="s">
        <v>1354</v>
      </c>
      <c r="F187" s="17"/>
      <c r="G187" s="17"/>
      <c r="H187" s="17"/>
      <c r="I187" s="17"/>
    </row>
    <row r="188" spans="1:9" s="13" customFormat="1" ht="26.25" customHeight="1">
      <c r="A188" s="13" t="s">
        <v>1042</v>
      </c>
      <c r="B188" s="15"/>
      <c r="C188" s="46"/>
      <c r="D188" s="14">
        <v>401768</v>
      </c>
      <c r="E188" s="129" t="s">
        <v>1354</v>
      </c>
      <c r="F188" s="17"/>
      <c r="G188" s="17"/>
      <c r="H188" s="17"/>
      <c r="I188" s="17"/>
    </row>
    <row r="189" spans="1:9" s="13" customFormat="1" ht="26.25" customHeight="1">
      <c r="A189" s="13" t="s">
        <v>1043</v>
      </c>
      <c r="B189" s="15"/>
      <c r="C189" s="46"/>
      <c r="D189" s="14">
        <v>401768</v>
      </c>
      <c r="E189" s="129" t="s">
        <v>1354</v>
      </c>
      <c r="F189" s="17"/>
      <c r="G189" s="17"/>
      <c r="H189" s="17"/>
      <c r="I189" s="17"/>
    </row>
    <row r="190" spans="1:9" s="13" customFormat="1" ht="26.25" customHeight="1">
      <c r="A190" s="13" t="s">
        <v>1044</v>
      </c>
      <c r="B190" s="15"/>
      <c r="C190" s="46"/>
      <c r="D190" s="14">
        <v>401768</v>
      </c>
      <c r="E190" s="129" t="s">
        <v>1354</v>
      </c>
      <c r="F190" s="17"/>
      <c r="G190" s="17"/>
      <c r="H190" s="17"/>
      <c r="I190" s="17"/>
    </row>
    <row r="191" spans="1:9" s="13" customFormat="1" ht="26.25" customHeight="1">
      <c r="A191" s="13" t="s">
        <v>1045</v>
      </c>
      <c r="B191" s="15"/>
      <c r="C191" s="46"/>
      <c r="D191" s="14">
        <v>401768</v>
      </c>
      <c r="E191" s="129" t="s">
        <v>1354</v>
      </c>
      <c r="F191" s="17"/>
      <c r="G191" s="17"/>
      <c r="H191" s="17"/>
      <c r="I191" s="17"/>
    </row>
    <row r="192" spans="1:9" s="13" customFormat="1" ht="26.25" customHeight="1">
      <c r="A192" s="13" t="s">
        <v>1046</v>
      </c>
      <c r="B192" s="15"/>
      <c r="C192" s="46"/>
      <c r="D192" s="14">
        <v>401768</v>
      </c>
      <c r="E192" s="129" t="s">
        <v>1354</v>
      </c>
      <c r="F192" s="17"/>
      <c r="G192" s="17"/>
      <c r="H192" s="17"/>
      <c r="I192" s="17"/>
    </row>
    <row r="193" spans="1:9" s="13" customFormat="1" ht="26.25" customHeight="1">
      <c r="A193" s="13" t="s">
        <v>1047</v>
      </c>
      <c r="B193" s="15"/>
      <c r="C193" s="46"/>
      <c r="D193" s="14">
        <v>401768</v>
      </c>
      <c r="E193" s="129" t="s">
        <v>1354</v>
      </c>
      <c r="F193" s="17"/>
      <c r="G193" s="17"/>
      <c r="H193" s="17"/>
      <c r="I193" s="17"/>
    </row>
    <row r="194" spans="1:9" s="13" customFormat="1" ht="26.25" customHeight="1">
      <c r="A194" s="13" t="s">
        <v>1048</v>
      </c>
      <c r="B194" s="15"/>
      <c r="C194" s="46"/>
      <c r="D194" s="14">
        <v>401768</v>
      </c>
      <c r="E194" s="129" t="s">
        <v>1354</v>
      </c>
      <c r="F194" s="17"/>
      <c r="G194" s="17"/>
      <c r="H194" s="17"/>
      <c r="I194" s="17"/>
    </row>
    <row r="195" spans="1:9" s="13" customFormat="1" ht="26.25" customHeight="1">
      <c r="A195" s="13" t="s">
        <v>1049</v>
      </c>
      <c r="B195" s="15"/>
      <c r="C195" s="46"/>
      <c r="D195" s="14">
        <v>401768</v>
      </c>
      <c r="E195" s="129" t="s">
        <v>1354</v>
      </c>
      <c r="F195" s="17"/>
      <c r="G195" s="17"/>
      <c r="H195" s="17"/>
      <c r="I195" s="17"/>
    </row>
    <row r="196" spans="1:9" s="13" customFormat="1" ht="26.25" customHeight="1">
      <c r="A196" s="13" t="s">
        <v>1050</v>
      </c>
      <c r="B196" s="15"/>
      <c r="C196" s="46"/>
      <c r="D196" s="14">
        <v>401768</v>
      </c>
      <c r="E196" s="129" t="s">
        <v>1354</v>
      </c>
      <c r="F196" s="17"/>
      <c r="G196" s="17"/>
      <c r="H196" s="17"/>
      <c r="I196" s="17"/>
    </row>
    <row r="197" spans="1:9" s="13" customFormat="1" ht="26.25" customHeight="1">
      <c r="A197" s="13" t="s">
        <v>1051</v>
      </c>
      <c r="B197" s="15"/>
      <c r="C197" s="46"/>
      <c r="D197" s="14">
        <v>401768</v>
      </c>
      <c r="E197" s="129" t="s">
        <v>1354</v>
      </c>
      <c r="F197" s="17"/>
      <c r="G197" s="17"/>
      <c r="H197" s="17"/>
      <c r="I197" s="17"/>
    </row>
    <row r="198" spans="1:9" s="13" customFormat="1" ht="26.25" customHeight="1">
      <c r="A198" s="13" t="s">
        <v>1053</v>
      </c>
      <c r="B198" s="15"/>
      <c r="C198" s="46"/>
      <c r="D198" s="14">
        <v>401768</v>
      </c>
      <c r="E198" s="129" t="s">
        <v>1354</v>
      </c>
      <c r="F198" s="17"/>
      <c r="G198" s="17"/>
      <c r="H198" s="17"/>
      <c r="I198" s="17"/>
    </row>
    <row r="199" spans="1:9" s="13" customFormat="1" ht="26.25" customHeight="1">
      <c r="A199" s="13" t="s">
        <v>1054</v>
      </c>
      <c r="B199" s="15"/>
      <c r="C199" s="46"/>
      <c r="D199" s="14">
        <v>401768</v>
      </c>
      <c r="E199" s="129" t="s">
        <v>1354</v>
      </c>
      <c r="F199" s="17"/>
      <c r="G199" s="17"/>
      <c r="H199" s="17"/>
      <c r="I199" s="17"/>
    </row>
    <row r="200" spans="1:9" s="13" customFormat="1" ht="26.25" customHeight="1">
      <c r="A200" s="13" t="s">
        <v>1055</v>
      </c>
      <c r="B200" s="15"/>
      <c r="C200" s="46"/>
      <c r="D200" s="14">
        <v>401768</v>
      </c>
      <c r="E200" s="129" t="s">
        <v>1354</v>
      </c>
      <c r="F200" s="17"/>
      <c r="G200" s="17"/>
      <c r="H200" s="17"/>
      <c r="I200" s="17"/>
    </row>
    <row r="201" spans="1:9" s="13" customFormat="1" ht="26.25" customHeight="1">
      <c r="A201" s="13" t="s">
        <v>1056</v>
      </c>
      <c r="B201" s="15"/>
      <c r="C201" s="46"/>
      <c r="D201" s="14">
        <v>401768</v>
      </c>
      <c r="E201" s="129" t="s">
        <v>1354</v>
      </c>
      <c r="F201" s="17"/>
      <c r="G201" s="17"/>
      <c r="H201" s="17"/>
      <c r="I201" s="17"/>
    </row>
    <row r="202" spans="1:9" s="13" customFormat="1" ht="26.25" customHeight="1">
      <c r="A202" s="13" t="s">
        <v>1057</v>
      </c>
      <c r="B202" s="15"/>
      <c r="C202" s="46"/>
      <c r="D202" s="14">
        <v>401768</v>
      </c>
      <c r="E202" s="129" t="s">
        <v>1354</v>
      </c>
      <c r="F202" s="17"/>
      <c r="G202" s="17"/>
      <c r="H202" s="17"/>
      <c r="I202" s="17"/>
    </row>
    <row r="203" spans="1:9" s="13" customFormat="1" ht="26.25" customHeight="1">
      <c r="A203" s="13" t="s">
        <v>1058</v>
      </c>
      <c r="B203" s="15"/>
      <c r="C203" s="46"/>
      <c r="D203" s="14">
        <v>401768</v>
      </c>
      <c r="E203" s="129" t="s">
        <v>1354</v>
      </c>
      <c r="F203" s="17"/>
      <c r="G203" s="17"/>
      <c r="H203" s="17"/>
      <c r="I203" s="17"/>
    </row>
    <row r="204" spans="1:9" s="13" customFormat="1" ht="26.25" customHeight="1">
      <c r="A204" s="13" t="s">
        <v>1060</v>
      </c>
      <c r="B204" s="15"/>
      <c r="C204" s="46"/>
      <c r="D204" s="14">
        <v>401768</v>
      </c>
      <c r="E204" s="129" t="s">
        <v>1354</v>
      </c>
      <c r="F204" s="17"/>
      <c r="G204" s="17"/>
      <c r="H204" s="17"/>
      <c r="I204" s="17"/>
    </row>
    <row r="205" spans="1:9" s="13" customFormat="1" ht="26.25" customHeight="1">
      <c r="A205" s="13" t="s">
        <v>1061</v>
      </c>
      <c r="B205" s="15"/>
      <c r="C205" s="46"/>
      <c r="D205" s="14">
        <v>401768</v>
      </c>
      <c r="E205" s="129" t="s">
        <v>1354</v>
      </c>
      <c r="F205" s="17"/>
      <c r="G205" s="17"/>
      <c r="H205" s="17"/>
      <c r="I205" s="17"/>
    </row>
    <row r="206" spans="1:9" s="13" customFormat="1" ht="26.25" customHeight="1">
      <c r="A206" s="13" t="s">
        <v>1062</v>
      </c>
      <c r="B206" s="15"/>
      <c r="C206" s="46"/>
      <c r="D206" s="14">
        <v>401768</v>
      </c>
      <c r="E206" s="129" t="s">
        <v>1354</v>
      </c>
      <c r="F206" s="17"/>
      <c r="G206" s="17"/>
      <c r="H206" s="17"/>
      <c r="I206" s="17"/>
    </row>
    <row r="207" spans="1:9" s="13" customFormat="1" ht="26.25" customHeight="1">
      <c r="A207" s="13" t="s">
        <v>1064</v>
      </c>
      <c r="B207" s="15"/>
      <c r="C207" s="46"/>
      <c r="D207" s="14">
        <v>401768</v>
      </c>
      <c r="E207" s="129" t="s">
        <v>1354</v>
      </c>
      <c r="F207" s="17"/>
      <c r="G207" s="17"/>
      <c r="H207" s="17"/>
      <c r="I207" s="17"/>
    </row>
    <row r="208" spans="1:9" s="13" customFormat="1" ht="26.25" customHeight="1">
      <c r="A208" s="13" t="s">
        <v>1065</v>
      </c>
      <c r="B208" s="15"/>
      <c r="C208" s="46"/>
      <c r="D208" s="14">
        <v>401768</v>
      </c>
      <c r="E208" s="129" t="s">
        <v>1354</v>
      </c>
      <c r="F208" s="17"/>
      <c r="G208" s="17"/>
      <c r="H208" s="17"/>
      <c r="I208" s="17"/>
    </row>
    <row r="209" spans="1:9" s="13" customFormat="1" ht="26.25" customHeight="1">
      <c r="A209" s="13" t="s">
        <v>1066</v>
      </c>
      <c r="B209" s="15"/>
      <c r="C209" s="46"/>
      <c r="D209" s="14">
        <v>401768</v>
      </c>
      <c r="E209" s="129" t="s">
        <v>1354</v>
      </c>
      <c r="F209" s="17"/>
      <c r="G209" s="17"/>
      <c r="H209" s="17"/>
      <c r="I209" s="17"/>
    </row>
    <row r="210" spans="1:9" s="13" customFormat="1" ht="26.25" customHeight="1">
      <c r="A210" s="13" t="s">
        <v>1067</v>
      </c>
      <c r="B210" s="15"/>
      <c r="C210" s="46"/>
      <c r="D210" s="14">
        <v>401768</v>
      </c>
      <c r="E210" s="129" t="s">
        <v>1354</v>
      </c>
      <c r="F210" s="17"/>
      <c r="G210" s="17"/>
      <c r="H210" s="17"/>
      <c r="I210" s="17"/>
    </row>
    <row r="211" spans="1:9" s="13" customFormat="1" ht="26.25" customHeight="1">
      <c r="A211" s="13" t="s">
        <v>1068</v>
      </c>
      <c r="B211" s="15"/>
      <c r="C211" s="46"/>
      <c r="D211" s="14">
        <v>401768</v>
      </c>
      <c r="E211" s="129" t="s">
        <v>1354</v>
      </c>
      <c r="F211" s="17"/>
      <c r="G211" s="17"/>
      <c r="H211" s="17"/>
      <c r="I211" s="17"/>
    </row>
    <row r="212" spans="1:9" s="13" customFormat="1" ht="26.25" customHeight="1">
      <c r="A212" s="13" t="s">
        <v>1069</v>
      </c>
      <c r="B212" s="15"/>
      <c r="C212" s="46"/>
      <c r="D212" s="14">
        <v>401768</v>
      </c>
      <c r="E212" s="129" t="s">
        <v>1354</v>
      </c>
      <c r="F212" s="17"/>
      <c r="G212" s="17"/>
      <c r="H212" s="17"/>
      <c r="I212" s="17"/>
    </row>
    <row r="213" spans="1:9" s="13" customFormat="1" ht="26.25" customHeight="1">
      <c r="A213" s="13" t="s">
        <v>1070</v>
      </c>
      <c r="B213" s="15"/>
      <c r="C213" s="46"/>
      <c r="D213" s="14">
        <v>401768</v>
      </c>
      <c r="E213" s="129" t="s">
        <v>1354</v>
      </c>
      <c r="F213" s="17"/>
      <c r="G213" s="17"/>
      <c r="H213" s="17"/>
      <c r="I213" s="17"/>
    </row>
    <row r="214" spans="1:9" s="13" customFormat="1" ht="26.25" customHeight="1">
      <c r="A214" s="13" t="s">
        <v>1071</v>
      </c>
      <c r="B214" s="15"/>
      <c r="C214" s="46"/>
      <c r="D214" s="14">
        <v>401768</v>
      </c>
      <c r="E214" s="129" t="s">
        <v>1354</v>
      </c>
      <c r="F214" s="17"/>
      <c r="G214" s="17"/>
      <c r="H214" s="17"/>
      <c r="I214" s="17"/>
    </row>
    <row r="215" spans="1:9" s="13" customFormat="1" ht="26.25" customHeight="1">
      <c r="A215" s="13" t="s">
        <v>1072</v>
      </c>
      <c r="B215" s="15"/>
      <c r="C215" s="46"/>
      <c r="D215" s="14">
        <v>401768</v>
      </c>
      <c r="E215" s="129" t="s">
        <v>1354</v>
      </c>
      <c r="F215" s="17"/>
      <c r="G215" s="17"/>
      <c r="H215" s="17"/>
      <c r="I215" s="17"/>
    </row>
    <row r="216" spans="1:9" s="13" customFormat="1" ht="26.25" customHeight="1">
      <c r="A216" s="13" t="s">
        <v>1073</v>
      </c>
      <c r="B216" s="15"/>
      <c r="C216" s="46"/>
      <c r="D216" s="14">
        <v>401768</v>
      </c>
      <c r="E216" s="129" t="s">
        <v>1354</v>
      </c>
      <c r="F216" s="17"/>
      <c r="G216" s="17"/>
      <c r="H216" s="17"/>
      <c r="I216" s="17"/>
    </row>
    <row r="217" spans="1:9" s="13" customFormat="1" ht="26.25" customHeight="1">
      <c r="A217" s="13" t="s">
        <v>1074</v>
      </c>
      <c r="B217" s="15"/>
      <c r="C217" s="46"/>
      <c r="D217" s="14">
        <v>401768</v>
      </c>
      <c r="E217" s="129" t="s">
        <v>1354</v>
      </c>
      <c r="F217" s="17"/>
      <c r="G217" s="17"/>
      <c r="H217" s="17"/>
      <c r="I217" s="17"/>
    </row>
    <row r="218" spans="1:9" s="13" customFormat="1" ht="26.25" customHeight="1">
      <c r="A218" s="13" t="s">
        <v>1075</v>
      </c>
      <c r="B218" s="15"/>
      <c r="C218" s="46"/>
      <c r="D218" s="14">
        <v>401768</v>
      </c>
      <c r="E218" s="129" t="s">
        <v>1354</v>
      </c>
      <c r="F218" s="17"/>
      <c r="G218" s="17"/>
      <c r="H218" s="17"/>
      <c r="I218" s="17"/>
    </row>
    <row r="219" spans="1:9" s="13" customFormat="1" ht="26.25" customHeight="1">
      <c r="A219" s="13" t="s">
        <v>1076</v>
      </c>
      <c r="B219" s="15"/>
      <c r="C219" s="46"/>
      <c r="D219" s="14">
        <v>401768</v>
      </c>
      <c r="E219" s="129" t="s">
        <v>1354</v>
      </c>
      <c r="F219" s="17"/>
      <c r="G219" s="17"/>
      <c r="H219" s="17"/>
      <c r="I219" s="17"/>
    </row>
    <row r="220" spans="1:9" s="13" customFormat="1" ht="26.25" customHeight="1">
      <c r="A220" s="13" t="s">
        <v>1077</v>
      </c>
      <c r="B220" s="15"/>
      <c r="C220" s="46"/>
      <c r="D220" s="14">
        <v>401768</v>
      </c>
      <c r="E220" s="129" t="s">
        <v>1354</v>
      </c>
      <c r="F220" s="17"/>
      <c r="G220" s="17"/>
      <c r="H220" s="17"/>
      <c r="I220" s="17"/>
    </row>
    <row r="221" spans="1:9" s="13" customFormat="1" ht="26.25" customHeight="1">
      <c r="A221" s="13" t="s">
        <v>1078</v>
      </c>
      <c r="B221" s="15"/>
      <c r="C221" s="46"/>
      <c r="D221" s="14">
        <v>401768</v>
      </c>
      <c r="E221" s="129" t="s">
        <v>1354</v>
      </c>
      <c r="F221" s="17"/>
      <c r="G221" s="17"/>
      <c r="H221" s="17"/>
      <c r="I221" s="17"/>
    </row>
    <row r="222" spans="1:9" s="13" customFormat="1" ht="26.25" customHeight="1">
      <c r="A222" s="13" t="s">
        <v>1080</v>
      </c>
      <c r="B222" s="15"/>
      <c r="C222" s="46"/>
      <c r="D222" s="14">
        <v>401768</v>
      </c>
      <c r="E222" s="129" t="s">
        <v>1354</v>
      </c>
      <c r="F222" s="17"/>
      <c r="G222" s="17"/>
      <c r="H222" s="17"/>
      <c r="I222" s="17"/>
    </row>
    <row r="223" spans="1:9" s="13" customFormat="1" ht="26.25" customHeight="1">
      <c r="A223" s="13" t="s">
        <v>1081</v>
      </c>
      <c r="B223" s="15"/>
      <c r="C223" s="46"/>
      <c r="D223" s="14">
        <v>401768</v>
      </c>
      <c r="E223" s="129" t="s">
        <v>1354</v>
      </c>
      <c r="F223" s="17"/>
      <c r="G223" s="17"/>
      <c r="H223" s="17"/>
      <c r="I223" s="17"/>
    </row>
    <row r="224" spans="1:9" s="13" customFormat="1" ht="26.25" customHeight="1">
      <c r="A224" s="13" t="s">
        <v>1082</v>
      </c>
      <c r="B224" s="15"/>
      <c r="C224" s="46"/>
      <c r="D224" s="14">
        <v>401768</v>
      </c>
      <c r="E224" s="129" t="s">
        <v>1354</v>
      </c>
      <c r="F224" s="17"/>
      <c r="G224" s="17"/>
      <c r="H224" s="17"/>
      <c r="I224" s="17"/>
    </row>
    <row r="225" spans="1:9" s="13" customFormat="1" ht="26.25" customHeight="1">
      <c r="A225" s="13" t="s">
        <v>1084</v>
      </c>
      <c r="B225" s="15"/>
      <c r="C225" s="46"/>
      <c r="D225" s="14">
        <v>401768</v>
      </c>
      <c r="E225" s="129" t="s">
        <v>1354</v>
      </c>
      <c r="F225" s="17"/>
      <c r="G225" s="17"/>
      <c r="H225" s="17"/>
      <c r="I225" s="17"/>
    </row>
    <row r="226" spans="1:9" s="13" customFormat="1" ht="26.25" customHeight="1">
      <c r="A226" s="13" t="s">
        <v>864</v>
      </c>
      <c r="B226" s="15"/>
      <c r="C226" s="46"/>
      <c r="D226" s="14">
        <v>401768</v>
      </c>
      <c r="E226" s="129" t="s">
        <v>1354</v>
      </c>
      <c r="F226" s="17"/>
      <c r="G226" s="17"/>
      <c r="H226" s="17"/>
      <c r="I226" s="17"/>
    </row>
    <row r="227" spans="1:9" s="13" customFormat="1" ht="26.25" customHeight="1">
      <c r="A227" s="13" t="s">
        <v>1166</v>
      </c>
      <c r="B227" s="15"/>
      <c r="C227" s="46"/>
      <c r="D227" s="14">
        <v>401768</v>
      </c>
      <c r="E227" s="129" t="s">
        <v>1354</v>
      </c>
      <c r="F227" s="17"/>
      <c r="G227" s="17"/>
      <c r="H227" s="17"/>
      <c r="I227" s="17"/>
    </row>
    <row r="228" spans="1:9" s="13" customFormat="1" ht="26.25" customHeight="1">
      <c r="A228" s="13" t="s">
        <v>1165</v>
      </c>
      <c r="B228" s="15"/>
      <c r="C228" s="46"/>
      <c r="D228" s="14">
        <v>401768</v>
      </c>
      <c r="E228" s="129" t="s">
        <v>1354</v>
      </c>
      <c r="F228" s="17"/>
      <c r="G228" s="17"/>
      <c r="H228" s="17"/>
      <c r="I228" s="17"/>
    </row>
    <row r="229" spans="1:9" s="13" customFormat="1" ht="26.25" customHeight="1">
      <c r="A229" s="13" t="s">
        <v>1164</v>
      </c>
      <c r="B229" s="15"/>
      <c r="C229" s="46"/>
      <c r="D229" s="14">
        <v>401768</v>
      </c>
      <c r="E229" s="129" t="s">
        <v>1354</v>
      </c>
      <c r="F229" s="17"/>
      <c r="G229" s="17"/>
      <c r="H229" s="17"/>
      <c r="I229" s="17"/>
    </row>
    <row r="230" spans="1:9" s="13" customFormat="1" ht="26.25" customHeight="1">
      <c r="A230" s="13" t="s">
        <v>1163</v>
      </c>
      <c r="B230" s="15"/>
      <c r="C230" s="46"/>
      <c r="D230" s="14">
        <v>401768</v>
      </c>
      <c r="E230" s="129" t="s">
        <v>1354</v>
      </c>
      <c r="F230" s="17"/>
      <c r="G230" s="17"/>
      <c r="H230" s="17"/>
      <c r="I230" s="17"/>
    </row>
    <row r="231" spans="1:9" s="13" customFormat="1" ht="26.25" customHeight="1">
      <c r="A231" s="13" t="s">
        <v>1162</v>
      </c>
      <c r="B231" s="15"/>
      <c r="C231" s="46"/>
      <c r="D231" s="14">
        <v>401768</v>
      </c>
      <c r="E231" s="129" t="s">
        <v>1354</v>
      </c>
      <c r="F231" s="17"/>
      <c r="G231" s="17"/>
      <c r="H231" s="17"/>
      <c r="I231" s="17"/>
    </row>
    <row r="232" spans="1:9" s="13" customFormat="1" ht="26.25" customHeight="1">
      <c r="A232" s="13" t="s">
        <v>1161</v>
      </c>
      <c r="B232" s="15"/>
      <c r="C232" s="46"/>
      <c r="D232" s="14">
        <v>401768</v>
      </c>
      <c r="E232" s="129" t="s">
        <v>1354</v>
      </c>
      <c r="F232" s="17"/>
      <c r="G232" s="17"/>
      <c r="H232" s="17"/>
      <c r="I232" s="17"/>
    </row>
    <row r="233" spans="1:9" s="13" customFormat="1" ht="26.25" customHeight="1">
      <c r="A233" s="13" t="s">
        <v>1160</v>
      </c>
      <c r="B233" s="15"/>
      <c r="C233" s="46"/>
      <c r="D233" s="14">
        <v>401768</v>
      </c>
      <c r="E233" s="129" t="s">
        <v>1354</v>
      </c>
      <c r="F233" s="17"/>
      <c r="G233" s="17"/>
      <c r="H233" s="17"/>
      <c r="I233" s="17"/>
    </row>
    <row r="234" spans="1:9" s="13" customFormat="1" ht="26.25" customHeight="1">
      <c r="A234" s="13" t="s">
        <v>1159</v>
      </c>
      <c r="B234" s="15"/>
      <c r="C234" s="46"/>
      <c r="D234" s="14">
        <v>401768</v>
      </c>
      <c r="E234" s="129" t="s">
        <v>1354</v>
      </c>
      <c r="F234" s="17"/>
      <c r="G234" s="17"/>
      <c r="H234" s="17"/>
      <c r="I234" s="17"/>
    </row>
    <row r="235" spans="1:9" s="13" customFormat="1" ht="26.25" customHeight="1">
      <c r="A235" s="13" t="s">
        <v>1158</v>
      </c>
      <c r="B235" s="15"/>
      <c r="C235" s="46"/>
      <c r="D235" s="14">
        <v>401768</v>
      </c>
      <c r="E235" s="129" t="s">
        <v>1354</v>
      </c>
      <c r="F235" s="17"/>
      <c r="G235" s="17"/>
      <c r="H235" s="17"/>
      <c r="I235" s="17"/>
    </row>
    <row r="236" spans="1:9" s="13" customFormat="1" ht="26.25" customHeight="1">
      <c r="A236" s="13" t="s">
        <v>1157</v>
      </c>
      <c r="B236" s="15"/>
      <c r="C236" s="46"/>
      <c r="D236" s="14">
        <v>401768</v>
      </c>
      <c r="E236" s="129" t="s">
        <v>1354</v>
      </c>
      <c r="F236" s="17"/>
      <c r="G236" s="17"/>
      <c r="H236" s="17"/>
      <c r="I236" s="17"/>
    </row>
    <row r="237" spans="1:9" s="13" customFormat="1" ht="26.25" customHeight="1">
      <c r="A237" s="13" t="s">
        <v>1156</v>
      </c>
      <c r="B237" s="15"/>
      <c r="C237" s="46"/>
      <c r="D237" s="14">
        <v>401768</v>
      </c>
      <c r="E237" s="129" t="s">
        <v>1354</v>
      </c>
      <c r="F237" s="17"/>
      <c r="G237" s="17"/>
      <c r="H237" s="17"/>
      <c r="I237" s="17"/>
    </row>
    <row r="238" spans="1:9" s="13" customFormat="1" ht="26.25" customHeight="1">
      <c r="A238" s="13" t="s">
        <v>1155</v>
      </c>
      <c r="B238" s="15"/>
      <c r="C238" s="46"/>
      <c r="D238" s="14">
        <v>401768</v>
      </c>
      <c r="E238" s="129" t="s">
        <v>1354</v>
      </c>
      <c r="F238" s="17"/>
      <c r="G238" s="17"/>
      <c r="H238" s="17"/>
      <c r="I238" s="17"/>
    </row>
    <row r="239" spans="1:9" s="13" customFormat="1" ht="26.25" customHeight="1">
      <c r="A239" s="13" t="s">
        <v>1154</v>
      </c>
      <c r="B239" s="15"/>
      <c r="C239" s="46"/>
      <c r="D239" s="14">
        <v>401768</v>
      </c>
      <c r="E239" s="129" t="s">
        <v>1354</v>
      </c>
      <c r="F239" s="17"/>
      <c r="G239" s="17"/>
      <c r="H239" s="17"/>
      <c r="I239" s="17"/>
    </row>
    <row r="240" spans="1:9" s="13" customFormat="1" ht="26.25" customHeight="1">
      <c r="A240" s="13" t="s">
        <v>1153</v>
      </c>
      <c r="B240" s="15"/>
      <c r="C240" s="46"/>
      <c r="D240" s="14">
        <v>401768</v>
      </c>
      <c r="E240" s="129" t="s">
        <v>1354</v>
      </c>
      <c r="F240" s="17"/>
      <c r="G240" s="17"/>
      <c r="H240" s="17"/>
      <c r="I240" s="17"/>
    </row>
    <row r="241" spans="1:9" s="13" customFormat="1" ht="26.25" customHeight="1">
      <c r="A241" s="13" t="s">
        <v>1152</v>
      </c>
      <c r="B241" s="15"/>
      <c r="C241" s="46"/>
      <c r="D241" s="14">
        <v>401768</v>
      </c>
      <c r="E241" s="129" t="s">
        <v>1354</v>
      </c>
      <c r="F241" s="17"/>
      <c r="G241" s="17"/>
      <c r="H241" s="17"/>
      <c r="I241" s="17"/>
    </row>
    <row r="242" spans="1:9" s="13" customFormat="1" ht="26.25" customHeight="1">
      <c r="A242" s="13" t="s">
        <v>1151</v>
      </c>
      <c r="B242" s="15"/>
      <c r="C242" s="46"/>
      <c r="D242" s="14">
        <v>401768</v>
      </c>
      <c r="E242" s="129" t="s">
        <v>1354</v>
      </c>
      <c r="F242" s="17"/>
      <c r="G242" s="17"/>
      <c r="H242" s="17"/>
      <c r="I242" s="17"/>
    </row>
    <row r="243" spans="1:9" s="13" customFormat="1" ht="26.25" customHeight="1">
      <c r="A243" s="13" t="s">
        <v>1150</v>
      </c>
      <c r="B243" s="15"/>
      <c r="C243" s="46"/>
      <c r="D243" s="14">
        <v>401768</v>
      </c>
      <c r="E243" s="129" t="s">
        <v>1354</v>
      </c>
      <c r="F243" s="17"/>
      <c r="G243" s="17"/>
      <c r="H243" s="17"/>
      <c r="I243" s="17"/>
    </row>
    <row r="244" spans="1:9" s="13" customFormat="1" ht="26.25" customHeight="1">
      <c r="A244" s="13" t="s">
        <v>1149</v>
      </c>
      <c r="B244" s="15"/>
      <c r="C244" s="46"/>
      <c r="D244" s="14">
        <v>401768</v>
      </c>
      <c r="E244" s="129" t="s">
        <v>1354</v>
      </c>
      <c r="F244" s="17"/>
      <c r="G244" s="17"/>
      <c r="H244" s="17"/>
      <c r="I244" s="17"/>
    </row>
    <row r="245" spans="1:9" s="13" customFormat="1" ht="26.25" customHeight="1">
      <c r="A245" s="13" t="s">
        <v>1148</v>
      </c>
      <c r="B245" s="15"/>
      <c r="C245" s="46"/>
      <c r="D245" s="14">
        <v>401768</v>
      </c>
      <c r="E245" s="129" t="s">
        <v>1354</v>
      </c>
      <c r="F245" s="17"/>
      <c r="G245" s="17"/>
      <c r="H245" s="17"/>
      <c r="I245" s="17"/>
    </row>
    <row r="246" spans="1:9" s="13" customFormat="1" ht="26.25" customHeight="1">
      <c r="A246" s="13" t="s">
        <v>1147</v>
      </c>
      <c r="B246" s="15"/>
      <c r="C246" s="46"/>
      <c r="D246" s="14">
        <v>401768</v>
      </c>
      <c r="E246" s="129" t="s">
        <v>1354</v>
      </c>
      <c r="F246" s="17"/>
      <c r="G246" s="17"/>
      <c r="H246" s="17"/>
      <c r="I246" s="17"/>
    </row>
    <row r="247" spans="1:9" s="13" customFormat="1" ht="26.25" customHeight="1">
      <c r="A247" s="13" t="s">
        <v>1146</v>
      </c>
      <c r="B247" s="15"/>
      <c r="C247" s="46"/>
      <c r="D247" s="14">
        <v>401768</v>
      </c>
      <c r="E247" s="129" t="s">
        <v>1354</v>
      </c>
      <c r="F247" s="17"/>
      <c r="G247" s="17"/>
      <c r="H247" s="17"/>
      <c r="I247" s="17"/>
    </row>
    <row r="248" spans="1:9" s="13" customFormat="1" ht="26.25" customHeight="1">
      <c r="A248" s="13" t="s">
        <v>1145</v>
      </c>
      <c r="B248" s="15"/>
      <c r="C248" s="46"/>
      <c r="D248" s="14">
        <v>401768</v>
      </c>
      <c r="E248" s="129" t="s">
        <v>1354</v>
      </c>
      <c r="F248" s="17"/>
      <c r="G248" s="17"/>
      <c r="H248" s="17"/>
      <c r="I248" s="17"/>
    </row>
    <row r="249" spans="1:9" s="13" customFormat="1" ht="26.25" customHeight="1">
      <c r="A249" s="13" t="s">
        <v>1144</v>
      </c>
      <c r="B249" s="15"/>
      <c r="C249" s="46"/>
      <c r="D249" s="14">
        <v>401768</v>
      </c>
      <c r="E249" s="129" t="s">
        <v>1354</v>
      </c>
      <c r="F249" s="17"/>
      <c r="G249" s="17"/>
      <c r="H249" s="17"/>
      <c r="I249" s="17"/>
    </row>
    <row r="250" spans="1:9" s="13" customFormat="1" ht="26.25" customHeight="1">
      <c r="A250" s="13" t="s">
        <v>1143</v>
      </c>
      <c r="B250" s="15"/>
      <c r="C250" s="46"/>
      <c r="D250" s="14">
        <v>401768</v>
      </c>
      <c r="E250" s="129" t="s">
        <v>1354</v>
      </c>
      <c r="F250" s="17"/>
      <c r="G250" s="17"/>
      <c r="H250" s="17"/>
      <c r="I250" s="17"/>
    </row>
    <row r="251" spans="1:9" s="13" customFormat="1" ht="26.25" customHeight="1">
      <c r="A251" s="13" t="s">
        <v>1142</v>
      </c>
      <c r="B251" s="15"/>
      <c r="C251" s="46"/>
      <c r="D251" s="14">
        <v>401768</v>
      </c>
      <c r="E251" s="129" t="s">
        <v>1354</v>
      </c>
      <c r="F251" s="17"/>
      <c r="G251" s="17"/>
      <c r="H251" s="17"/>
      <c r="I251" s="17"/>
    </row>
    <row r="252" spans="1:9" s="13" customFormat="1" ht="26.25" customHeight="1">
      <c r="A252" s="13" t="s">
        <v>1141</v>
      </c>
      <c r="B252" s="15"/>
      <c r="C252" s="46"/>
      <c r="D252" s="14">
        <v>401768</v>
      </c>
      <c r="E252" s="129" t="s">
        <v>1354</v>
      </c>
      <c r="F252" s="17"/>
      <c r="G252" s="17"/>
      <c r="H252" s="17"/>
      <c r="I252" s="17"/>
    </row>
    <row r="253" spans="1:9" s="13" customFormat="1" ht="26.25" customHeight="1">
      <c r="A253" s="13" t="s">
        <v>1140</v>
      </c>
      <c r="B253" s="15"/>
      <c r="C253" s="46"/>
      <c r="D253" s="14">
        <v>401768</v>
      </c>
      <c r="E253" s="129" t="s">
        <v>1354</v>
      </c>
      <c r="F253" s="17"/>
      <c r="G253" s="17"/>
      <c r="H253" s="17"/>
      <c r="I253" s="17"/>
    </row>
    <row r="254" spans="1:9" s="13" customFormat="1" ht="26.25" customHeight="1">
      <c r="A254" s="13" t="s">
        <v>1139</v>
      </c>
      <c r="B254" s="15"/>
      <c r="C254" s="46"/>
      <c r="D254" s="14">
        <v>401768</v>
      </c>
      <c r="E254" s="129" t="s">
        <v>1354</v>
      </c>
      <c r="F254" s="17"/>
      <c r="G254" s="17"/>
      <c r="H254" s="17"/>
      <c r="I254" s="17"/>
    </row>
    <row r="255" spans="1:9" s="13" customFormat="1" ht="26.25" customHeight="1">
      <c r="A255" s="13" t="s">
        <v>1138</v>
      </c>
      <c r="B255" s="15"/>
      <c r="C255" s="46"/>
      <c r="D255" s="14">
        <v>401768</v>
      </c>
      <c r="E255" s="129" t="s">
        <v>1354</v>
      </c>
      <c r="F255" s="17"/>
      <c r="G255" s="17"/>
      <c r="H255" s="17"/>
      <c r="I255" s="17"/>
    </row>
    <row r="256" spans="1:9" s="13" customFormat="1" ht="26.25" customHeight="1">
      <c r="A256" s="13" t="s">
        <v>1137</v>
      </c>
      <c r="B256" s="15"/>
      <c r="C256" s="46"/>
      <c r="D256" s="14">
        <v>401768</v>
      </c>
      <c r="E256" s="129" t="s">
        <v>1354</v>
      </c>
      <c r="F256" s="17"/>
      <c r="G256" s="17"/>
      <c r="H256" s="17"/>
      <c r="I256" s="17"/>
    </row>
    <row r="257" spans="1:9" s="13" customFormat="1" ht="26.25" customHeight="1">
      <c r="A257" s="13" t="s">
        <v>1136</v>
      </c>
      <c r="B257" s="15"/>
      <c r="C257" s="46"/>
      <c r="D257" s="14">
        <v>401768</v>
      </c>
      <c r="E257" s="129" t="s">
        <v>1354</v>
      </c>
      <c r="F257" s="17"/>
      <c r="G257" s="17"/>
      <c r="H257" s="17"/>
      <c r="I257" s="17"/>
    </row>
    <row r="258" spans="1:9" s="13" customFormat="1" ht="26.25" customHeight="1">
      <c r="A258" s="13" t="s">
        <v>1135</v>
      </c>
      <c r="B258" s="15"/>
      <c r="C258" s="46"/>
      <c r="D258" s="14">
        <v>401768</v>
      </c>
      <c r="E258" s="129" t="s">
        <v>1354</v>
      </c>
      <c r="F258" s="17"/>
      <c r="G258" s="17"/>
      <c r="H258" s="17"/>
      <c r="I258" s="17"/>
    </row>
    <row r="259" spans="1:9" s="13" customFormat="1" ht="26.25" customHeight="1">
      <c r="A259" s="13" t="s">
        <v>1134</v>
      </c>
      <c r="B259" s="15"/>
      <c r="C259" s="46"/>
      <c r="D259" s="14">
        <v>401768</v>
      </c>
      <c r="E259" s="129" t="s">
        <v>1354</v>
      </c>
      <c r="F259" s="17"/>
      <c r="G259" s="17"/>
      <c r="H259" s="17"/>
      <c r="I259" s="17"/>
    </row>
    <row r="260" spans="1:9" s="13" customFormat="1" ht="26.25" customHeight="1">
      <c r="A260" s="13" t="s">
        <v>1133</v>
      </c>
      <c r="B260" s="15"/>
      <c r="C260" s="46"/>
      <c r="D260" s="14">
        <v>401768</v>
      </c>
      <c r="E260" s="129" t="s">
        <v>1354</v>
      </c>
      <c r="F260" s="17"/>
      <c r="G260" s="17"/>
      <c r="H260" s="17"/>
      <c r="I260" s="17"/>
    </row>
    <row r="261" spans="1:9" s="13" customFormat="1" ht="26.25" customHeight="1">
      <c r="A261" s="13" t="s">
        <v>1132</v>
      </c>
      <c r="B261" s="15"/>
      <c r="C261" s="46"/>
      <c r="D261" s="14">
        <v>401768</v>
      </c>
      <c r="E261" s="129" t="s">
        <v>1354</v>
      </c>
      <c r="F261" s="17"/>
      <c r="G261" s="17"/>
      <c r="H261" s="17"/>
      <c r="I261" s="17"/>
    </row>
    <row r="262" spans="1:9" s="13" customFormat="1" ht="26.25" customHeight="1">
      <c r="A262" s="13" t="s">
        <v>1131</v>
      </c>
      <c r="B262" s="15"/>
      <c r="C262" s="46"/>
      <c r="D262" s="14">
        <v>401768</v>
      </c>
      <c r="E262" s="129" t="s">
        <v>1354</v>
      </c>
      <c r="F262" s="17"/>
      <c r="G262" s="17"/>
      <c r="H262" s="17"/>
      <c r="I262" s="17"/>
    </row>
    <row r="263" spans="1:9" s="13" customFormat="1" ht="26.25" customHeight="1">
      <c r="A263" s="13" t="s">
        <v>1130</v>
      </c>
      <c r="B263" s="15"/>
      <c r="C263" s="46"/>
      <c r="D263" s="14">
        <v>401768</v>
      </c>
      <c r="E263" s="129" t="s">
        <v>1354</v>
      </c>
      <c r="F263" s="17"/>
      <c r="G263" s="17"/>
      <c r="H263" s="17"/>
      <c r="I263" s="17"/>
    </row>
    <row r="264" spans="1:9" s="13" customFormat="1" ht="26.25" customHeight="1">
      <c r="A264" s="13" t="s">
        <v>1129</v>
      </c>
      <c r="B264" s="15"/>
      <c r="C264" s="46"/>
      <c r="D264" s="14">
        <v>401768</v>
      </c>
      <c r="E264" s="129" t="s">
        <v>1354</v>
      </c>
      <c r="F264" s="17"/>
      <c r="G264" s="17"/>
      <c r="H264" s="17"/>
      <c r="I264" s="17"/>
    </row>
    <row r="265" spans="1:9" s="13" customFormat="1" ht="26.25" customHeight="1">
      <c r="A265" s="13" t="s">
        <v>1128</v>
      </c>
      <c r="B265" s="15"/>
      <c r="C265" s="46"/>
      <c r="D265" s="14">
        <v>401768</v>
      </c>
      <c r="E265" s="129" t="s">
        <v>1354</v>
      </c>
      <c r="F265" s="17"/>
      <c r="G265" s="17"/>
      <c r="H265" s="17"/>
      <c r="I265" s="17"/>
    </row>
    <row r="266" spans="1:9" s="13" customFormat="1" ht="26.25" customHeight="1">
      <c r="A266" s="13" t="s">
        <v>1127</v>
      </c>
      <c r="B266" s="15"/>
      <c r="C266" s="46"/>
      <c r="D266" s="14">
        <v>401768</v>
      </c>
      <c r="E266" s="129" t="s">
        <v>1354</v>
      </c>
      <c r="F266" s="17"/>
      <c r="G266" s="17"/>
      <c r="H266" s="17"/>
      <c r="I266" s="17"/>
    </row>
    <row r="267" spans="1:9" s="13" customFormat="1" ht="26.25" customHeight="1">
      <c r="A267" s="13" t="s">
        <v>1126</v>
      </c>
      <c r="B267" s="15"/>
      <c r="C267" s="46"/>
      <c r="D267" s="14">
        <v>401768</v>
      </c>
      <c r="E267" s="129" t="s">
        <v>1354</v>
      </c>
      <c r="F267" s="17"/>
      <c r="G267" s="17"/>
      <c r="H267" s="17"/>
      <c r="I267" s="17"/>
    </row>
    <row r="268" spans="1:9" s="13" customFormat="1" ht="26.25" customHeight="1">
      <c r="A268" s="13" t="s">
        <v>1125</v>
      </c>
      <c r="B268" s="15"/>
      <c r="C268" s="46"/>
      <c r="D268" s="14">
        <v>401768</v>
      </c>
      <c r="E268" s="129" t="s">
        <v>1354</v>
      </c>
      <c r="F268" s="17"/>
      <c r="G268" s="17"/>
      <c r="H268" s="17"/>
      <c r="I268" s="17"/>
    </row>
    <row r="269" spans="1:9" s="13" customFormat="1" ht="26.25" customHeight="1">
      <c r="A269" s="13" t="s">
        <v>1124</v>
      </c>
      <c r="B269" s="15"/>
      <c r="C269" s="46"/>
      <c r="D269" s="14">
        <v>401768</v>
      </c>
      <c r="E269" s="129" t="s">
        <v>1354</v>
      </c>
      <c r="F269" s="17"/>
      <c r="G269" s="17"/>
      <c r="H269" s="17"/>
      <c r="I269" s="17"/>
    </row>
    <row r="270" spans="1:9" s="13" customFormat="1" ht="26.25" customHeight="1">
      <c r="A270" s="13" t="s">
        <v>1123</v>
      </c>
      <c r="B270" s="15"/>
      <c r="C270" s="46"/>
      <c r="D270" s="14">
        <v>401768</v>
      </c>
      <c r="E270" s="129" t="s">
        <v>1354</v>
      </c>
      <c r="F270" s="17"/>
      <c r="G270" s="17"/>
      <c r="H270" s="17"/>
      <c r="I270" s="17"/>
    </row>
    <row r="271" spans="1:9" s="13" customFormat="1" ht="26.25" customHeight="1">
      <c r="A271" s="13" t="s">
        <v>1122</v>
      </c>
      <c r="B271" s="15"/>
      <c r="C271" s="46"/>
      <c r="D271" s="14">
        <v>401768</v>
      </c>
      <c r="E271" s="129" t="s">
        <v>1354</v>
      </c>
      <c r="F271" s="17"/>
      <c r="G271" s="17"/>
      <c r="H271" s="17"/>
      <c r="I271" s="17"/>
    </row>
    <row r="272" spans="1:9" s="13" customFormat="1" ht="26.25" customHeight="1">
      <c r="A272" s="13" t="s">
        <v>1121</v>
      </c>
      <c r="B272" s="15"/>
      <c r="C272" s="46"/>
      <c r="D272" s="14">
        <v>401768</v>
      </c>
      <c r="E272" s="129" t="s">
        <v>1354</v>
      </c>
      <c r="F272" s="17"/>
      <c r="G272" s="17"/>
      <c r="H272" s="17"/>
      <c r="I272" s="17"/>
    </row>
    <row r="273" spans="1:9" s="13" customFormat="1" ht="26.25" customHeight="1">
      <c r="A273" s="13" t="s">
        <v>1120</v>
      </c>
      <c r="B273" s="15"/>
      <c r="C273" s="46"/>
      <c r="D273" s="14">
        <v>401768</v>
      </c>
      <c r="E273" s="129" t="s">
        <v>1354</v>
      </c>
      <c r="F273" s="17"/>
      <c r="G273" s="17"/>
      <c r="H273" s="17"/>
      <c r="I273" s="17"/>
    </row>
    <row r="274" spans="1:9" s="13" customFormat="1" ht="26.25" customHeight="1">
      <c r="A274" s="13" t="s">
        <v>1119</v>
      </c>
      <c r="B274" s="15"/>
      <c r="C274" s="46"/>
      <c r="D274" s="14">
        <v>401768</v>
      </c>
      <c r="E274" s="129" t="s">
        <v>1354</v>
      </c>
      <c r="F274" s="17"/>
      <c r="G274" s="17"/>
      <c r="H274" s="17"/>
      <c r="I274" s="17"/>
    </row>
    <row r="275" spans="1:9" s="13" customFormat="1" ht="26.25" customHeight="1">
      <c r="A275" s="13" t="s">
        <v>1118</v>
      </c>
      <c r="B275" s="15"/>
      <c r="C275" s="46"/>
      <c r="D275" s="14">
        <v>401768</v>
      </c>
      <c r="E275" s="129" t="s">
        <v>1354</v>
      </c>
      <c r="F275" s="17"/>
      <c r="G275" s="17"/>
      <c r="H275" s="17"/>
      <c r="I275" s="17"/>
    </row>
    <row r="276" spans="1:9" s="13" customFormat="1" ht="26.25" customHeight="1">
      <c r="A276" s="13" t="s">
        <v>1117</v>
      </c>
      <c r="B276" s="15"/>
      <c r="C276" s="46"/>
      <c r="D276" s="14">
        <v>401768</v>
      </c>
      <c r="E276" s="129" t="s">
        <v>1354</v>
      </c>
      <c r="F276" s="17"/>
      <c r="G276" s="17"/>
      <c r="H276" s="17"/>
      <c r="I276" s="17"/>
    </row>
    <row r="277" spans="1:9" s="13" customFormat="1" ht="26.25" customHeight="1">
      <c r="A277" s="13" t="s">
        <v>1116</v>
      </c>
      <c r="B277" s="15"/>
      <c r="C277" s="46"/>
      <c r="D277" s="14">
        <v>401768</v>
      </c>
      <c r="E277" s="129" t="s">
        <v>1354</v>
      </c>
      <c r="F277" s="17"/>
      <c r="G277" s="17"/>
      <c r="H277" s="17"/>
      <c r="I277" s="17"/>
    </row>
    <row r="278" spans="1:9" s="13" customFormat="1" ht="26.25" customHeight="1">
      <c r="A278" s="13" t="s">
        <v>1115</v>
      </c>
      <c r="B278" s="15"/>
      <c r="C278" s="46"/>
      <c r="D278" s="14">
        <v>401768</v>
      </c>
      <c r="E278" s="129" t="s">
        <v>1354</v>
      </c>
      <c r="F278" s="17"/>
      <c r="G278" s="17"/>
      <c r="H278" s="17"/>
      <c r="I278" s="17"/>
    </row>
    <row r="279" spans="1:9" s="13" customFormat="1" ht="26.25" customHeight="1">
      <c r="A279" s="13" t="s">
        <v>1114</v>
      </c>
      <c r="B279" s="15"/>
      <c r="C279" s="46"/>
      <c r="D279" s="14">
        <v>401768</v>
      </c>
      <c r="E279" s="129" t="s">
        <v>1354</v>
      </c>
      <c r="F279" s="17"/>
      <c r="G279" s="17"/>
      <c r="H279" s="17"/>
      <c r="I279" s="17"/>
    </row>
    <row r="280" spans="1:9" s="13" customFormat="1" ht="26.25" customHeight="1">
      <c r="A280" s="13" t="s">
        <v>1113</v>
      </c>
      <c r="B280" s="15"/>
      <c r="C280" s="46"/>
      <c r="D280" s="14">
        <v>401768</v>
      </c>
      <c r="E280" s="129" t="s">
        <v>1354</v>
      </c>
      <c r="F280" s="17"/>
      <c r="G280" s="17"/>
      <c r="H280" s="17"/>
      <c r="I280" s="17"/>
    </row>
    <row r="281" spans="1:9" s="13" customFormat="1" ht="26.25" customHeight="1">
      <c r="A281" s="13" t="s">
        <v>1112</v>
      </c>
      <c r="B281" s="15"/>
      <c r="C281" s="46"/>
      <c r="D281" s="14">
        <v>401768</v>
      </c>
      <c r="E281" s="129" t="s">
        <v>1354</v>
      </c>
      <c r="F281" s="17"/>
      <c r="G281" s="17"/>
      <c r="H281" s="17"/>
      <c r="I281" s="17"/>
    </row>
    <row r="282" spans="1:9" s="13" customFormat="1" ht="26.25" customHeight="1">
      <c r="A282" s="13" t="s">
        <v>1111</v>
      </c>
      <c r="B282" s="15"/>
      <c r="C282" s="46"/>
      <c r="D282" s="14">
        <v>401768</v>
      </c>
      <c r="E282" s="129" t="s">
        <v>1354</v>
      </c>
      <c r="F282" s="17"/>
      <c r="G282" s="17"/>
      <c r="H282" s="17"/>
      <c r="I282" s="17"/>
    </row>
    <row r="283" spans="1:9" s="13" customFormat="1" ht="26.25" customHeight="1">
      <c r="A283" s="13" t="s">
        <v>1110</v>
      </c>
      <c r="B283" s="15"/>
      <c r="C283" s="46"/>
      <c r="D283" s="14">
        <v>401768</v>
      </c>
      <c r="E283" s="129" t="s">
        <v>1354</v>
      </c>
      <c r="F283" s="17"/>
      <c r="G283" s="17"/>
      <c r="H283" s="17"/>
      <c r="I283" s="17"/>
    </row>
    <row r="284" spans="1:9" s="13" customFormat="1" ht="26.25" customHeight="1">
      <c r="A284" s="13" t="s">
        <v>1109</v>
      </c>
      <c r="B284" s="15"/>
      <c r="C284" s="46"/>
      <c r="D284" s="14">
        <v>401768</v>
      </c>
      <c r="E284" s="129" t="s">
        <v>1354</v>
      </c>
      <c r="F284" s="17"/>
      <c r="G284" s="17"/>
      <c r="H284" s="17"/>
      <c r="I284" s="17"/>
    </row>
    <row r="285" spans="1:9" s="13" customFormat="1" ht="26.25" customHeight="1">
      <c r="A285" s="13" t="s">
        <v>1079</v>
      </c>
      <c r="B285" s="15"/>
      <c r="C285" s="46"/>
      <c r="D285" s="14">
        <v>44532</v>
      </c>
      <c r="E285" s="129" t="s">
        <v>1354</v>
      </c>
      <c r="F285" s="17"/>
      <c r="G285" s="17"/>
      <c r="H285" s="17"/>
      <c r="I285" s="17"/>
    </row>
    <row r="286" spans="1:9" s="13" customFormat="1" ht="26.25" customHeight="1">
      <c r="A286" s="13" t="s">
        <v>914</v>
      </c>
      <c r="B286" s="15"/>
      <c r="C286" s="46"/>
      <c r="D286" s="14">
        <v>44530</v>
      </c>
      <c r="E286" s="129" t="s">
        <v>1354</v>
      </c>
      <c r="F286" s="17"/>
      <c r="G286" s="17"/>
      <c r="H286" s="17"/>
      <c r="I286" s="17"/>
    </row>
    <row r="287" spans="1:9" s="13" customFormat="1" ht="26.25" customHeight="1">
      <c r="A287" s="13" t="s">
        <v>1213</v>
      </c>
      <c r="B287" s="15"/>
      <c r="C287" s="46"/>
      <c r="D287" s="14">
        <v>44530</v>
      </c>
      <c r="E287" s="129" t="s">
        <v>1354</v>
      </c>
      <c r="F287" s="17"/>
      <c r="G287" s="17"/>
      <c r="H287" s="17"/>
      <c r="I287" s="17"/>
    </row>
    <row r="288" spans="1:9" s="13" customFormat="1" ht="26.25" customHeight="1">
      <c r="A288" s="13" t="s">
        <v>1052</v>
      </c>
      <c r="B288" s="15"/>
      <c r="C288" s="46"/>
      <c r="D288" s="14">
        <v>44530</v>
      </c>
      <c r="E288" s="129" t="s">
        <v>1354</v>
      </c>
      <c r="F288" s="17"/>
      <c r="G288" s="17"/>
      <c r="H288" s="17"/>
      <c r="I288" s="17"/>
    </row>
    <row r="289" spans="1:9" s="13" customFormat="1" ht="26.25" customHeight="1">
      <c r="A289" s="13" t="s">
        <v>632</v>
      </c>
      <c r="B289" s="15"/>
      <c r="C289" s="46"/>
      <c r="D289" s="14">
        <v>44530</v>
      </c>
      <c r="E289" s="129" t="s">
        <v>1354</v>
      </c>
      <c r="F289" s="17"/>
      <c r="G289" s="17"/>
      <c r="H289" s="17"/>
      <c r="I289" s="17"/>
    </row>
    <row r="290" spans="1:9" s="13" customFormat="1" ht="26.25" customHeight="1">
      <c r="A290" s="13" t="s">
        <v>1236</v>
      </c>
      <c r="B290" s="15"/>
      <c r="C290" s="46"/>
      <c r="D290" s="14"/>
      <c r="E290" s="129" t="s">
        <v>1354</v>
      </c>
      <c r="F290" s="17"/>
      <c r="G290" s="17"/>
      <c r="H290" s="17"/>
      <c r="I290" s="17"/>
    </row>
    <row r="291" spans="1:9" s="13" customFormat="1" ht="26.25" customHeight="1">
      <c r="A291" s="13" t="s">
        <v>1238</v>
      </c>
      <c r="B291" s="15"/>
      <c r="C291" s="46"/>
      <c r="D291" s="14"/>
      <c r="E291" s="129" t="s">
        <v>1354</v>
      </c>
      <c r="F291" s="17"/>
      <c r="G291" s="17"/>
      <c r="H291" s="17"/>
      <c r="I291" s="17"/>
    </row>
    <row r="292" spans="1:9" s="13" customFormat="1" ht="26.25" customHeight="1">
      <c r="A292" s="125" t="s">
        <v>1239</v>
      </c>
      <c r="B292" s="15"/>
      <c r="C292" s="46"/>
      <c r="D292" s="14"/>
      <c r="E292" s="129" t="s">
        <v>1354</v>
      </c>
      <c r="F292" s="17"/>
      <c r="G292" s="17"/>
      <c r="H292" s="17"/>
      <c r="I292" s="17"/>
    </row>
    <row r="293" spans="1:9" s="13" customFormat="1" ht="26.25" customHeight="1">
      <c r="A293" s="13" t="s">
        <v>1083</v>
      </c>
      <c r="B293" s="15"/>
      <c r="C293" s="46"/>
      <c r="D293" s="14"/>
      <c r="E293" s="129" t="s">
        <v>1354</v>
      </c>
      <c r="F293" s="17"/>
      <c r="G293" s="17"/>
      <c r="H293" s="17"/>
      <c r="I293" s="17"/>
    </row>
    <row r="294" spans="1:9" s="13" customFormat="1" ht="26.25" customHeight="1">
      <c r="A294" s="13" t="s">
        <v>980</v>
      </c>
      <c r="B294" s="15"/>
      <c r="C294" s="46"/>
      <c r="D294" s="14"/>
      <c r="E294" s="129" t="s">
        <v>1354</v>
      </c>
      <c r="F294" s="17"/>
      <c r="G294" s="17"/>
      <c r="H294" s="17"/>
      <c r="I294" s="17"/>
    </row>
    <row r="295" spans="1:9" s="13" customFormat="1" ht="26.25" customHeight="1">
      <c r="A295" s="39"/>
      <c r="B295" s="15"/>
      <c r="C295" s="46"/>
      <c r="D295" s="14"/>
      <c r="E295" s="129" t="s">
        <v>1354</v>
      </c>
      <c r="F295" s="17"/>
      <c r="G295" s="17"/>
      <c r="H295" s="17"/>
      <c r="I295" s="17"/>
    </row>
    <row r="296" spans="1:9" s="13" customFormat="1" ht="26.25" customHeight="1">
      <c r="A296" s="39"/>
      <c r="B296" s="15"/>
      <c r="C296" s="46"/>
      <c r="D296" s="14"/>
      <c r="E296" s="129" t="s">
        <v>1354</v>
      </c>
      <c r="F296" s="17"/>
      <c r="G296" s="17"/>
      <c r="H296" s="17"/>
      <c r="I296" s="17"/>
    </row>
    <row r="297" spans="1:9" s="13" customFormat="1" ht="26.25" customHeight="1">
      <c r="A297" s="39"/>
      <c r="B297" s="15"/>
      <c r="C297" s="46"/>
      <c r="D297" s="14"/>
      <c r="E297" s="129" t="s">
        <v>1354</v>
      </c>
      <c r="F297" s="17"/>
      <c r="G297" s="17"/>
      <c r="H297" s="17"/>
      <c r="I297" s="17"/>
    </row>
    <row r="298" spans="1:9" s="13" customFormat="1" ht="26.25" customHeight="1">
      <c r="A298" s="39"/>
      <c r="B298" s="15"/>
      <c r="C298" s="46"/>
      <c r="D298" s="14"/>
      <c r="E298" s="129" t="s">
        <v>1354</v>
      </c>
      <c r="F298" s="17"/>
      <c r="G298" s="17"/>
      <c r="H298" s="17"/>
      <c r="I298" s="17"/>
    </row>
    <row r="299" spans="1:9" s="13" customFormat="1" ht="26.25" customHeight="1">
      <c r="A299" s="39"/>
      <c r="B299" s="15"/>
      <c r="C299" s="46"/>
      <c r="D299" s="14"/>
      <c r="E299" s="129" t="s">
        <v>1354</v>
      </c>
      <c r="F299" s="17"/>
      <c r="G299" s="17"/>
      <c r="H299" s="17"/>
      <c r="I299" s="17"/>
    </row>
    <row r="300" spans="1:9" s="13" customFormat="1" ht="26.25" customHeight="1">
      <c r="A300" s="39"/>
      <c r="B300" s="15"/>
      <c r="C300" s="46"/>
      <c r="D300" s="14"/>
      <c r="E300" s="129" t="s">
        <v>1354</v>
      </c>
      <c r="F300" s="17"/>
      <c r="G300" s="17"/>
      <c r="H300" s="17"/>
      <c r="I300" s="17"/>
    </row>
    <row r="301" spans="1:9" s="13" customFormat="1" ht="26.25" customHeight="1">
      <c r="A301" s="39"/>
      <c r="B301" s="15"/>
      <c r="C301" s="46"/>
      <c r="D301" s="14"/>
      <c r="E301" s="129" t="s">
        <v>1354</v>
      </c>
      <c r="F301" s="17"/>
      <c r="G301" s="17"/>
      <c r="H301" s="17"/>
      <c r="I301" s="17"/>
    </row>
    <row r="302" spans="1:9" s="13" customFormat="1" ht="26.25" customHeight="1">
      <c r="B302" s="15"/>
      <c r="C302" s="46"/>
      <c r="D302" s="14"/>
      <c r="E302" s="129" t="s">
        <v>1354</v>
      </c>
      <c r="F302" s="17"/>
      <c r="G302" s="17"/>
      <c r="H302" s="17"/>
      <c r="I302" s="17"/>
    </row>
    <row r="303" spans="1:9" s="13" customFormat="1" ht="26.25" customHeight="1">
      <c r="A303" s="13" t="s">
        <v>1531</v>
      </c>
      <c r="B303" s="15"/>
      <c r="C303" s="46"/>
      <c r="D303" s="14"/>
      <c r="E303" s="129" t="s">
        <v>1354</v>
      </c>
      <c r="F303" s="17"/>
      <c r="G303" s="17"/>
      <c r="H303" s="17"/>
      <c r="I303" s="17"/>
    </row>
    <row r="304" spans="1:9" s="13" customFormat="1" ht="26.25" customHeight="1">
      <c r="A304" s="13" t="s">
        <v>640</v>
      </c>
      <c r="B304" s="15"/>
      <c r="C304" s="46"/>
      <c r="D304" s="14">
        <v>44573</v>
      </c>
      <c r="E304" s="129" t="s">
        <v>1354</v>
      </c>
      <c r="F304" s="17"/>
      <c r="G304" s="17"/>
      <c r="H304" s="17"/>
      <c r="I304" s="17"/>
    </row>
    <row r="305" spans="1:9" s="13" customFormat="1" ht="26.25" customHeight="1">
      <c r="A305" s="13" t="s">
        <v>1351</v>
      </c>
      <c r="B305" s="15"/>
      <c r="C305" s="46"/>
      <c r="D305" s="14">
        <v>44572</v>
      </c>
      <c r="E305" s="127" t="s">
        <v>1355</v>
      </c>
      <c r="F305" s="17"/>
      <c r="G305" s="17"/>
      <c r="H305" s="17"/>
      <c r="I305" s="17"/>
    </row>
    <row r="306" spans="1:9" s="13" customFormat="1" ht="26.25" customHeight="1">
      <c r="A306" s="13" t="s">
        <v>1468</v>
      </c>
      <c r="B306" s="15"/>
      <c r="C306" s="46"/>
      <c r="D306" s="14">
        <v>44571</v>
      </c>
      <c r="E306" s="127" t="s">
        <v>1355</v>
      </c>
      <c r="F306" s="17"/>
      <c r="G306" s="17"/>
      <c r="H306" s="17"/>
      <c r="I306" s="17"/>
    </row>
    <row r="307" spans="1:9" s="13" customFormat="1" ht="26.25" customHeight="1">
      <c r="A307" s="13" t="s">
        <v>1214</v>
      </c>
      <c r="B307" s="15"/>
      <c r="C307" s="46"/>
      <c r="D307" s="14">
        <v>44530</v>
      </c>
      <c r="E307" s="129" t="s">
        <v>1354</v>
      </c>
      <c r="F307" s="17"/>
      <c r="G307" s="17"/>
      <c r="H307" s="17"/>
      <c r="I307" s="17"/>
    </row>
    <row r="308" spans="1:9" s="13" customFormat="1" ht="26.25" customHeight="1">
      <c r="A308" s="13" t="s">
        <v>1215</v>
      </c>
      <c r="B308" s="15"/>
      <c r="C308" s="46"/>
      <c r="D308" s="14">
        <v>44530</v>
      </c>
      <c r="E308" s="129" t="s">
        <v>1354</v>
      </c>
      <c r="F308" s="17"/>
      <c r="G308" s="17"/>
      <c r="H308" s="17"/>
      <c r="I308" s="17"/>
    </row>
    <row r="309" spans="1:9" s="13" customFormat="1" ht="26.25" customHeight="1">
      <c r="A309" s="13" t="s">
        <v>1216</v>
      </c>
      <c r="B309" s="15"/>
      <c r="C309" s="46"/>
      <c r="D309" s="14">
        <v>44530</v>
      </c>
      <c r="E309" s="129" t="s">
        <v>1354</v>
      </c>
      <c r="F309" s="17"/>
      <c r="G309" s="17"/>
      <c r="H309" s="17"/>
      <c r="I309" s="17"/>
    </row>
    <row r="310" spans="1:9" s="13" customFormat="1" ht="26.25" customHeight="1">
      <c r="A310" s="13" t="s">
        <v>1217</v>
      </c>
      <c r="B310" s="15"/>
      <c r="C310" s="46"/>
      <c r="D310" s="14">
        <v>44530</v>
      </c>
      <c r="E310" s="129" t="s">
        <v>1354</v>
      </c>
      <c r="F310" s="17"/>
      <c r="G310" s="17"/>
      <c r="H310" s="17"/>
      <c r="I310" s="17"/>
    </row>
    <row r="311" spans="1:9" s="13" customFormat="1" ht="26.25" customHeight="1">
      <c r="A311" s="13" t="s">
        <v>1063</v>
      </c>
      <c r="B311" s="15"/>
      <c r="C311" s="46"/>
      <c r="D311" s="14">
        <v>44520</v>
      </c>
      <c r="E311" s="129" t="s">
        <v>1354</v>
      </c>
      <c r="F311" s="17"/>
      <c r="G311" s="17"/>
      <c r="H311" s="17"/>
      <c r="I311" s="17"/>
    </row>
    <row r="312" spans="1:9" s="13" customFormat="1" ht="26.25" customHeight="1">
      <c r="A312" s="13" t="s">
        <v>1059</v>
      </c>
      <c r="B312" s="15"/>
      <c r="C312" s="46"/>
      <c r="D312" s="14">
        <v>44519</v>
      </c>
      <c r="E312" s="129" t="s">
        <v>1354</v>
      </c>
      <c r="F312" s="17"/>
      <c r="G312" s="17"/>
      <c r="H312" s="17"/>
      <c r="I312" s="17"/>
    </row>
    <row r="313" spans="1:9" s="13" customFormat="1" ht="26.25" customHeight="1">
      <c r="A313" s="13" t="s">
        <v>984</v>
      </c>
      <c r="B313" s="15"/>
      <c r="C313" s="46"/>
      <c r="D313" s="14">
        <v>44516</v>
      </c>
      <c r="E313" s="129" t="s">
        <v>1354</v>
      </c>
      <c r="F313" s="17"/>
      <c r="G313" s="17"/>
      <c r="H313" s="17"/>
      <c r="I313" s="17"/>
    </row>
    <row r="314" spans="1:9" s="13" customFormat="1" ht="26.25" customHeight="1">
      <c r="A314" s="13" t="s">
        <v>944</v>
      </c>
      <c r="B314" s="15"/>
      <c r="C314" s="46"/>
      <c r="D314" s="14">
        <v>44515</v>
      </c>
      <c r="E314" s="129" t="s">
        <v>1354</v>
      </c>
      <c r="F314" s="17"/>
      <c r="G314" s="17"/>
      <c r="H314" s="17"/>
      <c r="I314" s="17"/>
    </row>
    <row r="315" spans="1:9" s="13" customFormat="1" ht="26.25" customHeight="1">
      <c r="A315" s="13" t="s">
        <v>1107</v>
      </c>
      <c r="B315" s="15"/>
      <c r="C315" s="46"/>
      <c r="D315" s="14">
        <v>44515</v>
      </c>
      <c r="E315" s="129" t="s">
        <v>1354</v>
      </c>
      <c r="F315" s="17"/>
      <c r="G315" s="17"/>
      <c r="H315" s="17"/>
      <c r="I315" s="17"/>
    </row>
    <row r="316" spans="1:9" s="13" customFormat="1" ht="26.25" customHeight="1">
      <c r="A316" s="13" t="s">
        <v>1108</v>
      </c>
      <c r="B316" s="15"/>
      <c r="C316" s="46"/>
      <c r="D316" s="14">
        <v>44514</v>
      </c>
      <c r="E316" s="129" t="s">
        <v>1354</v>
      </c>
      <c r="F316" s="17"/>
      <c r="G316" s="17"/>
      <c r="H316" s="17"/>
      <c r="I316" s="17"/>
    </row>
    <row r="317" spans="1:9" s="13" customFormat="1" ht="26.25" customHeight="1">
      <c r="A317" s="13" t="s">
        <v>891</v>
      </c>
      <c r="B317" s="15"/>
      <c r="C317" s="46"/>
      <c r="D317" s="14">
        <v>44514</v>
      </c>
      <c r="E317" s="129" t="s">
        <v>1354</v>
      </c>
      <c r="F317" s="17"/>
      <c r="G317" s="17"/>
      <c r="H317" s="17"/>
      <c r="I317" s="17"/>
    </row>
    <row r="318" spans="1:9" s="13" customFormat="1" ht="26.25" customHeight="1">
      <c r="A318" s="13" t="s">
        <v>946</v>
      </c>
      <c r="B318" s="15"/>
      <c r="C318" s="46"/>
      <c r="D318" s="14">
        <v>44513</v>
      </c>
      <c r="E318" s="129" t="s">
        <v>1354</v>
      </c>
      <c r="F318" s="17"/>
      <c r="G318" s="17"/>
      <c r="H318" s="17"/>
      <c r="I318" s="17"/>
    </row>
    <row r="319" spans="1:9" s="13" customFormat="1" ht="26.25" customHeight="1">
      <c r="A319" s="13" t="s">
        <v>626</v>
      </c>
      <c r="B319" s="15"/>
      <c r="C319" s="46"/>
      <c r="D319" s="14">
        <v>44513</v>
      </c>
      <c r="E319" s="129" t="s">
        <v>1354</v>
      </c>
      <c r="F319" s="17"/>
      <c r="G319" s="17"/>
      <c r="H319" s="17"/>
      <c r="I319" s="17"/>
    </row>
    <row r="320" spans="1:9" s="13" customFormat="1" ht="26.25" customHeight="1">
      <c r="A320" s="13" t="s">
        <v>894</v>
      </c>
      <c r="B320" s="15"/>
      <c r="C320" s="46"/>
      <c r="D320" s="14">
        <v>44512</v>
      </c>
      <c r="E320" s="129" t="s">
        <v>1354</v>
      </c>
      <c r="F320" s="17"/>
      <c r="G320" s="17"/>
      <c r="H320" s="17"/>
      <c r="I320" s="17"/>
    </row>
    <row r="321" spans="1:9" s="13" customFormat="1" ht="26.25" customHeight="1">
      <c r="A321" s="13" t="s">
        <v>895</v>
      </c>
      <c r="B321" s="15"/>
      <c r="C321" s="46"/>
      <c r="D321" s="14">
        <v>44512</v>
      </c>
      <c r="E321" s="129" t="s">
        <v>1354</v>
      </c>
      <c r="F321" s="17"/>
      <c r="G321" s="17"/>
      <c r="H321" s="17"/>
      <c r="I321" s="17"/>
    </row>
    <row r="322" spans="1:9" s="13" customFormat="1" ht="26.25" customHeight="1">
      <c r="A322" s="13" t="s">
        <v>893</v>
      </c>
      <c r="B322" s="15"/>
      <c r="C322" s="46"/>
      <c r="D322" s="14">
        <v>44511</v>
      </c>
      <c r="E322" s="129" t="s">
        <v>1354</v>
      </c>
      <c r="F322" s="17"/>
      <c r="G322" s="17"/>
      <c r="H322" s="17"/>
      <c r="I322" s="17"/>
    </row>
    <row r="323" spans="1:9" s="13" customFormat="1" ht="26.25" customHeight="1">
      <c r="A323" s="13" t="s">
        <v>892</v>
      </c>
      <c r="B323" s="15"/>
      <c r="C323" s="46"/>
      <c r="D323" s="14">
        <v>44511</v>
      </c>
      <c r="E323" s="129" t="s">
        <v>1354</v>
      </c>
      <c r="F323" s="17"/>
      <c r="G323" s="17"/>
      <c r="H323" s="17"/>
      <c r="I323" s="17"/>
    </row>
    <row r="324" spans="1:9" s="13" customFormat="1" ht="26.25" customHeight="1">
      <c r="A324" s="13" t="s">
        <v>627</v>
      </c>
      <c r="B324" s="15"/>
      <c r="C324" s="46"/>
      <c r="D324" s="14">
        <v>44510</v>
      </c>
      <c r="E324" s="129" t="s">
        <v>1354</v>
      </c>
      <c r="F324" s="17"/>
      <c r="G324" s="17"/>
      <c r="H324" s="17"/>
      <c r="I324" s="17"/>
    </row>
    <row r="325" spans="1:9" s="13" customFormat="1" ht="26.25" customHeight="1">
      <c r="A325" s="13" t="s">
        <v>1000</v>
      </c>
      <c r="B325" s="15"/>
      <c r="C325" s="46"/>
      <c r="D325" s="14">
        <v>44510</v>
      </c>
      <c r="E325" s="129" t="s">
        <v>1354</v>
      </c>
      <c r="F325" s="17"/>
      <c r="G325" s="17"/>
      <c r="H325" s="17"/>
      <c r="I325" s="17"/>
    </row>
    <row r="326" spans="1:9" s="13" customFormat="1" ht="26.25" customHeight="1">
      <c r="A326" s="13" t="s">
        <v>633</v>
      </c>
      <c r="B326" s="15"/>
      <c r="C326" s="46"/>
      <c r="D326" s="14">
        <v>44509</v>
      </c>
      <c r="E326" s="129" t="s">
        <v>1354</v>
      </c>
      <c r="F326" s="17"/>
      <c r="G326" s="17"/>
      <c r="H326" s="17"/>
      <c r="I326" s="17"/>
    </row>
    <row r="327" spans="1:9" s="13" customFormat="1" ht="26.25" customHeight="1">
      <c r="A327" s="13" t="s">
        <v>841</v>
      </c>
      <c r="B327" s="15"/>
      <c r="C327" s="46"/>
      <c r="D327" s="14">
        <v>44507</v>
      </c>
      <c r="E327" s="129" t="s">
        <v>1354</v>
      </c>
      <c r="F327" s="17"/>
      <c r="G327" s="17"/>
      <c r="H327" s="17"/>
      <c r="I327" s="17"/>
    </row>
    <row r="328" spans="1:9" s="13" customFormat="1" ht="26.25" customHeight="1">
      <c r="A328" s="13" t="s">
        <v>842</v>
      </c>
      <c r="B328" s="15"/>
      <c r="C328" s="46"/>
      <c r="D328" s="14">
        <v>44505</v>
      </c>
      <c r="E328" s="129" t="s">
        <v>1354</v>
      </c>
      <c r="F328" s="17"/>
      <c r="G328" s="17"/>
      <c r="H328" s="17"/>
      <c r="I328" s="17"/>
    </row>
    <row r="329" spans="1:9" s="13" customFormat="1" ht="26.25" customHeight="1">
      <c r="A329" s="13" t="s">
        <v>843</v>
      </c>
      <c r="B329" s="15"/>
      <c r="C329" s="46"/>
      <c r="D329" s="14">
        <v>44503</v>
      </c>
      <c r="E329" s="129" t="s">
        <v>1354</v>
      </c>
      <c r="F329" s="17"/>
      <c r="G329" s="17"/>
      <c r="H329" s="17"/>
      <c r="I329" s="17"/>
    </row>
    <row r="330" spans="1:9" s="13" customFormat="1" ht="26.25" customHeight="1">
      <c r="A330" s="13" t="s">
        <v>844</v>
      </c>
      <c r="B330" s="15"/>
      <c r="C330" s="46"/>
      <c r="D330" s="14">
        <v>44502</v>
      </c>
      <c r="E330" s="129" t="s">
        <v>1354</v>
      </c>
      <c r="F330" s="17"/>
      <c r="G330" s="17"/>
      <c r="H330" s="17"/>
      <c r="I330" s="17"/>
    </row>
    <row r="331" spans="1:9" s="13" customFormat="1" ht="26.25" customHeight="1">
      <c r="A331" s="13" t="s">
        <v>845</v>
      </c>
      <c r="B331" s="15"/>
      <c r="C331" s="46"/>
      <c r="D331" s="14">
        <v>44500</v>
      </c>
      <c r="E331" s="129" t="s">
        <v>1354</v>
      </c>
      <c r="F331" s="17"/>
      <c r="G331" s="17"/>
      <c r="H331" s="17"/>
      <c r="I331" s="17"/>
    </row>
    <row r="332" spans="1:9" s="13" customFormat="1" ht="26.25" customHeight="1">
      <c r="A332" s="13" t="s">
        <v>846</v>
      </c>
      <c r="B332" s="15"/>
      <c r="C332" s="46"/>
      <c r="D332" s="14">
        <v>44499</v>
      </c>
      <c r="E332" s="129" t="s">
        <v>1354</v>
      </c>
      <c r="F332" s="17"/>
      <c r="G332" s="17"/>
      <c r="H332" s="17"/>
      <c r="I332" s="17"/>
    </row>
    <row r="333" spans="1:9" s="13" customFormat="1" ht="26.25" customHeight="1">
      <c r="A333" s="13" t="s">
        <v>849</v>
      </c>
      <c r="B333" s="15"/>
      <c r="C333" s="46"/>
      <c r="D333" s="14">
        <v>44497</v>
      </c>
      <c r="E333" s="129" t="s">
        <v>1354</v>
      </c>
      <c r="F333" s="17"/>
      <c r="G333" s="17"/>
      <c r="H333" s="17"/>
      <c r="I333" s="17"/>
    </row>
    <row r="334" spans="1:9" s="13" customFormat="1" ht="26.25" customHeight="1">
      <c r="A334" s="13" t="s">
        <v>858</v>
      </c>
      <c r="B334" s="15"/>
      <c r="C334" s="46"/>
      <c r="D334" s="14">
        <v>44495</v>
      </c>
      <c r="E334" s="129" t="s">
        <v>1354</v>
      </c>
      <c r="F334" s="17"/>
      <c r="G334" s="17"/>
      <c r="H334" s="17"/>
      <c r="I334" s="17"/>
    </row>
    <row r="335" spans="1:9" s="13" customFormat="1" ht="26.25" customHeight="1">
      <c r="A335" s="13" t="s">
        <v>863</v>
      </c>
      <c r="B335" s="15"/>
      <c r="C335" s="46"/>
      <c r="D335" s="14">
        <v>44493</v>
      </c>
      <c r="E335" s="129" t="s">
        <v>1354</v>
      </c>
      <c r="F335" s="17"/>
      <c r="G335" s="17"/>
      <c r="H335" s="17"/>
      <c r="I335" s="17"/>
    </row>
    <row r="336" spans="1:9" s="13" customFormat="1" ht="26.25" customHeight="1">
      <c r="A336" s="13" t="s">
        <v>865</v>
      </c>
      <c r="B336" s="15"/>
      <c r="C336" s="46"/>
      <c r="D336" s="14">
        <v>44491</v>
      </c>
      <c r="E336" s="129" t="s">
        <v>1354</v>
      </c>
      <c r="F336" s="17"/>
      <c r="G336" s="17"/>
      <c r="H336" s="17"/>
      <c r="I336" s="17"/>
    </row>
    <row r="337" spans="1:9" s="13" customFormat="1" ht="26.25" customHeight="1">
      <c r="A337" s="13" t="s">
        <v>889</v>
      </c>
      <c r="B337" s="15"/>
      <c r="C337" s="46"/>
      <c r="D337" s="14">
        <v>44490</v>
      </c>
      <c r="E337" s="129" t="s">
        <v>1354</v>
      </c>
      <c r="F337" s="17"/>
      <c r="G337" s="17"/>
      <c r="H337" s="17"/>
      <c r="I337" s="17"/>
    </row>
    <row r="338" spans="1:9" s="13" customFormat="1" ht="26.25" customHeight="1">
      <c r="A338" s="13" t="s">
        <v>623</v>
      </c>
      <c r="B338" s="15"/>
      <c r="C338" s="46"/>
      <c r="D338" s="14">
        <v>44489</v>
      </c>
      <c r="E338" s="129" t="s">
        <v>1354</v>
      </c>
      <c r="F338" s="17"/>
      <c r="G338" s="17"/>
      <c r="H338" s="17"/>
      <c r="I338" s="17"/>
    </row>
    <row r="339" spans="1:9" s="13" customFormat="1" ht="26.25" customHeight="1">
      <c r="A339" s="13" t="s">
        <v>622</v>
      </c>
      <c r="B339" s="15"/>
      <c r="C339" s="46"/>
      <c r="D339" s="14">
        <v>44488</v>
      </c>
      <c r="E339" s="129" t="s">
        <v>1354</v>
      </c>
      <c r="F339" s="17"/>
      <c r="G339" s="17"/>
      <c r="H339" s="17"/>
      <c r="I339" s="17"/>
    </row>
    <row r="340" spans="1:9" s="13" customFormat="1" ht="26.25" customHeight="1">
      <c r="A340" s="13" t="s">
        <v>896</v>
      </c>
      <c r="B340" s="15"/>
      <c r="C340" s="46"/>
      <c r="D340" s="14">
        <v>44487</v>
      </c>
      <c r="E340" s="129" t="s">
        <v>1354</v>
      </c>
      <c r="F340" s="17"/>
      <c r="G340" s="17"/>
      <c r="H340" s="17"/>
      <c r="I340" s="17"/>
    </row>
    <row r="341" spans="1:9" s="13" customFormat="1" ht="26.25" customHeight="1">
      <c r="A341" s="13" t="s">
        <v>629</v>
      </c>
      <c r="B341" s="15"/>
      <c r="C341" s="46"/>
      <c r="D341" s="14">
        <v>44486</v>
      </c>
      <c r="E341" s="129" t="s">
        <v>1354</v>
      </c>
      <c r="F341" s="17"/>
      <c r="G341" s="17"/>
      <c r="H341" s="17"/>
      <c r="I341" s="17"/>
    </row>
    <row r="342" spans="1:9" s="13" customFormat="1" ht="26.25" customHeight="1">
      <c r="A342" s="13" t="s">
        <v>625</v>
      </c>
      <c r="B342" s="15"/>
      <c r="C342" s="46"/>
      <c r="D342" s="14">
        <v>44486</v>
      </c>
      <c r="E342" s="129" t="s">
        <v>1354</v>
      </c>
      <c r="F342" s="17"/>
      <c r="G342" s="17"/>
      <c r="H342" s="17"/>
      <c r="I342" s="17"/>
    </row>
    <row r="343" spans="1:9" s="13" customFormat="1" ht="26.25" customHeight="1">
      <c r="A343" s="13" t="s">
        <v>634</v>
      </c>
      <c r="B343" s="15"/>
      <c r="C343" s="46"/>
      <c r="D343" s="14">
        <v>44485</v>
      </c>
      <c r="E343" s="129" t="s">
        <v>1354</v>
      </c>
      <c r="F343" s="17"/>
      <c r="G343" s="17"/>
      <c r="H343" s="17"/>
      <c r="I343" s="17"/>
    </row>
    <row r="344" spans="1:9" s="13" customFormat="1" ht="26.25" customHeight="1">
      <c r="A344" s="13" t="s">
        <v>635</v>
      </c>
      <c r="B344" s="15"/>
      <c r="C344" s="46"/>
      <c r="D344" s="14">
        <v>44484</v>
      </c>
      <c r="E344" s="129" t="s">
        <v>1354</v>
      </c>
      <c r="F344" s="17"/>
      <c r="G344" s="17"/>
      <c r="H344" s="17"/>
      <c r="I344" s="17"/>
    </row>
    <row r="345" spans="1:9" s="13" customFormat="1" ht="26.25" customHeight="1">
      <c r="A345" s="13" t="s">
        <v>636</v>
      </c>
      <c r="B345" s="15"/>
      <c r="C345" s="46"/>
      <c r="D345" s="14">
        <v>44484</v>
      </c>
      <c r="E345" s="129" t="s">
        <v>1354</v>
      </c>
      <c r="F345" s="17"/>
      <c r="G345" s="17"/>
      <c r="H345" s="17"/>
      <c r="I345" s="17"/>
    </row>
    <row r="346" spans="1:9" s="13" customFormat="1" ht="33.75" customHeight="1">
      <c r="A346" s="13" t="s">
        <v>938</v>
      </c>
      <c r="B346" s="15"/>
      <c r="C346" s="46"/>
      <c r="D346" s="14">
        <v>44481</v>
      </c>
      <c r="E346" s="129" t="s">
        <v>1354</v>
      </c>
      <c r="F346" s="17"/>
      <c r="G346" s="17"/>
      <c r="H346" s="17"/>
      <c r="I346" s="17"/>
    </row>
    <row r="347" spans="1:9" s="13" customFormat="1" ht="26.25" customHeight="1">
      <c r="A347" s="13" t="s">
        <v>637</v>
      </c>
      <c r="B347" s="15"/>
      <c r="C347" s="46"/>
      <c r="D347" s="14">
        <v>44478</v>
      </c>
      <c r="E347" s="129" t="s">
        <v>1354</v>
      </c>
      <c r="F347" s="17"/>
      <c r="G347" s="17"/>
      <c r="H347" s="17"/>
      <c r="I347" s="17"/>
    </row>
    <row r="348" spans="1:9" s="13" customFormat="1" ht="26.25" customHeight="1">
      <c r="A348" s="13" t="s">
        <v>638</v>
      </c>
      <c r="B348" s="15"/>
      <c r="C348" s="46"/>
      <c r="D348" s="14">
        <v>44477</v>
      </c>
      <c r="E348" s="129" t="s">
        <v>1354</v>
      </c>
      <c r="F348" s="17"/>
      <c r="G348" s="17"/>
      <c r="H348" s="17"/>
      <c r="I348" s="17"/>
    </row>
    <row r="349" spans="1:9" s="13" customFormat="1" ht="26.25" customHeight="1">
      <c r="A349" s="13" t="s">
        <v>639</v>
      </c>
      <c r="B349" s="15"/>
      <c r="C349" s="46"/>
      <c r="D349" s="14">
        <v>44475</v>
      </c>
      <c r="E349" s="129" t="s">
        <v>1354</v>
      </c>
      <c r="F349" s="17"/>
      <c r="G349" s="17"/>
      <c r="H349" s="17"/>
      <c r="I349" s="17"/>
    </row>
    <row r="350" spans="1:9" s="13" customFormat="1" ht="26.25" customHeight="1">
      <c r="A350" s="13" t="s">
        <v>641</v>
      </c>
      <c r="B350" s="15"/>
      <c r="C350" s="46"/>
      <c r="D350" s="14">
        <v>44471</v>
      </c>
      <c r="E350" s="129" t="s">
        <v>1354</v>
      </c>
      <c r="F350" s="17"/>
      <c r="G350" s="17"/>
      <c r="H350" s="17"/>
      <c r="I350" s="17"/>
    </row>
    <row r="351" spans="1:9" s="13" customFormat="1" ht="26.25" customHeight="1">
      <c r="A351" s="13" t="s">
        <v>642</v>
      </c>
      <c r="B351" s="15"/>
      <c r="C351" s="46"/>
      <c r="D351" s="14">
        <v>44467</v>
      </c>
      <c r="E351" s="129" t="s">
        <v>1354</v>
      </c>
      <c r="F351" s="17"/>
      <c r="G351" s="17"/>
      <c r="H351" s="17"/>
      <c r="I351" s="17"/>
    </row>
    <row r="352" spans="1:9" s="13" customFormat="1" ht="26.25" customHeight="1">
      <c r="A352" s="13" t="s">
        <v>643</v>
      </c>
      <c r="B352" s="15"/>
      <c r="C352" s="46"/>
      <c r="D352" s="14">
        <v>44465</v>
      </c>
      <c r="E352" s="129" t="s">
        <v>1354</v>
      </c>
      <c r="F352" s="17"/>
      <c r="G352" s="17"/>
      <c r="H352" s="17"/>
      <c r="I352" s="17"/>
    </row>
    <row r="353" spans="1:9" s="13" customFormat="1" ht="26.25" customHeight="1">
      <c r="A353" s="13" t="s">
        <v>947</v>
      </c>
      <c r="B353" s="15"/>
      <c r="C353" s="46"/>
      <c r="D353" s="14">
        <v>44462</v>
      </c>
      <c r="E353" s="129" t="s">
        <v>1354</v>
      </c>
      <c r="F353" s="17"/>
      <c r="G353" s="17"/>
      <c r="H353" s="17"/>
      <c r="I353" s="17"/>
    </row>
    <row r="354" spans="1:9" s="13" customFormat="1" ht="26.25" customHeight="1">
      <c r="A354" s="13" t="s">
        <v>652</v>
      </c>
      <c r="B354" s="15"/>
      <c r="C354" s="46"/>
      <c r="D354" s="14">
        <v>44459</v>
      </c>
      <c r="E354" s="129" t="s">
        <v>1354</v>
      </c>
      <c r="F354" s="17"/>
      <c r="G354" s="17"/>
      <c r="H354" s="17"/>
      <c r="I354" s="17"/>
    </row>
    <row r="355" spans="1:9" s="13" customFormat="1" ht="26.25" customHeight="1">
      <c r="A355" s="13" t="s">
        <v>655</v>
      </c>
      <c r="B355" s="15"/>
      <c r="C355" s="46"/>
      <c r="D355" s="14">
        <v>44457</v>
      </c>
      <c r="E355" s="129" t="s">
        <v>1354</v>
      </c>
      <c r="F355" s="17"/>
      <c r="G355" s="17"/>
      <c r="H355" s="17"/>
      <c r="I355" s="17"/>
    </row>
    <row r="356" spans="1:9" s="13" customFormat="1" ht="26.25" customHeight="1">
      <c r="A356" s="13" t="s">
        <v>657</v>
      </c>
      <c r="B356" s="15"/>
      <c r="C356" s="46"/>
      <c r="D356" s="14">
        <v>44455</v>
      </c>
      <c r="E356" s="129" t="s">
        <v>1354</v>
      </c>
      <c r="F356" s="17"/>
      <c r="G356" s="17"/>
      <c r="H356" s="17"/>
      <c r="I356" s="17"/>
    </row>
    <row r="357" spans="1:9" s="13" customFormat="1" ht="26.25" customHeight="1">
      <c r="A357" s="13" t="s">
        <v>656</v>
      </c>
      <c r="B357" s="15"/>
      <c r="C357" s="46"/>
      <c r="D357" s="14">
        <v>44447</v>
      </c>
      <c r="E357" s="129" t="s">
        <v>1354</v>
      </c>
      <c r="F357" s="17"/>
      <c r="G357" s="17"/>
      <c r="H357" s="17"/>
      <c r="I357" s="17"/>
    </row>
    <row r="358" spans="1:9" s="13" customFormat="1" ht="26.25" customHeight="1">
      <c r="A358" s="13" t="s">
        <v>658</v>
      </c>
      <c r="B358" s="15"/>
      <c r="C358" s="46"/>
      <c r="D358" s="14">
        <v>44445</v>
      </c>
      <c r="E358" s="129" t="s">
        <v>1354</v>
      </c>
      <c r="F358" s="17"/>
      <c r="G358" s="17"/>
      <c r="H358" s="17"/>
      <c r="I358" s="17"/>
    </row>
    <row r="359" spans="1:9" s="13" customFormat="1" ht="26.25" customHeight="1">
      <c r="A359" s="13" t="s">
        <v>659</v>
      </c>
      <c r="B359" s="15"/>
      <c r="C359" s="46"/>
      <c r="D359" s="14">
        <v>44443</v>
      </c>
      <c r="E359" s="129" t="s">
        <v>1354</v>
      </c>
      <c r="F359" s="17"/>
      <c r="G359" s="17"/>
      <c r="H359" s="17"/>
      <c r="I359" s="17"/>
    </row>
    <row r="360" spans="1:9" s="13" customFormat="1" ht="26.25" customHeight="1">
      <c r="A360" s="13" t="s">
        <v>660</v>
      </c>
      <c r="B360" s="15"/>
      <c r="C360" s="46"/>
      <c r="D360" s="14">
        <v>44442</v>
      </c>
      <c r="E360" s="129" t="s">
        <v>1354</v>
      </c>
      <c r="F360" s="17"/>
      <c r="G360" s="17"/>
      <c r="H360" s="17"/>
      <c r="I360" s="17"/>
    </row>
    <row r="361" spans="1:9" s="13" customFormat="1" ht="26.25" customHeight="1">
      <c r="A361" s="13" t="s">
        <v>654</v>
      </c>
      <c r="B361" s="15"/>
      <c r="C361" s="46"/>
      <c r="D361" s="14">
        <v>44441</v>
      </c>
      <c r="E361" s="129" t="s">
        <v>1354</v>
      </c>
      <c r="F361" s="17"/>
      <c r="G361" s="17"/>
      <c r="H361" s="17"/>
      <c r="I361" s="17"/>
    </row>
    <row r="362" spans="1:9" s="13" customFormat="1" ht="26.25" customHeight="1">
      <c r="A362" s="13" t="s">
        <v>662</v>
      </c>
      <c r="B362" s="15"/>
      <c r="C362" s="46"/>
      <c r="D362" s="14">
        <v>44438</v>
      </c>
      <c r="E362" s="129" t="s">
        <v>1354</v>
      </c>
      <c r="F362" s="17"/>
      <c r="G362" s="17"/>
      <c r="H362" s="17"/>
      <c r="I362" s="17"/>
    </row>
    <row r="363" spans="1:9" s="13" customFormat="1" ht="26.25" customHeight="1">
      <c r="A363" s="13" t="s">
        <v>663</v>
      </c>
      <c r="B363" s="15"/>
      <c r="C363" s="46"/>
      <c r="D363" s="14">
        <v>44438</v>
      </c>
      <c r="E363" s="129" t="s">
        <v>1354</v>
      </c>
      <c r="F363" s="17"/>
      <c r="G363" s="17"/>
      <c r="H363" s="17"/>
      <c r="I363" s="17"/>
    </row>
    <row r="364" spans="1:9" s="13" customFormat="1" ht="26.25" customHeight="1">
      <c r="A364" s="13" t="s">
        <v>664</v>
      </c>
      <c r="B364" s="15"/>
      <c r="C364" s="46"/>
      <c r="D364" s="14">
        <v>44430</v>
      </c>
      <c r="E364" s="129" t="s">
        <v>1354</v>
      </c>
      <c r="F364" s="17"/>
      <c r="G364" s="17"/>
      <c r="H364" s="17"/>
      <c r="I364" s="17"/>
    </row>
    <row r="365" spans="1:9" s="13" customFormat="1" ht="26.25" customHeight="1">
      <c r="A365" s="13" t="s">
        <v>665</v>
      </c>
      <c r="B365" s="15"/>
      <c r="C365" s="46"/>
      <c r="D365" s="14">
        <v>44428</v>
      </c>
      <c r="E365" s="129" t="s">
        <v>1354</v>
      </c>
      <c r="F365" s="17"/>
      <c r="G365" s="17"/>
      <c r="H365" s="17"/>
      <c r="I365" s="17"/>
    </row>
    <row r="366" spans="1:9" s="13" customFormat="1" ht="26.25" customHeight="1">
      <c r="A366" s="13" t="s">
        <v>661</v>
      </c>
      <c r="B366" s="15"/>
      <c r="C366" s="46"/>
      <c r="D366" s="14">
        <v>44424</v>
      </c>
      <c r="E366" s="129" t="s">
        <v>1354</v>
      </c>
      <c r="F366" s="17"/>
      <c r="G366" s="17"/>
      <c r="H366" s="17"/>
      <c r="I366" s="17"/>
    </row>
    <row r="367" spans="1:9" s="13" customFormat="1" ht="26.25" customHeight="1">
      <c r="A367" s="13" t="s">
        <v>667</v>
      </c>
      <c r="B367" s="15"/>
      <c r="C367" s="46"/>
      <c r="D367" s="14">
        <v>44393</v>
      </c>
      <c r="E367" s="129" t="s">
        <v>1354</v>
      </c>
      <c r="F367" s="17"/>
      <c r="G367" s="17"/>
      <c r="H367" s="17"/>
      <c r="I367" s="17"/>
    </row>
    <row r="368" spans="1:9" s="13" customFormat="1" ht="26.25" customHeight="1">
      <c r="A368" s="13" t="s">
        <v>666</v>
      </c>
      <c r="B368" s="15"/>
      <c r="C368" s="46"/>
      <c r="D368" s="14">
        <v>44367</v>
      </c>
      <c r="E368" s="129" t="s">
        <v>1354</v>
      </c>
      <c r="F368" s="17"/>
      <c r="G368" s="17"/>
      <c r="H368" s="17"/>
      <c r="I368" s="17"/>
    </row>
    <row r="369" spans="1:9" s="13" customFormat="1" ht="26.25" customHeight="1">
      <c r="A369" s="13" t="s">
        <v>668</v>
      </c>
      <c r="B369" s="15"/>
      <c r="C369" s="46"/>
      <c r="D369" s="14">
        <v>44359</v>
      </c>
      <c r="E369" s="129" t="s">
        <v>1354</v>
      </c>
      <c r="F369" s="17"/>
      <c r="G369" s="17"/>
      <c r="H369" s="17"/>
      <c r="I369" s="17"/>
    </row>
    <row r="370" spans="1:9" s="13" customFormat="1" ht="26.25" customHeight="1">
      <c r="A370" s="13" t="s">
        <v>978</v>
      </c>
      <c r="B370" s="15"/>
      <c r="C370" s="46"/>
      <c r="D370" s="14">
        <v>44353</v>
      </c>
      <c r="E370" s="129" t="s">
        <v>1354</v>
      </c>
      <c r="F370" s="17"/>
      <c r="G370" s="17"/>
      <c r="H370" s="17"/>
      <c r="I370" s="17"/>
    </row>
    <row r="371" spans="1:9" s="13" customFormat="1" ht="26.25" customHeight="1">
      <c r="A371" s="13" t="s">
        <v>669</v>
      </c>
      <c r="B371" s="15"/>
      <c r="C371" s="46"/>
      <c r="D371" s="14">
        <v>44342</v>
      </c>
      <c r="E371" s="129" t="s">
        <v>1354</v>
      </c>
      <c r="F371" s="17"/>
      <c r="G371" s="17"/>
      <c r="H371" s="17"/>
      <c r="I371" s="17"/>
    </row>
    <row r="372" spans="1:9" s="13" customFormat="1" ht="26.25" customHeight="1">
      <c r="A372" s="13" t="s">
        <v>670</v>
      </c>
      <c r="B372" s="15"/>
      <c r="C372" s="46"/>
      <c r="D372" s="14">
        <v>44332</v>
      </c>
      <c r="E372" s="129" t="s">
        <v>1354</v>
      </c>
      <c r="F372" s="17"/>
      <c r="G372" s="17"/>
      <c r="H372" s="17"/>
      <c r="I372" s="17"/>
    </row>
    <row r="373" spans="1:9" s="21" customFormat="1" ht="15.75">
      <c r="A373" s="20" t="s">
        <v>671</v>
      </c>
      <c r="C373" s="47"/>
      <c r="D373" s="14">
        <v>401768</v>
      </c>
      <c r="E373" s="22" t="s">
        <v>1175</v>
      </c>
      <c r="F373" s="23"/>
      <c r="G373" s="23"/>
      <c r="H373" s="23"/>
      <c r="I373" s="23"/>
    </row>
    <row r="374" spans="1:9" s="21" customFormat="1" ht="15.75">
      <c r="A374" s="20" t="s">
        <v>673</v>
      </c>
      <c r="C374" s="47"/>
      <c r="D374" s="14">
        <v>401768</v>
      </c>
      <c r="E374" s="22" t="s">
        <v>1175</v>
      </c>
      <c r="F374" s="23"/>
      <c r="G374" s="23"/>
      <c r="H374" s="23"/>
      <c r="I374" s="23"/>
    </row>
    <row r="375" spans="1:9" s="21" customFormat="1" ht="15.75">
      <c r="A375" s="20" t="s">
        <v>674</v>
      </c>
      <c r="C375" s="47"/>
      <c r="D375" s="14">
        <v>401768</v>
      </c>
      <c r="E375" s="22" t="s">
        <v>1175</v>
      </c>
      <c r="F375" s="23"/>
      <c r="G375" s="23"/>
      <c r="H375" s="23"/>
      <c r="I375" s="23"/>
    </row>
    <row r="376" spans="1:9" s="21" customFormat="1" ht="28.5">
      <c r="A376" s="20" t="s">
        <v>675</v>
      </c>
      <c r="C376" s="47"/>
      <c r="D376" s="14">
        <v>401768</v>
      </c>
      <c r="E376" s="22" t="s">
        <v>1175</v>
      </c>
      <c r="F376" s="23"/>
      <c r="G376" s="23"/>
      <c r="H376" s="23"/>
      <c r="I376" s="23"/>
    </row>
    <row r="377" spans="1:9" s="21" customFormat="1" ht="15.75">
      <c r="A377" s="20" t="s">
        <v>676</v>
      </c>
      <c r="C377" s="47"/>
      <c r="D377" s="14">
        <v>401768</v>
      </c>
      <c r="E377" s="22" t="s">
        <v>1175</v>
      </c>
      <c r="F377" s="23"/>
      <c r="G377" s="23"/>
      <c r="H377" s="23"/>
      <c r="I377" s="23"/>
    </row>
    <row r="378" spans="1:9" s="21" customFormat="1" ht="15.75">
      <c r="A378" s="20" t="s">
        <v>677</v>
      </c>
      <c r="C378" s="47"/>
      <c r="D378" s="14">
        <v>401768</v>
      </c>
      <c r="E378" s="22" t="s">
        <v>1175</v>
      </c>
      <c r="F378" s="23"/>
      <c r="G378" s="23"/>
      <c r="H378" s="23"/>
      <c r="I378" s="23"/>
    </row>
    <row r="379" spans="1:9" s="21" customFormat="1" ht="15.75">
      <c r="A379" s="20" t="s">
        <v>678</v>
      </c>
      <c r="C379" s="47"/>
      <c r="D379" s="14">
        <v>401768</v>
      </c>
      <c r="E379" s="22" t="s">
        <v>1175</v>
      </c>
      <c r="F379" s="23"/>
      <c r="G379" s="23"/>
      <c r="H379" s="23"/>
      <c r="I379" s="23"/>
    </row>
    <row r="380" spans="1:9" s="21" customFormat="1" ht="15.75">
      <c r="A380" s="20" t="s">
        <v>679</v>
      </c>
      <c r="C380" s="47"/>
      <c r="D380" s="14">
        <v>401768</v>
      </c>
      <c r="E380" s="22" t="s">
        <v>1175</v>
      </c>
      <c r="F380" s="23"/>
      <c r="G380" s="23"/>
      <c r="H380" s="23"/>
      <c r="I380" s="23"/>
    </row>
    <row r="381" spans="1:9" s="21" customFormat="1" ht="15.75">
      <c r="A381" s="20" t="s">
        <v>680</v>
      </c>
      <c r="C381" s="47"/>
      <c r="D381" s="14">
        <v>401768</v>
      </c>
      <c r="E381" s="22" t="s">
        <v>1175</v>
      </c>
      <c r="F381" s="23"/>
      <c r="G381" s="23"/>
      <c r="H381" s="23"/>
      <c r="I381" s="23"/>
    </row>
    <row r="382" spans="1:9" s="21" customFormat="1" ht="15.75">
      <c r="A382" s="20" t="s">
        <v>681</v>
      </c>
      <c r="C382" s="47"/>
      <c r="D382" s="14">
        <v>401768</v>
      </c>
      <c r="E382" s="22" t="s">
        <v>1175</v>
      </c>
      <c r="F382" s="23"/>
      <c r="G382" s="23"/>
      <c r="H382" s="23"/>
      <c r="I382" s="23"/>
    </row>
    <row r="383" spans="1:9" s="21" customFormat="1" ht="28.5">
      <c r="A383" s="20" t="s">
        <v>682</v>
      </c>
      <c r="C383" s="47"/>
      <c r="D383" s="14">
        <v>401768</v>
      </c>
      <c r="E383" s="22" t="s">
        <v>1175</v>
      </c>
      <c r="F383" s="23"/>
      <c r="G383" s="23"/>
      <c r="H383" s="23"/>
      <c r="I383" s="23"/>
    </row>
    <row r="384" spans="1:9" s="21" customFormat="1" ht="15.75">
      <c r="A384" s="20" t="s">
        <v>683</v>
      </c>
      <c r="C384" s="47"/>
      <c r="D384" s="14">
        <v>401768</v>
      </c>
      <c r="E384" s="22" t="s">
        <v>1175</v>
      </c>
      <c r="F384" s="23"/>
      <c r="G384" s="23"/>
      <c r="H384" s="23"/>
      <c r="I384" s="23"/>
    </row>
    <row r="385" spans="1:9" s="21" customFormat="1" ht="28.5">
      <c r="A385" s="20" t="s">
        <v>684</v>
      </c>
      <c r="C385" s="47"/>
      <c r="D385" s="14">
        <v>401768</v>
      </c>
      <c r="E385" s="22" t="s">
        <v>1175</v>
      </c>
      <c r="F385" s="23"/>
      <c r="G385" s="23"/>
      <c r="H385" s="23"/>
      <c r="I385" s="23"/>
    </row>
    <row r="386" spans="1:9" s="21" customFormat="1" ht="15.75">
      <c r="A386" s="20" t="s">
        <v>685</v>
      </c>
      <c r="C386" s="47"/>
      <c r="D386" s="14">
        <v>401768</v>
      </c>
      <c r="E386" s="22" t="s">
        <v>1175</v>
      </c>
      <c r="F386" s="23"/>
      <c r="G386" s="23"/>
      <c r="H386" s="23"/>
      <c r="I386" s="23"/>
    </row>
    <row r="387" spans="1:9" s="21" customFormat="1" ht="15.75">
      <c r="A387" s="20" t="s">
        <v>686</v>
      </c>
      <c r="C387" s="47"/>
      <c r="D387" s="14">
        <v>401768</v>
      </c>
      <c r="E387" s="22" t="s">
        <v>1175</v>
      </c>
      <c r="F387" s="23"/>
      <c r="G387" s="23"/>
      <c r="H387" s="23"/>
      <c r="I387" s="23"/>
    </row>
    <row r="388" spans="1:9" s="21" customFormat="1" ht="28.5">
      <c r="A388" s="20" t="s">
        <v>687</v>
      </c>
      <c r="C388" s="47"/>
      <c r="D388" s="14">
        <v>401768</v>
      </c>
      <c r="E388" s="22" t="s">
        <v>1175</v>
      </c>
      <c r="F388" s="23"/>
      <c r="G388" s="23"/>
      <c r="H388" s="23"/>
      <c r="I388" s="23"/>
    </row>
    <row r="389" spans="1:9" s="21" customFormat="1" ht="15.75">
      <c r="A389" s="20" t="s">
        <v>688</v>
      </c>
      <c r="C389" s="47"/>
      <c r="D389" s="14">
        <v>401768</v>
      </c>
      <c r="E389" s="22" t="s">
        <v>1175</v>
      </c>
      <c r="F389" s="23"/>
      <c r="G389" s="23"/>
      <c r="H389" s="23"/>
      <c r="I389" s="23"/>
    </row>
    <row r="390" spans="1:9" s="21" customFormat="1" ht="15.75">
      <c r="A390" s="20" t="s">
        <v>689</v>
      </c>
      <c r="C390" s="47"/>
      <c r="D390" s="14">
        <v>401768</v>
      </c>
      <c r="E390" s="22" t="s">
        <v>1175</v>
      </c>
      <c r="F390" s="23"/>
      <c r="G390" s="23"/>
      <c r="H390" s="23"/>
      <c r="I390" s="23"/>
    </row>
    <row r="391" spans="1:9" s="21" customFormat="1" ht="15.75">
      <c r="A391" s="20" t="s">
        <v>690</v>
      </c>
      <c r="C391" s="47"/>
      <c r="D391" s="14">
        <v>401768</v>
      </c>
      <c r="E391" s="22" t="s">
        <v>1175</v>
      </c>
      <c r="F391" s="23"/>
      <c r="G391" s="23"/>
      <c r="H391" s="23"/>
      <c r="I391" s="23"/>
    </row>
    <row r="392" spans="1:9" s="21" customFormat="1" ht="15.75">
      <c r="A392" s="24" t="s">
        <v>810</v>
      </c>
      <c r="B392" s="25"/>
      <c r="C392" s="47"/>
      <c r="D392" s="14">
        <v>401768</v>
      </c>
      <c r="E392" s="22" t="s">
        <v>1175</v>
      </c>
      <c r="F392" s="23"/>
      <c r="G392" s="23"/>
      <c r="H392" s="23"/>
      <c r="I392" s="23"/>
    </row>
    <row r="393" spans="1:9" s="21" customFormat="1" ht="16.5" thickBot="1">
      <c r="A393" s="26"/>
      <c r="B393" s="27"/>
      <c r="C393" s="47"/>
      <c r="D393" s="14">
        <v>401768</v>
      </c>
      <c r="E393" s="22" t="s">
        <v>1175</v>
      </c>
      <c r="F393" s="23"/>
      <c r="G393" s="23"/>
      <c r="H393" s="23"/>
      <c r="I393" s="23"/>
    </row>
    <row r="394" spans="1:9" s="21" customFormat="1" ht="15.75">
      <c r="A394" s="20" t="s">
        <v>809</v>
      </c>
      <c r="C394" s="47"/>
      <c r="D394" s="14">
        <v>401768</v>
      </c>
      <c r="E394" s="22" t="s">
        <v>1175</v>
      </c>
      <c r="F394" s="23"/>
      <c r="G394" s="23"/>
      <c r="H394" s="23"/>
      <c r="I394" s="23"/>
    </row>
    <row r="395" spans="1:9" s="21" customFormat="1" ht="15.75">
      <c r="A395" s="20" t="s">
        <v>808</v>
      </c>
      <c r="C395" s="47"/>
      <c r="D395" s="14">
        <v>401768</v>
      </c>
      <c r="E395" s="22" t="s">
        <v>1175</v>
      </c>
      <c r="F395" s="23"/>
      <c r="G395" s="23"/>
      <c r="H395" s="23"/>
      <c r="I395" s="23"/>
    </row>
    <row r="396" spans="1:9" s="21" customFormat="1" ht="15.75">
      <c r="A396" s="20" t="s">
        <v>807</v>
      </c>
      <c r="C396" s="47"/>
      <c r="D396" s="14">
        <v>401768</v>
      </c>
      <c r="E396" s="22" t="s">
        <v>1175</v>
      </c>
      <c r="F396" s="23"/>
      <c r="G396" s="23"/>
      <c r="H396" s="23"/>
      <c r="I396" s="23"/>
    </row>
    <row r="397" spans="1:9" s="21" customFormat="1" ht="15.75">
      <c r="A397" s="20" t="s">
        <v>806</v>
      </c>
      <c r="C397" s="47"/>
      <c r="D397" s="14">
        <v>401768</v>
      </c>
      <c r="E397" s="22" t="s">
        <v>1175</v>
      </c>
      <c r="F397" s="23"/>
      <c r="G397" s="23"/>
      <c r="H397" s="23"/>
      <c r="I397" s="23"/>
    </row>
    <row r="398" spans="1:9" s="21" customFormat="1" ht="15.75">
      <c r="A398" s="20" t="s">
        <v>805</v>
      </c>
      <c r="C398" s="47"/>
      <c r="D398" s="14">
        <v>401768</v>
      </c>
      <c r="E398" s="22" t="s">
        <v>1175</v>
      </c>
      <c r="F398" s="23"/>
      <c r="G398" s="23"/>
      <c r="H398" s="23"/>
      <c r="I398" s="23"/>
    </row>
    <row r="399" spans="1:9" s="21" customFormat="1" ht="15.75">
      <c r="A399" s="20" t="s">
        <v>804</v>
      </c>
      <c r="C399" s="47"/>
      <c r="D399" s="14">
        <v>401768</v>
      </c>
      <c r="E399" s="22" t="s">
        <v>1175</v>
      </c>
      <c r="F399" s="23"/>
      <c r="G399" s="23"/>
      <c r="H399" s="23"/>
      <c r="I399" s="23"/>
    </row>
    <row r="400" spans="1:9" s="21" customFormat="1" ht="15.75">
      <c r="A400" s="20" t="s">
        <v>803</v>
      </c>
      <c r="C400" s="47"/>
      <c r="D400" s="14">
        <v>401768</v>
      </c>
      <c r="E400" s="22" t="s">
        <v>1175</v>
      </c>
      <c r="F400" s="23"/>
      <c r="G400" s="23"/>
      <c r="H400" s="23"/>
      <c r="I400" s="23"/>
    </row>
    <row r="401" spans="1:9" s="21" customFormat="1" ht="18.75">
      <c r="A401" s="20" t="s">
        <v>832</v>
      </c>
      <c r="C401" s="47"/>
      <c r="D401" s="14">
        <v>401768</v>
      </c>
      <c r="E401" s="22" t="s">
        <v>1175</v>
      </c>
      <c r="F401" s="23"/>
      <c r="G401" s="23"/>
      <c r="H401" s="23"/>
      <c r="I401" s="23"/>
    </row>
    <row r="402" spans="1:9" s="21" customFormat="1" ht="15.75">
      <c r="A402" s="20" t="s">
        <v>802</v>
      </c>
      <c r="C402" s="47"/>
      <c r="D402" s="14">
        <v>401768</v>
      </c>
      <c r="E402" s="22" t="s">
        <v>1175</v>
      </c>
      <c r="F402" s="23"/>
      <c r="G402" s="23"/>
      <c r="H402" s="23"/>
      <c r="I402" s="23"/>
    </row>
    <row r="403" spans="1:9" s="21" customFormat="1" ht="15.75">
      <c r="A403" s="20" t="s">
        <v>801</v>
      </c>
      <c r="C403" s="47"/>
      <c r="D403" s="14">
        <v>401768</v>
      </c>
      <c r="E403" s="22" t="s">
        <v>1175</v>
      </c>
      <c r="F403" s="23"/>
      <c r="G403" s="23"/>
      <c r="H403" s="23"/>
      <c r="I403" s="23"/>
    </row>
    <row r="404" spans="1:9" s="21" customFormat="1" ht="15.75">
      <c r="A404" s="20" t="s">
        <v>800</v>
      </c>
      <c r="C404" s="47"/>
      <c r="D404" s="14">
        <v>401768</v>
      </c>
      <c r="E404" s="22" t="s">
        <v>1175</v>
      </c>
      <c r="F404" s="23"/>
      <c r="G404" s="23"/>
      <c r="H404" s="23"/>
      <c r="I404" s="23"/>
    </row>
    <row r="405" spans="1:9" s="21" customFormat="1" ht="15.75">
      <c r="A405" s="20" t="s">
        <v>799</v>
      </c>
      <c r="C405" s="47"/>
      <c r="D405" s="14">
        <v>401768</v>
      </c>
      <c r="E405" s="22" t="s">
        <v>1175</v>
      </c>
      <c r="F405" s="23"/>
      <c r="G405" s="23"/>
      <c r="H405" s="23"/>
      <c r="I405" s="23"/>
    </row>
    <row r="406" spans="1:9" s="21" customFormat="1" ht="15.75">
      <c r="A406" s="20" t="s">
        <v>798</v>
      </c>
      <c r="C406" s="47"/>
      <c r="D406" s="14">
        <v>401768</v>
      </c>
      <c r="E406" s="22" t="s">
        <v>1175</v>
      </c>
      <c r="F406" s="23"/>
      <c r="G406" s="23"/>
      <c r="H406" s="23"/>
      <c r="I406" s="23"/>
    </row>
    <row r="407" spans="1:9" s="21" customFormat="1" ht="15.75">
      <c r="A407" s="20" t="s">
        <v>797</v>
      </c>
      <c r="C407" s="47"/>
      <c r="D407" s="14">
        <v>401768</v>
      </c>
      <c r="E407" s="22" t="s">
        <v>1175</v>
      </c>
      <c r="F407" s="23"/>
      <c r="G407" s="23"/>
      <c r="H407" s="23"/>
      <c r="I407" s="23"/>
    </row>
    <row r="408" spans="1:9" s="21" customFormat="1" ht="15.75">
      <c r="A408" s="20" t="s">
        <v>796</v>
      </c>
      <c r="C408" s="47"/>
      <c r="D408" s="14">
        <v>401768</v>
      </c>
      <c r="E408" s="22" t="s">
        <v>1175</v>
      </c>
      <c r="F408" s="23"/>
      <c r="G408" s="23"/>
      <c r="H408" s="23"/>
      <c r="I408" s="23"/>
    </row>
    <row r="409" spans="1:9" s="21" customFormat="1" ht="18.75">
      <c r="A409" s="20" t="s">
        <v>831</v>
      </c>
      <c r="C409" s="47"/>
      <c r="D409" s="14">
        <v>401768</v>
      </c>
      <c r="E409" s="22" t="s">
        <v>1175</v>
      </c>
      <c r="F409" s="23"/>
      <c r="G409" s="23"/>
      <c r="H409" s="23"/>
      <c r="I409" s="23"/>
    </row>
    <row r="410" spans="1:9" s="21" customFormat="1" ht="16.5" thickBot="1">
      <c r="A410" s="20" t="s">
        <v>795</v>
      </c>
      <c r="C410" s="47"/>
      <c r="D410" s="14">
        <v>401768</v>
      </c>
      <c r="E410" s="22" t="s">
        <v>1175</v>
      </c>
      <c r="F410" s="23"/>
      <c r="G410" s="23"/>
      <c r="H410" s="23"/>
      <c r="I410" s="23"/>
    </row>
    <row r="411" spans="1:9" s="21" customFormat="1" ht="15.75">
      <c r="A411" s="28" t="s">
        <v>794</v>
      </c>
      <c r="C411" s="47"/>
      <c r="D411" s="14">
        <v>401768</v>
      </c>
      <c r="E411" s="22" t="s">
        <v>1175</v>
      </c>
      <c r="F411" s="23"/>
      <c r="G411" s="23"/>
      <c r="H411" s="23"/>
      <c r="I411" s="23"/>
    </row>
    <row r="412" spans="1:9" s="21" customFormat="1" ht="15.75">
      <c r="A412" s="20" t="s">
        <v>793</v>
      </c>
      <c r="C412" s="47"/>
      <c r="D412" s="14">
        <v>401768</v>
      </c>
      <c r="E412" s="22" t="s">
        <v>1175</v>
      </c>
      <c r="F412" s="23"/>
      <c r="G412" s="23"/>
      <c r="H412" s="23"/>
      <c r="I412" s="23"/>
    </row>
    <row r="413" spans="1:9" s="21" customFormat="1" ht="15.75">
      <c r="A413" s="20" t="s">
        <v>792</v>
      </c>
      <c r="C413" s="47"/>
      <c r="D413" s="14">
        <v>401768</v>
      </c>
      <c r="E413" s="22" t="s">
        <v>1175</v>
      </c>
      <c r="F413" s="23"/>
      <c r="G413" s="23"/>
      <c r="H413" s="23"/>
      <c r="I413" s="23"/>
    </row>
    <row r="414" spans="1:9" s="21" customFormat="1" ht="16.5" thickBot="1">
      <c r="A414" s="20" t="s">
        <v>791</v>
      </c>
      <c r="C414" s="47"/>
      <c r="D414" s="14">
        <v>401768</v>
      </c>
      <c r="E414" s="22" t="s">
        <v>1175</v>
      </c>
      <c r="F414" s="23"/>
      <c r="G414" s="23"/>
      <c r="H414" s="23"/>
      <c r="I414" s="23"/>
    </row>
    <row r="415" spans="1:9" s="21" customFormat="1" ht="15.75">
      <c r="A415" s="28" t="s">
        <v>790</v>
      </c>
      <c r="C415" s="47"/>
      <c r="D415" s="14">
        <v>401768</v>
      </c>
      <c r="E415" s="22" t="s">
        <v>1175</v>
      </c>
      <c r="F415" s="23"/>
      <c r="G415" s="23"/>
      <c r="H415" s="23"/>
      <c r="I415" s="23"/>
    </row>
    <row r="416" spans="1:9" s="21" customFormat="1" ht="15.75">
      <c r="A416" s="20" t="s">
        <v>789</v>
      </c>
      <c r="C416" s="47"/>
      <c r="D416" s="14">
        <v>401768</v>
      </c>
      <c r="E416" s="22" t="s">
        <v>1175</v>
      </c>
      <c r="F416" s="23"/>
      <c r="G416" s="23"/>
      <c r="H416" s="23"/>
      <c r="I416" s="23"/>
    </row>
    <row r="417" spans="1:9" s="21" customFormat="1" ht="15.75">
      <c r="A417" s="20" t="s">
        <v>833</v>
      </c>
      <c r="C417" s="47"/>
      <c r="D417" s="14">
        <v>401768</v>
      </c>
      <c r="E417" s="22" t="s">
        <v>1175</v>
      </c>
      <c r="F417" s="23"/>
      <c r="G417" s="23"/>
      <c r="H417" s="23"/>
      <c r="I417" s="23"/>
    </row>
    <row r="418" spans="1:9" s="21" customFormat="1" ht="15.75">
      <c r="A418" s="20" t="s">
        <v>788</v>
      </c>
      <c r="C418" s="47"/>
      <c r="D418" s="14">
        <v>401768</v>
      </c>
      <c r="E418" s="22" t="s">
        <v>1175</v>
      </c>
      <c r="F418" s="23"/>
      <c r="G418" s="23"/>
      <c r="H418" s="23"/>
      <c r="I418" s="23"/>
    </row>
    <row r="419" spans="1:9" s="21" customFormat="1" ht="15.75">
      <c r="A419" s="20" t="s">
        <v>787</v>
      </c>
      <c r="C419" s="47"/>
      <c r="D419" s="14">
        <v>401768</v>
      </c>
      <c r="E419" s="22" t="s">
        <v>1175</v>
      </c>
      <c r="F419" s="23"/>
      <c r="G419" s="23"/>
      <c r="H419" s="23"/>
      <c r="I419" s="23"/>
    </row>
    <row r="420" spans="1:9" s="21" customFormat="1" ht="15.75">
      <c r="A420" s="20" t="s">
        <v>786</v>
      </c>
      <c r="C420" s="47"/>
      <c r="D420" s="14">
        <v>401768</v>
      </c>
      <c r="E420" s="22" t="s">
        <v>1175</v>
      </c>
      <c r="F420" s="23"/>
      <c r="G420" s="23"/>
      <c r="H420" s="23"/>
      <c r="I420" s="23"/>
    </row>
    <row r="421" spans="1:9" s="21" customFormat="1" ht="16.5" thickBot="1">
      <c r="A421" s="20" t="s">
        <v>785</v>
      </c>
      <c r="C421" s="47"/>
      <c r="D421" s="14">
        <v>401768</v>
      </c>
      <c r="E421" s="22" t="s">
        <v>1175</v>
      </c>
      <c r="F421" s="23"/>
      <c r="G421" s="23"/>
      <c r="H421" s="23"/>
      <c r="I421" s="23"/>
    </row>
    <row r="422" spans="1:9" s="21" customFormat="1" ht="15.75">
      <c r="A422" s="28" t="s">
        <v>834</v>
      </c>
      <c r="C422" s="47"/>
      <c r="D422" s="14">
        <v>401768</v>
      </c>
      <c r="E422" s="22" t="s">
        <v>1175</v>
      </c>
      <c r="F422" s="23"/>
      <c r="G422" s="23"/>
      <c r="H422" s="23"/>
      <c r="I422" s="23"/>
    </row>
    <row r="423" spans="1:9" s="21" customFormat="1" ht="15.75">
      <c r="A423" s="20" t="s">
        <v>784</v>
      </c>
      <c r="C423" s="47"/>
      <c r="D423" s="14">
        <v>401768</v>
      </c>
      <c r="E423" s="22" t="s">
        <v>1175</v>
      </c>
      <c r="F423" s="23"/>
      <c r="G423" s="23"/>
      <c r="H423" s="23"/>
      <c r="I423" s="23"/>
    </row>
    <row r="424" spans="1:9" s="21" customFormat="1" ht="15.75">
      <c r="A424" s="20" t="s">
        <v>783</v>
      </c>
      <c r="C424" s="47"/>
      <c r="D424" s="14">
        <v>401768</v>
      </c>
      <c r="E424" s="22" t="s">
        <v>1175</v>
      </c>
      <c r="F424" s="23"/>
      <c r="G424" s="23"/>
      <c r="H424" s="23"/>
      <c r="I424" s="23"/>
    </row>
    <row r="425" spans="1:9" s="21" customFormat="1" ht="15.75">
      <c r="A425" s="20" t="s">
        <v>782</v>
      </c>
      <c r="C425" s="47"/>
      <c r="D425" s="14">
        <v>401768</v>
      </c>
      <c r="E425" s="22" t="s">
        <v>1175</v>
      </c>
      <c r="F425" s="23"/>
      <c r="G425" s="23"/>
      <c r="H425" s="23"/>
      <c r="I425" s="23"/>
    </row>
    <row r="426" spans="1:9" s="21" customFormat="1" ht="15.75">
      <c r="A426" s="20" t="s">
        <v>781</v>
      </c>
      <c r="C426" s="47"/>
      <c r="D426" s="14">
        <v>401768</v>
      </c>
      <c r="E426" s="22" t="s">
        <v>1175</v>
      </c>
      <c r="F426" s="23"/>
      <c r="G426" s="23"/>
      <c r="H426" s="23"/>
      <c r="I426" s="23"/>
    </row>
    <row r="427" spans="1:9" s="21" customFormat="1" ht="15.75">
      <c r="A427" s="20" t="s">
        <v>837</v>
      </c>
      <c r="C427" s="47"/>
      <c r="D427" s="14">
        <v>401768</v>
      </c>
      <c r="E427" s="22" t="s">
        <v>1175</v>
      </c>
      <c r="F427" s="23"/>
      <c r="G427" s="23"/>
      <c r="H427" s="23"/>
      <c r="I427" s="23"/>
    </row>
    <row r="428" spans="1:9" s="21" customFormat="1" ht="15.75">
      <c r="A428" s="20" t="s">
        <v>780</v>
      </c>
      <c r="C428" s="47"/>
      <c r="D428" s="14">
        <v>401768</v>
      </c>
      <c r="E428" s="22" t="s">
        <v>1175</v>
      </c>
      <c r="F428" s="23"/>
      <c r="G428" s="23"/>
      <c r="H428" s="23"/>
      <c r="I428" s="23"/>
    </row>
    <row r="429" spans="1:9" s="21" customFormat="1" ht="15.75">
      <c r="A429" s="20" t="s">
        <v>779</v>
      </c>
      <c r="C429" s="47"/>
      <c r="D429" s="14">
        <v>401768</v>
      </c>
      <c r="E429" s="22" t="s">
        <v>1175</v>
      </c>
      <c r="F429" s="23"/>
      <c r="G429" s="23"/>
      <c r="H429" s="23"/>
      <c r="I429" s="23"/>
    </row>
    <row r="430" spans="1:9" s="21" customFormat="1" ht="15.75">
      <c r="A430" s="20" t="s">
        <v>778</v>
      </c>
      <c r="C430" s="47"/>
      <c r="D430" s="14">
        <v>401768</v>
      </c>
      <c r="E430" s="22" t="s">
        <v>1175</v>
      </c>
      <c r="F430" s="23"/>
      <c r="G430" s="23"/>
      <c r="H430" s="23"/>
      <c r="I430" s="23"/>
    </row>
    <row r="431" spans="1:9" s="21" customFormat="1" ht="15.75">
      <c r="A431" s="20" t="s">
        <v>777</v>
      </c>
      <c r="C431" s="47"/>
      <c r="D431" s="14">
        <v>401768</v>
      </c>
      <c r="E431" s="22" t="s">
        <v>1175</v>
      </c>
      <c r="F431" s="23"/>
      <c r="G431" s="23"/>
      <c r="H431" s="23"/>
      <c r="I431" s="23"/>
    </row>
    <row r="432" spans="1:9" s="21" customFormat="1" ht="15.75">
      <c r="A432" s="20" t="s">
        <v>776</v>
      </c>
      <c r="C432" s="47"/>
      <c r="D432" s="14">
        <v>401768</v>
      </c>
      <c r="E432" s="22" t="s">
        <v>1175</v>
      </c>
      <c r="F432" s="23"/>
      <c r="G432" s="23"/>
      <c r="H432" s="23"/>
      <c r="I432" s="23"/>
    </row>
    <row r="433" spans="1:9" s="21" customFormat="1" ht="15.75">
      <c r="A433" s="20" t="s">
        <v>775</v>
      </c>
      <c r="C433" s="47"/>
      <c r="D433" s="14">
        <v>401768</v>
      </c>
      <c r="E433" s="22" t="s">
        <v>1175</v>
      </c>
      <c r="F433" s="23"/>
      <c r="G433" s="23"/>
      <c r="H433" s="23"/>
      <c r="I433" s="23"/>
    </row>
    <row r="434" spans="1:9" s="21" customFormat="1" ht="15.75">
      <c r="A434" s="20" t="s">
        <v>774</v>
      </c>
      <c r="C434" s="47"/>
      <c r="D434" s="14">
        <v>401768</v>
      </c>
      <c r="E434" s="22" t="s">
        <v>1175</v>
      </c>
      <c r="F434" s="23"/>
      <c r="G434" s="23"/>
      <c r="H434" s="23"/>
      <c r="I434" s="23"/>
    </row>
    <row r="435" spans="1:9" s="21" customFormat="1" ht="15.75">
      <c r="A435" s="20" t="s">
        <v>773</v>
      </c>
      <c r="C435" s="47"/>
      <c r="D435" s="14">
        <v>401768</v>
      </c>
      <c r="E435" s="22" t="s">
        <v>1175</v>
      </c>
      <c r="F435" s="23"/>
      <c r="G435" s="23"/>
      <c r="H435" s="23"/>
      <c r="I435" s="23"/>
    </row>
    <row r="436" spans="1:9" s="21" customFormat="1" ht="15.75">
      <c r="A436" s="20" t="s">
        <v>772</v>
      </c>
      <c r="C436" s="47"/>
      <c r="D436" s="14">
        <v>401768</v>
      </c>
      <c r="E436" s="22" t="s">
        <v>1175</v>
      </c>
      <c r="F436" s="23"/>
      <c r="G436" s="23"/>
      <c r="H436" s="23"/>
      <c r="I436" s="23"/>
    </row>
    <row r="437" spans="1:9" s="21" customFormat="1" ht="15.75">
      <c r="A437" s="20" t="s">
        <v>771</v>
      </c>
      <c r="C437" s="47"/>
      <c r="D437" s="14">
        <v>401768</v>
      </c>
      <c r="E437" s="22" t="s">
        <v>1175</v>
      </c>
      <c r="F437" s="23"/>
      <c r="G437" s="23"/>
      <c r="H437" s="23"/>
      <c r="I437" s="23"/>
    </row>
    <row r="438" spans="1:9" s="21" customFormat="1" ht="15.75">
      <c r="A438" s="20" t="s">
        <v>835</v>
      </c>
      <c r="C438" s="47"/>
      <c r="D438" s="14">
        <v>401768</v>
      </c>
      <c r="E438" s="22" t="s">
        <v>1175</v>
      </c>
      <c r="F438" s="23"/>
      <c r="G438" s="23"/>
      <c r="H438" s="23"/>
      <c r="I438" s="23"/>
    </row>
    <row r="439" spans="1:9" s="21" customFormat="1" ht="15.75">
      <c r="A439" s="20" t="s">
        <v>770</v>
      </c>
      <c r="C439" s="47"/>
      <c r="D439" s="14">
        <v>401768</v>
      </c>
      <c r="E439" s="22" t="s">
        <v>1175</v>
      </c>
      <c r="F439" s="23"/>
      <c r="G439" s="23"/>
      <c r="H439" s="23"/>
      <c r="I439" s="23"/>
    </row>
    <row r="440" spans="1:9" s="21" customFormat="1" ht="15.75">
      <c r="A440" s="20" t="s">
        <v>769</v>
      </c>
      <c r="C440" s="47"/>
      <c r="D440" s="14">
        <v>401768</v>
      </c>
      <c r="E440" s="22" t="s">
        <v>1175</v>
      </c>
      <c r="F440" s="23"/>
      <c r="G440" s="23"/>
      <c r="H440" s="23"/>
      <c r="I440" s="23"/>
    </row>
    <row r="441" spans="1:9" s="21" customFormat="1" ht="15.75">
      <c r="A441" s="20" t="s">
        <v>838</v>
      </c>
      <c r="C441" s="47"/>
      <c r="D441" s="14">
        <v>401768</v>
      </c>
      <c r="E441" s="22" t="s">
        <v>1175</v>
      </c>
      <c r="F441" s="23"/>
      <c r="G441" s="23"/>
      <c r="H441" s="23"/>
      <c r="I441" s="23"/>
    </row>
    <row r="442" spans="1:9" s="21" customFormat="1" ht="15.75">
      <c r="A442" s="20" t="s">
        <v>768</v>
      </c>
      <c r="C442" s="47"/>
      <c r="D442" s="14">
        <v>401768</v>
      </c>
      <c r="E442" s="22" t="s">
        <v>1175</v>
      </c>
      <c r="F442" s="23"/>
      <c r="G442" s="23"/>
      <c r="H442" s="23"/>
      <c r="I442" s="23"/>
    </row>
    <row r="443" spans="1:9" s="21" customFormat="1" ht="15.75">
      <c r="A443" s="20" t="s">
        <v>767</v>
      </c>
      <c r="C443" s="47"/>
      <c r="D443" s="14">
        <v>401768</v>
      </c>
      <c r="E443" s="22" t="s">
        <v>1175</v>
      </c>
      <c r="F443" s="23"/>
      <c r="G443" s="23"/>
      <c r="H443" s="23"/>
      <c r="I443" s="23"/>
    </row>
    <row r="444" spans="1:9" s="21" customFormat="1" ht="15.75">
      <c r="A444" s="20" t="s">
        <v>766</v>
      </c>
      <c r="C444" s="47"/>
      <c r="D444" s="14">
        <v>401768</v>
      </c>
      <c r="E444" s="22" t="s">
        <v>1175</v>
      </c>
      <c r="F444" s="23"/>
      <c r="G444" s="23"/>
      <c r="H444" s="23"/>
      <c r="I444" s="23"/>
    </row>
    <row r="445" spans="1:9" s="21" customFormat="1" ht="15.75">
      <c r="A445" s="20" t="s">
        <v>765</v>
      </c>
      <c r="C445" s="47"/>
      <c r="D445" s="14">
        <v>401768</v>
      </c>
      <c r="E445" s="22" t="s">
        <v>1175</v>
      </c>
      <c r="F445" s="23"/>
      <c r="G445" s="23"/>
      <c r="H445" s="23"/>
      <c r="I445" s="23"/>
    </row>
    <row r="446" spans="1:9" s="21" customFormat="1" ht="15.75">
      <c r="A446" s="20" t="s">
        <v>764</v>
      </c>
      <c r="C446" s="47"/>
      <c r="D446" s="14">
        <v>401768</v>
      </c>
      <c r="E446" s="22" t="s">
        <v>1175</v>
      </c>
      <c r="F446" s="23"/>
      <c r="G446" s="23"/>
      <c r="H446" s="23"/>
      <c r="I446" s="23"/>
    </row>
    <row r="447" spans="1:9" s="21" customFormat="1" ht="15.75">
      <c r="A447" s="20" t="s">
        <v>763</v>
      </c>
      <c r="C447" s="47"/>
      <c r="D447" s="14">
        <v>401768</v>
      </c>
      <c r="E447" s="22" t="s">
        <v>1175</v>
      </c>
      <c r="F447" s="23"/>
      <c r="G447" s="23"/>
      <c r="H447" s="23"/>
      <c r="I447" s="23"/>
    </row>
    <row r="448" spans="1:9" s="21" customFormat="1" ht="28.5">
      <c r="A448" s="20" t="s">
        <v>762</v>
      </c>
      <c r="C448" s="47"/>
      <c r="D448" s="14">
        <v>401768</v>
      </c>
      <c r="E448" s="22" t="s">
        <v>1175</v>
      </c>
      <c r="F448" s="23"/>
      <c r="G448" s="23"/>
      <c r="H448" s="23"/>
      <c r="I448" s="23"/>
    </row>
    <row r="449" spans="1:9" s="21" customFormat="1" ht="15.75">
      <c r="A449" s="20" t="s">
        <v>761</v>
      </c>
      <c r="C449" s="47"/>
      <c r="D449" s="14">
        <v>401768</v>
      </c>
      <c r="E449" s="22" t="s">
        <v>1175</v>
      </c>
      <c r="F449" s="23"/>
      <c r="G449" s="23"/>
      <c r="H449" s="23"/>
      <c r="I449" s="23"/>
    </row>
    <row r="450" spans="1:9" s="21" customFormat="1" ht="15.75">
      <c r="A450" s="20" t="s">
        <v>836</v>
      </c>
      <c r="C450" s="47"/>
      <c r="D450" s="14">
        <v>401768</v>
      </c>
      <c r="E450" s="22" t="s">
        <v>1175</v>
      </c>
      <c r="F450" s="23"/>
      <c r="G450" s="23"/>
      <c r="H450" s="23"/>
      <c r="I450" s="23"/>
    </row>
    <row r="451" spans="1:9" s="21" customFormat="1" ht="15.75">
      <c r="A451" s="20" t="s">
        <v>760</v>
      </c>
      <c r="C451" s="47"/>
      <c r="D451" s="14">
        <v>401768</v>
      </c>
      <c r="E451" s="22" t="s">
        <v>1175</v>
      </c>
      <c r="F451" s="23"/>
      <c r="G451" s="23"/>
      <c r="H451" s="23"/>
      <c r="I451" s="23"/>
    </row>
    <row r="452" spans="1:9" s="21" customFormat="1" ht="15.75">
      <c r="A452" s="20" t="s">
        <v>759</v>
      </c>
      <c r="C452" s="47"/>
      <c r="D452" s="14">
        <v>401768</v>
      </c>
      <c r="E452" s="22" t="s">
        <v>1175</v>
      </c>
      <c r="F452" s="23"/>
      <c r="G452" s="23"/>
      <c r="H452" s="23"/>
      <c r="I452" s="23"/>
    </row>
    <row r="453" spans="1:9" s="21" customFormat="1" ht="15.75">
      <c r="A453" s="20" t="s">
        <v>758</v>
      </c>
      <c r="C453" s="47"/>
      <c r="D453" s="14">
        <v>401768</v>
      </c>
      <c r="E453" s="22" t="s">
        <v>1175</v>
      </c>
      <c r="F453" s="23"/>
      <c r="G453" s="23"/>
      <c r="H453" s="23"/>
      <c r="I453" s="23"/>
    </row>
    <row r="454" spans="1:9" s="21" customFormat="1" ht="15.75">
      <c r="A454" s="20" t="s">
        <v>757</v>
      </c>
      <c r="C454" s="47"/>
      <c r="D454" s="14">
        <v>401768</v>
      </c>
      <c r="E454" s="22" t="s">
        <v>1175</v>
      </c>
      <c r="F454" s="23"/>
      <c r="G454" s="23"/>
      <c r="H454" s="23"/>
      <c r="I454" s="23"/>
    </row>
    <row r="455" spans="1:9" s="21" customFormat="1" ht="28.5">
      <c r="A455" s="20" t="s">
        <v>756</v>
      </c>
      <c r="C455" s="47"/>
      <c r="D455" s="14">
        <v>401768</v>
      </c>
      <c r="E455" s="22" t="s">
        <v>1175</v>
      </c>
      <c r="F455" s="23"/>
      <c r="G455" s="23"/>
      <c r="H455" s="23"/>
      <c r="I455" s="23"/>
    </row>
    <row r="456" spans="1:9" s="21" customFormat="1" ht="28.5">
      <c r="A456" s="20" t="s">
        <v>755</v>
      </c>
      <c r="C456" s="47"/>
      <c r="D456" s="14">
        <v>401768</v>
      </c>
      <c r="E456" s="22" t="s">
        <v>1175</v>
      </c>
      <c r="F456" s="23"/>
      <c r="G456" s="23"/>
      <c r="H456" s="23"/>
      <c r="I456" s="23"/>
    </row>
    <row r="457" spans="1:9" s="21" customFormat="1" ht="15.75">
      <c r="A457" s="20" t="s">
        <v>754</v>
      </c>
      <c r="C457" s="47"/>
      <c r="D457" s="14">
        <v>401768</v>
      </c>
      <c r="E457" s="22" t="s">
        <v>1175</v>
      </c>
      <c r="F457" s="23"/>
      <c r="G457" s="23"/>
      <c r="H457" s="23"/>
      <c r="I457" s="23"/>
    </row>
    <row r="458" spans="1:9" s="21" customFormat="1" ht="28.5">
      <c r="A458" s="20" t="s">
        <v>753</v>
      </c>
      <c r="C458" s="47"/>
      <c r="D458" s="14">
        <v>401768</v>
      </c>
      <c r="E458" s="22" t="s">
        <v>1175</v>
      </c>
      <c r="F458" s="23"/>
      <c r="G458" s="23"/>
      <c r="H458" s="23"/>
      <c r="I458" s="23"/>
    </row>
    <row r="459" spans="1:9" s="21" customFormat="1" ht="15.75">
      <c r="A459" s="20" t="s">
        <v>752</v>
      </c>
      <c r="C459" s="47"/>
      <c r="D459" s="14">
        <v>401768</v>
      </c>
      <c r="E459" s="22" t="s">
        <v>1175</v>
      </c>
      <c r="F459" s="23"/>
      <c r="G459" s="23"/>
      <c r="H459" s="23"/>
      <c r="I459" s="23"/>
    </row>
    <row r="460" spans="1:9" s="21" customFormat="1" ht="15.75">
      <c r="A460" s="20" t="s">
        <v>751</v>
      </c>
      <c r="C460" s="47"/>
      <c r="D460" s="14">
        <v>401768</v>
      </c>
      <c r="E460" s="22" t="s">
        <v>1175</v>
      </c>
      <c r="F460" s="23"/>
      <c r="G460" s="23"/>
      <c r="H460" s="23"/>
      <c r="I460" s="23"/>
    </row>
    <row r="461" spans="1:9" s="21" customFormat="1" ht="15.75">
      <c r="A461" s="20" t="s">
        <v>750</v>
      </c>
      <c r="C461" s="47"/>
      <c r="D461" s="14">
        <v>401768</v>
      </c>
      <c r="E461" s="22" t="s">
        <v>1175</v>
      </c>
      <c r="F461" s="23"/>
      <c r="G461" s="23"/>
      <c r="H461" s="23"/>
      <c r="I461" s="23"/>
    </row>
    <row r="462" spans="1:9" s="21" customFormat="1" ht="15.75">
      <c r="A462" s="20" t="s">
        <v>749</v>
      </c>
      <c r="C462" s="47"/>
      <c r="D462" s="14">
        <v>401768</v>
      </c>
      <c r="E462" s="22" t="s">
        <v>1175</v>
      </c>
      <c r="F462" s="23"/>
      <c r="G462" s="23"/>
      <c r="H462" s="23"/>
      <c r="I462" s="23"/>
    </row>
    <row r="463" spans="1:9" s="21" customFormat="1" ht="15.75">
      <c r="A463" s="20" t="s">
        <v>748</v>
      </c>
      <c r="C463" s="47"/>
      <c r="D463" s="14">
        <v>401768</v>
      </c>
      <c r="E463" s="22" t="s">
        <v>1175</v>
      </c>
      <c r="F463" s="23"/>
      <c r="G463" s="23"/>
      <c r="H463" s="23"/>
      <c r="I463" s="23"/>
    </row>
    <row r="464" spans="1:9" s="21" customFormat="1" ht="15.75">
      <c r="A464" s="20" t="s">
        <v>747</v>
      </c>
      <c r="C464" s="47"/>
      <c r="D464" s="14">
        <v>401768</v>
      </c>
      <c r="E464" s="22" t="s">
        <v>1175</v>
      </c>
      <c r="F464" s="23"/>
      <c r="G464" s="23"/>
      <c r="H464" s="23"/>
      <c r="I464" s="23"/>
    </row>
    <row r="465" spans="1:9" s="21" customFormat="1" ht="15.75">
      <c r="A465" s="20" t="s">
        <v>746</v>
      </c>
      <c r="C465" s="47"/>
      <c r="D465" s="14">
        <v>401768</v>
      </c>
      <c r="E465" s="22" t="s">
        <v>1175</v>
      </c>
      <c r="F465" s="23"/>
      <c r="G465" s="23"/>
      <c r="H465" s="23"/>
      <c r="I465" s="23"/>
    </row>
    <row r="466" spans="1:9" s="21" customFormat="1" ht="15.75">
      <c r="A466" s="20" t="s">
        <v>745</v>
      </c>
      <c r="C466" s="47"/>
      <c r="D466" s="14">
        <v>401768</v>
      </c>
      <c r="E466" s="22" t="s">
        <v>1175</v>
      </c>
      <c r="F466" s="23"/>
      <c r="G466" s="23"/>
      <c r="H466" s="23"/>
      <c r="I466" s="23"/>
    </row>
    <row r="467" spans="1:9" s="21" customFormat="1" ht="15.75">
      <c r="A467" s="20" t="s">
        <v>744</v>
      </c>
      <c r="C467" s="47"/>
      <c r="D467" s="14">
        <v>401768</v>
      </c>
      <c r="E467" s="22" t="s">
        <v>1175</v>
      </c>
      <c r="F467" s="23"/>
      <c r="G467" s="23"/>
      <c r="H467" s="23"/>
      <c r="I467" s="23"/>
    </row>
    <row r="468" spans="1:9" s="21" customFormat="1" ht="15.75">
      <c r="A468" s="20" t="s">
        <v>743</v>
      </c>
      <c r="C468" s="47"/>
      <c r="D468" s="14">
        <v>401768</v>
      </c>
      <c r="E468" s="22" t="s">
        <v>1175</v>
      </c>
      <c r="F468" s="23"/>
      <c r="G468" s="23"/>
      <c r="H468" s="23"/>
      <c r="I468" s="23"/>
    </row>
    <row r="469" spans="1:9" s="21" customFormat="1" ht="15.75">
      <c r="A469" s="20" t="s">
        <v>742</v>
      </c>
      <c r="C469" s="47"/>
      <c r="D469" s="14">
        <v>401768</v>
      </c>
      <c r="E469" s="22" t="s">
        <v>1175</v>
      </c>
      <c r="F469" s="23"/>
      <c r="G469" s="23"/>
      <c r="H469" s="23"/>
      <c r="I469" s="23"/>
    </row>
    <row r="470" spans="1:9" s="21" customFormat="1" ht="15.75">
      <c r="A470" s="20" t="s">
        <v>741</v>
      </c>
      <c r="C470" s="47"/>
      <c r="D470" s="14">
        <v>401768</v>
      </c>
      <c r="E470" s="22" t="s">
        <v>1175</v>
      </c>
      <c r="F470" s="23"/>
      <c r="G470" s="23"/>
      <c r="H470" s="23"/>
      <c r="I470" s="23"/>
    </row>
    <row r="471" spans="1:9" s="21" customFormat="1" ht="15.75">
      <c r="A471" s="20" t="s">
        <v>740</v>
      </c>
      <c r="C471" s="47"/>
      <c r="D471" s="14">
        <v>401768</v>
      </c>
      <c r="E471" s="22" t="s">
        <v>1175</v>
      </c>
      <c r="F471" s="23"/>
      <c r="G471" s="23"/>
      <c r="H471" s="23"/>
      <c r="I471" s="23"/>
    </row>
    <row r="472" spans="1:9" s="21" customFormat="1" ht="15.75">
      <c r="A472" s="20" t="s">
        <v>739</v>
      </c>
      <c r="C472" s="47"/>
      <c r="D472" s="14">
        <v>401768</v>
      </c>
      <c r="E472" s="22" t="s">
        <v>1175</v>
      </c>
      <c r="F472" s="23"/>
      <c r="G472" s="23"/>
      <c r="H472" s="23"/>
      <c r="I472" s="23"/>
    </row>
    <row r="473" spans="1:9" s="21" customFormat="1" ht="15.75">
      <c r="A473" s="20" t="s">
        <v>738</v>
      </c>
      <c r="C473" s="47"/>
      <c r="D473" s="14">
        <v>401768</v>
      </c>
      <c r="E473" s="22" t="s">
        <v>1175</v>
      </c>
      <c r="F473" s="23"/>
      <c r="G473" s="23"/>
      <c r="H473" s="23"/>
      <c r="I473" s="23"/>
    </row>
    <row r="474" spans="1:9" s="21" customFormat="1" ht="15.75">
      <c r="A474" s="20" t="s">
        <v>737</v>
      </c>
      <c r="C474" s="47"/>
      <c r="D474" s="14">
        <v>401768</v>
      </c>
      <c r="E474" s="22" t="s">
        <v>1175</v>
      </c>
      <c r="F474" s="23"/>
      <c r="G474" s="23"/>
      <c r="H474" s="23"/>
      <c r="I474" s="23"/>
    </row>
    <row r="475" spans="1:9" s="21" customFormat="1" ht="15.75">
      <c r="A475" s="20" t="s">
        <v>736</v>
      </c>
      <c r="C475" s="47"/>
      <c r="D475" s="14">
        <v>401768</v>
      </c>
      <c r="E475" s="22" t="s">
        <v>1175</v>
      </c>
      <c r="F475" s="23"/>
      <c r="G475" s="23"/>
      <c r="H475" s="23"/>
      <c r="I475" s="23"/>
    </row>
    <row r="476" spans="1:9" s="21" customFormat="1" ht="15.75">
      <c r="A476" s="20" t="s">
        <v>735</v>
      </c>
      <c r="C476" s="47"/>
      <c r="D476" s="14">
        <v>401768</v>
      </c>
      <c r="E476" s="22" t="s">
        <v>1175</v>
      </c>
      <c r="F476" s="23"/>
      <c r="G476" s="23"/>
      <c r="H476" s="23"/>
      <c r="I476" s="23"/>
    </row>
    <row r="477" spans="1:9" s="21" customFormat="1" ht="15.75">
      <c r="A477" s="20" t="s">
        <v>734</v>
      </c>
      <c r="C477" s="47"/>
      <c r="D477" s="14">
        <v>401768</v>
      </c>
      <c r="E477" s="22" t="s">
        <v>1175</v>
      </c>
      <c r="F477" s="23"/>
      <c r="G477" s="23"/>
      <c r="H477" s="23"/>
      <c r="I477" s="23"/>
    </row>
    <row r="478" spans="1:9" s="21" customFormat="1" ht="15.75">
      <c r="A478" s="20" t="s">
        <v>733</v>
      </c>
      <c r="C478" s="47"/>
      <c r="D478" s="14">
        <v>401768</v>
      </c>
      <c r="E478" s="22" t="s">
        <v>1175</v>
      </c>
      <c r="F478" s="23"/>
      <c r="G478" s="23"/>
      <c r="H478" s="23"/>
      <c r="I478" s="23"/>
    </row>
    <row r="479" spans="1:9" s="21" customFormat="1" ht="15.75">
      <c r="A479" s="20" t="s">
        <v>732</v>
      </c>
      <c r="C479" s="47"/>
      <c r="D479" s="14">
        <v>401768</v>
      </c>
      <c r="E479" s="22" t="s">
        <v>1175</v>
      </c>
      <c r="F479" s="23"/>
      <c r="G479" s="23"/>
      <c r="H479" s="23"/>
      <c r="I479" s="23"/>
    </row>
    <row r="480" spans="1:9" s="21" customFormat="1" ht="15.75">
      <c r="A480" s="20" t="s">
        <v>731</v>
      </c>
      <c r="C480" s="47"/>
      <c r="D480" s="14">
        <v>401768</v>
      </c>
      <c r="E480" s="22" t="s">
        <v>1175</v>
      </c>
      <c r="F480" s="23"/>
      <c r="G480" s="23"/>
      <c r="H480" s="23"/>
      <c r="I480" s="23"/>
    </row>
    <row r="481" spans="1:9" s="21" customFormat="1" ht="15.75">
      <c r="A481" s="20" t="s">
        <v>730</v>
      </c>
      <c r="C481" s="47"/>
      <c r="D481" s="14">
        <v>401768</v>
      </c>
      <c r="E481" s="22" t="s">
        <v>1175</v>
      </c>
      <c r="F481" s="23"/>
      <c r="G481" s="23"/>
      <c r="H481" s="23"/>
      <c r="I481" s="23"/>
    </row>
    <row r="482" spans="1:9" s="21" customFormat="1" ht="28.5">
      <c r="A482" s="20" t="s">
        <v>729</v>
      </c>
      <c r="C482" s="47"/>
      <c r="D482" s="14">
        <v>401768</v>
      </c>
      <c r="E482" s="22" t="s">
        <v>1175</v>
      </c>
      <c r="F482" s="23"/>
      <c r="G482" s="23"/>
      <c r="H482" s="23"/>
      <c r="I482" s="23"/>
    </row>
    <row r="483" spans="1:9" s="21" customFormat="1" ht="15.75">
      <c r="A483" s="20" t="s">
        <v>728</v>
      </c>
      <c r="C483" s="47"/>
      <c r="D483" s="14">
        <v>401768</v>
      </c>
      <c r="E483" s="22" t="s">
        <v>1175</v>
      </c>
      <c r="F483" s="23"/>
      <c r="G483" s="23"/>
      <c r="H483" s="23"/>
      <c r="I483" s="23"/>
    </row>
    <row r="484" spans="1:9" s="21" customFormat="1" ht="15.75">
      <c r="A484" s="20" t="s">
        <v>727</v>
      </c>
      <c r="C484" s="47"/>
      <c r="D484" s="14">
        <v>401768</v>
      </c>
      <c r="E484" s="22" t="s">
        <v>1175</v>
      </c>
      <c r="F484" s="23"/>
      <c r="G484" s="23"/>
      <c r="H484" s="23"/>
      <c r="I484" s="23"/>
    </row>
    <row r="485" spans="1:9" s="21" customFormat="1" ht="15.75">
      <c r="A485" s="20" t="s">
        <v>726</v>
      </c>
      <c r="C485" s="47"/>
      <c r="D485" s="14">
        <v>401768</v>
      </c>
      <c r="E485" s="22" t="s">
        <v>1175</v>
      </c>
      <c r="F485" s="23"/>
      <c r="G485" s="23"/>
      <c r="H485" s="23"/>
      <c r="I485" s="23"/>
    </row>
    <row r="486" spans="1:9" s="21" customFormat="1" ht="15.75">
      <c r="A486" s="20" t="s">
        <v>725</v>
      </c>
      <c r="C486" s="47"/>
      <c r="D486" s="14">
        <v>401768</v>
      </c>
      <c r="E486" s="22" t="s">
        <v>1175</v>
      </c>
      <c r="F486" s="23"/>
      <c r="G486" s="23"/>
      <c r="H486" s="23"/>
      <c r="I486" s="23"/>
    </row>
    <row r="487" spans="1:9" s="21" customFormat="1" ht="15.75">
      <c r="A487" s="20" t="s">
        <v>724</v>
      </c>
      <c r="C487" s="47"/>
      <c r="D487" s="14">
        <v>401768</v>
      </c>
      <c r="E487" s="22" t="s">
        <v>1175</v>
      </c>
      <c r="F487" s="23"/>
      <c r="G487" s="23"/>
      <c r="H487" s="23"/>
      <c r="I487" s="23"/>
    </row>
    <row r="488" spans="1:9" s="21" customFormat="1" ht="15.75">
      <c r="A488" s="20" t="s">
        <v>723</v>
      </c>
      <c r="C488" s="47"/>
      <c r="D488" s="14">
        <v>401768</v>
      </c>
      <c r="E488" s="22" t="s">
        <v>1175</v>
      </c>
      <c r="F488" s="23"/>
      <c r="G488" s="23"/>
      <c r="H488" s="23"/>
      <c r="I488" s="23"/>
    </row>
    <row r="489" spans="1:9" s="21" customFormat="1" ht="15.75">
      <c r="A489" s="20" t="s">
        <v>722</v>
      </c>
      <c r="C489" s="47"/>
      <c r="D489" s="14">
        <v>401768</v>
      </c>
      <c r="E489" s="22" t="s">
        <v>1175</v>
      </c>
      <c r="F489" s="23"/>
      <c r="G489" s="23"/>
      <c r="H489" s="23"/>
      <c r="I489" s="23"/>
    </row>
    <row r="490" spans="1:9" s="21" customFormat="1" ht="15.75">
      <c r="A490" s="20" t="s">
        <v>721</v>
      </c>
      <c r="C490" s="47"/>
      <c r="D490" s="14">
        <v>401768</v>
      </c>
      <c r="E490" s="22" t="s">
        <v>1175</v>
      </c>
      <c r="F490" s="23"/>
      <c r="G490" s="23"/>
      <c r="H490" s="23"/>
      <c r="I490" s="23"/>
    </row>
    <row r="491" spans="1:9" s="21" customFormat="1" ht="28.5">
      <c r="A491" s="20" t="s">
        <v>720</v>
      </c>
      <c r="C491" s="47"/>
      <c r="D491" s="14">
        <v>401768</v>
      </c>
      <c r="E491" s="22" t="s">
        <v>1175</v>
      </c>
      <c r="F491" s="23"/>
      <c r="G491" s="23"/>
      <c r="H491" s="23"/>
      <c r="I491" s="23"/>
    </row>
    <row r="492" spans="1:9" s="21" customFormat="1" ht="15.75">
      <c r="A492" s="20" t="s">
        <v>719</v>
      </c>
      <c r="C492" s="47"/>
      <c r="D492" s="14">
        <v>401768</v>
      </c>
      <c r="E492" s="22" t="s">
        <v>1175</v>
      </c>
      <c r="F492" s="23"/>
      <c r="G492" s="23"/>
      <c r="H492" s="23"/>
      <c r="I492" s="23"/>
    </row>
    <row r="493" spans="1:9" s="21" customFormat="1" ht="15.75">
      <c r="A493" s="20" t="s">
        <v>718</v>
      </c>
      <c r="C493" s="47"/>
      <c r="D493" s="14">
        <v>401768</v>
      </c>
      <c r="E493" s="22" t="s">
        <v>1175</v>
      </c>
      <c r="F493" s="23"/>
      <c r="G493" s="23"/>
      <c r="H493" s="23"/>
      <c r="I493" s="23"/>
    </row>
    <row r="494" spans="1:9" s="21" customFormat="1" ht="15.75">
      <c r="A494" s="20" t="s">
        <v>717</v>
      </c>
      <c r="C494" s="47"/>
      <c r="D494" s="14">
        <v>401768</v>
      </c>
      <c r="E494" s="22" t="s">
        <v>1175</v>
      </c>
      <c r="F494" s="23"/>
      <c r="G494" s="23"/>
      <c r="H494" s="23"/>
      <c r="I494" s="23"/>
    </row>
    <row r="495" spans="1:9" s="21" customFormat="1" ht="28.5">
      <c r="A495" s="20" t="s">
        <v>716</v>
      </c>
      <c r="C495" s="47"/>
      <c r="D495" s="14">
        <v>401768</v>
      </c>
      <c r="E495" s="22" t="s">
        <v>1175</v>
      </c>
      <c r="F495" s="23"/>
      <c r="G495" s="23"/>
      <c r="H495" s="23"/>
      <c r="I495" s="23"/>
    </row>
    <row r="496" spans="1:9" customFormat="1" ht="15.75">
      <c r="A496" t="s">
        <v>2837</v>
      </c>
      <c r="B496" t="s">
        <v>2838</v>
      </c>
      <c r="C496">
        <v>323.95999999999998</v>
      </c>
      <c r="D496" s="143">
        <v>44591</v>
      </c>
      <c r="E496" s="22" t="s">
        <v>1175</v>
      </c>
    </row>
    <row r="497" spans="1:5" customFormat="1" ht="15.75">
      <c r="A497" t="s">
        <v>2839</v>
      </c>
      <c r="B497" t="s">
        <v>2840</v>
      </c>
      <c r="C497">
        <v>326.09800000000001</v>
      </c>
      <c r="D497" s="143">
        <v>44591</v>
      </c>
      <c r="E497" s="22" t="s">
        <v>1175</v>
      </c>
    </row>
    <row r="498" spans="1:5" customFormat="1" ht="15.75">
      <c r="A498" t="s">
        <v>2801</v>
      </c>
      <c r="B498" t="s">
        <v>1094</v>
      </c>
      <c r="C498">
        <v>327.2</v>
      </c>
      <c r="D498" s="143">
        <v>44591</v>
      </c>
      <c r="E498" s="22" t="s">
        <v>1175</v>
      </c>
    </row>
    <row r="499" spans="1:5" customFormat="1" ht="15.75">
      <c r="A499" t="s">
        <v>2841</v>
      </c>
      <c r="B499" t="s">
        <v>607</v>
      </c>
      <c r="C499">
        <v>327</v>
      </c>
      <c r="D499" s="143">
        <v>44590</v>
      </c>
      <c r="E499" s="22" t="s">
        <v>1175</v>
      </c>
    </row>
    <row r="500" spans="1:5" customFormat="1" ht="15.75">
      <c r="A500" t="s">
        <v>2842</v>
      </c>
      <c r="B500" t="s">
        <v>2843</v>
      </c>
      <c r="C500">
        <v>21.4</v>
      </c>
      <c r="D500" s="143">
        <v>44589</v>
      </c>
      <c r="E500" s="22" t="s">
        <v>1175</v>
      </c>
    </row>
    <row r="501" spans="1:5" customFormat="1" ht="15.75">
      <c r="A501" t="s">
        <v>2844</v>
      </c>
      <c r="B501" t="s">
        <v>2845</v>
      </c>
      <c r="C501">
        <v>323.89999999999998</v>
      </c>
      <c r="D501" s="143">
        <v>44585</v>
      </c>
      <c r="E501" s="22" t="s">
        <v>1175</v>
      </c>
    </row>
    <row r="502" spans="1:5" customFormat="1" ht="15.75">
      <c r="A502" t="s">
        <v>2846</v>
      </c>
      <c r="B502" t="s">
        <v>2847</v>
      </c>
      <c r="C502">
        <v>327.60000000000002</v>
      </c>
      <c r="D502" s="143">
        <v>44585</v>
      </c>
      <c r="E502" s="22" t="s">
        <v>1175</v>
      </c>
    </row>
    <row r="503" spans="1:5" customFormat="1" ht="15.75">
      <c r="A503" t="s">
        <v>2846</v>
      </c>
      <c r="B503" t="s">
        <v>2848</v>
      </c>
      <c r="C503">
        <v>327.60000000000002</v>
      </c>
      <c r="D503" s="143">
        <v>44585</v>
      </c>
      <c r="E503" s="22" t="s">
        <v>1175</v>
      </c>
    </row>
    <row r="504" spans="1:5" customFormat="1" ht="15.75">
      <c r="A504" t="s">
        <v>2849</v>
      </c>
      <c r="B504" t="s">
        <v>2850</v>
      </c>
      <c r="C504">
        <v>323.95999999999998</v>
      </c>
      <c r="D504" s="143">
        <v>44585</v>
      </c>
      <c r="E504" s="22" t="s">
        <v>1175</v>
      </c>
    </row>
    <row r="505" spans="1:5" customFormat="1" ht="15.75">
      <c r="A505" t="s">
        <v>2851</v>
      </c>
      <c r="B505" t="s">
        <v>2852</v>
      </c>
      <c r="C505">
        <v>327.2</v>
      </c>
      <c r="D505" s="143">
        <v>44585</v>
      </c>
      <c r="E505" s="22" t="s">
        <v>1175</v>
      </c>
    </row>
    <row r="506" spans="1:5" customFormat="1" ht="15.75">
      <c r="A506" t="s">
        <v>2782</v>
      </c>
      <c r="B506" t="s">
        <v>1178</v>
      </c>
      <c r="C506">
        <v>329.9</v>
      </c>
      <c r="D506" s="143">
        <v>44584</v>
      </c>
      <c r="E506" s="22" t="s">
        <v>1175</v>
      </c>
    </row>
    <row r="507" spans="1:5" customFormat="1" ht="15.75">
      <c r="A507" t="s">
        <v>2783</v>
      </c>
      <c r="B507" t="s">
        <v>2784</v>
      </c>
      <c r="C507">
        <v>547.48329999999999</v>
      </c>
      <c r="D507" s="143">
        <v>44580</v>
      </c>
      <c r="E507" s="22" t="s">
        <v>1175</v>
      </c>
    </row>
    <row r="508" spans="1:5" customFormat="1" ht="15.75">
      <c r="A508" t="s">
        <v>2785</v>
      </c>
      <c r="B508" t="s">
        <v>2786</v>
      </c>
      <c r="C508">
        <v>14.3</v>
      </c>
      <c r="D508" s="143">
        <v>44580</v>
      </c>
      <c r="E508" s="22" t="s">
        <v>1175</v>
      </c>
    </row>
    <row r="509" spans="1:5" customFormat="1" ht="15.75">
      <c r="A509" t="s">
        <v>2787</v>
      </c>
      <c r="B509" t="s">
        <v>2788</v>
      </c>
      <c r="C509">
        <v>547.48299999999995</v>
      </c>
      <c r="D509" s="143">
        <v>44580</v>
      </c>
      <c r="E509" s="22" t="s">
        <v>1175</v>
      </c>
    </row>
    <row r="510" spans="1:5" customFormat="1" ht="15.75">
      <c r="A510" t="s">
        <v>2789</v>
      </c>
      <c r="B510" t="s">
        <v>2790</v>
      </c>
      <c r="C510">
        <v>335</v>
      </c>
      <c r="D510" s="143">
        <v>44580</v>
      </c>
      <c r="E510" s="22" t="s">
        <v>1175</v>
      </c>
    </row>
    <row r="511" spans="1:5" customFormat="1" ht="15.75">
      <c r="A511" t="s">
        <v>2791</v>
      </c>
      <c r="B511" t="s">
        <v>1177</v>
      </c>
      <c r="C511">
        <v>329.94</v>
      </c>
      <c r="D511" s="143">
        <v>44579</v>
      </c>
      <c r="E511" s="22" t="s">
        <v>1175</v>
      </c>
    </row>
    <row r="512" spans="1:5" customFormat="1" ht="15.75">
      <c r="A512" t="s">
        <v>2792</v>
      </c>
      <c r="B512" t="s">
        <v>2793</v>
      </c>
      <c r="C512">
        <v>320.91000000000003</v>
      </c>
      <c r="D512" s="143">
        <v>44579</v>
      </c>
      <c r="E512" s="22" t="s">
        <v>1175</v>
      </c>
    </row>
    <row r="513" spans="1:5" customFormat="1" ht="15.75">
      <c r="A513" t="s">
        <v>2794</v>
      </c>
      <c r="B513" t="s">
        <v>267</v>
      </c>
      <c r="C513">
        <v>7.61</v>
      </c>
      <c r="D513" s="143">
        <v>44577</v>
      </c>
      <c r="E513" s="22" t="s">
        <v>1175</v>
      </c>
    </row>
    <row r="514" spans="1:5" customFormat="1" ht="15.75">
      <c r="A514" t="s">
        <v>2795</v>
      </c>
      <c r="B514" t="s">
        <v>2796</v>
      </c>
      <c r="C514">
        <v>504</v>
      </c>
      <c r="D514" s="143">
        <v>44575</v>
      </c>
      <c r="E514" s="22" t="s">
        <v>1175</v>
      </c>
    </row>
    <row r="515" spans="1:5" customFormat="1" ht="15.75">
      <c r="A515" t="s">
        <v>2797</v>
      </c>
      <c r="B515" t="s">
        <v>2798</v>
      </c>
      <c r="C515">
        <v>336</v>
      </c>
      <c r="D515" s="143">
        <v>44572</v>
      </c>
      <c r="E515" s="22" t="s">
        <v>1175</v>
      </c>
    </row>
    <row r="516" spans="1:5" customFormat="1" ht="15.75">
      <c r="A516" t="s">
        <v>2799</v>
      </c>
      <c r="B516" t="s">
        <v>2800</v>
      </c>
      <c r="C516">
        <v>809.2</v>
      </c>
      <c r="D516" s="143">
        <v>44572</v>
      </c>
      <c r="E516" s="22" t="s">
        <v>1175</v>
      </c>
    </row>
    <row r="517" spans="1:5" customFormat="1" ht="15.75">
      <c r="A517" t="s">
        <v>2782</v>
      </c>
      <c r="B517" t="s">
        <v>1178</v>
      </c>
      <c r="C517">
        <v>329.9</v>
      </c>
      <c r="D517" s="143">
        <v>44568</v>
      </c>
      <c r="E517" s="22" t="s">
        <v>1175</v>
      </c>
    </row>
    <row r="518" spans="1:5" customFormat="1" ht="15.75">
      <c r="A518" t="s">
        <v>2801</v>
      </c>
      <c r="B518" t="s">
        <v>1094</v>
      </c>
      <c r="C518">
        <v>327.2</v>
      </c>
      <c r="D518" s="143">
        <v>44568</v>
      </c>
      <c r="E518" s="22" t="s">
        <v>1175</v>
      </c>
    </row>
    <row r="519" spans="1:5" customFormat="1" ht="15.75">
      <c r="A519" t="s">
        <v>2802</v>
      </c>
      <c r="B519" t="s">
        <v>2803</v>
      </c>
      <c r="C519">
        <v>7.609</v>
      </c>
      <c r="D519" s="143">
        <v>44566</v>
      </c>
      <c r="E519" s="22" t="s">
        <v>1175</v>
      </c>
    </row>
    <row r="520" spans="1:5" customFormat="1" ht="15.75">
      <c r="A520" t="s">
        <v>2804</v>
      </c>
      <c r="B520" t="s">
        <v>2805</v>
      </c>
      <c r="C520">
        <v>7.13</v>
      </c>
      <c r="D520" s="143">
        <v>44566</v>
      </c>
      <c r="E520" s="22" t="s">
        <v>1175</v>
      </c>
    </row>
    <row r="521" spans="1:5" customFormat="1" ht="15.75">
      <c r="A521" t="s">
        <v>2806</v>
      </c>
      <c r="B521" t="s">
        <v>2807</v>
      </c>
      <c r="C521">
        <v>375.19900000000001</v>
      </c>
      <c r="D521" s="143">
        <v>44566</v>
      </c>
      <c r="E521" s="22" t="s">
        <v>1175</v>
      </c>
    </row>
    <row r="522" spans="1:5" customFormat="1" ht="15.75">
      <c r="A522" t="s">
        <v>2791</v>
      </c>
      <c r="B522" t="s">
        <v>1177</v>
      </c>
      <c r="C522">
        <v>329.94</v>
      </c>
      <c r="D522" s="143">
        <v>44566</v>
      </c>
      <c r="E522" s="22" t="s">
        <v>1175</v>
      </c>
    </row>
    <row r="523" spans="1:5" customFormat="1" ht="15.75">
      <c r="A523" t="s">
        <v>2808</v>
      </c>
      <c r="B523" t="s">
        <v>2809</v>
      </c>
      <c r="C523">
        <v>336.17</v>
      </c>
      <c r="D523" s="143">
        <v>44566</v>
      </c>
      <c r="E523" s="22" t="s">
        <v>1175</v>
      </c>
    </row>
    <row r="524" spans="1:5" customFormat="1" ht="15.75">
      <c r="A524" t="s">
        <v>2792</v>
      </c>
      <c r="B524" t="s">
        <v>2793</v>
      </c>
      <c r="C524">
        <v>320.91000000000003</v>
      </c>
      <c r="D524" s="143">
        <v>44566</v>
      </c>
      <c r="E524" s="22" t="s">
        <v>1175</v>
      </c>
    </row>
    <row r="525" spans="1:5" customFormat="1" ht="15.75">
      <c r="A525" t="s">
        <v>2801</v>
      </c>
      <c r="B525" t="s">
        <v>1094</v>
      </c>
      <c r="C525">
        <v>327.2</v>
      </c>
      <c r="D525" s="143">
        <v>44549</v>
      </c>
      <c r="E525" s="22" t="s">
        <v>1175</v>
      </c>
    </row>
    <row r="526" spans="1:5" customFormat="1" ht="15.75">
      <c r="A526" t="s">
        <v>2782</v>
      </c>
      <c r="B526" t="s">
        <v>1178</v>
      </c>
      <c r="C526">
        <v>329.9</v>
      </c>
      <c r="D526" s="143">
        <v>44549</v>
      </c>
      <c r="E526" s="22" t="s">
        <v>1175</v>
      </c>
    </row>
    <row r="527" spans="1:5" customFormat="1" ht="15.75">
      <c r="A527" t="s">
        <v>2810</v>
      </c>
      <c r="B527" t="s">
        <v>2811</v>
      </c>
      <c r="C527">
        <v>336.91</v>
      </c>
      <c r="D527" s="143">
        <v>44546</v>
      </c>
      <c r="E527" s="22" t="s">
        <v>1175</v>
      </c>
    </row>
    <row r="528" spans="1:5" customFormat="1" ht="15.75">
      <c r="A528" t="s">
        <v>2802</v>
      </c>
      <c r="B528" t="s">
        <v>2803</v>
      </c>
      <c r="C528">
        <v>7.609</v>
      </c>
      <c r="D528" s="143">
        <v>44546</v>
      </c>
      <c r="E528" s="22" t="s">
        <v>1175</v>
      </c>
    </row>
    <row r="529" spans="1:5" customFormat="1" ht="15.75">
      <c r="A529" t="s">
        <v>2812</v>
      </c>
      <c r="B529" t="s">
        <v>2813</v>
      </c>
      <c r="C529">
        <v>375.19900000000001</v>
      </c>
      <c r="D529" s="143">
        <v>44540</v>
      </c>
      <c r="E529" s="22" t="s">
        <v>1175</v>
      </c>
    </row>
    <row r="530" spans="1:5" customFormat="1" ht="15.75">
      <c r="A530" t="s">
        <v>2814</v>
      </c>
      <c r="B530" t="s">
        <v>2815</v>
      </c>
      <c r="C530">
        <v>370.4</v>
      </c>
      <c r="D530" s="143">
        <v>44539</v>
      </c>
      <c r="E530" s="22" t="s">
        <v>1175</v>
      </c>
    </row>
    <row r="531" spans="1:5" customFormat="1" ht="15.75">
      <c r="A531" t="s">
        <v>2816</v>
      </c>
      <c r="B531" t="s">
        <v>2817</v>
      </c>
      <c r="C531">
        <v>372</v>
      </c>
      <c r="D531" s="143">
        <v>44539</v>
      </c>
      <c r="E531" s="22" t="s">
        <v>1175</v>
      </c>
    </row>
    <row r="532" spans="1:5" customFormat="1" ht="15.75">
      <c r="A532" t="s">
        <v>2818</v>
      </c>
      <c r="B532" t="s">
        <v>2819</v>
      </c>
      <c r="C532">
        <v>673.3</v>
      </c>
      <c r="D532" s="143">
        <v>44539</v>
      </c>
      <c r="E532" s="22" t="s">
        <v>1175</v>
      </c>
    </row>
    <row r="533" spans="1:5" customFormat="1" ht="15.75">
      <c r="A533" t="s">
        <v>2820</v>
      </c>
      <c r="B533" t="s">
        <v>2821</v>
      </c>
      <c r="C533">
        <v>336.1</v>
      </c>
      <c r="D533" s="143">
        <v>44533</v>
      </c>
      <c r="E533" s="22" t="s">
        <v>1175</v>
      </c>
    </row>
    <row r="534" spans="1:5" customFormat="1" ht="15.75">
      <c r="A534" t="s">
        <v>2822</v>
      </c>
      <c r="B534" t="s">
        <v>2823</v>
      </c>
      <c r="C534">
        <v>547.48329999999999</v>
      </c>
      <c r="D534" s="143">
        <v>44533</v>
      </c>
      <c r="E534" s="22" t="s">
        <v>1175</v>
      </c>
    </row>
    <row r="535" spans="1:5" customFormat="1" ht="15.75">
      <c r="A535" t="s">
        <v>2824</v>
      </c>
      <c r="B535" t="s">
        <v>2825</v>
      </c>
      <c r="C535">
        <v>336.4</v>
      </c>
      <c r="D535" s="143">
        <v>44533</v>
      </c>
      <c r="E535" s="22" t="s">
        <v>1175</v>
      </c>
    </row>
    <row r="536" spans="1:5" customFormat="1" ht="15.75">
      <c r="A536" t="s">
        <v>2826</v>
      </c>
      <c r="B536" t="s">
        <v>2827</v>
      </c>
      <c r="C536">
        <v>331</v>
      </c>
      <c r="D536" s="143">
        <v>44533</v>
      </c>
      <c r="E536" s="22" t="s">
        <v>1175</v>
      </c>
    </row>
    <row r="537" spans="1:5" customFormat="1" ht="15.75">
      <c r="A537" t="s">
        <v>2828</v>
      </c>
      <c r="B537" t="s">
        <v>2829</v>
      </c>
      <c r="C537">
        <v>798.5</v>
      </c>
      <c r="D537" s="143">
        <v>44533</v>
      </c>
      <c r="E537" s="22" t="s">
        <v>1175</v>
      </c>
    </row>
    <row r="538" spans="1:5" customFormat="1" ht="15.75">
      <c r="A538" t="s">
        <v>2830</v>
      </c>
      <c r="B538" t="s">
        <v>2831</v>
      </c>
      <c r="C538">
        <v>7.1</v>
      </c>
      <c r="D538" s="143">
        <v>44533</v>
      </c>
      <c r="E538" s="22" t="s">
        <v>1175</v>
      </c>
    </row>
    <row r="539" spans="1:5" customFormat="1" ht="15.75">
      <c r="A539" t="s">
        <v>2832</v>
      </c>
      <c r="B539" t="s">
        <v>1104</v>
      </c>
      <c r="C539">
        <v>366.14</v>
      </c>
      <c r="D539" s="143">
        <v>44531</v>
      </c>
      <c r="E539" s="22" t="s">
        <v>1175</v>
      </c>
    </row>
    <row r="540" spans="1:5" customFormat="1" ht="15.75">
      <c r="A540" t="s">
        <v>2833</v>
      </c>
      <c r="B540" t="s">
        <v>2834</v>
      </c>
      <c r="C540">
        <v>7.63</v>
      </c>
      <c r="D540" s="143">
        <v>44531</v>
      </c>
      <c r="E540" s="22" t="s">
        <v>1175</v>
      </c>
    </row>
    <row r="541" spans="1:5" customFormat="1" ht="15.75">
      <c r="A541" t="s">
        <v>2835</v>
      </c>
      <c r="B541" t="s">
        <v>2836</v>
      </c>
      <c r="C541">
        <v>673.93</v>
      </c>
      <c r="D541" s="143">
        <v>44531</v>
      </c>
      <c r="E541" s="22" t="s">
        <v>1175</v>
      </c>
    </row>
    <row r="542" spans="1:5" s="29" customFormat="1" ht="16.5" thickBot="1">
      <c r="A542" s="20" t="s">
        <v>1183</v>
      </c>
      <c r="B542" s="30" t="s">
        <v>1177</v>
      </c>
      <c r="C542" s="48">
        <v>329.94</v>
      </c>
      <c r="D542" s="40">
        <v>44529</v>
      </c>
      <c r="E542" s="22" t="s">
        <v>1175</v>
      </c>
    </row>
    <row r="543" spans="1:5" s="29" customFormat="1" ht="16.5" thickBot="1">
      <c r="A543" s="20" t="s">
        <v>1184</v>
      </c>
      <c r="B543" s="31" t="s">
        <v>1094</v>
      </c>
      <c r="C543" s="49">
        <v>327.2</v>
      </c>
      <c r="D543" s="41">
        <v>44529</v>
      </c>
      <c r="E543" s="22" t="s">
        <v>1175</v>
      </c>
    </row>
    <row r="544" spans="1:5" s="29" customFormat="1" ht="48" thickBot="1">
      <c r="A544" s="20" t="s">
        <v>1185</v>
      </c>
      <c r="B544" s="31" t="s">
        <v>1178</v>
      </c>
      <c r="C544" s="49">
        <v>329.9</v>
      </c>
      <c r="D544" s="41">
        <v>44529</v>
      </c>
      <c r="E544" s="22" t="s">
        <v>1175</v>
      </c>
    </row>
    <row r="545" spans="1:9" s="29" customFormat="1" ht="16.5" thickBot="1">
      <c r="A545" s="20" t="s">
        <v>719</v>
      </c>
      <c r="B545" s="31" t="s">
        <v>1179</v>
      </c>
      <c r="C545" s="49">
        <v>336.17</v>
      </c>
      <c r="D545" s="41">
        <v>44526</v>
      </c>
      <c r="E545" s="22" t="s">
        <v>1175</v>
      </c>
    </row>
    <row r="546" spans="1:9" s="29" customFormat="1" ht="16.5" thickBot="1">
      <c r="A546" s="20" t="s">
        <v>735</v>
      </c>
      <c r="B546" s="31" t="s">
        <v>506</v>
      </c>
      <c r="C546" s="49">
        <v>7.13</v>
      </c>
      <c r="D546" s="41">
        <v>44526</v>
      </c>
      <c r="E546" s="22" t="s">
        <v>1175</v>
      </c>
    </row>
    <row r="547" spans="1:9" s="29" customFormat="1" ht="32.25" thickBot="1">
      <c r="A547" s="20" t="s">
        <v>1186</v>
      </c>
      <c r="B547" s="31" t="s">
        <v>1180</v>
      </c>
      <c r="C547" s="49">
        <v>336.57</v>
      </c>
      <c r="D547" s="41">
        <v>44526</v>
      </c>
      <c r="E547" s="22" t="s">
        <v>1175</v>
      </c>
    </row>
    <row r="548" spans="1:9" s="29" customFormat="1" ht="16.5" thickBot="1">
      <c r="A548" s="20" t="s">
        <v>1188</v>
      </c>
      <c r="B548" s="31" t="s">
        <v>606</v>
      </c>
      <c r="C548" s="49">
        <v>366.15</v>
      </c>
      <c r="D548" s="41">
        <v>44523</v>
      </c>
      <c r="E548" s="22" t="s">
        <v>1175</v>
      </c>
    </row>
    <row r="549" spans="1:9" s="29" customFormat="1" ht="16.5" thickBot="1">
      <c r="A549" s="20" t="s">
        <v>1189</v>
      </c>
      <c r="B549" s="31" t="s">
        <v>607</v>
      </c>
      <c r="C549" s="49">
        <v>327</v>
      </c>
      <c r="D549" s="41">
        <v>44523</v>
      </c>
      <c r="E549" s="22" t="s">
        <v>1175</v>
      </c>
    </row>
    <row r="550" spans="1:9" s="29" customFormat="1" ht="16.5" thickBot="1">
      <c r="A550" s="20" t="s">
        <v>1190</v>
      </c>
      <c r="B550" s="31" t="s">
        <v>1095</v>
      </c>
      <c r="C550" s="49">
        <v>327.02999999999997</v>
      </c>
      <c r="D550" s="41">
        <v>44523</v>
      </c>
      <c r="E550" s="22" t="s">
        <v>1175</v>
      </c>
    </row>
    <row r="551" spans="1:9" s="29" customFormat="1" ht="29.25" thickBot="1">
      <c r="A551" s="20" t="s">
        <v>1191</v>
      </c>
      <c r="B551" s="31" t="s">
        <v>1096</v>
      </c>
      <c r="C551" s="49">
        <v>7.609</v>
      </c>
      <c r="D551" s="41">
        <v>44521</v>
      </c>
      <c r="E551" s="22" t="s">
        <v>1175</v>
      </c>
    </row>
    <row r="552" spans="1:9" s="29" customFormat="1" ht="16.5" thickBot="1">
      <c r="A552" s="20" t="s">
        <v>1192</v>
      </c>
      <c r="B552" s="31" t="s">
        <v>272</v>
      </c>
      <c r="C552" s="49">
        <v>694.6</v>
      </c>
      <c r="D552" s="41">
        <v>44521</v>
      </c>
      <c r="E552" s="22" t="s">
        <v>1175</v>
      </c>
    </row>
    <row r="553" spans="1:9" s="29" customFormat="1" ht="16.5" thickBot="1">
      <c r="A553" s="20" t="s">
        <v>1187</v>
      </c>
      <c r="B553" s="31" t="s">
        <v>1181</v>
      </c>
      <c r="C553" s="49">
        <v>7.64</v>
      </c>
      <c r="D553" s="41">
        <v>44520</v>
      </c>
      <c r="E553" s="22" t="s">
        <v>1175</v>
      </c>
    </row>
    <row r="554" spans="1:9" s="29" customFormat="1" ht="16.5" thickBot="1">
      <c r="A554" s="20" t="s">
        <v>728</v>
      </c>
      <c r="B554" s="31" t="s">
        <v>1182</v>
      </c>
      <c r="C554" s="49">
        <v>675.3</v>
      </c>
      <c r="D554" s="41">
        <v>44520</v>
      </c>
      <c r="E554" s="22" t="s">
        <v>1175</v>
      </c>
    </row>
    <row r="555" spans="1:9" s="29" customFormat="1" ht="28.5">
      <c r="A555" s="20" t="s">
        <v>1193</v>
      </c>
      <c r="B555" s="31" t="s">
        <v>1104</v>
      </c>
      <c r="C555" s="49">
        <v>366.14</v>
      </c>
      <c r="D555" s="41">
        <v>44520</v>
      </c>
      <c r="E555" s="22" t="s">
        <v>1175</v>
      </c>
    </row>
    <row r="556" spans="1:9" s="20" customFormat="1" ht="15.75">
      <c r="A556" s="20" t="s">
        <v>1194</v>
      </c>
      <c r="B556" s="20" t="s">
        <v>1085</v>
      </c>
      <c r="C556" s="50">
        <v>547.48329999999999</v>
      </c>
      <c r="D556" s="42">
        <v>44518</v>
      </c>
      <c r="E556" s="22" t="s">
        <v>1175</v>
      </c>
      <c r="F556" s="23"/>
      <c r="G556" s="23"/>
      <c r="H556" s="23"/>
      <c r="I556" s="23"/>
    </row>
    <row r="557" spans="1:9" s="20" customFormat="1" ht="15.75">
      <c r="A557" s="20" t="s">
        <v>1086</v>
      </c>
      <c r="B557" s="20" t="s">
        <v>1087</v>
      </c>
      <c r="C557" s="50">
        <v>7</v>
      </c>
      <c r="D557" s="42">
        <v>44518</v>
      </c>
      <c r="E557" s="22" t="s">
        <v>1175</v>
      </c>
      <c r="F557" s="23"/>
      <c r="G557" s="23"/>
      <c r="H557" s="23"/>
      <c r="I557" s="23"/>
    </row>
    <row r="558" spans="1:9" s="20" customFormat="1" ht="15.75">
      <c r="A558" s="20" t="s">
        <v>685</v>
      </c>
      <c r="B558" s="20" t="s">
        <v>1088</v>
      </c>
      <c r="C558" s="50">
        <v>547.48329999999999</v>
      </c>
      <c r="D558" s="42">
        <v>44518</v>
      </c>
      <c r="E558" s="22" t="s">
        <v>1175</v>
      </c>
      <c r="F558" s="23"/>
      <c r="G558" s="23"/>
      <c r="H558" s="23"/>
      <c r="I558" s="23"/>
    </row>
    <row r="559" spans="1:9" s="20" customFormat="1" ht="15.75">
      <c r="A559" s="20" t="s">
        <v>680</v>
      </c>
      <c r="B559" s="20" t="s">
        <v>564</v>
      </c>
      <c r="C559" s="50">
        <v>837</v>
      </c>
      <c r="D559" s="42">
        <v>44515</v>
      </c>
      <c r="E559" s="22" t="s">
        <v>1175</v>
      </c>
      <c r="F559" s="23"/>
      <c r="G559" s="23"/>
      <c r="H559" s="23"/>
      <c r="I559" s="23"/>
    </row>
    <row r="560" spans="1:9" s="20" customFormat="1" ht="28.5">
      <c r="A560" s="20" t="s">
        <v>1089</v>
      </c>
      <c r="B560" s="20" t="s">
        <v>812</v>
      </c>
      <c r="C560" s="50">
        <v>338</v>
      </c>
      <c r="D560" s="42">
        <v>44514</v>
      </c>
      <c r="E560" s="22" t="s">
        <v>1175</v>
      </c>
      <c r="F560" s="23"/>
      <c r="G560" s="23"/>
      <c r="H560" s="23"/>
      <c r="I560" s="23"/>
    </row>
    <row r="561" spans="1:9" s="20" customFormat="1" ht="28.5">
      <c r="A561" s="20" t="s">
        <v>1090</v>
      </c>
      <c r="B561" s="20" t="s">
        <v>1091</v>
      </c>
      <c r="C561" s="50">
        <v>7.609</v>
      </c>
      <c r="D561" s="42">
        <v>44514</v>
      </c>
      <c r="E561" s="22" t="s">
        <v>1175</v>
      </c>
      <c r="F561" s="23"/>
      <c r="G561" s="23"/>
      <c r="H561" s="23"/>
      <c r="I561" s="23"/>
    </row>
    <row r="562" spans="1:9" s="20" customFormat="1" ht="15.75">
      <c r="A562" s="20" t="s">
        <v>679</v>
      </c>
      <c r="B562" s="20" t="s">
        <v>124</v>
      </c>
      <c r="C562" s="50">
        <v>7.64</v>
      </c>
      <c r="D562" s="42">
        <v>44514</v>
      </c>
      <c r="E562" s="22" t="s">
        <v>1175</v>
      </c>
      <c r="F562" s="23"/>
      <c r="G562" s="23"/>
      <c r="H562" s="23"/>
      <c r="I562" s="23"/>
    </row>
    <row r="563" spans="1:9" s="20" customFormat="1" ht="15.75">
      <c r="A563" s="20" t="s">
        <v>1092</v>
      </c>
      <c r="B563" s="20" t="s">
        <v>1093</v>
      </c>
      <c r="C563" s="50">
        <v>327.2</v>
      </c>
      <c r="D563" s="42">
        <v>44510</v>
      </c>
      <c r="E563" s="22" t="s">
        <v>1175</v>
      </c>
      <c r="F563" s="23"/>
      <c r="G563" s="23"/>
      <c r="H563" s="23"/>
      <c r="I563" s="23"/>
    </row>
    <row r="564" spans="1:9" s="20" customFormat="1" ht="28.5">
      <c r="A564" s="20" t="s">
        <v>1097</v>
      </c>
      <c r="B564" s="20" t="s">
        <v>1098</v>
      </c>
      <c r="C564" s="50">
        <v>673.99</v>
      </c>
      <c r="D564" s="42">
        <v>44509</v>
      </c>
      <c r="E564" s="22" t="s">
        <v>1175</v>
      </c>
      <c r="F564" s="23"/>
      <c r="G564" s="23"/>
      <c r="H564" s="23"/>
      <c r="I564" s="23"/>
    </row>
    <row r="565" spans="1:9" s="20" customFormat="1" ht="15.75">
      <c r="A565" s="20" t="s">
        <v>686</v>
      </c>
      <c r="B565" s="20" t="s">
        <v>1099</v>
      </c>
      <c r="C565" s="50">
        <v>7.63</v>
      </c>
      <c r="D565" s="42">
        <v>44509</v>
      </c>
      <c r="E565" s="22" t="s">
        <v>1175</v>
      </c>
      <c r="F565" s="23"/>
      <c r="G565" s="23"/>
      <c r="H565" s="23"/>
      <c r="I565" s="23"/>
    </row>
    <row r="566" spans="1:9" s="20" customFormat="1" ht="15.75">
      <c r="A566" s="20" t="s">
        <v>683</v>
      </c>
      <c r="B566" s="20" t="s">
        <v>1100</v>
      </c>
      <c r="C566" s="50">
        <v>338.5</v>
      </c>
      <c r="D566" s="42">
        <v>44507</v>
      </c>
      <c r="E566" s="22" t="s">
        <v>1175</v>
      </c>
      <c r="F566" s="23"/>
      <c r="G566" s="23"/>
      <c r="H566" s="23"/>
      <c r="I566" s="23"/>
    </row>
    <row r="567" spans="1:9" s="20" customFormat="1" ht="15.75">
      <c r="A567" s="20" t="s">
        <v>677</v>
      </c>
      <c r="B567" s="20" t="s">
        <v>1101</v>
      </c>
      <c r="C567" s="50">
        <v>336.4</v>
      </c>
      <c r="D567" s="42">
        <v>44507</v>
      </c>
      <c r="E567" s="22" t="s">
        <v>1175</v>
      </c>
      <c r="F567" s="23"/>
      <c r="G567" s="23"/>
      <c r="H567" s="23"/>
      <c r="I567" s="23"/>
    </row>
    <row r="568" spans="1:9" s="20" customFormat="1" ht="15.75">
      <c r="A568" s="20" t="s">
        <v>1102</v>
      </c>
      <c r="B568" s="20" t="s">
        <v>1103</v>
      </c>
      <c r="C568" s="50">
        <v>335</v>
      </c>
      <c r="D568" s="42">
        <v>44507</v>
      </c>
      <c r="E568" s="22" t="s">
        <v>1175</v>
      </c>
      <c r="F568" s="23"/>
      <c r="G568" s="23"/>
      <c r="H568" s="23"/>
      <c r="I568" s="23"/>
    </row>
    <row r="569" spans="1:9" s="20" customFormat="1" ht="15.75">
      <c r="A569" s="20" t="s">
        <v>1105</v>
      </c>
      <c r="B569" s="20" t="s">
        <v>1106</v>
      </c>
      <c r="C569" s="50">
        <v>7.35</v>
      </c>
      <c r="D569" s="42">
        <v>44507</v>
      </c>
      <c r="E569" s="22" t="s">
        <v>1175</v>
      </c>
      <c r="F569" s="23"/>
      <c r="G569" s="23"/>
      <c r="H569" s="23"/>
      <c r="I569" s="23"/>
    </row>
    <row r="570" spans="1:9" s="21" customFormat="1" ht="32.25" thickBot="1">
      <c r="A570" s="20" t="s">
        <v>818</v>
      </c>
      <c r="B570" s="30" t="s">
        <v>811</v>
      </c>
      <c r="C570" s="48">
        <v>338</v>
      </c>
      <c r="D570" s="40">
        <v>44504</v>
      </c>
      <c r="E570" s="22" t="s">
        <v>1175</v>
      </c>
      <c r="F570" s="23"/>
      <c r="G570" s="23"/>
      <c r="H570" s="23"/>
      <c r="I570" s="23"/>
    </row>
    <row r="571" spans="1:9" s="21" customFormat="1" ht="29.25" thickBot="1">
      <c r="A571" s="20" t="s">
        <v>819</v>
      </c>
      <c r="B571" s="31" t="s">
        <v>812</v>
      </c>
      <c r="C571" s="49">
        <v>547.48329999999999</v>
      </c>
      <c r="D571" s="41">
        <v>44504</v>
      </c>
      <c r="E571" s="22" t="s">
        <v>1175</v>
      </c>
      <c r="F571" s="23"/>
      <c r="G571" s="23"/>
      <c r="H571" s="23"/>
      <c r="I571" s="23"/>
    </row>
    <row r="572" spans="1:9" s="21" customFormat="1" ht="29.25" thickBot="1">
      <c r="A572" s="20" t="s">
        <v>820</v>
      </c>
      <c r="B572" s="31" t="s">
        <v>813</v>
      </c>
      <c r="C572" s="49">
        <v>7.35</v>
      </c>
      <c r="D572" s="41">
        <v>44504</v>
      </c>
      <c r="E572" s="22" t="s">
        <v>1175</v>
      </c>
      <c r="F572" s="23"/>
      <c r="G572" s="23"/>
      <c r="H572" s="23"/>
      <c r="I572" s="23"/>
    </row>
    <row r="573" spans="1:9" s="21" customFormat="1" ht="32.25" thickBot="1">
      <c r="A573" s="20" t="s">
        <v>821</v>
      </c>
      <c r="B573" s="31" t="s">
        <v>839</v>
      </c>
      <c r="C573" s="49">
        <v>681.6</v>
      </c>
      <c r="D573" s="41">
        <v>44503</v>
      </c>
      <c r="E573" s="22" t="s">
        <v>1175</v>
      </c>
      <c r="F573" s="23"/>
      <c r="G573" s="23"/>
      <c r="H573" s="23"/>
      <c r="I573" s="23"/>
    </row>
    <row r="574" spans="1:9" s="21" customFormat="1" ht="16.5" thickBot="1">
      <c r="A574" s="20" t="s">
        <v>822</v>
      </c>
      <c r="B574" s="31" t="s">
        <v>814</v>
      </c>
      <c r="C574" s="49">
        <v>7.35</v>
      </c>
      <c r="D574" s="41">
        <v>44502</v>
      </c>
      <c r="E574" s="22" t="s">
        <v>1175</v>
      </c>
      <c r="F574" s="23"/>
      <c r="G574" s="23"/>
      <c r="H574" s="23"/>
      <c r="I574" s="23"/>
    </row>
    <row r="575" spans="1:9" s="21" customFormat="1" ht="16.5" thickBot="1">
      <c r="A575" s="20" t="s">
        <v>823</v>
      </c>
      <c r="B575" s="31" t="s">
        <v>691</v>
      </c>
      <c r="C575" s="49">
        <v>7.6</v>
      </c>
      <c r="D575" s="41">
        <v>44501</v>
      </c>
      <c r="E575" s="22" t="s">
        <v>1175</v>
      </c>
      <c r="F575" s="23"/>
      <c r="G575" s="23"/>
      <c r="H575" s="23"/>
      <c r="I575" s="23"/>
    </row>
    <row r="576" spans="1:9" s="21" customFormat="1" ht="16.5" thickBot="1">
      <c r="A576" s="20" t="s">
        <v>1176</v>
      </c>
      <c r="B576" s="31" t="s">
        <v>698</v>
      </c>
      <c r="C576" s="49">
        <v>7.13</v>
      </c>
      <c r="D576" s="41">
        <v>44496</v>
      </c>
      <c r="E576" s="22" t="s">
        <v>1175</v>
      </c>
      <c r="F576" s="23"/>
      <c r="G576" s="23"/>
      <c r="H576" s="23"/>
      <c r="I576" s="23"/>
    </row>
    <row r="577" spans="1:9" s="21" customFormat="1" ht="29.25" thickBot="1">
      <c r="A577" s="20" t="s">
        <v>824</v>
      </c>
      <c r="B577" s="31" t="s">
        <v>699</v>
      </c>
      <c r="C577" s="49">
        <v>673.93</v>
      </c>
      <c r="D577" s="41">
        <v>44496</v>
      </c>
      <c r="E577" s="22" t="s">
        <v>1175</v>
      </c>
      <c r="F577" s="23"/>
      <c r="G577" s="23"/>
      <c r="H577" s="23"/>
      <c r="I577" s="23"/>
    </row>
    <row r="578" spans="1:9" s="21" customFormat="1" ht="16.5" thickBot="1">
      <c r="A578" s="20" t="s">
        <v>825</v>
      </c>
      <c r="B578" s="31" t="s">
        <v>697</v>
      </c>
      <c r="C578" s="49">
        <v>547.48329999999999</v>
      </c>
      <c r="D578" s="41">
        <v>44496</v>
      </c>
      <c r="E578" s="22" t="s">
        <v>1175</v>
      </c>
      <c r="F578" s="23"/>
      <c r="G578" s="23"/>
      <c r="H578" s="23"/>
      <c r="I578" s="23"/>
    </row>
    <row r="579" spans="1:9" s="21" customFormat="1" ht="16.5" thickBot="1">
      <c r="A579" s="20" t="s">
        <v>826</v>
      </c>
      <c r="B579" s="31" t="s">
        <v>815</v>
      </c>
      <c r="C579" s="49">
        <v>7.63</v>
      </c>
      <c r="D579" s="41">
        <v>44495</v>
      </c>
      <c r="E579" s="22" t="s">
        <v>1175</v>
      </c>
      <c r="F579" s="23"/>
      <c r="G579" s="23"/>
      <c r="H579" s="23"/>
      <c r="I579" s="23"/>
    </row>
    <row r="580" spans="1:9" s="21" customFormat="1" ht="16.5" thickBot="1">
      <c r="A580" s="20" t="s">
        <v>827</v>
      </c>
      <c r="B580" s="31" t="s">
        <v>816</v>
      </c>
      <c r="C580" s="49">
        <v>7.6</v>
      </c>
      <c r="D580" s="41">
        <v>44494</v>
      </c>
      <c r="E580" s="22" t="s">
        <v>1175</v>
      </c>
      <c r="F580" s="23"/>
      <c r="G580" s="23"/>
      <c r="H580" s="23"/>
      <c r="I580" s="23"/>
    </row>
    <row r="581" spans="1:9" s="21" customFormat="1" ht="16.5" thickBot="1">
      <c r="A581" s="20" t="s">
        <v>828</v>
      </c>
      <c r="B581" s="31" t="s">
        <v>817</v>
      </c>
      <c r="C581" s="49">
        <v>7.6</v>
      </c>
      <c r="D581" s="41">
        <v>44494</v>
      </c>
      <c r="E581" s="22" t="s">
        <v>1175</v>
      </c>
      <c r="F581" s="23"/>
      <c r="G581" s="23"/>
      <c r="H581" s="23"/>
      <c r="I581" s="23"/>
    </row>
    <row r="582" spans="1:9" s="21" customFormat="1" ht="16.5" thickBot="1">
      <c r="A582" s="20" t="s">
        <v>829</v>
      </c>
      <c r="B582" s="31" t="s">
        <v>506</v>
      </c>
      <c r="C582" s="49">
        <v>7.13</v>
      </c>
      <c r="D582" s="41">
        <v>44494</v>
      </c>
      <c r="E582" s="22" t="s">
        <v>1175</v>
      </c>
      <c r="F582" s="23"/>
      <c r="G582" s="23"/>
      <c r="H582" s="23"/>
      <c r="I582" s="23"/>
    </row>
    <row r="583" spans="1:9" s="21" customFormat="1" ht="29.25" thickBot="1">
      <c r="A583" s="20" t="s">
        <v>729</v>
      </c>
      <c r="B583" s="31" t="s">
        <v>708</v>
      </c>
      <c r="C583" s="49">
        <v>673.7</v>
      </c>
      <c r="D583" s="41">
        <v>44494</v>
      </c>
      <c r="E583" s="22" t="s">
        <v>1175</v>
      </c>
      <c r="F583" s="23"/>
      <c r="G583" s="23"/>
      <c r="H583" s="23"/>
      <c r="I583" s="23"/>
    </row>
    <row r="584" spans="1:9" s="21" customFormat="1" ht="16.5" thickBot="1">
      <c r="A584" s="32" t="s">
        <v>706</v>
      </c>
      <c r="B584" s="31" t="s">
        <v>707</v>
      </c>
      <c r="C584" s="49">
        <v>7.64</v>
      </c>
      <c r="D584" s="41">
        <v>44494</v>
      </c>
      <c r="E584" s="22" t="s">
        <v>1175</v>
      </c>
      <c r="F584" s="23"/>
      <c r="G584" s="23"/>
      <c r="H584" s="23"/>
      <c r="I584" s="23"/>
    </row>
    <row r="585" spans="1:9" s="21" customFormat="1" ht="15.75">
      <c r="A585" s="20" t="s">
        <v>830</v>
      </c>
      <c r="B585" s="31" t="s">
        <v>590</v>
      </c>
      <c r="C585" s="49">
        <v>7.64</v>
      </c>
      <c r="D585" s="41">
        <v>44493</v>
      </c>
      <c r="E585" s="22" t="s">
        <v>1175</v>
      </c>
      <c r="F585" s="23"/>
      <c r="G585" s="23"/>
      <c r="H585" s="23"/>
      <c r="I585" s="23"/>
    </row>
    <row r="586" spans="1:9" s="21" customFormat="1" ht="15.75">
      <c r="A586" s="20" t="s">
        <v>692</v>
      </c>
      <c r="B586" s="21" t="s">
        <v>693</v>
      </c>
      <c r="C586" s="47">
        <v>933.7</v>
      </c>
      <c r="D586" s="43">
        <v>44487</v>
      </c>
      <c r="E586" s="22" t="s">
        <v>1175</v>
      </c>
      <c r="F586" s="23"/>
      <c r="G586" s="23"/>
      <c r="H586" s="23"/>
      <c r="I586" s="23"/>
    </row>
    <row r="587" spans="1:9" s="21" customFormat="1" ht="15.75">
      <c r="A587" s="20" t="s">
        <v>694</v>
      </c>
      <c r="B587" s="21" t="s">
        <v>175</v>
      </c>
      <c r="C587" s="47">
        <v>7.13</v>
      </c>
      <c r="D587" s="43">
        <v>44487</v>
      </c>
      <c r="E587" s="22" t="s">
        <v>1175</v>
      </c>
      <c r="F587" s="23"/>
      <c r="G587" s="23"/>
      <c r="H587" s="23"/>
      <c r="I587" s="23"/>
    </row>
    <row r="588" spans="1:9" s="21" customFormat="1" ht="15.75">
      <c r="A588" s="20" t="s">
        <v>695</v>
      </c>
      <c r="B588" s="21" t="s">
        <v>696</v>
      </c>
      <c r="C588" s="47">
        <v>7.6</v>
      </c>
      <c r="D588" s="43">
        <v>44486</v>
      </c>
      <c r="E588" s="22" t="s">
        <v>1175</v>
      </c>
      <c r="F588" s="23"/>
      <c r="G588" s="23"/>
      <c r="H588" s="23"/>
      <c r="I588" s="23"/>
    </row>
    <row r="589" spans="1:9" s="21" customFormat="1" ht="15.75">
      <c r="A589" s="20" t="s">
        <v>700</v>
      </c>
      <c r="B589" s="21" t="s">
        <v>701</v>
      </c>
      <c r="C589" s="47">
        <v>509.21</v>
      </c>
      <c r="D589" s="43">
        <v>44483</v>
      </c>
      <c r="E589" s="22" t="s">
        <v>1175</v>
      </c>
      <c r="F589" s="23"/>
      <c r="G589" s="23"/>
      <c r="H589" s="23"/>
      <c r="I589" s="23"/>
    </row>
    <row r="590" spans="1:9" s="21" customFormat="1" ht="15.75">
      <c r="A590" s="20" t="s">
        <v>702</v>
      </c>
      <c r="B590" s="21" t="s">
        <v>609</v>
      </c>
      <c r="C590" s="47">
        <v>7.6340000000000003</v>
      </c>
      <c r="D590" s="43">
        <v>44483</v>
      </c>
      <c r="E590" s="22" t="s">
        <v>1175</v>
      </c>
      <c r="F590" s="23"/>
      <c r="G590" s="23"/>
      <c r="H590" s="23"/>
      <c r="I590" s="23"/>
    </row>
    <row r="591" spans="1:9" s="21" customFormat="1" ht="28.5">
      <c r="A591" s="20" t="s">
        <v>715</v>
      </c>
      <c r="B591" s="21" t="s">
        <v>610</v>
      </c>
      <c r="C591" s="47">
        <v>366.67</v>
      </c>
      <c r="D591" s="43">
        <v>44483</v>
      </c>
      <c r="E591" s="22" t="s">
        <v>1175</v>
      </c>
      <c r="F591" s="23"/>
      <c r="G591" s="23"/>
      <c r="H591" s="23"/>
      <c r="I591" s="23"/>
    </row>
    <row r="592" spans="1:9" s="21" customFormat="1" ht="15.75">
      <c r="A592" s="20" t="s">
        <v>703</v>
      </c>
      <c r="B592" s="21" t="s">
        <v>704</v>
      </c>
      <c r="C592" s="47">
        <v>7.63</v>
      </c>
      <c r="D592" s="43">
        <v>44481</v>
      </c>
      <c r="E592" s="22" t="s">
        <v>1175</v>
      </c>
      <c r="F592" s="23"/>
      <c r="G592" s="23"/>
      <c r="H592" s="23"/>
      <c r="I592" s="23"/>
    </row>
    <row r="593" spans="1:9" s="21" customFormat="1" ht="15.75">
      <c r="A593" s="20" t="s">
        <v>705</v>
      </c>
      <c r="B593" s="21" t="s">
        <v>431</v>
      </c>
      <c r="C593" s="47">
        <v>336.9</v>
      </c>
      <c r="D593" s="43">
        <v>44481</v>
      </c>
      <c r="E593" s="22" t="s">
        <v>1175</v>
      </c>
      <c r="F593" s="23"/>
      <c r="G593" s="23"/>
      <c r="H593" s="23"/>
      <c r="I593" s="23"/>
    </row>
    <row r="594" spans="1:9" s="21" customFormat="1" ht="15.75">
      <c r="A594" s="20" t="s">
        <v>709</v>
      </c>
      <c r="B594" s="21" t="s">
        <v>608</v>
      </c>
      <c r="C594" s="47">
        <v>7.6340000000000003</v>
      </c>
      <c r="D594" s="43">
        <v>44480</v>
      </c>
      <c r="E594" s="22" t="s">
        <v>1175</v>
      </c>
      <c r="F594" s="23"/>
      <c r="G594" s="23"/>
      <c r="H594" s="23"/>
      <c r="I594" s="23"/>
    </row>
    <row r="595" spans="1:9" s="21" customFormat="1" ht="15.75">
      <c r="A595" s="20" t="s">
        <v>710</v>
      </c>
      <c r="B595" s="21" t="s">
        <v>711</v>
      </c>
      <c r="C595" s="47">
        <v>7.609</v>
      </c>
      <c r="D595" s="43">
        <v>44479</v>
      </c>
      <c r="E595" s="22" t="s">
        <v>1175</v>
      </c>
      <c r="F595" s="23"/>
      <c r="G595" s="23"/>
      <c r="H595" s="23"/>
      <c r="I595" s="23"/>
    </row>
    <row r="596" spans="1:9" s="21" customFormat="1" ht="15.75">
      <c r="A596" s="20" t="s">
        <v>712</v>
      </c>
      <c r="B596" s="21" t="s">
        <v>592</v>
      </c>
      <c r="C596" s="47">
        <v>333.6</v>
      </c>
      <c r="D596" s="43">
        <v>44478</v>
      </c>
      <c r="E596" s="22" t="s">
        <v>1175</v>
      </c>
      <c r="F596" s="23"/>
      <c r="G596" s="23"/>
      <c r="H596" s="23"/>
      <c r="I596" s="23"/>
    </row>
    <row r="597" spans="1:9" s="21" customFormat="1" ht="15.75">
      <c r="A597" s="20" t="s">
        <v>713</v>
      </c>
      <c r="B597" s="21" t="s">
        <v>593</v>
      </c>
      <c r="C597" s="47">
        <v>915.5</v>
      </c>
      <c r="D597" s="43">
        <v>44478</v>
      </c>
      <c r="E597" s="22" t="s">
        <v>1175</v>
      </c>
      <c r="F597" s="23"/>
      <c r="G597" s="23"/>
      <c r="H597" s="23"/>
      <c r="I597" s="23"/>
    </row>
    <row r="598" spans="1:9" s="21" customFormat="1" ht="16.5" thickBot="1">
      <c r="A598" s="20" t="s">
        <v>714</v>
      </c>
      <c r="B598" s="21" t="s">
        <v>590</v>
      </c>
      <c r="C598" s="47">
        <v>7.64</v>
      </c>
      <c r="D598" s="43">
        <v>44477</v>
      </c>
      <c r="E598" s="22" t="s">
        <v>1175</v>
      </c>
      <c r="F598" s="23"/>
      <c r="G598" s="23"/>
      <c r="H598" s="23"/>
      <c r="I598" s="23"/>
    </row>
    <row r="599" spans="1:9" s="20" customFormat="1" ht="16.5" thickBot="1">
      <c r="A599" s="20" t="s">
        <v>620</v>
      </c>
      <c r="B599" s="32" t="s">
        <v>619</v>
      </c>
      <c r="C599" s="51">
        <v>336</v>
      </c>
      <c r="D599" s="34">
        <v>44472</v>
      </c>
      <c r="E599" s="22" t="s">
        <v>1175</v>
      </c>
      <c r="F599" s="23"/>
      <c r="G599" s="23"/>
      <c r="H599" s="23"/>
      <c r="I599" s="23"/>
    </row>
    <row r="600" spans="1:9" s="20" customFormat="1" ht="32.25" thickBot="1">
      <c r="A600" s="20" t="s">
        <v>618</v>
      </c>
      <c r="B600" s="32" t="s">
        <v>617</v>
      </c>
      <c r="C600" s="51">
        <v>336</v>
      </c>
      <c r="D600" s="34">
        <v>44472</v>
      </c>
      <c r="E600" s="22" t="s">
        <v>1175</v>
      </c>
      <c r="F600" s="23"/>
      <c r="G600" s="23"/>
      <c r="H600" s="23"/>
      <c r="I600" s="23"/>
    </row>
    <row r="601" spans="1:9" s="20" customFormat="1" ht="29.25" thickBot="1">
      <c r="A601" s="20" t="s">
        <v>616</v>
      </c>
      <c r="B601" s="32" t="s">
        <v>615</v>
      </c>
      <c r="C601" s="51">
        <v>336</v>
      </c>
      <c r="D601" s="34">
        <v>44472</v>
      </c>
      <c r="E601" s="22" t="s">
        <v>1175</v>
      </c>
      <c r="F601" s="23"/>
      <c r="G601" s="23"/>
      <c r="H601" s="23"/>
      <c r="I601" s="23"/>
    </row>
    <row r="602" spans="1:9" s="20" customFormat="1" ht="16.5" thickBot="1">
      <c r="A602" s="20" t="s">
        <v>614</v>
      </c>
      <c r="B602" s="32" t="s">
        <v>564</v>
      </c>
      <c r="C602" s="51">
        <v>837</v>
      </c>
      <c r="D602" s="34">
        <v>44472</v>
      </c>
      <c r="E602" s="22" t="s">
        <v>1175</v>
      </c>
      <c r="F602" s="23"/>
      <c r="G602" s="23"/>
      <c r="H602" s="23"/>
      <c r="I602" s="23"/>
    </row>
    <row r="603" spans="1:9" s="20" customFormat="1" ht="16.5" thickBot="1">
      <c r="A603" s="20" t="s">
        <v>613</v>
      </c>
      <c r="B603" s="32" t="s">
        <v>612</v>
      </c>
      <c r="C603" s="51">
        <v>953.6</v>
      </c>
      <c r="D603" s="34">
        <v>44472</v>
      </c>
      <c r="E603" s="22" t="s">
        <v>1175</v>
      </c>
      <c r="F603" s="23"/>
      <c r="G603" s="23"/>
      <c r="H603" s="23"/>
      <c r="I603" s="23"/>
    </row>
    <row r="604" spans="1:9" s="20" customFormat="1" ht="16.5" thickBot="1">
      <c r="A604" s="20" t="s">
        <v>611</v>
      </c>
      <c r="B604" s="32" t="s">
        <v>610</v>
      </c>
      <c r="C604" s="51">
        <v>366.67</v>
      </c>
      <c r="D604" s="34">
        <v>44469</v>
      </c>
      <c r="E604" s="22" t="s">
        <v>1175</v>
      </c>
      <c r="F604" s="23"/>
      <c r="G604" s="23"/>
      <c r="H604" s="23"/>
      <c r="I604" s="23"/>
    </row>
    <row r="605" spans="1:9" s="20" customFormat="1" ht="16.5" thickBot="1">
      <c r="A605" s="20" t="s">
        <v>605</v>
      </c>
      <c r="B605" s="32" t="s">
        <v>558</v>
      </c>
      <c r="C605" s="51">
        <v>366.15</v>
      </c>
      <c r="D605" s="34">
        <v>44466</v>
      </c>
      <c r="E605" s="22" t="s">
        <v>1175</v>
      </c>
      <c r="F605" s="23"/>
      <c r="G605" s="23"/>
      <c r="H605" s="23"/>
      <c r="I605" s="23"/>
    </row>
    <row r="606" spans="1:9" s="20" customFormat="1" ht="16.5" thickBot="1">
      <c r="A606" s="20" t="s">
        <v>604</v>
      </c>
      <c r="B606" s="32" t="s">
        <v>603</v>
      </c>
      <c r="C606" s="51">
        <v>7.64</v>
      </c>
      <c r="D606" s="34">
        <v>44466</v>
      </c>
      <c r="E606" s="22" t="s">
        <v>1175</v>
      </c>
      <c r="F606" s="23"/>
      <c r="G606" s="23"/>
      <c r="H606" s="23"/>
      <c r="I606" s="23"/>
    </row>
    <row r="607" spans="1:9" s="20" customFormat="1" ht="29.25" thickBot="1">
      <c r="A607" s="20" t="s">
        <v>602</v>
      </c>
      <c r="B607" s="32" t="s">
        <v>601</v>
      </c>
      <c r="C607" s="51">
        <v>830.7</v>
      </c>
      <c r="D607" s="34">
        <v>44466</v>
      </c>
      <c r="E607" s="22" t="s">
        <v>1175</v>
      </c>
      <c r="F607" s="23"/>
      <c r="G607" s="23"/>
      <c r="H607" s="23"/>
      <c r="I607" s="23"/>
    </row>
    <row r="608" spans="1:9" s="20" customFormat="1" ht="16.5" thickBot="1">
      <c r="A608" s="20" t="s">
        <v>600</v>
      </c>
      <c r="B608" s="32" t="s">
        <v>599</v>
      </c>
      <c r="C608" s="51">
        <v>694.6</v>
      </c>
      <c r="D608" s="34">
        <v>44466</v>
      </c>
      <c r="E608" s="22" t="s">
        <v>1175</v>
      </c>
      <c r="F608" s="23"/>
      <c r="G608" s="23"/>
      <c r="H608" s="23"/>
      <c r="I608" s="23"/>
    </row>
    <row r="609" spans="1:9" s="20" customFormat="1" ht="16.5" thickBot="1">
      <c r="A609" s="20" t="s">
        <v>598</v>
      </c>
      <c r="B609" s="32" t="s">
        <v>597</v>
      </c>
      <c r="C609" s="51">
        <v>7.64</v>
      </c>
      <c r="D609" s="34">
        <v>44466</v>
      </c>
      <c r="E609" s="22" t="s">
        <v>1175</v>
      </c>
      <c r="F609" s="23"/>
      <c r="G609" s="23"/>
      <c r="H609" s="23"/>
      <c r="I609" s="23"/>
    </row>
    <row r="610" spans="1:9" s="20" customFormat="1" ht="16.5" thickBot="1">
      <c r="A610" s="20" t="s">
        <v>596</v>
      </c>
      <c r="B610" s="32" t="s">
        <v>595</v>
      </c>
      <c r="C610" s="51">
        <v>366.14</v>
      </c>
      <c r="D610" s="34">
        <v>44466</v>
      </c>
      <c r="E610" s="22" t="s">
        <v>1175</v>
      </c>
      <c r="F610" s="23"/>
      <c r="G610" s="23"/>
      <c r="H610" s="23"/>
      <c r="I610" s="23"/>
    </row>
    <row r="611" spans="1:9" s="20" customFormat="1" ht="16.5" thickBot="1">
      <c r="A611" s="20" t="s">
        <v>594</v>
      </c>
      <c r="B611" s="32" t="s">
        <v>564</v>
      </c>
      <c r="C611" s="51">
        <v>837</v>
      </c>
      <c r="D611" s="34">
        <v>44466</v>
      </c>
      <c r="E611" s="22" t="s">
        <v>1175</v>
      </c>
      <c r="F611" s="23"/>
      <c r="G611" s="23"/>
      <c r="H611" s="23"/>
      <c r="I611" s="23"/>
    </row>
    <row r="612" spans="1:9" s="20" customFormat="1" ht="16.5" thickBot="1">
      <c r="A612" s="20" t="s">
        <v>591</v>
      </c>
      <c r="B612" s="32" t="s">
        <v>590</v>
      </c>
      <c r="C612" s="51">
        <v>7.64</v>
      </c>
      <c r="D612" s="34">
        <v>44464</v>
      </c>
      <c r="E612" s="22" t="s">
        <v>1175</v>
      </c>
      <c r="F612" s="23"/>
      <c r="G612" s="23"/>
      <c r="H612" s="23"/>
      <c r="I612" s="23"/>
    </row>
    <row r="613" spans="1:9" s="20" customFormat="1" ht="16.5" thickBot="1">
      <c r="A613" s="20" t="s">
        <v>589</v>
      </c>
      <c r="B613" s="32" t="s">
        <v>588</v>
      </c>
      <c r="C613" s="51">
        <v>7.64</v>
      </c>
      <c r="D613" s="34">
        <v>44464</v>
      </c>
      <c r="E613" s="22" t="s">
        <v>1175</v>
      </c>
      <c r="F613" s="23"/>
      <c r="G613" s="23"/>
      <c r="H613" s="23"/>
      <c r="I613" s="23"/>
    </row>
    <row r="614" spans="1:9" s="20" customFormat="1" ht="16.5" thickBot="1">
      <c r="A614" s="20" t="s">
        <v>587</v>
      </c>
      <c r="B614" s="32" t="s">
        <v>564</v>
      </c>
      <c r="C614" s="51">
        <v>837</v>
      </c>
      <c r="D614" s="34">
        <v>44464</v>
      </c>
      <c r="E614" s="22" t="s">
        <v>1175</v>
      </c>
      <c r="F614" s="23"/>
      <c r="G614" s="23"/>
      <c r="H614" s="23"/>
      <c r="I614" s="23"/>
    </row>
    <row r="615" spans="1:9" s="20" customFormat="1" ht="16.5" thickBot="1">
      <c r="A615" s="20" t="s">
        <v>586</v>
      </c>
      <c r="B615" s="32" t="s">
        <v>585</v>
      </c>
      <c r="C615" s="51">
        <v>7.64</v>
      </c>
      <c r="D615" s="34">
        <v>44464</v>
      </c>
      <c r="E615" s="22" t="s">
        <v>1175</v>
      </c>
      <c r="F615" s="23"/>
      <c r="G615" s="23"/>
      <c r="H615" s="23"/>
      <c r="I615" s="23"/>
    </row>
    <row r="616" spans="1:9" s="20" customFormat="1" ht="16.5" thickBot="1">
      <c r="A616" s="20" t="s">
        <v>584</v>
      </c>
      <c r="B616" s="32" t="s">
        <v>583</v>
      </c>
      <c r="C616" s="51">
        <v>7.64</v>
      </c>
      <c r="D616" s="34">
        <v>44460</v>
      </c>
      <c r="E616" s="22" t="s">
        <v>1175</v>
      </c>
      <c r="F616" s="23"/>
      <c r="G616" s="23"/>
      <c r="H616" s="23"/>
      <c r="I616" s="23"/>
    </row>
    <row r="617" spans="1:9" s="20" customFormat="1" ht="16.5" thickBot="1">
      <c r="A617" s="32" t="s">
        <v>582</v>
      </c>
      <c r="B617" s="32" t="s">
        <v>581</v>
      </c>
      <c r="C617" s="51">
        <v>7.64</v>
      </c>
      <c r="D617" s="34">
        <v>44460</v>
      </c>
      <c r="E617" s="22" t="s">
        <v>1175</v>
      </c>
      <c r="F617" s="23"/>
      <c r="G617" s="23"/>
      <c r="H617" s="23"/>
      <c r="I617" s="23"/>
    </row>
    <row r="618" spans="1:9" s="20" customFormat="1" ht="16.5" thickBot="1">
      <c r="A618" s="20" t="s">
        <v>580</v>
      </c>
      <c r="B618" s="32" t="s">
        <v>579</v>
      </c>
      <c r="C618" s="51">
        <v>335</v>
      </c>
      <c r="D618" s="34">
        <v>44460</v>
      </c>
      <c r="E618" s="22" t="s">
        <v>1175</v>
      </c>
      <c r="F618" s="23"/>
      <c r="G618" s="23"/>
      <c r="H618" s="23"/>
      <c r="I618" s="23"/>
    </row>
    <row r="619" spans="1:9" s="20" customFormat="1" ht="16.5" thickBot="1">
      <c r="A619" s="20" t="s">
        <v>578</v>
      </c>
      <c r="B619" s="32" t="s">
        <v>490</v>
      </c>
      <c r="C619" s="51">
        <v>366.18</v>
      </c>
      <c r="D619" s="34">
        <v>44452</v>
      </c>
      <c r="E619" s="22" t="s">
        <v>1175</v>
      </c>
      <c r="F619" s="23"/>
      <c r="G619" s="23"/>
      <c r="H619" s="23"/>
      <c r="I619" s="23"/>
    </row>
    <row r="620" spans="1:9" s="20" customFormat="1" ht="16.5" thickBot="1">
      <c r="A620" s="32" t="s">
        <v>577</v>
      </c>
      <c r="B620" s="32" t="s">
        <v>576</v>
      </c>
      <c r="C620" s="51">
        <v>336.17</v>
      </c>
      <c r="D620" s="34">
        <v>44452</v>
      </c>
      <c r="E620" s="22" t="s">
        <v>1175</v>
      </c>
      <c r="F620" s="23"/>
      <c r="G620" s="23"/>
      <c r="H620" s="23"/>
      <c r="I620" s="23"/>
    </row>
    <row r="621" spans="1:9" s="20" customFormat="1" ht="16.5" thickBot="1">
      <c r="A621" s="20" t="s">
        <v>575</v>
      </c>
      <c r="B621" s="32" t="s">
        <v>204</v>
      </c>
      <c r="C621" s="51">
        <v>7.64</v>
      </c>
      <c r="D621" s="34">
        <v>44450</v>
      </c>
      <c r="E621" s="22" t="s">
        <v>1175</v>
      </c>
      <c r="F621" s="23"/>
      <c r="G621" s="23"/>
      <c r="H621" s="23"/>
      <c r="I621" s="23"/>
    </row>
    <row r="622" spans="1:9" s="20" customFormat="1" ht="16.5" thickBot="1">
      <c r="A622" s="20" t="s">
        <v>574</v>
      </c>
      <c r="B622" s="32" t="s">
        <v>573</v>
      </c>
      <c r="C622" s="51">
        <v>547.48329999999999</v>
      </c>
      <c r="D622" s="34">
        <v>44450</v>
      </c>
      <c r="E622" s="22" t="s">
        <v>1175</v>
      </c>
      <c r="F622" s="23"/>
      <c r="G622" s="23"/>
      <c r="H622" s="23"/>
      <c r="I622" s="23"/>
    </row>
    <row r="623" spans="1:9" s="20" customFormat="1" ht="16.5" thickBot="1">
      <c r="A623" s="20" t="s">
        <v>572</v>
      </c>
      <c r="B623" s="32" t="s">
        <v>571</v>
      </c>
      <c r="C623" s="51">
        <v>547.48329999999999</v>
      </c>
      <c r="D623" s="34">
        <v>44450</v>
      </c>
      <c r="E623" s="22" t="s">
        <v>1175</v>
      </c>
      <c r="F623" s="23"/>
      <c r="G623" s="23"/>
      <c r="H623" s="23"/>
      <c r="I623" s="23"/>
    </row>
    <row r="624" spans="1:9" s="20" customFormat="1" ht="16.5" thickBot="1">
      <c r="A624" s="20" t="s">
        <v>570</v>
      </c>
      <c r="B624" s="32" t="s">
        <v>569</v>
      </c>
      <c r="C624" s="51">
        <v>304</v>
      </c>
      <c r="D624" s="34">
        <v>44450</v>
      </c>
      <c r="E624" s="22" t="s">
        <v>1175</v>
      </c>
      <c r="F624" s="23"/>
      <c r="G624" s="23"/>
      <c r="H624" s="23"/>
      <c r="I624" s="23"/>
    </row>
    <row r="625" spans="1:9" s="20" customFormat="1" ht="16.5" thickBot="1">
      <c r="A625" s="20" t="s">
        <v>568</v>
      </c>
      <c r="B625" s="32" t="s">
        <v>567</v>
      </c>
      <c r="C625" s="51">
        <v>336.4</v>
      </c>
      <c r="D625" s="34">
        <v>44447</v>
      </c>
      <c r="E625" s="22" t="s">
        <v>1175</v>
      </c>
      <c r="F625" s="23"/>
      <c r="G625" s="23"/>
      <c r="H625" s="23"/>
      <c r="I625" s="23"/>
    </row>
    <row r="626" spans="1:9" s="20" customFormat="1" ht="16.5" thickBot="1">
      <c r="A626" s="20" t="s">
        <v>566</v>
      </c>
      <c r="B626" s="32" t="s">
        <v>206</v>
      </c>
      <c r="C626" s="51">
        <v>7.609</v>
      </c>
      <c r="D626" s="34">
        <v>44447</v>
      </c>
      <c r="E626" s="22" t="s">
        <v>1175</v>
      </c>
      <c r="F626" s="23"/>
      <c r="G626" s="23"/>
      <c r="H626" s="23"/>
      <c r="I626" s="23"/>
    </row>
    <row r="627" spans="1:9" s="20" customFormat="1" ht="16.5" thickBot="1">
      <c r="A627" s="20" t="s">
        <v>565</v>
      </c>
      <c r="B627" s="32" t="s">
        <v>564</v>
      </c>
      <c r="C627" s="51">
        <v>837</v>
      </c>
      <c r="D627" s="34">
        <v>44446</v>
      </c>
      <c r="E627" s="22" t="s">
        <v>1175</v>
      </c>
      <c r="F627" s="23"/>
      <c r="G627" s="23"/>
      <c r="H627" s="23"/>
      <c r="I627" s="23"/>
    </row>
    <row r="628" spans="1:9" s="20" customFormat="1" ht="16.5" thickBot="1">
      <c r="A628" s="20" t="s">
        <v>563</v>
      </c>
      <c r="B628" s="32" t="s">
        <v>562</v>
      </c>
      <c r="C628" s="51">
        <v>366.18</v>
      </c>
      <c r="D628" s="34">
        <v>44445</v>
      </c>
      <c r="E628" s="22" t="s">
        <v>1175</v>
      </c>
      <c r="F628" s="23"/>
      <c r="G628" s="23"/>
      <c r="H628" s="23"/>
      <c r="I628" s="23"/>
    </row>
    <row r="629" spans="1:9" s="20" customFormat="1" ht="16.5" thickBot="1">
      <c r="A629" s="20" t="s">
        <v>561</v>
      </c>
      <c r="B629" s="32" t="s">
        <v>560</v>
      </c>
      <c r="C629" s="51">
        <v>366.15</v>
      </c>
      <c r="D629" s="34">
        <v>44440</v>
      </c>
      <c r="E629" s="22" t="s">
        <v>1175</v>
      </c>
      <c r="F629" s="23"/>
      <c r="G629" s="23"/>
      <c r="H629" s="23"/>
      <c r="I629" s="23"/>
    </row>
    <row r="630" spans="1:9" s="20" customFormat="1" ht="16.5" thickBot="1">
      <c r="A630" s="20" t="s">
        <v>559</v>
      </c>
      <c r="B630" s="32" t="s">
        <v>558</v>
      </c>
      <c r="C630" s="51">
        <v>366.15</v>
      </c>
      <c r="D630" s="34">
        <v>44439</v>
      </c>
      <c r="E630" s="22" t="s">
        <v>1175</v>
      </c>
      <c r="F630" s="23"/>
      <c r="G630" s="23"/>
      <c r="H630" s="23"/>
      <c r="I630" s="23"/>
    </row>
    <row r="631" spans="1:9" s="20" customFormat="1" ht="32.25" thickBot="1">
      <c r="A631" s="20" t="s">
        <v>557</v>
      </c>
      <c r="B631" s="32" t="s">
        <v>556</v>
      </c>
      <c r="C631" s="51">
        <v>366.15</v>
      </c>
      <c r="D631" s="34">
        <v>44438</v>
      </c>
      <c r="E631" s="22" t="s">
        <v>1175</v>
      </c>
      <c r="F631" s="23"/>
      <c r="G631" s="23"/>
      <c r="H631" s="23"/>
      <c r="I631" s="23"/>
    </row>
    <row r="632" spans="1:9" s="20" customFormat="1" ht="16.5" thickBot="1">
      <c r="A632" s="20" t="s">
        <v>555</v>
      </c>
      <c r="B632" s="32" t="s">
        <v>554</v>
      </c>
      <c r="C632" s="51">
        <v>336.17</v>
      </c>
      <c r="D632" s="34">
        <v>44438</v>
      </c>
      <c r="E632" s="22" t="s">
        <v>1175</v>
      </c>
      <c r="F632" s="23"/>
      <c r="G632" s="23"/>
      <c r="H632" s="23"/>
      <c r="I632" s="23"/>
    </row>
    <row r="633" spans="1:9" s="20" customFormat="1" ht="16.5" thickBot="1">
      <c r="A633" s="20" t="s">
        <v>553</v>
      </c>
      <c r="B633" s="32" t="s">
        <v>552</v>
      </c>
      <c r="C633" s="51">
        <v>336.1</v>
      </c>
      <c r="D633" s="34">
        <v>44435</v>
      </c>
      <c r="E633" s="22" t="s">
        <v>1175</v>
      </c>
      <c r="F633" s="23"/>
      <c r="G633" s="23"/>
      <c r="H633" s="23"/>
      <c r="I633" s="23"/>
    </row>
    <row r="634" spans="1:9" s="20" customFormat="1" ht="16.5" thickBot="1">
      <c r="A634" s="20" t="s">
        <v>551</v>
      </c>
      <c r="B634" s="32" t="s">
        <v>550</v>
      </c>
      <c r="C634" s="51">
        <v>375.19900000000001</v>
      </c>
      <c r="D634" s="34">
        <v>44429</v>
      </c>
      <c r="E634" s="22" t="s">
        <v>1175</v>
      </c>
      <c r="F634" s="23"/>
      <c r="G634" s="23"/>
      <c r="H634" s="23"/>
      <c r="I634" s="23"/>
    </row>
    <row r="635" spans="1:9" s="20" customFormat="1" ht="16.5" thickBot="1">
      <c r="A635" s="20" t="s">
        <v>549</v>
      </c>
      <c r="B635" s="32" t="s">
        <v>548</v>
      </c>
      <c r="C635" s="51">
        <v>375.19900000000001</v>
      </c>
      <c r="D635" s="34">
        <v>44429</v>
      </c>
      <c r="E635" s="22" t="s">
        <v>1175</v>
      </c>
      <c r="F635" s="23"/>
      <c r="G635" s="23"/>
      <c r="H635" s="23"/>
      <c r="I635" s="23"/>
    </row>
    <row r="636" spans="1:9" s="20" customFormat="1" ht="16.5" thickBot="1">
      <c r="A636" s="20" t="s">
        <v>547</v>
      </c>
      <c r="B636" s="32" t="s">
        <v>546</v>
      </c>
      <c r="C636" s="51">
        <v>7.63</v>
      </c>
      <c r="D636" s="34">
        <v>44426</v>
      </c>
      <c r="E636" s="22" t="s">
        <v>1175</v>
      </c>
      <c r="F636" s="23"/>
      <c r="G636" s="23"/>
      <c r="H636" s="23"/>
      <c r="I636" s="23"/>
    </row>
    <row r="637" spans="1:9" s="20" customFormat="1" ht="16.5" thickBot="1">
      <c r="A637" s="20" t="s">
        <v>545</v>
      </c>
      <c r="B637" s="32" t="s">
        <v>544</v>
      </c>
      <c r="C637" s="51">
        <v>547.48329999999999</v>
      </c>
      <c r="D637" s="34">
        <v>44426</v>
      </c>
      <c r="E637" s="22" t="s">
        <v>1175</v>
      </c>
      <c r="F637" s="23"/>
      <c r="G637" s="23"/>
      <c r="H637" s="23"/>
      <c r="I637" s="23"/>
    </row>
    <row r="638" spans="1:9" s="20" customFormat="1" ht="16.5" thickBot="1">
      <c r="A638" s="20" t="s">
        <v>543</v>
      </c>
      <c r="B638" s="32" t="s">
        <v>542</v>
      </c>
      <c r="C638" s="51">
        <v>336.57</v>
      </c>
      <c r="D638" s="34">
        <v>44426</v>
      </c>
      <c r="E638" s="22" t="s">
        <v>1175</v>
      </c>
      <c r="F638" s="23"/>
      <c r="G638" s="23"/>
      <c r="H638" s="23"/>
      <c r="I638" s="23"/>
    </row>
    <row r="639" spans="1:9" s="20" customFormat="1" ht="16.5" thickBot="1">
      <c r="A639" s="20" t="s">
        <v>541</v>
      </c>
      <c r="B639" s="32" t="s">
        <v>540</v>
      </c>
      <c r="C639" s="51">
        <v>501</v>
      </c>
      <c r="D639" s="34">
        <v>44426</v>
      </c>
      <c r="E639" s="22" t="s">
        <v>1175</v>
      </c>
      <c r="F639" s="23"/>
      <c r="G639" s="23"/>
      <c r="H639" s="23"/>
      <c r="I639" s="23"/>
    </row>
    <row r="640" spans="1:9" s="20" customFormat="1" ht="16.5" thickBot="1">
      <c r="A640" s="20" t="s">
        <v>539</v>
      </c>
      <c r="B640" s="32" t="s">
        <v>538</v>
      </c>
      <c r="C640" s="51">
        <v>7.63</v>
      </c>
      <c r="D640" s="34">
        <v>44426</v>
      </c>
      <c r="E640" s="22" t="s">
        <v>1175</v>
      </c>
      <c r="F640" s="23"/>
      <c r="G640" s="23"/>
      <c r="H640" s="23"/>
      <c r="I640" s="23"/>
    </row>
    <row r="641" spans="1:9" s="20" customFormat="1" ht="16.5" thickBot="1">
      <c r="A641" s="20" t="s">
        <v>537</v>
      </c>
      <c r="B641" s="32" t="s">
        <v>313</v>
      </c>
      <c r="C641" s="51">
        <v>7.64</v>
      </c>
      <c r="D641" s="34">
        <v>44426</v>
      </c>
      <c r="E641" s="22" t="s">
        <v>1175</v>
      </c>
      <c r="F641" s="23"/>
      <c r="G641" s="23"/>
      <c r="H641" s="23"/>
      <c r="I641" s="23"/>
    </row>
    <row r="642" spans="1:9" s="20" customFormat="1" ht="16.5" thickBot="1">
      <c r="A642" s="20" t="s">
        <v>536</v>
      </c>
      <c r="B642" s="32" t="s">
        <v>534</v>
      </c>
      <c r="C642" s="51">
        <v>336.57</v>
      </c>
      <c r="D642" s="34">
        <v>44425</v>
      </c>
      <c r="E642" s="22" t="s">
        <v>1175</v>
      </c>
      <c r="F642" s="23"/>
      <c r="G642" s="23"/>
      <c r="H642" s="23"/>
      <c r="I642" s="23"/>
    </row>
    <row r="643" spans="1:9" s="20" customFormat="1" ht="16.5" thickBot="1">
      <c r="A643" s="20" t="s">
        <v>535</v>
      </c>
      <c r="B643" s="32" t="s">
        <v>534</v>
      </c>
      <c r="C643" s="51">
        <v>336.57</v>
      </c>
      <c r="D643" s="34">
        <v>44425</v>
      </c>
      <c r="E643" s="22" t="s">
        <v>1175</v>
      </c>
      <c r="F643" s="23"/>
      <c r="G643" s="23"/>
      <c r="H643" s="23"/>
      <c r="I643" s="23"/>
    </row>
    <row r="644" spans="1:9" s="20" customFormat="1" ht="16.5" thickBot="1">
      <c r="A644" s="20" t="s">
        <v>533</v>
      </c>
      <c r="B644" s="32" t="s">
        <v>532</v>
      </c>
      <c r="C644" s="51">
        <v>7.61</v>
      </c>
      <c r="D644" s="34">
        <v>44423</v>
      </c>
      <c r="E644" s="22" t="s">
        <v>1175</v>
      </c>
      <c r="F644" s="23"/>
      <c r="G644" s="23"/>
      <c r="H644" s="23"/>
      <c r="I644" s="23"/>
    </row>
    <row r="645" spans="1:9" s="20" customFormat="1" ht="16.5" thickBot="1">
      <c r="A645" s="20" t="s">
        <v>531</v>
      </c>
      <c r="B645" s="32" t="s">
        <v>530</v>
      </c>
      <c r="C645" s="51">
        <v>7.63</v>
      </c>
      <c r="D645" s="34">
        <v>44422</v>
      </c>
      <c r="E645" s="22" t="s">
        <v>1175</v>
      </c>
      <c r="F645" s="23"/>
      <c r="G645" s="23"/>
      <c r="H645" s="23"/>
      <c r="I645" s="23"/>
    </row>
    <row r="646" spans="1:9" s="20" customFormat="1" ht="16.5" thickBot="1">
      <c r="A646" s="20" t="s">
        <v>529</v>
      </c>
      <c r="B646" s="32" t="s">
        <v>279</v>
      </c>
      <c r="C646" s="51">
        <v>547.48329999999999</v>
      </c>
      <c r="D646" s="34">
        <v>44416</v>
      </c>
      <c r="E646" s="22" t="s">
        <v>1175</v>
      </c>
      <c r="F646" s="23"/>
      <c r="G646" s="23"/>
      <c r="H646" s="23"/>
      <c r="I646" s="23"/>
    </row>
    <row r="647" spans="1:9" s="20" customFormat="1" ht="32.25" thickBot="1">
      <c r="A647" s="20" t="s">
        <v>528</v>
      </c>
      <c r="B647" s="32" t="s">
        <v>393</v>
      </c>
      <c r="C647" s="51">
        <v>834</v>
      </c>
      <c r="D647" s="34">
        <v>44416</v>
      </c>
      <c r="E647" s="22" t="s">
        <v>1175</v>
      </c>
      <c r="F647" s="23"/>
      <c r="G647" s="23"/>
      <c r="H647" s="23"/>
      <c r="I647" s="23"/>
    </row>
    <row r="648" spans="1:9" s="20" customFormat="1" ht="16.5" thickBot="1">
      <c r="A648" s="20" t="s">
        <v>527</v>
      </c>
      <c r="B648" s="32" t="s">
        <v>526</v>
      </c>
      <c r="C648" s="51">
        <v>809.2</v>
      </c>
      <c r="D648" s="34">
        <v>44416</v>
      </c>
      <c r="E648" s="22" t="s">
        <v>1175</v>
      </c>
      <c r="F648" s="23"/>
      <c r="G648" s="23"/>
      <c r="H648" s="23"/>
      <c r="I648" s="23"/>
    </row>
    <row r="649" spans="1:9" s="20" customFormat="1" ht="16.5" thickBot="1">
      <c r="A649" s="32" t="s">
        <v>525</v>
      </c>
      <c r="B649" s="32" t="s">
        <v>524</v>
      </c>
      <c r="C649" s="51">
        <v>7.13</v>
      </c>
      <c r="D649" s="34">
        <v>44416</v>
      </c>
      <c r="E649" s="22" t="s">
        <v>1175</v>
      </c>
      <c r="F649" s="23"/>
      <c r="G649" s="23"/>
      <c r="H649" s="23"/>
      <c r="I649" s="23"/>
    </row>
    <row r="650" spans="1:9" s="20" customFormat="1" ht="16.5" thickBot="1">
      <c r="A650" s="20" t="s">
        <v>523</v>
      </c>
      <c r="B650" s="32" t="s">
        <v>279</v>
      </c>
      <c r="C650" s="51">
        <v>547.48329999999999</v>
      </c>
      <c r="D650" s="34">
        <v>44408</v>
      </c>
      <c r="E650" s="22" t="s">
        <v>1175</v>
      </c>
      <c r="F650" s="23"/>
      <c r="G650" s="23"/>
      <c r="H650" s="23"/>
      <c r="I650" s="23"/>
    </row>
    <row r="651" spans="1:9" s="20" customFormat="1" ht="16.5" thickBot="1">
      <c r="A651" s="20" t="s">
        <v>522</v>
      </c>
      <c r="B651" s="32" t="s">
        <v>176</v>
      </c>
      <c r="C651" s="51">
        <v>547.48329999999999</v>
      </c>
      <c r="D651" s="34">
        <v>44408</v>
      </c>
      <c r="E651" s="22" t="s">
        <v>1175</v>
      </c>
      <c r="F651" s="23"/>
      <c r="G651" s="23"/>
      <c r="H651" s="23"/>
      <c r="I651" s="23"/>
    </row>
    <row r="652" spans="1:9" s="20" customFormat="1" ht="16.5" thickBot="1">
      <c r="A652" s="20" t="s">
        <v>521</v>
      </c>
      <c r="B652" s="32"/>
      <c r="C652" s="51">
        <v>547.48329999999999</v>
      </c>
      <c r="D652" s="34">
        <v>44408</v>
      </c>
      <c r="E652" s="22" t="s">
        <v>1175</v>
      </c>
      <c r="F652" s="23"/>
      <c r="G652" s="23"/>
      <c r="H652" s="23"/>
      <c r="I652" s="23"/>
    </row>
    <row r="653" spans="1:9" s="20" customFormat="1" ht="16.5" thickBot="1">
      <c r="A653" s="20" t="s">
        <v>520</v>
      </c>
      <c r="B653" s="32" t="s">
        <v>519</v>
      </c>
      <c r="C653" s="51">
        <v>7.63</v>
      </c>
      <c r="D653" s="34">
        <v>44404</v>
      </c>
      <c r="E653" s="22" t="s">
        <v>1175</v>
      </c>
      <c r="F653" s="23"/>
      <c r="G653" s="23"/>
      <c r="H653" s="23"/>
      <c r="I653" s="23"/>
    </row>
    <row r="654" spans="1:9" s="20" customFormat="1" ht="16.5" thickBot="1">
      <c r="A654" s="20" t="s">
        <v>518</v>
      </c>
      <c r="B654" s="32" t="s">
        <v>517</v>
      </c>
      <c r="C654" s="51">
        <v>7.35</v>
      </c>
      <c r="D654" s="34">
        <v>44401</v>
      </c>
      <c r="E654" s="22" t="s">
        <v>1175</v>
      </c>
      <c r="F654" s="23"/>
      <c r="G654" s="23"/>
      <c r="H654" s="23"/>
      <c r="I654" s="23"/>
    </row>
    <row r="655" spans="1:9" s="20" customFormat="1" ht="16.5" thickBot="1">
      <c r="A655" s="20" t="s">
        <v>516</v>
      </c>
      <c r="B655" s="32" t="s">
        <v>515</v>
      </c>
      <c r="C655" s="51">
        <v>7.63</v>
      </c>
      <c r="D655" s="34">
        <v>44401</v>
      </c>
      <c r="E655" s="22" t="s">
        <v>1175</v>
      </c>
      <c r="F655" s="23"/>
      <c r="G655" s="23"/>
      <c r="H655" s="23"/>
      <c r="I655" s="23"/>
    </row>
    <row r="656" spans="1:9" s="20" customFormat="1" ht="32.25" thickBot="1">
      <c r="A656" s="20" t="s">
        <v>514</v>
      </c>
      <c r="B656" s="32" t="s">
        <v>513</v>
      </c>
      <c r="C656" s="51">
        <v>336.3</v>
      </c>
      <c r="D656" s="34">
        <v>44395</v>
      </c>
      <c r="E656" s="22" t="s">
        <v>1175</v>
      </c>
      <c r="F656" s="23"/>
      <c r="G656" s="23"/>
      <c r="H656" s="23"/>
      <c r="I656" s="23"/>
    </row>
    <row r="657" spans="1:9" s="20" customFormat="1" ht="16.5" thickBot="1">
      <c r="A657" s="20" t="s">
        <v>512</v>
      </c>
      <c r="B657" s="32" t="s">
        <v>511</v>
      </c>
      <c r="C657" s="51">
        <v>7.63</v>
      </c>
      <c r="D657" s="34">
        <v>44395</v>
      </c>
      <c r="E657" s="22" t="s">
        <v>1175</v>
      </c>
      <c r="F657" s="23"/>
      <c r="G657" s="23"/>
      <c r="H657" s="23"/>
      <c r="I657" s="23"/>
    </row>
    <row r="658" spans="1:9" s="20" customFormat="1" ht="32.25" thickBot="1">
      <c r="A658" s="32" t="s">
        <v>510</v>
      </c>
      <c r="B658" s="32" t="s">
        <v>471</v>
      </c>
      <c r="C658" s="51">
        <v>336.49</v>
      </c>
      <c r="D658" s="34">
        <v>44394</v>
      </c>
      <c r="E658" s="22" t="s">
        <v>1175</v>
      </c>
      <c r="F658" s="23"/>
      <c r="G658" s="23"/>
      <c r="H658" s="23"/>
      <c r="I658" s="23"/>
    </row>
    <row r="659" spans="1:9" s="20" customFormat="1" ht="29.25" thickBot="1">
      <c r="A659" s="20" t="s">
        <v>509</v>
      </c>
      <c r="B659" s="32" t="s">
        <v>508</v>
      </c>
      <c r="C659" s="51">
        <v>335.04</v>
      </c>
      <c r="D659" s="34">
        <v>44388</v>
      </c>
      <c r="E659" s="22" t="s">
        <v>1175</v>
      </c>
      <c r="F659" s="23"/>
      <c r="G659" s="23"/>
      <c r="H659" s="23"/>
      <c r="I659" s="23"/>
    </row>
    <row r="660" spans="1:9" s="20" customFormat="1" ht="16.5" thickBot="1">
      <c r="A660" s="20" t="s">
        <v>507</v>
      </c>
      <c r="B660" s="32" t="s">
        <v>506</v>
      </c>
      <c r="C660" s="51">
        <v>7.609</v>
      </c>
      <c r="D660" s="34">
        <v>44388</v>
      </c>
      <c r="E660" s="22" t="s">
        <v>1175</v>
      </c>
      <c r="F660" s="23"/>
      <c r="G660" s="23"/>
      <c r="H660" s="23"/>
      <c r="I660" s="23"/>
    </row>
    <row r="661" spans="1:9" s="20" customFormat="1" ht="32.25" thickBot="1">
      <c r="A661" s="20" t="s">
        <v>505</v>
      </c>
      <c r="B661" s="32" t="s">
        <v>471</v>
      </c>
      <c r="C661" s="51">
        <v>336.2</v>
      </c>
      <c r="D661" s="34">
        <v>44388</v>
      </c>
      <c r="E661" s="22" t="s">
        <v>1175</v>
      </c>
      <c r="F661" s="23"/>
      <c r="G661" s="23"/>
      <c r="H661" s="23"/>
      <c r="I661" s="23"/>
    </row>
    <row r="662" spans="1:9" s="20" customFormat="1" ht="16.5" thickBot="1">
      <c r="A662" s="20" t="s">
        <v>504</v>
      </c>
      <c r="B662" s="32" t="s">
        <v>503</v>
      </c>
      <c r="C662" s="51">
        <v>837.8</v>
      </c>
      <c r="D662" s="34">
        <v>44380</v>
      </c>
      <c r="E662" s="22" t="s">
        <v>1175</v>
      </c>
      <c r="F662" s="23"/>
      <c r="G662" s="23"/>
      <c r="H662" s="23"/>
      <c r="I662" s="23"/>
    </row>
    <row r="663" spans="1:9" s="20" customFormat="1" ht="16.5" thickBot="1">
      <c r="A663" s="20" t="s">
        <v>502</v>
      </c>
      <c r="B663" s="32" t="s">
        <v>272</v>
      </c>
      <c r="C663" s="51">
        <v>547.48329999999999</v>
      </c>
      <c r="D663" s="34">
        <v>44379</v>
      </c>
      <c r="E663" s="22" t="s">
        <v>1175</v>
      </c>
      <c r="F663" s="23"/>
      <c r="G663" s="23"/>
      <c r="H663" s="23"/>
      <c r="I663" s="23"/>
    </row>
    <row r="664" spans="1:9" s="20" customFormat="1" ht="32.25" thickBot="1">
      <c r="A664" s="20" t="s">
        <v>501</v>
      </c>
      <c r="B664" s="32" t="s">
        <v>471</v>
      </c>
      <c r="C664" s="51">
        <v>336.4</v>
      </c>
      <c r="D664" s="34">
        <v>44379</v>
      </c>
      <c r="E664" s="22" t="s">
        <v>1175</v>
      </c>
      <c r="F664" s="23"/>
      <c r="G664" s="23"/>
      <c r="H664" s="23"/>
      <c r="I664" s="23"/>
    </row>
    <row r="665" spans="1:9" s="20" customFormat="1" ht="32.25" thickBot="1">
      <c r="A665" s="20" t="s">
        <v>500</v>
      </c>
      <c r="B665" s="32" t="s">
        <v>471</v>
      </c>
      <c r="C665" s="51">
        <v>335.13</v>
      </c>
      <c r="D665" s="34">
        <v>44373</v>
      </c>
      <c r="E665" s="22" t="s">
        <v>1175</v>
      </c>
      <c r="F665" s="23"/>
      <c r="G665" s="23"/>
      <c r="H665" s="23"/>
      <c r="I665" s="23"/>
    </row>
    <row r="666" spans="1:9" s="20" customFormat="1" ht="16.5" thickBot="1">
      <c r="A666" s="20" t="s">
        <v>499</v>
      </c>
      <c r="B666" s="32" t="s">
        <v>498</v>
      </c>
      <c r="C666" s="51">
        <v>331.19</v>
      </c>
      <c r="D666" s="34">
        <v>44373</v>
      </c>
      <c r="E666" s="22" t="s">
        <v>1175</v>
      </c>
      <c r="F666" s="23"/>
      <c r="G666" s="23"/>
      <c r="H666" s="23"/>
      <c r="I666" s="23"/>
    </row>
    <row r="667" spans="1:9" s="20" customFormat="1" ht="32.25" thickBot="1">
      <c r="A667" s="20" t="s">
        <v>497</v>
      </c>
      <c r="B667" s="32" t="s">
        <v>471</v>
      </c>
      <c r="C667" s="51">
        <v>336.1</v>
      </c>
      <c r="D667" s="34">
        <v>44367</v>
      </c>
      <c r="E667" s="22" t="s">
        <v>1175</v>
      </c>
      <c r="F667" s="23"/>
      <c r="G667" s="23"/>
      <c r="H667" s="23"/>
      <c r="I667" s="23"/>
    </row>
    <row r="668" spans="1:9" s="20" customFormat="1" ht="16.5" thickBot="1">
      <c r="A668" s="20" t="s">
        <v>496</v>
      </c>
      <c r="B668" s="32" t="s">
        <v>495</v>
      </c>
      <c r="C668" s="51">
        <v>336.57</v>
      </c>
      <c r="D668" s="34">
        <v>44360</v>
      </c>
      <c r="E668" s="22" t="s">
        <v>1175</v>
      </c>
      <c r="F668" s="23"/>
      <c r="G668" s="23"/>
      <c r="H668" s="23"/>
      <c r="I668" s="23"/>
    </row>
    <row r="669" spans="1:9" s="20" customFormat="1" ht="32.25" thickBot="1">
      <c r="A669" s="32" t="s">
        <v>494</v>
      </c>
      <c r="B669" s="32" t="s">
        <v>203</v>
      </c>
      <c r="C669" s="51">
        <v>336.8</v>
      </c>
      <c r="D669" s="34">
        <v>44353</v>
      </c>
      <c r="E669" s="22" t="s">
        <v>1175</v>
      </c>
      <c r="F669" s="23"/>
      <c r="G669" s="23"/>
      <c r="H669" s="23"/>
      <c r="I669" s="23"/>
    </row>
    <row r="670" spans="1:9" s="20" customFormat="1" ht="16.5" thickBot="1">
      <c r="A670" s="20" t="s">
        <v>493</v>
      </c>
      <c r="B670" s="32" t="s">
        <v>398</v>
      </c>
      <c r="C670" s="51">
        <v>336.2</v>
      </c>
      <c r="D670" s="34">
        <v>44353</v>
      </c>
      <c r="E670" s="22" t="s">
        <v>1175</v>
      </c>
      <c r="F670" s="23"/>
      <c r="G670" s="23"/>
      <c r="H670" s="23"/>
      <c r="I670" s="23"/>
    </row>
    <row r="671" spans="1:9" s="20" customFormat="1" ht="32.25" thickBot="1">
      <c r="A671" s="20" t="s">
        <v>492</v>
      </c>
      <c r="B671" s="32" t="s">
        <v>471</v>
      </c>
      <c r="C671" s="51">
        <v>336.3</v>
      </c>
      <c r="D671" s="34">
        <v>44347</v>
      </c>
      <c r="E671" s="22" t="s">
        <v>1175</v>
      </c>
      <c r="F671" s="23"/>
      <c r="G671" s="23"/>
      <c r="H671" s="23"/>
      <c r="I671" s="23"/>
    </row>
    <row r="672" spans="1:9" s="20" customFormat="1" ht="29.25" thickBot="1">
      <c r="A672" s="20" t="s">
        <v>491</v>
      </c>
      <c r="B672" s="32" t="s">
        <v>490</v>
      </c>
      <c r="C672" s="51">
        <v>336.4</v>
      </c>
      <c r="D672" s="34">
        <v>44347</v>
      </c>
      <c r="E672" s="22" t="s">
        <v>1175</v>
      </c>
      <c r="F672" s="23"/>
      <c r="G672" s="23"/>
      <c r="H672" s="23"/>
      <c r="I672" s="23"/>
    </row>
    <row r="673" spans="1:9" s="20" customFormat="1" ht="16.5" thickBot="1">
      <c r="A673" s="20" t="s">
        <v>489</v>
      </c>
      <c r="B673" s="32" t="s">
        <v>488</v>
      </c>
      <c r="C673" s="51">
        <v>336.17</v>
      </c>
      <c r="D673" s="34">
        <v>44344</v>
      </c>
      <c r="E673" s="22" t="s">
        <v>1175</v>
      </c>
      <c r="F673" s="23"/>
      <c r="G673" s="23"/>
      <c r="H673" s="23"/>
      <c r="I673" s="23"/>
    </row>
    <row r="674" spans="1:9" s="20" customFormat="1" ht="16.5" thickBot="1">
      <c r="A674" s="20" t="s">
        <v>487</v>
      </c>
      <c r="B674" s="32" t="s">
        <v>410</v>
      </c>
      <c r="C674" s="51">
        <v>336</v>
      </c>
      <c r="D674" s="34">
        <v>44344</v>
      </c>
      <c r="E674" s="22" t="s">
        <v>1175</v>
      </c>
      <c r="F674" s="23"/>
      <c r="G674" s="23"/>
      <c r="H674" s="23"/>
      <c r="I674" s="23"/>
    </row>
    <row r="675" spans="1:9" s="20" customFormat="1" ht="16.5" thickBot="1">
      <c r="A675" s="20" t="s">
        <v>486</v>
      </c>
      <c r="B675" s="32" t="s">
        <v>452</v>
      </c>
      <c r="C675" s="51">
        <v>336</v>
      </c>
      <c r="D675" s="34">
        <v>44343</v>
      </c>
      <c r="E675" s="22" t="s">
        <v>1175</v>
      </c>
      <c r="F675" s="23"/>
      <c r="G675" s="23"/>
      <c r="H675" s="23"/>
      <c r="I675" s="23"/>
    </row>
    <row r="676" spans="1:9" s="20" customFormat="1" ht="16.5" thickBot="1">
      <c r="A676" s="32" t="s">
        <v>485</v>
      </c>
      <c r="B676" s="32" t="s">
        <v>484</v>
      </c>
      <c r="C676" s="51">
        <v>547.48329999999999</v>
      </c>
      <c r="D676" s="34">
        <v>44342</v>
      </c>
      <c r="E676" s="22" t="s">
        <v>1175</v>
      </c>
      <c r="F676" s="23"/>
      <c r="G676" s="23"/>
      <c r="H676" s="23"/>
      <c r="I676" s="23"/>
    </row>
    <row r="677" spans="1:9" s="20" customFormat="1" ht="32.25" thickBot="1">
      <c r="A677" s="20" t="s">
        <v>483</v>
      </c>
      <c r="B677" s="32" t="s">
        <v>471</v>
      </c>
      <c r="C677" s="51">
        <v>336.3</v>
      </c>
      <c r="D677" s="34">
        <v>44342</v>
      </c>
      <c r="E677" s="22" t="s">
        <v>1175</v>
      </c>
      <c r="F677" s="23"/>
      <c r="G677" s="23"/>
      <c r="H677" s="23"/>
      <c r="I677" s="23"/>
    </row>
    <row r="678" spans="1:9" s="20" customFormat="1" ht="16.5" thickBot="1">
      <c r="A678" s="20" t="s">
        <v>482</v>
      </c>
      <c r="B678" s="32" t="s">
        <v>481</v>
      </c>
      <c r="C678" s="51">
        <v>7.63</v>
      </c>
      <c r="D678" s="34">
        <v>44340</v>
      </c>
      <c r="E678" s="22" t="s">
        <v>1175</v>
      </c>
      <c r="F678" s="23"/>
      <c r="G678" s="23"/>
      <c r="H678" s="23"/>
      <c r="I678" s="23"/>
    </row>
    <row r="679" spans="1:9" s="20" customFormat="1" ht="16.5" thickBot="1">
      <c r="A679" s="32" t="s">
        <v>480</v>
      </c>
      <c r="B679" s="32" t="s">
        <v>479</v>
      </c>
      <c r="C679" s="51">
        <v>336.1</v>
      </c>
      <c r="D679" s="34">
        <v>44340</v>
      </c>
      <c r="E679" s="22" t="s">
        <v>1175</v>
      </c>
      <c r="F679" s="23"/>
      <c r="G679" s="23"/>
      <c r="H679" s="23"/>
      <c r="I679" s="23"/>
    </row>
    <row r="680" spans="1:9" s="20" customFormat="1" ht="32.25" thickBot="1">
      <c r="A680" s="20" t="s">
        <v>478</v>
      </c>
      <c r="B680" s="32" t="s">
        <v>471</v>
      </c>
      <c r="C680" s="51">
        <v>336.17</v>
      </c>
      <c r="D680" s="34">
        <v>44340</v>
      </c>
      <c r="E680" s="22" t="s">
        <v>1175</v>
      </c>
      <c r="F680" s="23"/>
      <c r="G680" s="23"/>
      <c r="H680" s="23"/>
      <c r="I680" s="23"/>
    </row>
    <row r="681" spans="1:9" s="20" customFormat="1" ht="32.25" thickBot="1">
      <c r="A681" s="20" t="s">
        <v>477</v>
      </c>
      <c r="B681" s="32" t="s">
        <v>203</v>
      </c>
      <c r="C681" s="51">
        <v>336</v>
      </c>
      <c r="D681" s="34">
        <v>44338</v>
      </c>
      <c r="E681" s="22" t="s">
        <v>1175</v>
      </c>
      <c r="F681" s="23"/>
      <c r="G681" s="23"/>
      <c r="H681" s="23"/>
      <c r="I681" s="23"/>
    </row>
    <row r="682" spans="1:9" s="20" customFormat="1" ht="16.5" thickBot="1">
      <c r="A682" s="20" t="s">
        <v>476</v>
      </c>
      <c r="B682" s="32" t="s">
        <v>475</v>
      </c>
      <c r="C682" s="51">
        <v>810.7</v>
      </c>
      <c r="D682" s="34">
        <v>44338</v>
      </c>
      <c r="E682" s="22" t="s">
        <v>1175</v>
      </c>
      <c r="F682" s="23"/>
      <c r="G682" s="23"/>
      <c r="H682" s="23"/>
      <c r="I682" s="23"/>
    </row>
    <row r="683" spans="1:9" s="20" customFormat="1" ht="16.5" thickBot="1">
      <c r="A683" s="20" t="s">
        <v>474</v>
      </c>
      <c r="B683" s="32" t="s">
        <v>473</v>
      </c>
      <c r="C683" s="51">
        <v>596</v>
      </c>
      <c r="D683" s="34">
        <v>44336</v>
      </c>
      <c r="E683" s="22" t="s">
        <v>1175</v>
      </c>
      <c r="F683" s="23"/>
      <c r="G683" s="23"/>
      <c r="H683" s="23"/>
      <c r="I683" s="23"/>
    </row>
    <row r="684" spans="1:9" s="20" customFormat="1" ht="32.25" thickBot="1">
      <c r="A684" s="20" t="s">
        <v>472</v>
      </c>
      <c r="B684" s="32" t="s">
        <v>471</v>
      </c>
      <c r="C684" s="51">
        <v>336.1</v>
      </c>
      <c r="D684" s="34">
        <v>44334</v>
      </c>
      <c r="E684" s="22" t="s">
        <v>1175</v>
      </c>
      <c r="F684" s="23"/>
      <c r="G684" s="23"/>
      <c r="H684" s="23"/>
      <c r="I684" s="23"/>
    </row>
    <row r="685" spans="1:9" s="20" customFormat="1" ht="29.25" thickBot="1">
      <c r="A685" s="20" t="s">
        <v>470</v>
      </c>
      <c r="B685" s="32" t="s">
        <v>469</v>
      </c>
      <c r="C685" s="51">
        <v>675</v>
      </c>
      <c r="D685" s="34">
        <v>44334</v>
      </c>
      <c r="E685" s="22" t="s">
        <v>1175</v>
      </c>
      <c r="F685" s="23"/>
      <c r="G685" s="23"/>
      <c r="H685" s="23"/>
      <c r="I685" s="23"/>
    </row>
    <row r="686" spans="1:9" s="20" customFormat="1" ht="16.5" thickBot="1">
      <c r="A686" s="20" t="s">
        <v>468</v>
      </c>
      <c r="B686" s="32" t="s">
        <v>467</v>
      </c>
      <c r="C686" s="51">
        <v>820</v>
      </c>
      <c r="D686" s="34">
        <v>44333</v>
      </c>
      <c r="E686" s="22" t="s">
        <v>1175</v>
      </c>
      <c r="F686" s="23"/>
      <c r="G686" s="23"/>
      <c r="H686" s="23"/>
      <c r="I686" s="23"/>
    </row>
    <row r="687" spans="1:9" s="20" customFormat="1" ht="32.25" thickBot="1">
      <c r="A687" s="20" t="s">
        <v>466</v>
      </c>
      <c r="B687" s="32" t="s">
        <v>203</v>
      </c>
      <c r="C687" s="51">
        <v>336.1</v>
      </c>
      <c r="D687" s="34">
        <v>44331</v>
      </c>
      <c r="E687" s="22" t="s">
        <v>1175</v>
      </c>
      <c r="F687" s="23"/>
      <c r="G687" s="23"/>
      <c r="H687" s="23"/>
      <c r="I687" s="23"/>
    </row>
    <row r="688" spans="1:9" s="20" customFormat="1" ht="16.5" thickBot="1">
      <c r="A688" s="20" t="s">
        <v>465</v>
      </c>
      <c r="B688" s="32" t="s">
        <v>398</v>
      </c>
      <c r="C688" s="51">
        <v>336.1</v>
      </c>
      <c r="D688" s="36">
        <v>44331</v>
      </c>
      <c r="E688" s="22" t="s">
        <v>1175</v>
      </c>
      <c r="F688" s="23"/>
      <c r="G688" s="23"/>
      <c r="H688" s="23"/>
      <c r="I688" s="23"/>
    </row>
    <row r="689" spans="1:9" s="20" customFormat="1" ht="16.5" thickBot="1">
      <c r="A689" s="20" t="s">
        <v>464</v>
      </c>
      <c r="B689" s="32" t="s">
        <v>463</v>
      </c>
      <c r="C689" s="51">
        <v>336.17</v>
      </c>
      <c r="D689" s="36">
        <v>44331</v>
      </c>
      <c r="E689" s="22" t="s">
        <v>1175</v>
      </c>
      <c r="F689" s="23"/>
      <c r="G689" s="23"/>
      <c r="H689" s="23"/>
      <c r="I689" s="23"/>
    </row>
    <row r="690" spans="1:9" s="20" customFormat="1" ht="32.25" thickBot="1">
      <c r="A690" s="20" t="s">
        <v>462</v>
      </c>
      <c r="B690" s="32" t="s">
        <v>461</v>
      </c>
      <c r="C690" s="51">
        <v>7.35</v>
      </c>
      <c r="D690" s="36">
        <v>44331</v>
      </c>
      <c r="E690" s="22" t="s">
        <v>1175</v>
      </c>
      <c r="F690" s="23"/>
      <c r="G690" s="23"/>
      <c r="H690" s="23"/>
      <c r="I690" s="23"/>
    </row>
    <row r="691" spans="1:9" s="20" customFormat="1" ht="16.5" thickBot="1">
      <c r="A691" s="20" t="s">
        <v>460</v>
      </c>
      <c r="B691" s="32" t="s">
        <v>459</v>
      </c>
      <c r="C691" s="51">
        <v>336.3</v>
      </c>
      <c r="D691" s="36">
        <v>44330</v>
      </c>
      <c r="E691" s="22" t="s">
        <v>1175</v>
      </c>
      <c r="F691" s="23"/>
      <c r="G691" s="23"/>
      <c r="H691" s="23"/>
      <c r="I691" s="23"/>
    </row>
    <row r="692" spans="1:9" s="20" customFormat="1" ht="16.5" thickBot="1">
      <c r="A692" s="20" t="s">
        <v>458</v>
      </c>
      <c r="B692" s="32" t="s">
        <v>410</v>
      </c>
      <c r="C692" s="51">
        <v>336</v>
      </c>
      <c r="D692" s="36">
        <v>44326</v>
      </c>
      <c r="E692" s="22" t="s">
        <v>1175</v>
      </c>
      <c r="F692" s="23"/>
      <c r="G692" s="23"/>
      <c r="H692" s="23"/>
      <c r="I692" s="23"/>
    </row>
    <row r="693" spans="1:9" s="20" customFormat="1" ht="16.5" thickBot="1">
      <c r="A693" s="20" t="s">
        <v>457</v>
      </c>
      <c r="B693" s="32" t="s">
        <v>410</v>
      </c>
      <c r="C693" s="51">
        <v>379.7</v>
      </c>
      <c r="D693" s="36">
        <v>44326</v>
      </c>
      <c r="E693" s="22" t="s">
        <v>1175</v>
      </c>
      <c r="F693" s="23"/>
      <c r="G693" s="23"/>
      <c r="H693" s="23"/>
      <c r="I693" s="23"/>
    </row>
    <row r="694" spans="1:9" s="20" customFormat="1" ht="16.5" thickBot="1">
      <c r="A694" s="20" t="s">
        <v>456</v>
      </c>
      <c r="B694" s="32" t="s">
        <v>398</v>
      </c>
      <c r="C694" s="51">
        <v>336</v>
      </c>
      <c r="D694" s="36">
        <v>44326</v>
      </c>
      <c r="E694" s="22" t="s">
        <v>1175</v>
      </c>
      <c r="F694" s="23"/>
      <c r="G694" s="23"/>
      <c r="H694" s="23"/>
      <c r="I694" s="23"/>
    </row>
    <row r="695" spans="1:9" s="20" customFormat="1" ht="16.5" thickBot="1">
      <c r="A695" s="20" t="s">
        <v>455</v>
      </c>
      <c r="B695" s="32" t="s">
        <v>454</v>
      </c>
      <c r="C695" s="51">
        <v>336.1</v>
      </c>
      <c r="D695" s="36">
        <v>44325</v>
      </c>
      <c r="E695" s="22" t="s">
        <v>1175</v>
      </c>
      <c r="F695" s="23"/>
      <c r="G695" s="23"/>
      <c r="H695" s="23"/>
      <c r="I695" s="23"/>
    </row>
    <row r="696" spans="1:9" s="20" customFormat="1" ht="16.5" thickBot="1">
      <c r="A696" s="20" t="s">
        <v>453</v>
      </c>
      <c r="B696" s="32" t="s">
        <v>452</v>
      </c>
      <c r="C696" s="51">
        <v>336.55</v>
      </c>
      <c r="D696" s="36">
        <v>44325</v>
      </c>
      <c r="E696" s="22" t="s">
        <v>1175</v>
      </c>
      <c r="F696" s="23"/>
      <c r="G696" s="23"/>
      <c r="H696" s="23"/>
      <c r="I696" s="23"/>
    </row>
    <row r="697" spans="1:9" s="20" customFormat="1" ht="16.5" thickBot="1">
      <c r="A697" s="20" t="s">
        <v>451</v>
      </c>
      <c r="B697" s="32" t="s">
        <v>398</v>
      </c>
      <c r="C697" s="51">
        <v>336.84</v>
      </c>
      <c r="D697" s="36">
        <v>44324</v>
      </c>
      <c r="E697" s="22" t="s">
        <v>1175</v>
      </c>
      <c r="F697" s="23"/>
      <c r="G697" s="23"/>
      <c r="H697" s="23"/>
      <c r="I697" s="23"/>
    </row>
    <row r="698" spans="1:9" s="20" customFormat="1" ht="16.5" thickBot="1">
      <c r="A698" s="20" t="s">
        <v>450</v>
      </c>
      <c r="B698" s="32" t="s">
        <v>398</v>
      </c>
      <c r="C698" s="51">
        <v>336.83</v>
      </c>
      <c r="D698" s="36">
        <v>44324</v>
      </c>
      <c r="E698" s="22" t="s">
        <v>1175</v>
      </c>
      <c r="F698" s="23"/>
      <c r="G698" s="23"/>
      <c r="H698" s="23"/>
      <c r="I698" s="23"/>
    </row>
    <row r="699" spans="1:9" s="20" customFormat="1" ht="16.5" thickBot="1">
      <c r="A699" s="20" t="s">
        <v>449</v>
      </c>
      <c r="B699" s="32" t="s">
        <v>448</v>
      </c>
      <c r="C699" s="51">
        <v>7.63</v>
      </c>
      <c r="D699" s="36">
        <v>44324</v>
      </c>
      <c r="E699" s="22" t="s">
        <v>1175</v>
      </c>
      <c r="F699" s="23"/>
      <c r="G699" s="23"/>
      <c r="H699" s="23"/>
      <c r="I699" s="23"/>
    </row>
    <row r="700" spans="1:9" s="20" customFormat="1" ht="16.5" thickBot="1">
      <c r="A700" s="20" t="s">
        <v>447</v>
      </c>
      <c r="B700" s="32" t="s">
        <v>410</v>
      </c>
      <c r="C700" s="51">
        <v>336.1</v>
      </c>
      <c r="D700" s="36">
        <v>44324</v>
      </c>
      <c r="E700" s="22" t="s">
        <v>1175</v>
      </c>
      <c r="F700" s="23"/>
      <c r="G700" s="23"/>
      <c r="H700" s="23"/>
      <c r="I700" s="23"/>
    </row>
    <row r="701" spans="1:9" s="20" customFormat="1" ht="16.5" thickBot="1">
      <c r="A701" s="20" t="s">
        <v>446</v>
      </c>
      <c r="B701" s="32" t="s">
        <v>445</v>
      </c>
      <c r="C701" s="51">
        <v>7.58</v>
      </c>
      <c r="D701" s="36">
        <v>44324</v>
      </c>
      <c r="E701" s="22" t="s">
        <v>1175</v>
      </c>
      <c r="F701" s="23"/>
      <c r="G701" s="23"/>
      <c r="H701" s="23"/>
      <c r="I701" s="23"/>
    </row>
    <row r="702" spans="1:9" s="20" customFormat="1" ht="16.5" thickBot="1">
      <c r="A702" s="20" t="s">
        <v>444</v>
      </c>
      <c r="B702" s="32" t="s">
        <v>375</v>
      </c>
      <c r="C702" s="51">
        <v>375.9</v>
      </c>
      <c r="D702" s="36">
        <v>44322</v>
      </c>
      <c r="E702" s="22" t="s">
        <v>1175</v>
      </c>
      <c r="F702" s="23"/>
      <c r="G702" s="23"/>
      <c r="H702" s="23"/>
      <c r="I702" s="23"/>
    </row>
    <row r="703" spans="1:9" s="20" customFormat="1" ht="16.5" thickBot="1">
      <c r="A703" s="20" t="s">
        <v>443</v>
      </c>
      <c r="B703" s="32" t="s">
        <v>375</v>
      </c>
      <c r="C703" s="51">
        <v>375.9</v>
      </c>
      <c r="D703" s="36">
        <v>44322</v>
      </c>
      <c r="E703" s="22" t="s">
        <v>1175</v>
      </c>
      <c r="F703" s="23"/>
      <c r="G703" s="23"/>
      <c r="H703" s="23"/>
      <c r="I703" s="23"/>
    </row>
    <row r="704" spans="1:9" s="20" customFormat="1" ht="32.25" thickBot="1">
      <c r="A704" s="20" t="s">
        <v>442</v>
      </c>
      <c r="B704" s="32" t="s">
        <v>203</v>
      </c>
      <c r="C704" s="51">
        <v>336</v>
      </c>
      <c r="D704" s="36">
        <v>44321</v>
      </c>
      <c r="E704" s="22" t="s">
        <v>1175</v>
      </c>
      <c r="F704" s="23"/>
      <c r="G704" s="23"/>
      <c r="H704" s="23"/>
      <c r="I704" s="23"/>
    </row>
    <row r="705" spans="1:9" s="20" customFormat="1" ht="16.5" thickBot="1">
      <c r="A705" s="20" t="s">
        <v>441</v>
      </c>
      <c r="B705" s="32" t="s">
        <v>398</v>
      </c>
      <c r="C705" s="51">
        <v>336.2</v>
      </c>
      <c r="D705" s="36">
        <v>44321</v>
      </c>
      <c r="E705" s="22" t="s">
        <v>1175</v>
      </c>
      <c r="F705" s="23"/>
      <c r="G705" s="23"/>
      <c r="H705" s="23"/>
      <c r="I705" s="23"/>
    </row>
    <row r="706" spans="1:9" s="20" customFormat="1" ht="16.5" thickBot="1">
      <c r="A706" s="20" t="s">
        <v>440</v>
      </c>
      <c r="B706" s="32" t="s">
        <v>439</v>
      </c>
      <c r="C706" s="51">
        <v>830.79</v>
      </c>
      <c r="D706" s="36">
        <v>44320</v>
      </c>
      <c r="E706" s="22" t="s">
        <v>1175</v>
      </c>
      <c r="F706" s="23"/>
      <c r="G706" s="23"/>
      <c r="H706" s="23"/>
      <c r="I706" s="23"/>
    </row>
    <row r="707" spans="1:9" s="20" customFormat="1" ht="16.5" thickBot="1">
      <c r="A707" s="20" t="s">
        <v>438</v>
      </c>
      <c r="B707" s="32" t="s">
        <v>437</v>
      </c>
      <c r="C707" s="51">
        <v>7.64</v>
      </c>
      <c r="D707" s="36">
        <v>44320</v>
      </c>
      <c r="E707" s="22" t="s">
        <v>1175</v>
      </c>
      <c r="F707" s="23"/>
      <c r="G707" s="23"/>
      <c r="H707" s="23"/>
      <c r="I707" s="23"/>
    </row>
    <row r="708" spans="1:9" s="20" customFormat="1" ht="16.5" thickBot="1">
      <c r="A708" s="20" t="s">
        <v>436</v>
      </c>
      <c r="B708" s="32" t="s">
        <v>398</v>
      </c>
      <c r="C708" s="51">
        <v>336.49</v>
      </c>
      <c r="D708" s="36">
        <v>44320</v>
      </c>
      <c r="E708" s="22" t="s">
        <v>1175</v>
      </c>
      <c r="F708" s="23"/>
      <c r="G708" s="23"/>
      <c r="H708" s="23"/>
      <c r="I708" s="23"/>
    </row>
    <row r="709" spans="1:9" s="20" customFormat="1" ht="16.5" thickBot="1">
      <c r="A709" s="20" t="s">
        <v>435</v>
      </c>
      <c r="B709" s="32" t="s">
        <v>434</v>
      </c>
      <c r="C709" s="51">
        <v>820</v>
      </c>
      <c r="D709" s="36">
        <v>44318</v>
      </c>
      <c r="E709" s="22" t="s">
        <v>1175</v>
      </c>
      <c r="F709" s="23"/>
      <c r="G709" s="23"/>
      <c r="H709" s="23"/>
      <c r="I709" s="23"/>
    </row>
    <row r="710" spans="1:9" s="20" customFormat="1" ht="16.5" thickBot="1">
      <c r="A710" s="20" t="s">
        <v>433</v>
      </c>
      <c r="B710" s="32" t="s">
        <v>432</v>
      </c>
      <c r="C710" s="51">
        <v>810.7</v>
      </c>
      <c r="D710" s="36">
        <v>44311</v>
      </c>
      <c r="E710" s="22" t="s">
        <v>1175</v>
      </c>
      <c r="F710" s="23"/>
      <c r="G710" s="23"/>
      <c r="H710" s="23"/>
      <c r="I710" s="23"/>
    </row>
    <row r="711" spans="1:9" s="20" customFormat="1" ht="29.25" thickBot="1">
      <c r="A711" s="20" t="s">
        <v>430</v>
      </c>
      <c r="B711" s="32" t="s">
        <v>429</v>
      </c>
      <c r="C711" s="51">
        <v>7.64</v>
      </c>
      <c r="D711" s="36">
        <v>44310</v>
      </c>
      <c r="E711" s="22" t="s">
        <v>1175</v>
      </c>
      <c r="F711" s="23"/>
      <c r="G711" s="23"/>
      <c r="H711" s="23"/>
      <c r="I711" s="23"/>
    </row>
    <row r="712" spans="1:9" s="20" customFormat="1" ht="16.5" thickBot="1">
      <c r="A712" s="20" t="s">
        <v>428</v>
      </c>
      <c r="B712" s="32" t="s">
        <v>398</v>
      </c>
      <c r="C712" s="51">
        <v>336.3</v>
      </c>
      <c r="D712" s="36">
        <v>44310</v>
      </c>
      <c r="E712" s="22" t="s">
        <v>1175</v>
      </c>
      <c r="F712" s="23"/>
      <c r="G712" s="23"/>
      <c r="H712" s="23"/>
      <c r="I712" s="23"/>
    </row>
    <row r="713" spans="1:9" s="20" customFormat="1" ht="16.5" thickBot="1">
      <c r="A713" s="20" t="s">
        <v>427</v>
      </c>
      <c r="B713" s="32" t="s">
        <v>398</v>
      </c>
      <c r="C713" s="51">
        <v>336.2</v>
      </c>
      <c r="D713" s="36">
        <v>44308</v>
      </c>
      <c r="E713" s="22" t="s">
        <v>1175</v>
      </c>
      <c r="F713" s="23"/>
      <c r="G713" s="23"/>
      <c r="H713" s="23"/>
      <c r="I713" s="23"/>
    </row>
    <row r="714" spans="1:9" s="20" customFormat="1" ht="16.5" thickBot="1">
      <c r="A714" s="20" t="s">
        <v>426</v>
      </c>
      <c r="B714" s="32" t="s">
        <v>174</v>
      </c>
      <c r="C714" s="51">
        <v>7.6340000000000003</v>
      </c>
      <c r="D714" s="36">
        <v>44308</v>
      </c>
      <c r="E714" s="22" t="s">
        <v>1175</v>
      </c>
      <c r="F714" s="23"/>
      <c r="G714" s="23"/>
      <c r="H714" s="23"/>
      <c r="I714" s="23"/>
    </row>
    <row r="715" spans="1:9" s="20" customFormat="1" ht="32.25" thickBot="1">
      <c r="A715" s="20" t="s">
        <v>425</v>
      </c>
      <c r="B715" s="32" t="s">
        <v>203</v>
      </c>
      <c r="C715" s="51">
        <v>336</v>
      </c>
      <c r="D715" s="36">
        <v>44308</v>
      </c>
      <c r="E715" s="22" t="s">
        <v>1175</v>
      </c>
      <c r="F715" s="23"/>
      <c r="G715" s="23"/>
      <c r="H715" s="23"/>
      <c r="I715" s="23"/>
    </row>
    <row r="716" spans="1:9" s="20" customFormat="1" ht="16.5" thickBot="1">
      <c r="A716" s="20" t="s">
        <v>424</v>
      </c>
      <c r="B716" s="32" t="s">
        <v>398</v>
      </c>
      <c r="C716" s="51">
        <v>336</v>
      </c>
      <c r="D716" s="36">
        <v>44308</v>
      </c>
      <c r="E716" s="22" t="s">
        <v>1175</v>
      </c>
      <c r="F716" s="23"/>
      <c r="G716" s="23"/>
      <c r="H716" s="23"/>
      <c r="I716" s="23"/>
    </row>
    <row r="717" spans="1:9" s="20" customFormat="1" ht="16.5" thickBot="1">
      <c r="A717" s="20" t="s">
        <v>423</v>
      </c>
      <c r="B717" s="32" t="s">
        <v>177</v>
      </c>
      <c r="C717" s="51">
        <v>7.609</v>
      </c>
      <c r="D717" s="36">
        <v>44307</v>
      </c>
      <c r="E717" s="22" t="s">
        <v>1175</v>
      </c>
      <c r="F717" s="23"/>
      <c r="G717" s="23"/>
      <c r="H717" s="23"/>
      <c r="I717" s="23"/>
    </row>
    <row r="718" spans="1:9" s="20" customFormat="1" ht="16.5" thickBot="1">
      <c r="A718" s="20" t="s">
        <v>422</v>
      </c>
      <c r="B718" s="32" t="s">
        <v>398</v>
      </c>
      <c r="C718" s="51">
        <v>336.2</v>
      </c>
      <c r="D718" s="36">
        <v>44307</v>
      </c>
      <c r="E718" s="22" t="s">
        <v>1175</v>
      </c>
      <c r="F718" s="23"/>
      <c r="G718" s="23"/>
      <c r="H718" s="23"/>
      <c r="I718" s="23"/>
    </row>
    <row r="719" spans="1:9" s="20" customFormat="1" ht="16.5" thickBot="1">
      <c r="A719" s="20" t="s">
        <v>421</v>
      </c>
      <c r="B719" s="32" t="s">
        <v>420</v>
      </c>
      <c r="C719" s="51">
        <v>7.64</v>
      </c>
      <c r="D719" s="36">
        <v>44307</v>
      </c>
      <c r="E719" s="22" t="s">
        <v>1175</v>
      </c>
      <c r="F719" s="23"/>
      <c r="G719" s="23"/>
      <c r="H719" s="23"/>
      <c r="I719" s="23"/>
    </row>
    <row r="720" spans="1:9" s="20" customFormat="1" ht="16.5" thickBot="1">
      <c r="A720" s="20" t="s">
        <v>419</v>
      </c>
      <c r="B720" s="32" t="s">
        <v>418</v>
      </c>
      <c r="C720" s="51">
        <v>7.13</v>
      </c>
      <c r="D720" s="36">
        <v>44303</v>
      </c>
      <c r="E720" s="22" t="s">
        <v>1175</v>
      </c>
      <c r="F720" s="23"/>
      <c r="G720" s="23"/>
      <c r="H720" s="23"/>
      <c r="I720" s="23"/>
    </row>
    <row r="721" spans="1:9" s="20" customFormat="1" ht="16.5" thickBot="1">
      <c r="A721" s="20" t="s">
        <v>417</v>
      </c>
      <c r="B721" s="32" t="s">
        <v>398</v>
      </c>
      <c r="C721" s="51">
        <v>336.1</v>
      </c>
      <c r="D721" s="36">
        <v>44303</v>
      </c>
      <c r="E721" s="22" t="s">
        <v>1175</v>
      </c>
      <c r="F721" s="23"/>
      <c r="G721" s="23"/>
      <c r="H721" s="23"/>
      <c r="I721" s="23"/>
    </row>
    <row r="722" spans="1:9" s="20" customFormat="1" ht="16.5" thickBot="1">
      <c r="A722" s="20" t="s">
        <v>416</v>
      </c>
      <c r="B722" s="32" t="s">
        <v>415</v>
      </c>
      <c r="C722" s="51">
        <v>7.63</v>
      </c>
      <c r="D722" s="36">
        <v>44303</v>
      </c>
      <c r="E722" s="22" t="s">
        <v>1175</v>
      </c>
      <c r="F722" s="23"/>
      <c r="G722" s="23"/>
      <c r="H722" s="23"/>
      <c r="I722" s="23"/>
    </row>
    <row r="723" spans="1:9" s="20" customFormat="1" ht="16.5" thickBot="1">
      <c r="A723" s="20" t="s">
        <v>414</v>
      </c>
      <c r="B723" s="32" t="s">
        <v>413</v>
      </c>
      <c r="C723" s="51">
        <v>7.13</v>
      </c>
      <c r="D723" s="36">
        <v>44299</v>
      </c>
      <c r="E723" s="22" t="s">
        <v>1175</v>
      </c>
      <c r="F723" s="23"/>
      <c r="G723" s="23"/>
      <c r="H723" s="23"/>
      <c r="I723" s="23"/>
    </row>
    <row r="724" spans="1:9" s="20" customFormat="1" ht="16.5" thickBot="1">
      <c r="A724" s="20" t="s">
        <v>412</v>
      </c>
      <c r="B724" s="32" t="s">
        <v>211</v>
      </c>
      <c r="C724" s="51">
        <v>7.64</v>
      </c>
      <c r="D724" s="36">
        <v>44298</v>
      </c>
      <c r="E724" s="22" t="s">
        <v>1175</v>
      </c>
      <c r="F724" s="23"/>
      <c r="G724" s="23"/>
      <c r="H724" s="23"/>
      <c r="I724" s="23"/>
    </row>
    <row r="725" spans="1:9" s="20" customFormat="1" ht="29.25" thickBot="1">
      <c r="A725" s="20" t="s">
        <v>411</v>
      </c>
      <c r="B725" s="32" t="s">
        <v>410</v>
      </c>
      <c r="C725" s="51">
        <v>336</v>
      </c>
      <c r="D725" s="36">
        <v>44297</v>
      </c>
      <c r="E725" s="22" t="s">
        <v>1175</v>
      </c>
      <c r="F725" s="23"/>
      <c r="G725" s="23"/>
      <c r="H725" s="23"/>
      <c r="I725" s="23"/>
    </row>
    <row r="726" spans="1:9" s="20" customFormat="1" ht="16.5" thickBot="1">
      <c r="A726" s="20" t="s">
        <v>409</v>
      </c>
      <c r="B726" s="32" t="s">
        <v>204</v>
      </c>
      <c r="C726" s="51">
        <v>7.64</v>
      </c>
      <c r="D726" s="36">
        <v>44295</v>
      </c>
      <c r="E726" s="22" t="s">
        <v>1175</v>
      </c>
      <c r="F726" s="23"/>
      <c r="G726" s="23"/>
      <c r="H726" s="23"/>
      <c r="I726" s="23"/>
    </row>
    <row r="727" spans="1:9" s="20" customFormat="1" ht="16.5" thickBot="1">
      <c r="A727" s="20" t="s">
        <v>408</v>
      </c>
      <c r="B727" s="32" t="s">
        <v>375</v>
      </c>
      <c r="C727" s="51">
        <v>375.9</v>
      </c>
      <c r="D727" s="36">
        <v>44295</v>
      </c>
      <c r="E727" s="22" t="s">
        <v>1175</v>
      </c>
      <c r="F727" s="23"/>
      <c r="G727" s="23"/>
      <c r="H727" s="23"/>
      <c r="I727" s="23"/>
    </row>
    <row r="728" spans="1:9" s="20" customFormat="1" ht="16.5" thickBot="1">
      <c r="A728" s="20" t="s">
        <v>407</v>
      </c>
      <c r="B728" s="32" t="s">
        <v>375</v>
      </c>
      <c r="C728" s="51">
        <v>375.9</v>
      </c>
      <c r="D728" s="36">
        <v>44295</v>
      </c>
      <c r="E728" s="22" t="s">
        <v>1175</v>
      </c>
      <c r="F728" s="23"/>
      <c r="G728" s="23"/>
      <c r="H728" s="23"/>
      <c r="I728" s="23"/>
    </row>
    <row r="729" spans="1:9" s="20" customFormat="1" ht="32.25" thickBot="1">
      <c r="A729" s="20" t="s">
        <v>406</v>
      </c>
      <c r="B729" s="32" t="s">
        <v>405</v>
      </c>
      <c r="C729" s="51">
        <v>7.35</v>
      </c>
      <c r="D729" s="36">
        <v>44292</v>
      </c>
      <c r="E729" s="22" t="s">
        <v>1175</v>
      </c>
      <c r="F729" s="23"/>
      <c r="G729" s="23"/>
      <c r="H729" s="23"/>
      <c r="I729" s="23"/>
    </row>
    <row r="730" spans="1:9" s="20" customFormat="1" ht="16.5" thickBot="1">
      <c r="A730" s="20" t="s">
        <v>404</v>
      </c>
      <c r="B730" s="32" t="s">
        <v>403</v>
      </c>
      <c r="C730" s="51">
        <v>7.35</v>
      </c>
      <c r="D730" s="36">
        <v>44292</v>
      </c>
      <c r="E730" s="22" t="s">
        <v>1175</v>
      </c>
      <c r="F730" s="23"/>
      <c r="G730" s="23"/>
      <c r="H730" s="23"/>
      <c r="I730" s="23"/>
    </row>
    <row r="731" spans="1:9" s="20" customFormat="1" ht="16.5" thickBot="1">
      <c r="A731" s="20" t="s">
        <v>402</v>
      </c>
      <c r="B731" s="32" t="s">
        <v>401</v>
      </c>
      <c r="C731" s="51">
        <v>7.64</v>
      </c>
      <c r="D731" s="36">
        <v>44290</v>
      </c>
      <c r="E731" s="22" t="s">
        <v>1175</v>
      </c>
      <c r="F731" s="23"/>
      <c r="G731" s="23"/>
      <c r="H731" s="23"/>
      <c r="I731" s="23"/>
    </row>
    <row r="732" spans="1:9" s="20" customFormat="1" ht="16.5" thickBot="1">
      <c r="A732" s="20" t="s">
        <v>400</v>
      </c>
      <c r="B732" s="32" t="s">
        <v>398</v>
      </c>
      <c r="C732" s="51">
        <v>336.2</v>
      </c>
      <c r="D732" s="36">
        <v>44290</v>
      </c>
      <c r="E732" s="22" t="s">
        <v>1175</v>
      </c>
      <c r="F732" s="23"/>
      <c r="G732" s="23"/>
      <c r="H732" s="23"/>
      <c r="I732" s="23"/>
    </row>
    <row r="733" spans="1:9" s="20" customFormat="1" ht="16.5" thickBot="1">
      <c r="A733" s="20" t="s">
        <v>399</v>
      </c>
      <c r="B733" s="32" t="s">
        <v>398</v>
      </c>
      <c r="C733" s="51">
        <v>336.1</v>
      </c>
      <c r="D733" s="36">
        <v>44288</v>
      </c>
      <c r="E733" s="22" t="s">
        <v>1175</v>
      </c>
      <c r="F733" s="23"/>
      <c r="G733" s="23"/>
      <c r="H733" s="23"/>
      <c r="I733" s="23"/>
    </row>
    <row r="734" spans="1:9" s="20" customFormat="1" ht="16.5" thickBot="1">
      <c r="A734" s="20" t="s">
        <v>397</v>
      </c>
      <c r="B734" s="32" t="s">
        <v>396</v>
      </c>
      <c r="C734" s="51">
        <v>336.1</v>
      </c>
      <c r="D734" s="36">
        <v>44286</v>
      </c>
      <c r="E734" s="22" t="s">
        <v>1175</v>
      </c>
      <c r="F734" s="23"/>
      <c r="G734" s="23"/>
      <c r="H734" s="23"/>
      <c r="I734" s="23"/>
    </row>
    <row r="735" spans="1:9" s="20" customFormat="1" ht="16.5" thickBot="1">
      <c r="A735" s="20" t="s">
        <v>395</v>
      </c>
      <c r="B735" s="32" t="s">
        <v>389</v>
      </c>
      <c r="C735" s="51">
        <v>834</v>
      </c>
      <c r="D735" s="36">
        <v>44285</v>
      </c>
      <c r="E735" s="22" t="s">
        <v>1175</v>
      </c>
      <c r="F735" s="23"/>
      <c r="G735" s="23"/>
      <c r="H735" s="23"/>
      <c r="I735" s="23"/>
    </row>
    <row r="736" spans="1:9" s="20" customFormat="1" ht="32.25" thickBot="1">
      <c r="A736" s="20" t="s">
        <v>394</v>
      </c>
      <c r="B736" s="32" t="s">
        <v>393</v>
      </c>
      <c r="C736" s="51">
        <v>834</v>
      </c>
      <c r="D736" s="36">
        <v>44285</v>
      </c>
      <c r="E736" s="22" t="s">
        <v>1175</v>
      </c>
      <c r="F736" s="23"/>
      <c r="G736" s="23"/>
      <c r="H736" s="23"/>
      <c r="I736" s="23"/>
    </row>
    <row r="737" spans="1:9" s="20" customFormat="1" ht="16.5" thickBot="1">
      <c r="A737" s="20" t="s">
        <v>392</v>
      </c>
      <c r="B737" s="32" t="s">
        <v>391</v>
      </c>
      <c r="C737" s="51">
        <v>336.4</v>
      </c>
      <c r="D737" s="36">
        <v>44284</v>
      </c>
      <c r="E737" s="22" t="s">
        <v>1175</v>
      </c>
      <c r="F737" s="23"/>
      <c r="G737" s="23"/>
      <c r="H737" s="23"/>
      <c r="I737" s="23"/>
    </row>
    <row r="738" spans="1:9" s="20" customFormat="1" ht="16.5" thickBot="1">
      <c r="A738" s="20" t="s">
        <v>390</v>
      </c>
      <c r="B738" s="32" t="s">
        <v>389</v>
      </c>
      <c r="C738" s="51">
        <v>834</v>
      </c>
      <c r="D738" s="36">
        <v>44283</v>
      </c>
      <c r="E738" s="22" t="s">
        <v>1175</v>
      </c>
      <c r="F738" s="23"/>
      <c r="G738" s="23"/>
      <c r="H738" s="23"/>
      <c r="I738" s="23"/>
    </row>
    <row r="739" spans="1:9" s="20" customFormat="1" ht="16.5" thickBot="1">
      <c r="A739" s="20" t="s">
        <v>388</v>
      </c>
      <c r="B739" s="32" t="s">
        <v>387</v>
      </c>
      <c r="C739" s="51">
        <v>336.1</v>
      </c>
      <c r="D739" s="36">
        <v>44283</v>
      </c>
      <c r="E739" s="22" t="s">
        <v>1175</v>
      </c>
      <c r="F739" s="23"/>
      <c r="G739" s="23"/>
      <c r="H739" s="23"/>
      <c r="I739" s="23"/>
    </row>
    <row r="740" spans="1:9" s="20" customFormat="1" ht="32.25" thickBot="1">
      <c r="A740" s="20" t="s">
        <v>386</v>
      </c>
      <c r="B740" s="32" t="s">
        <v>203</v>
      </c>
      <c r="C740" s="51">
        <v>675</v>
      </c>
      <c r="D740" s="36">
        <v>44282</v>
      </c>
      <c r="E740" s="22" t="s">
        <v>1175</v>
      </c>
      <c r="F740" s="23"/>
      <c r="G740" s="23"/>
      <c r="H740" s="23"/>
      <c r="I740" s="23"/>
    </row>
    <row r="741" spans="1:9" s="20" customFormat="1" ht="32.25" thickBot="1">
      <c r="A741" s="20" t="s">
        <v>385</v>
      </c>
      <c r="B741" s="32" t="s">
        <v>384</v>
      </c>
      <c r="C741" s="51">
        <v>336.1</v>
      </c>
      <c r="D741" s="36">
        <v>44282</v>
      </c>
      <c r="E741" s="22" t="s">
        <v>1175</v>
      </c>
      <c r="F741" s="23"/>
      <c r="G741" s="23"/>
      <c r="H741" s="23"/>
      <c r="I741" s="23"/>
    </row>
    <row r="742" spans="1:9" s="13" customFormat="1" ht="26.25" customHeight="1" thickBot="1">
      <c r="A742" s="13" t="s">
        <v>383</v>
      </c>
      <c r="B742" s="15" t="s">
        <v>382</v>
      </c>
      <c r="C742" s="46">
        <v>830.7</v>
      </c>
      <c r="D742" s="36">
        <v>44273</v>
      </c>
      <c r="E742" s="22" t="s">
        <v>1175</v>
      </c>
      <c r="F742" s="23"/>
      <c r="G742" s="23"/>
      <c r="H742" s="23"/>
      <c r="I742" s="23"/>
    </row>
    <row r="743" spans="1:9" s="13" customFormat="1" ht="26.25" customHeight="1" thickBot="1">
      <c r="A743" s="13" t="s">
        <v>381</v>
      </c>
      <c r="B743" s="15" t="s">
        <v>380</v>
      </c>
      <c r="C743" s="46">
        <v>830</v>
      </c>
      <c r="D743" s="36">
        <v>44272</v>
      </c>
      <c r="E743" s="22" t="s">
        <v>1175</v>
      </c>
      <c r="F743" s="23"/>
      <c r="G743" s="23"/>
      <c r="H743" s="23"/>
      <c r="I743" s="23"/>
    </row>
    <row r="744" spans="1:9" s="13" customFormat="1" ht="26.25" customHeight="1" thickBot="1">
      <c r="A744" s="13" t="s">
        <v>379</v>
      </c>
      <c r="B744" s="15" t="s">
        <v>378</v>
      </c>
      <c r="C744" s="46">
        <v>670.93</v>
      </c>
      <c r="D744" s="36">
        <v>44272</v>
      </c>
      <c r="E744" s="22" t="s">
        <v>1175</v>
      </c>
      <c r="F744" s="23"/>
      <c r="G744" s="23"/>
      <c r="H744" s="23"/>
      <c r="I744" s="23"/>
    </row>
    <row r="745" spans="1:9" s="13" customFormat="1" ht="26.25" customHeight="1" thickBot="1">
      <c r="A745" s="13" t="s">
        <v>377</v>
      </c>
      <c r="B745" s="15" t="s">
        <v>375</v>
      </c>
      <c r="C745" s="46">
        <v>375.9</v>
      </c>
      <c r="D745" s="36">
        <v>44271</v>
      </c>
      <c r="E745" s="22" t="s">
        <v>1175</v>
      </c>
      <c r="F745" s="23"/>
      <c r="G745" s="23"/>
      <c r="H745" s="23"/>
      <c r="I745" s="23"/>
    </row>
    <row r="746" spans="1:9" s="13" customFormat="1" ht="26.25" customHeight="1" thickBot="1">
      <c r="A746" s="13" t="s">
        <v>376</v>
      </c>
      <c r="B746" s="15" t="s">
        <v>375</v>
      </c>
      <c r="C746" s="46">
        <v>375.9</v>
      </c>
      <c r="D746" s="36">
        <v>44271</v>
      </c>
      <c r="E746" s="22" t="s">
        <v>1175</v>
      </c>
      <c r="F746" s="23"/>
      <c r="G746" s="23"/>
      <c r="H746" s="23"/>
      <c r="I746" s="23"/>
    </row>
    <row r="747" spans="1:9" s="13" customFormat="1" ht="26.25" customHeight="1" thickBot="1">
      <c r="A747" s="13" t="s">
        <v>374</v>
      </c>
      <c r="B747" s="15" t="s">
        <v>373</v>
      </c>
      <c r="C747" s="46">
        <v>336.4</v>
      </c>
      <c r="D747" s="36">
        <v>44267</v>
      </c>
      <c r="E747" s="22" t="s">
        <v>1175</v>
      </c>
      <c r="F747" s="23"/>
      <c r="G747" s="23"/>
      <c r="H747" s="23"/>
      <c r="I747" s="23"/>
    </row>
    <row r="748" spans="1:9" s="13" customFormat="1" ht="26.25" customHeight="1" thickBot="1">
      <c r="A748" s="13" t="s">
        <v>372</v>
      </c>
      <c r="B748" s="15" t="s">
        <v>350</v>
      </c>
      <c r="C748" s="46">
        <v>336.1</v>
      </c>
      <c r="D748" s="36">
        <v>44266</v>
      </c>
      <c r="E748" s="22" t="s">
        <v>1175</v>
      </c>
      <c r="F748" s="23"/>
      <c r="G748" s="23"/>
      <c r="H748" s="23"/>
      <c r="I748" s="23"/>
    </row>
    <row r="749" spans="1:9" s="13" customFormat="1" ht="26.25" customHeight="1" thickBot="1">
      <c r="A749" s="13" t="s">
        <v>371</v>
      </c>
      <c r="B749" s="15" t="s">
        <v>370</v>
      </c>
      <c r="C749" s="46">
        <v>331.19</v>
      </c>
      <c r="D749" s="36">
        <v>44260</v>
      </c>
      <c r="E749" s="22" t="s">
        <v>1175</v>
      </c>
      <c r="F749" s="23"/>
      <c r="G749" s="23"/>
      <c r="H749" s="23"/>
      <c r="I749" s="23"/>
    </row>
    <row r="750" spans="1:9" s="13" customFormat="1" ht="26.25" customHeight="1" thickBot="1">
      <c r="A750" s="13" t="s">
        <v>369</v>
      </c>
      <c r="B750" s="15" t="s">
        <v>210</v>
      </c>
      <c r="C750" s="46">
        <v>860</v>
      </c>
      <c r="D750" s="36">
        <v>44260</v>
      </c>
      <c r="E750" s="22" t="s">
        <v>1175</v>
      </c>
      <c r="F750" s="23"/>
      <c r="G750" s="23"/>
      <c r="H750" s="23"/>
      <c r="I750" s="23"/>
    </row>
    <row r="751" spans="1:9" s="13" customFormat="1" ht="26.25" customHeight="1" thickBot="1">
      <c r="A751" s="13" t="s">
        <v>368</v>
      </c>
      <c r="B751" s="15" t="s">
        <v>208</v>
      </c>
      <c r="C751" s="46">
        <v>675.4</v>
      </c>
      <c r="D751" s="36">
        <v>44260</v>
      </c>
      <c r="E751" s="22" t="s">
        <v>1175</v>
      </c>
      <c r="F751" s="23"/>
      <c r="G751" s="23"/>
      <c r="H751" s="23"/>
      <c r="I751" s="23"/>
    </row>
    <row r="752" spans="1:9" s="13" customFormat="1" ht="26.25" customHeight="1" thickBot="1">
      <c r="A752" s="13" t="s">
        <v>367</v>
      </c>
      <c r="B752" s="15" t="s">
        <v>366</v>
      </c>
      <c r="C752" s="46">
        <v>675.4</v>
      </c>
      <c r="D752" s="36">
        <v>44259</v>
      </c>
      <c r="E752" s="22" t="s">
        <v>1175</v>
      </c>
      <c r="F752" s="23"/>
      <c r="G752" s="23"/>
      <c r="H752" s="23"/>
      <c r="I752" s="23"/>
    </row>
    <row r="753" spans="1:9" s="13" customFormat="1" ht="26.25" customHeight="1" thickBot="1">
      <c r="A753" s="13" t="s">
        <v>365</v>
      </c>
      <c r="B753" s="15" t="s">
        <v>364</v>
      </c>
      <c r="C753" s="46">
        <v>372.10700000000003</v>
      </c>
      <c r="D753" s="36">
        <v>44257</v>
      </c>
      <c r="E753" s="22" t="s">
        <v>1175</v>
      </c>
      <c r="F753" s="23"/>
      <c r="G753" s="23"/>
      <c r="H753" s="23"/>
      <c r="I753" s="23"/>
    </row>
    <row r="754" spans="1:9" s="13" customFormat="1" ht="26.25" customHeight="1" thickBot="1">
      <c r="A754" s="13" t="s">
        <v>363</v>
      </c>
      <c r="B754" s="15" t="s">
        <v>362</v>
      </c>
      <c r="C754" s="46">
        <v>850</v>
      </c>
      <c r="D754" s="36">
        <v>44254</v>
      </c>
      <c r="E754" s="22" t="s">
        <v>1175</v>
      </c>
      <c r="F754" s="23"/>
      <c r="G754" s="23"/>
      <c r="H754" s="23"/>
      <c r="I754" s="23"/>
    </row>
    <row r="755" spans="1:9" s="13" customFormat="1" ht="26.25" customHeight="1" thickBot="1">
      <c r="A755" s="13" t="s">
        <v>361</v>
      </c>
      <c r="B755" s="15" t="s">
        <v>179</v>
      </c>
      <c r="C755" s="46">
        <v>673.97199999999998</v>
      </c>
      <c r="D755" s="36">
        <v>44254</v>
      </c>
      <c r="E755" s="22" t="s">
        <v>1175</v>
      </c>
      <c r="F755" s="23"/>
      <c r="G755" s="23"/>
      <c r="H755" s="23"/>
      <c r="I755" s="23"/>
    </row>
    <row r="756" spans="1:9" s="13" customFormat="1" ht="26.25" customHeight="1" thickBot="1">
      <c r="A756" s="13" t="s">
        <v>360</v>
      </c>
      <c r="B756" s="15" t="s">
        <v>359</v>
      </c>
      <c r="C756" s="46">
        <v>7.6</v>
      </c>
      <c r="D756" s="36">
        <v>44251</v>
      </c>
      <c r="E756" s="22" t="s">
        <v>1175</v>
      </c>
      <c r="F756" s="23"/>
      <c r="G756" s="23"/>
      <c r="H756" s="23"/>
      <c r="I756" s="23"/>
    </row>
    <row r="757" spans="1:9" s="13" customFormat="1" ht="26.25" customHeight="1" thickBot="1">
      <c r="A757" s="13" t="s">
        <v>358</v>
      </c>
      <c r="B757" s="15"/>
      <c r="C757" s="46">
        <v>673.971</v>
      </c>
      <c r="D757" s="36">
        <v>44250</v>
      </c>
      <c r="E757" s="22" t="s">
        <v>1175</v>
      </c>
      <c r="F757" s="23"/>
      <c r="G757" s="23"/>
      <c r="H757" s="23"/>
      <c r="I757" s="23"/>
    </row>
    <row r="758" spans="1:9" s="13" customFormat="1" ht="26.25" customHeight="1" thickBot="1">
      <c r="A758" s="13" t="s">
        <v>357</v>
      </c>
      <c r="B758" s="15" t="s">
        <v>356</v>
      </c>
      <c r="C758" s="46">
        <v>708.7</v>
      </c>
      <c r="D758" s="36">
        <v>44250</v>
      </c>
      <c r="E758" s="22" t="s">
        <v>1175</v>
      </c>
      <c r="F758" s="23"/>
      <c r="G758" s="23"/>
      <c r="H758" s="23"/>
      <c r="I758" s="23"/>
    </row>
    <row r="759" spans="1:9" s="13" customFormat="1" ht="26.25" customHeight="1" thickBot="1">
      <c r="A759" s="13" t="s">
        <v>355</v>
      </c>
      <c r="B759" s="15"/>
      <c r="C759" s="46">
        <v>673.97</v>
      </c>
      <c r="D759" s="36">
        <v>44248</v>
      </c>
      <c r="E759" s="22" t="s">
        <v>1175</v>
      </c>
      <c r="F759" s="23"/>
      <c r="G759" s="23"/>
      <c r="H759" s="23"/>
      <c r="I759" s="23"/>
    </row>
    <row r="760" spans="1:9" s="13" customFormat="1" ht="26.25" customHeight="1" thickBot="1">
      <c r="A760" s="13" t="s">
        <v>354</v>
      </c>
      <c r="B760" s="15" t="s">
        <v>209</v>
      </c>
      <c r="C760" s="46">
        <v>7.63</v>
      </c>
      <c r="D760" s="36">
        <v>44248</v>
      </c>
      <c r="E760" s="22" t="s">
        <v>1175</v>
      </c>
      <c r="F760" s="23"/>
      <c r="G760" s="23"/>
      <c r="H760" s="23"/>
      <c r="I760" s="23"/>
    </row>
    <row r="761" spans="1:9" s="13" customFormat="1" ht="26.25" customHeight="1" thickBot="1">
      <c r="A761" s="13" t="s">
        <v>353</v>
      </c>
      <c r="B761" s="15" t="s">
        <v>350</v>
      </c>
      <c r="C761" s="46">
        <v>336.1</v>
      </c>
      <c r="D761" s="36">
        <v>44247</v>
      </c>
      <c r="E761" s="22" t="s">
        <v>1175</v>
      </c>
      <c r="F761" s="23"/>
      <c r="G761" s="23"/>
      <c r="H761" s="23"/>
      <c r="I761" s="23"/>
    </row>
    <row r="762" spans="1:9" s="13" customFormat="1" ht="26.25" customHeight="1" thickBot="1">
      <c r="A762" s="13" t="s">
        <v>352</v>
      </c>
      <c r="B762" s="15" t="s">
        <v>207</v>
      </c>
      <c r="C762" s="46">
        <v>547.48329999999999</v>
      </c>
      <c r="D762" s="36">
        <v>44242</v>
      </c>
      <c r="E762" s="22" t="s">
        <v>1175</v>
      </c>
      <c r="F762" s="23"/>
      <c r="G762" s="23"/>
      <c r="H762" s="23"/>
      <c r="I762" s="23"/>
    </row>
    <row r="763" spans="1:9" s="13" customFormat="1" ht="26.25" customHeight="1" thickBot="1">
      <c r="A763" s="13" t="s">
        <v>351</v>
      </c>
      <c r="B763" s="15" t="s">
        <v>350</v>
      </c>
      <c r="C763" s="46">
        <v>336.1</v>
      </c>
      <c r="D763" s="36">
        <v>44242</v>
      </c>
      <c r="E763" s="22" t="s">
        <v>1175</v>
      </c>
      <c r="F763" s="23"/>
      <c r="G763" s="23"/>
      <c r="H763" s="23"/>
      <c r="I763" s="23"/>
    </row>
    <row r="764" spans="1:9" s="13" customFormat="1" ht="26.25" customHeight="1" thickBot="1">
      <c r="A764" s="13" t="s">
        <v>349</v>
      </c>
      <c r="B764" s="15" t="s">
        <v>205</v>
      </c>
      <c r="C764" s="46">
        <v>596</v>
      </c>
      <c r="D764" s="36">
        <v>44240</v>
      </c>
      <c r="E764" s="22" t="s">
        <v>1175</v>
      </c>
      <c r="F764" s="23"/>
      <c r="G764" s="23"/>
      <c r="H764" s="23"/>
      <c r="I764" s="23"/>
    </row>
    <row r="765" spans="1:9" s="13" customFormat="1" ht="26.25" customHeight="1" thickBot="1">
      <c r="A765" s="13" t="s">
        <v>348</v>
      </c>
      <c r="B765" s="15" t="s">
        <v>179</v>
      </c>
      <c r="C765" s="46">
        <v>673.97199999999998</v>
      </c>
      <c r="D765" s="36">
        <v>44236</v>
      </c>
      <c r="E765" s="22" t="s">
        <v>1175</v>
      </c>
      <c r="F765" s="23"/>
      <c r="G765" s="23"/>
      <c r="H765" s="23"/>
      <c r="I765" s="23"/>
    </row>
    <row r="766" spans="1:9" s="13" customFormat="1" ht="26.25" customHeight="1" thickBot="1">
      <c r="A766" s="13" t="s">
        <v>202</v>
      </c>
      <c r="B766" s="15" t="s">
        <v>347</v>
      </c>
      <c r="C766" s="46">
        <v>7.64</v>
      </c>
      <c r="D766" s="36" t="s">
        <v>201</v>
      </c>
      <c r="E766" s="22" t="s">
        <v>1175</v>
      </c>
      <c r="F766" s="23"/>
      <c r="G766" s="23"/>
      <c r="H766" s="23"/>
      <c r="I766" s="23"/>
    </row>
    <row r="767" spans="1:9" s="13" customFormat="1" ht="26.25" customHeight="1" thickBot="1">
      <c r="A767" s="13" t="s">
        <v>346</v>
      </c>
      <c r="B767" s="15" t="s">
        <v>345</v>
      </c>
      <c r="C767" s="46">
        <v>547.48</v>
      </c>
      <c r="D767" s="36" t="s">
        <v>200</v>
      </c>
      <c r="E767" s="22" t="s">
        <v>1175</v>
      </c>
      <c r="F767" s="23"/>
      <c r="G767" s="23"/>
      <c r="H767" s="23"/>
      <c r="I767" s="23"/>
    </row>
    <row r="768" spans="1:9" s="13" customFormat="1" ht="26.25" customHeight="1" thickBot="1">
      <c r="A768" s="13" t="s">
        <v>344</v>
      </c>
      <c r="B768" s="15" t="s">
        <v>343</v>
      </c>
      <c r="C768" s="46">
        <v>673.97</v>
      </c>
      <c r="D768" s="36" t="s">
        <v>199</v>
      </c>
      <c r="E768" s="22" t="s">
        <v>1175</v>
      </c>
      <c r="F768" s="23"/>
      <c r="G768" s="23"/>
      <c r="H768" s="23"/>
      <c r="I768" s="23"/>
    </row>
    <row r="769" spans="1:9" s="13" customFormat="1" ht="26.25" customHeight="1" thickBot="1">
      <c r="A769" s="13" t="s">
        <v>342</v>
      </c>
      <c r="B769" s="15" t="s">
        <v>341</v>
      </c>
      <c r="C769" s="46">
        <v>7.13</v>
      </c>
      <c r="D769" s="36" t="s">
        <v>198</v>
      </c>
      <c r="E769" s="22" t="s">
        <v>1175</v>
      </c>
      <c r="F769" s="23"/>
      <c r="G769" s="23"/>
      <c r="H769" s="23"/>
      <c r="I769" s="23"/>
    </row>
    <row r="770" spans="1:9" s="13" customFormat="1" ht="26.25" customHeight="1" thickBot="1">
      <c r="A770" s="13" t="s">
        <v>182</v>
      </c>
      <c r="B770" s="15" t="s">
        <v>340</v>
      </c>
      <c r="C770" s="46">
        <v>7.64</v>
      </c>
      <c r="D770" s="36" t="s">
        <v>197</v>
      </c>
      <c r="E770" s="22" t="s">
        <v>1175</v>
      </c>
      <c r="F770" s="23"/>
      <c r="G770" s="23"/>
      <c r="H770" s="23"/>
      <c r="I770" s="23"/>
    </row>
    <row r="771" spans="1:9" s="13" customFormat="1" ht="26.25" customHeight="1" thickBot="1">
      <c r="A771" s="13" t="s">
        <v>339</v>
      </c>
      <c r="B771" s="15" t="s">
        <v>180</v>
      </c>
      <c r="C771" s="46">
        <v>596.29999999999995</v>
      </c>
      <c r="D771" s="36" t="s">
        <v>195</v>
      </c>
      <c r="E771" s="22" t="s">
        <v>1175</v>
      </c>
      <c r="F771" s="23"/>
      <c r="G771" s="23"/>
      <c r="H771" s="23"/>
      <c r="I771" s="23"/>
    </row>
    <row r="772" spans="1:9" s="13" customFormat="1" ht="26.25" customHeight="1" thickBot="1">
      <c r="A772" s="13" t="s">
        <v>132</v>
      </c>
      <c r="B772" s="15" t="s">
        <v>249</v>
      </c>
      <c r="C772" s="46">
        <v>547.48</v>
      </c>
      <c r="D772" s="36" t="s">
        <v>195</v>
      </c>
      <c r="E772" s="22" t="s">
        <v>1175</v>
      </c>
      <c r="F772" s="23"/>
      <c r="G772" s="23"/>
      <c r="H772" s="23"/>
      <c r="I772" s="23"/>
    </row>
    <row r="773" spans="1:9" s="13" customFormat="1" ht="26.25" customHeight="1" thickBot="1">
      <c r="A773" s="13" t="s">
        <v>338</v>
      </c>
      <c r="B773" s="15" t="s">
        <v>337</v>
      </c>
      <c r="C773" s="46">
        <v>7.64</v>
      </c>
      <c r="D773" s="36" t="s">
        <v>195</v>
      </c>
      <c r="E773" s="22" t="s">
        <v>1175</v>
      </c>
      <c r="F773" s="23"/>
      <c r="G773" s="23"/>
      <c r="H773" s="23"/>
      <c r="I773" s="23"/>
    </row>
    <row r="774" spans="1:9" s="13" customFormat="1" ht="26.25" customHeight="1" thickBot="1">
      <c r="A774" s="13" t="s">
        <v>196</v>
      </c>
      <c r="B774" s="15" t="s">
        <v>336</v>
      </c>
      <c r="C774" s="46">
        <v>7.64</v>
      </c>
      <c r="D774" s="36" t="s">
        <v>195</v>
      </c>
      <c r="E774" s="22" t="s">
        <v>1175</v>
      </c>
      <c r="F774" s="23"/>
      <c r="G774" s="23"/>
      <c r="H774" s="23"/>
      <c r="I774" s="23"/>
    </row>
    <row r="775" spans="1:9" s="13" customFormat="1" ht="26.25" customHeight="1" thickBot="1">
      <c r="A775" s="13" t="s">
        <v>335</v>
      </c>
      <c r="B775" s="15" t="s">
        <v>334</v>
      </c>
      <c r="C775" s="46">
        <v>336</v>
      </c>
      <c r="D775" s="36" t="s">
        <v>195</v>
      </c>
      <c r="E775" s="22" t="s">
        <v>1175</v>
      </c>
      <c r="F775" s="23"/>
      <c r="G775" s="23"/>
      <c r="H775" s="23"/>
      <c r="I775" s="23"/>
    </row>
    <row r="776" spans="1:9" s="13" customFormat="1" ht="26.25" customHeight="1" thickBot="1">
      <c r="A776" s="13" t="s">
        <v>194</v>
      </c>
      <c r="B776" s="15" t="s">
        <v>333</v>
      </c>
      <c r="C776" s="46">
        <v>673.86</v>
      </c>
      <c r="D776" s="36" t="s">
        <v>191</v>
      </c>
      <c r="E776" s="22" t="s">
        <v>1175</v>
      </c>
      <c r="F776" s="23"/>
      <c r="G776" s="23"/>
      <c r="H776" s="23"/>
      <c r="I776" s="23"/>
    </row>
    <row r="777" spans="1:9" s="13" customFormat="1" ht="26.25" customHeight="1" thickBot="1">
      <c r="A777" s="13" t="s">
        <v>193</v>
      </c>
      <c r="B777" s="15" t="s">
        <v>192</v>
      </c>
      <c r="C777" s="46">
        <v>673.86</v>
      </c>
      <c r="D777" s="36" t="s">
        <v>191</v>
      </c>
      <c r="E777" s="22" t="s">
        <v>1175</v>
      </c>
      <c r="F777" s="23"/>
      <c r="G777" s="23"/>
      <c r="H777" s="23"/>
      <c r="I777" s="23"/>
    </row>
    <row r="778" spans="1:9" s="13" customFormat="1" ht="26.25" customHeight="1" thickBot="1">
      <c r="A778" s="13" t="s">
        <v>190</v>
      </c>
      <c r="B778" s="15" t="s">
        <v>332</v>
      </c>
      <c r="C778" s="46">
        <v>335.3</v>
      </c>
      <c r="D778" s="36" t="s">
        <v>189</v>
      </c>
      <c r="E778" s="22" t="s">
        <v>1175</v>
      </c>
      <c r="F778" s="23"/>
      <c r="G778" s="23"/>
      <c r="H778" s="23"/>
      <c r="I778" s="23"/>
    </row>
    <row r="779" spans="1:9" s="13" customFormat="1" ht="26.25" customHeight="1">
      <c r="A779" s="13" t="s">
        <v>188</v>
      </c>
      <c r="B779" s="15" t="s">
        <v>331</v>
      </c>
      <c r="C779" s="46">
        <v>673.86</v>
      </c>
      <c r="D779" s="36" t="s">
        <v>187</v>
      </c>
      <c r="E779" s="22" t="s">
        <v>1175</v>
      </c>
      <c r="F779" s="23"/>
      <c r="G779" s="23"/>
      <c r="H779" s="23"/>
      <c r="I779" s="23"/>
    </row>
    <row r="780" spans="1:9" s="13" customFormat="1" ht="26.25" customHeight="1">
      <c r="A780" s="13" t="s">
        <v>186</v>
      </c>
      <c r="B780" s="15" t="s">
        <v>330</v>
      </c>
      <c r="C780" s="46">
        <v>596.38</v>
      </c>
      <c r="D780" s="18" t="s">
        <v>184</v>
      </c>
      <c r="E780" s="22" t="s">
        <v>1175</v>
      </c>
      <c r="F780" s="23"/>
      <c r="G780" s="23"/>
      <c r="H780" s="23"/>
      <c r="I780" s="23"/>
    </row>
    <row r="781" spans="1:9" s="13" customFormat="1" ht="26.25" customHeight="1">
      <c r="A781" s="13" t="s">
        <v>185</v>
      </c>
      <c r="B781" s="15" t="s">
        <v>329</v>
      </c>
      <c r="C781" s="46">
        <v>547.48</v>
      </c>
      <c r="D781" s="18" t="s">
        <v>184</v>
      </c>
      <c r="E781" s="22" t="s">
        <v>1175</v>
      </c>
      <c r="F781" s="23"/>
      <c r="G781" s="23"/>
      <c r="H781" s="23"/>
      <c r="I781" s="23"/>
    </row>
    <row r="782" spans="1:9" s="13" customFormat="1" ht="26.25" customHeight="1">
      <c r="A782" s="13" t="s">
        <v>328</v>
      </c>
      <c r="B782" s="15" t="s">
        <v>183</v>
      </c>
      <c r="C782" s="46">
        <v>547.48</v>
      </c>
      <c r="D782" s="18" t="s">
        <v>181</v>
      </c>
      <c r="E782" s="22" t="s">
        <v>1175</v>
      </c>
      <c r="F782" s="23"/>
      <c r="G782" s="23"/>
      <c r="H782" s="23"/>
      <c r="I782" s="23"/>
    </row>
    <row r="783" spans="1:9" s="13" customFormat="1" ht="26.25" customHeight="1">
      <c r="A783" s="13" t="s">
        <v>327</v>
      </c>
      <c r="B783" s="15" t="s">
        <v>326</v>
      </c>
      <c r="C783" s="46">
        <v>596.22</v>
      </c>
      <c r="D783" s="18" t="s">
        <v>181</v>
      </c>
      <c r="E783" s="22" t="s">
        <v>1175</v>
      </c>
      <c r="F783" s="23"/>
      <c r="G783" s="23"/>
      <c r="H783" s="23"/>
      <c r="I783" s="23"/>
    </row>
    <row r="784" spans="1:9" s="13" customFormat="1" ht="26.25" customHeight="1" thickBot="1">
      <c r="A784" s="13" t="s">
        <v>325</v>
      </c>
      <c r="B784" s="15" t="s">
        <v>324</v>
      </c>
      <c r="C784" s="46">
        <v>596.22</v>
      </c>
      <c r="D784" s="18" t="s">
        <v>178</v>
      </c>
      <c r="E784" s="22" t="s">
        <v>1175</v>
      </c>
      <c r="F784" s="23"/>
      <c r="G784" s="23"/>
      <c r="H784" s="23"/>
      <c r="I784" s="23"/>
    </row>
    <row r="785" spans="1:9" s="13" customFormat="1" ht="26.25" customHeight="1" thickBot="1">
      <c r="A785" s="13" t="s">
        <v>323</v>
      </c>
      <c r="B785" s="15" t="s">
        <v>322</v>
      </c>
      <c r="C785" s="46">
        <v>596.22</v>
      </c>
      <c r="D785" s="36">
        <v>44207</v>
      </c>
      <c r="E785" s="22" t="s">
        <v>1175</v>
      </c>
      <c r="F785" s="23"/>
      <c r="G785" s="23"/>
      <c r="H785" s="23"/>
      <c r="I785" s="23"/>
    </row>
    <row r="786" spans="1:9" s="13" customFormat="1" ht="26.25" customHeight="1" thickBot="1">
      <c r="A786" s="13" t="s">
        <v>321</v>
      </c>
      <c r="B786" s="15" t="s">
        <v>320</v>
      </c>
      <c r="C786" s="46">
        <v>596</v>
      </c>
      <c r="D786" s="36">
        <v>44206</v>
      </c>
      <c r="E786" s="22" t="s">
        <v>1175</v>
      </c>
      <c r="F786" s="23"/>
      <c r="G786" s="23"/>
      <c r="H786" s="23"/>
      <c r="I786" s="23"/>
    </row>
    <row r="787" spans="1:9" s="13" customFormat="1" ht="26.25" customHeight="1" thickBot="1">
      <c r="A787" s="13" t="s">
        <v>319</v>
      </c>
      <c r="B787" s="15" t="s">
        <v>318</v>
      </c>
      <c r="C787" s="46">
        <v>673.3</v>
      </c>
      <c r="D787" s="36" t="s">
        <v>173</v>
      </c>
      <c r="E787" s="22" t="s">
        <v>1175</v>
      </c>
      <c r="F787" s="23"/>
      <c r="G787" s="23"/>
      <c r="H787" s="23"/>
      <c r="I787" s="23"/>
    </row>
    <row r="788" spans="1:9" s="13" customFormat="1" ht="26.25" customHeight="1" thickBot="1">
      <c r="A788" s="13" t="s">
        <v>317</v>
      </c>
      <c r="B788" s="15" t="s">
        <v>175</v>
      </c>
      <c r="C788" s="46">
        <v>547.48</v>
      </c>
      <c r="D788" s="36" t="s">
        <v>173</v>
      </c>
      <c r="E788" s="22" t="s">
        <v>1175</v>
      </c>
      <c r="F788" s="23"/>
      <c r="G788" s="23"/>
      <c r="H788" s="23"/>
      <c r="I788" s="23"/>
    </row>
    <row r="789" spans="1:9" s="13" customFormat="1" ht="26.25" customHeight="1" thickBot="1">
      <c r="A789" s="13" t="s">
        <v>316</v>
      </c>
      <c r="B789" s="15" t="s">
        <v>315</v>
      </c>
      <c r="C789" s="46">
        <v>336.49</v>
      </c>
      <c r="D789" s="36" t="s">
        <v>173</v>
      </c>
      <c r="E789" s="22" t="s">
        <v>1175</v>
      </c>
      <c r="F789" s="23"/>
      <c r="G789" s="23"/>
      <c r="H789" s="23"/>
      <c r="I789" s="23"/>
    </row>
    <row r="790" spans="1:9" s="13" customFormat="1" ht="26.25" customHeight="1" thickBot="1">
      <c r="A790" s="13" t="s">
        <v>314</v>
      </c>
      <c r="B790" s="15" t="s">
        <v>313</v>
      </c>
      <c r="C790" s="46">
        <v>7.64</v>
      </c>
      <c r="D790" s="36" t="s">
        <v>172</v>
      </c>
      <c r="E790" s="22" t="s">
        <v>1175</v>
      </c>
      <c r="F790" s="23"/>
      <c r="G790" s="23"/>
      <c r="H790" s="23"/>
      <c r="I790" s="23"/>
    </row>
    <row r="791" spans="1:9" s="13" customFormat="1" ht="26.25" customHeight="1" thickBot="1">
      <c r="A791" s="13" t="s">
        <v>312</v>
      </c>
      <c r="B791" s="15" t="s">
        <v>311</v>
      </c>
      <c r="C791" s="46">
        <v>7.6</v>
      </c>
      <c r="D791" s="36" t="s">
        <v>170</v>
      </c>
      <c r="E791" s="22" t="s">
        <v>1175</v>
      </c>
      <c r="F791" s="23"/>
      <c r="G791" s="23"/>
      <c r="H791" s="23"/>
      <c r="I791" s="23"/>
    </row>
    <row r="792" spans="1:9" s="13" customFormat="1" ht="26.25" customHeight="1" thickBot="1">
      <c r="A792" s="13" t="s">
        <v>310</v>
      </c>
      <c r="B792" s="15" t="s">
        <v>171</v>
      </c>
      <c r="C792" s="46">
        <v>7.63</v>
      </c>
      <c r="D792" s="36" t="s">
        <v>170</v>
      </c>
      <c r="E792" s="22" t="s">
        <v>1175</v>
      </c>
      <c r="F792" s="23"/>
      <c r="G792" s="23"/>
      <c r="H792" s="23"/>
      <c r="I792" s="23"/>
    </row>
    <row r="793" spans="1:9" s="13" customFormat="1" ht="26.25" customHeight="1" thickBot="1">
      <c r="A793" s="13" t="s">
        <v>309</v>
      </c>
      <c r="B793" s="15" t="s">
        <v>308</v>
      </c>
      <c r="C793" s="46">
        <v>7.63</v>
      </c>
      <c r="D793" s="36" t="s">
        <v>169</v>
      </c>
      <c r="E793" s="22" t="s">
        <v>1175</v>
      </c>
      <c r="F793" s="23"/>
      <c r="G793" s="23"/>
      <c r="H793" s="23"/>
      <c r="I793" s="23"/>
    </row>
    <row r="794" spans="1:9" s="13" customFormat="1" ht="26.25" customHeight="1" thickBot="1">
      <c r="A794" s="13" t="s">
        <v>307</v>
      </c>
      <c r="B794" s="15" t="s">
        <v>279</v>
      </c>
      <c r="C794" s="46">
        <v>547.48</v>
      </c>
      <c r="D794" s="36" t="s">
        <v>166</v>
      </c>
      <c r="E794" s="22" t="s">
        <v>1175</v>
      </c>
      <c r="F794" s="23"/>
      <c r="G794" s="23"/>
      <c r="H794" s="23"/>
      <c r="I794" s="23"/>
    </row>
    <row r="795" spans="1:9" s="13" customFormat="1" ht="26.25" customHeight="1" thickBot="1">
      <c r="A795" s="13" t="s">
        <v>306</v>
      </c>
      <c r="B795" s="15" t="s">
        <v>168</v>
      </c>
      <c r="C795" s="46">
        <v>7.6</v>
      </c>
      <c r="D795" s="36" t="s">
        <v>166</v>
      </c>
      <c r="E795" s="22" t="s">
        <v>1175</v>
      </c>
      <c r="F795" s="23"/>
      <c r="G795" s="23"/>
      <c r="H795" s="23"/>
      <c r="I795" s="23"/>
    </row>
    <row r="796" spans="1:9" s="13" customFormat="1" ht="26.25" customHeight="1" thickBot="1">
      <c r="A796" s="13" t="s">
        <v>305</v>
      </c>
      <c r="B796" s="15" t="s">
        <v>167</v>
      </c>
      <c r="C796" s="46">
        <v>336.1</v>
      </c>
      <c r="D796" s="36" t="s">
        <v>166</v>
      </c>
      <c r="E796" s="22" t="s">
        <v>1175</v>
      </c>
      <c r="F796" s="23"/>
      <c r="G796" s="23"/>
      <c r="H796" s="23"/>
      <c r="I796" s="23"/>
    </row>
    <row r="797" spans="1:9" s="13" customFormat="1" ht="26.25" customHeight="1" thickBot="1">
      <c r="A797" s="13" t="s">
        <v>304</v>
      </c>
      <c r="B797" s="15" t="s">
        <v>303</v>
      </c>
      <c r="C797" s="46">
        <v>329.94</v>
      </c>
      <c r="D797" s="36">
        <v>44167</v>
      </c>
      <c r="E797" s="22" t="s">
        <v>1175</v>
      </c>
      <c r="F797" s="23"/>
      <c r="G797" s="23"/>
      <c r="H797" s="23"/>
      <c r="I797" s="23"/>
    </row>
    <row r="798" spans="1:9" s="13" customFormat="1" ht="26.25" customHeight="1" thickBot="1">
      <c r="A798" s="13" t="s">
        <v>302</v>
      </c>
      <c r="B798" s="15" t="s">
        <v>165</v>
      </c>
      <c r="C798" s="46">
        <v>810.4</v>
      </c>
      <c r="D798" s="36" t="s">
        <v>164</v>
      </c>
      <c r="E798" s="22" t="s">
        <v>1175</v>
      </c>
      <c r="F798" s="23"/>
      <c r="G798" s="23"/>
      <c r="H798" s="23"/>
      <c r="I798" s="23"/>
    </row>
    <row r="799" spans="1:9" s="13" customFormat="1" ht="26.25" customHeight="1" thickBot="1">
      <c r="A799" s="13" t="s">
        <v>301</v>
      </c>
      <c r="B799" s="15" t="s">
        <v>157</v>
      </c>
      <c r="C799" s="46">
        <v>547.48</v>
      </c>
      <c r="D799" s="36" t="s">
        <v>163</v>
      </c>
      <c r="E799" s="22" t="s">
        <v>1175</v>
      </c>
      <c r="F799" s="23"/>
      <c r="G799" s="23"/>
      <c r="H799" s="23"/>
      <c r="I799" s="23"/>
    </row>
    <row r="800" spans="1:9" s="13" customFormat="1" ht="26.25" customHeight="1" thickBot="1">
      <c r="A800" s="13" t="s">
        <v>300</v>
      </c>
      <c r="B800" s="15" t="s">
        <v>299</v>
      </c>
      <c r="C800" s="46">
        <v>7.63</v>
      </c>
      <c r="D800" s="36">
        <v>44161</v>
      </c>
      <c r="E800" s="22" t="s">
        <v>1175</v>
      </c>
      <c r="F800" s="23"/>
      <c r="G800" s="23"/>
      <c r="H800" s="23"/>
      <c r="I800" s="23"/>
    </row>
    <row r="801" spans="1:9" s="13" customFormat="1" ht="26.25" customHeight="1" thickBot="1">
      <c r="A801" s="13" t="s">
        <v>298</v>
      </c>
      <c r="B801" s="15" t="s">
        <v>162</v>
      </c>
      <c r="C801" s="46">
        <v>673.36</v>
      </c>
      <c r="D801" s="36" t="s">
        <v>161</v>
      </c>
      <c r="E801" s="22" t="s">
        <v>1175</v>
      </c>
      <c r="F801" s="23"/>
      <c r="G801" s="23"/>
      <c r="H801" s="23"/>
      <c r="I801" s="23"/>
    </row>
    <row r="802" spans="1:9" s="13" customFormat="1" ht="26.25" customHeight="1" thickBot="1">
      <c r="A802" s="13" t="s">
        <v>297</v>
      </c>
      <c r="B802" s="15" t="s">
        <v>296</v>
      </c>
      <c r="C802" s="46">
        <v>7.6</v>
      </c>
      <c r="D802" s="36" t="s">
        <v>160</v>
      </c>
      <c r="E802" s="22" t="s">
        <v>1175</v>
      </c>
      <c r="F802" s="23"/>
      <c r="G802" s="23"/>
      <c r="H802" s="23"/>
      <c r="I802" s="23"/>
    </row>
    <row r="803" spans="1:9" s="13" customFormat="1" ht="26.25" customHeight="1" thickBot="1">
      <c r="A803" s="13" t="s">
        <v>295</v>
      </c>
      <c r="B803" s="15" t="s">
        <v>294</v>
      </c>
      <c r="C803" s="46">
        <v>336.17</v>
      </c>
      <c r="D803" s="36" t="s">
        <v>160</v>
      </c>
      <c r="E803" s="22" t="s">
        <v>1175</v>
      </c>
      <c r="F803" s="23"/>
      <c r="G803" s="23"/>
      <c r="H803" s="23"/>
      <c r="I803" s="23"/>
    </row>
    <row r="804" spans="1:9" s="13" customFormat="1" ht="26.25" customHeight="1" thickBot="1">
      <c r="A804" s="13" t="s">
        <v>293</v>
      </c>
      <c r="B804" s="15" t="s">
        <v>292</v>
      </c>
      <c r="C804" s="46">
        <v>829.37</v>
      </c>
      <c r="D804" s="36">
        <v>44160</v>
      </c>
      <c r="E804" s="22" t="s">
        <v>1175</v>
      </c>
      <c r="F804" s="23"/>
      <c r="G804" s="23"/>
      <c r="H804" s="23"/>
      <c r="I804" s="23"/>
    </row>
    <row r="805" spans="1:9" s="13" customFormat="1" ht="26.25" customHeight="1" thickBot="1">
      <c r="A805" s="13" t="s">
        <v>291</v>
      </c>
      <c r="B805" s="15" t="s">
        <v>290</v>
      </c>
      <c r="C805" s="46">
        <v>7.63</v>
      </c>
      <c r="D805" s="36">
        <v>44158</v>
      </c>
      <c r="E805" s="22" t="s">
        <v>1175</v>
      </c>
      <c r="F805" s="23"/>
      <c r="G805" s="23"/>
      <c r="H805" s="23"/>
      <c r="I805" s="23"/>
    </row>
    <row r="806" spans="1:9" s="13" customFormat="1" ht="26.25" customHeight="1" thickBot="1">
      <c r="A806" s="13" t="s">
        <v>289</v>
      </c>
      <c r="B806" s="15" t="s">
        <v>149</v>
      </c>
      <c r="C806" s="46">
        <v>835</v>
      </c>
      <c r="D806" s="36" t="s">
        <v>159</v>
      </c>
      <c r="E806" s="22" t="s">
        <v>1175</v>
      </c>
      <c r="F806" s="23"/>
      <c r="G806" s="23"/>
      <c r="H806" s="23"/>
      <c r="I806" s="23"/>
    </row>
    <row r="807" spans="1:9" s="13" customFormat="1" ht="26.25" customHeight="1" thickBot="1">
      <c r="A807" s="13" t="s">
        <v>147</v>
      </c>
      <c r="B807" s="15" t="s">
        <v>146</v>
      </c>
      <c r="C807" s="46">
        <v>7.13</v>
      </c>
      <c r="D807" s="36" t="s">
        <v>159</v>
      </c>
      <c r="E807" s="22" t="s">
        <v>1175</v>
      </c>
      <c r="F807" s="23"/>
      <c r="G807" s="23"/>
      <c r="H807" s="23"/>
      <c r="I807" s="23"/>
    </row>
    <row r="808" spans="1:9" s="13" customFormat="1" ht="26.25" customHeight="1" thickBot="1">
      <c r="A808" s="15" t="s">
        <v>145</v>
      </c>
      <c r="B808" s="15" t="s">
        <v>288</v>
      </c>
      <c r="C808" s="46">
        <v>336.17</v>
      </c>
      <c r="D808" s="36">
        <v>44156</v>
      </c>
      <c r="E808" s="22" t="s">
        <v>1175</v>
      </c>
      <c r="F808" s="23"/>
      <c r="G808" s="23"/>
      <c r="H808" s="23"/>
      <c r="I808" s="23"/>
    </row>
    <row r="809" spans="1:9" s="39" customFormat="1" ht="26.25" customHeight="1" thickBot="1">
      <c r="A809" s="38" t="s">
        <v>287</v>
      </c>
      <c r="B809" s="15" t="s">
        <v>286</v>
      </c>
      <c r="C809" s="46">
        <v>673.99</v>
      </c>
      <c r="D809" s="36" t="s">
        <v>158</v>
      </c>
      <c r="E809" s="22" t="s">
        <v>1175</v>
      </c>
      <c r="F809" s="23"/>
      <c r="G809" s="23"/>
      <c r="H809" s="23"/>
      <c r="I809" s="23"/>
    </row>
    <row r="810" spans="1:9" s="13" customFormat="1" ht="26.25" customHeight="1" thickBot="1">
      <c r="A810" s="13" t="s">
        <v>285</v>
      </c>
      <c r="B810" s="15" t="s">
        <v>284</v>
      </c>
      <c r="C810" s="46">
        <v>336.57</v>
      </c>
      <c r="D810" s="36" t="s">
        <v>158</v>
      </c>
      <c r="E810" s="22" t="s">
        <v>1175</v>
      </c>
      <c r="F810" s="23"/>
      <c r="G810" s="23"/>
      <c r="H810" s="23"/>
      <c r="I810" s="23"/>
    </row>
    <row r="811" spans="1:9" s="13" customFormat="1" ht="26.25" customHeight="1" thickBot="1">
      <c r="A811" s="13" t="s">
        <v>283</v>
      </c>
      <c r="B811" s="15"/>
      <c r="C811" s="46">
        <v>675</v>
      </c>
      <c r="D811" s="36" t="s">
        <v>156</v>
      </c>
      <c r="E811" s="22" t="s">
        <v>1175</v>
      </c>
      <c r="F811" s="23"/>
      <c r="G811" s="23"/>
      <c r="H811" s="23"/>
      <c r="I811" s="23"/>
    </row>
    <row r="812" spans="1:9" s="13" customFormat="1" ht="26.25" customHeight="1" thickBot="1">
      <c r="A812" s="13" t="s">
        <v>282</v>
      </c>
      <c r="B812" s="15" t="s">
        <v>281</v>
      </c>
      <c r="C812" s="46">
        <v>336.57</v>
      </c>
      <c r="D812" s="36" t="s">
        <v>156</v>
      </c>
      <c r="E812" s="22" t="s">
        <v>1175</v>
      </c>
      <c r="F812" s="23"/>
      <c r="G812" s="23"/>
      <c r="H812" s="23"/>
      <c r="I812" s="23"/>
    </row>
    <row r="813" spans="1:9" s="13" customFormat="1" ht="26.25" customHeight="1" thickBot="1">
      <c r="A813" s="13" t="s">
        <v>155</v>
      </c>
      <c r="B813" s="15" t="s">
        <v>154</v>
      </c>
      <c r="C813" s="46">
        <v>7.63</v>
      </c>
      <c r="D813" s="36" t="s">
        <v>153</v>
      </c>
      <c r="E813" s="22" t="s">
        <v>1175</v>
      </c>
      <c r="F813" s="23"/>
      <c r="G813" s="23"/>
      <c r="H813" s="23"/>
      <c r="I813" s="23"/>
    </row>
    <row r="814" spans="1:9" s="13" customFormat="1" ht="26.25" customHeight="1" thickBot="1">
      <c r="A814" s="13" t="s">
        <v>280</v>
      </c>
      <c r="B814" s="15" t="s">
        <v>279</v>
      </c>
      <c r="C814" s="46">
        <v>547.48</v>
      </c>
      <c r="D814" s="36" t="s">
        <v>152</v>
      </c>
      <c r="E814" s="22" t="s">
        <v>1175</v>
      </c>
      <c r="F814" s="23"/>
      <c r="G814" s="23"/>
      <c r="H814" s="23"/>
      <c r="I814" s="23"/>
    </row>
    <row r="815" spans="1:9" s="13" customFormat="1" ht="26.25" customHeight="1" thickBot="1">
      <c r="A815" s="13" t="s">
        <v>278</v>
      </c>
      <c r="B815" s="15" t="s">
        <v>277</v>
      </c>
      <c r="C815" s="46">
        <v>830</v>
      </c>
      <c r="D815" s="36" t="s">
        <v>152</v>
      </c>
      <c r="E815" s="22" t="s">
        <v>1175</v>
      </c>
      <c r="F815" s="23"/>
      <c r="G815" s="23"/>
      <c r="H815" s="23"/>
      <c r="I815" s="23"/>
    </row>
    <row r="816" spans="1:9" s="13" customFormat="1" ht="26.25" customHeight="1" thickBot="1">
      <c r="A816" s="13" t="s">
        <v>276</v>
      </c>
      <c r="B816" s="15" t="s">
        <v>275</v>
      </c>
      <c r="C816" s="46">
        <v>336.57</v>
      </c>
      <c r="D816" s="36">
        <v>44146</v>
      </c>
      <c r="E816" s="22" t="s">
        <v>1175</v>
      </c>
      <c r="F816" s="23"/>
      <c r="G816" s="23"/>
      <c r="H816" s="23"/>
      <c r="I816" s="23"/>
    </row>
    <row r="817" spans="1:9" s="13" customFormat="1" ht="26.25" customHeight="1" thickBot="1">
      <c r="A817" s="13" t="s">
        <v>151</v>
      </c>
      <c r="B817" s="15" t="s">
        <v>150</v>
      </c>
      <c r="C817" s="46">
        <v>336.57</v>
      </c>
      <c r="D817" s="36" t="s">
        <v>148</v>
      </c>
      <c r="E817" s="22" t="s">
        <v>1175</v>
      </c>
      <c r="F817" s="23"/>
      <c r="G817" s="23"/>
      <c r="H817" s="23"/>
      <c r="I817" s="23"/>
    </row>
    <row r="818" spans="1:9" s="13" customFormat="1" ht="26.25" customHeight="1" thickBot="1">
      <c r="A818" s="13" t="s">
        <v>274</v>
      </c>
      <c r="B818" s="15" t="s">
        <v>260</v>
      </c>
      <c r="C818" s="46">
        <v>331</v>
      </c>
      <c r="D818" s="36" t="s">
        <v>144</v>
      </c>
      <c r="E818" s="22" t="s">
        <v>1175</v>
      </c>
      <c r="F818" s="23"/>
      <c r="G818" s="23"/>
      <c r="H818" s="23"/>
      <c r="I818" s="23"/>
    </row>
    <row r="819" spans="1:9" s="13" customFormat="1" ht="26.25" customHeight="1" thickBot="1">
      <c r="A819" s="13" t="s">
        <v>273</v>
      </c>
      <c r="B819" s="15" t="s">
        <v>272</v>
      </c>
      <c r="C819" s="46">
        <v>547.48</v>
      </c>
      <c r="D819" s="36" t="s">
        <v>143</v>
      </c>
      <c r="E819" s="22" t="s">
        <v>1175</v>
      </c>
      <c r="F819" s="23"/>
      <c r="G819" s="23"/>
      <c r="H819" s="23"/>
      <c r="I819" s="23"/>
    </row>
    <row r="820" spans="1:9" s="13" customFormat="1" ht="26.25" customHeight="1" thickBot="1">
      <c r="A820" s="13" t="s">
        <v>135</v>
      </c>
      <c r="B820" s="15" t="s">
        <v>271</v>
      </c>
      <c r="C820" s="46">
        <v>7.61</v>
      </c>
      <c r="D820" s="36">
        <v>44140</v>
      </c>
      <c r="E820" s="22" t="s">
        <v>1175</v>
      </c>
      <c r="F820" s="23"/>
      <c r="G820" s="23"/>
      <c r="H820" s="23"/>
      <c r="I820" s="23"/>
    </row>
    <row r="821" spans="1:9" s="13" customFormat="1" ht="26.25" customHeight="1" thickBot="1">
      <c r="A821" s="13" t="s">
        <v>270</v>
      </c>
      <c r="B821" s="15" t="s">
        <v>269</v>
      </c>
      <c r="C821" s="46">
        <v>547.48</v>
      </c>
      <c r="D821" s="36" t="s">
        <v>142</v>
      </c>
      <c r="E821" s="22" t="s">
        <v>1175</v>
      </c>
      <c r="F821" s="23"/>
      <c r="G821" s="23"/>
      <c r="H821" s="23"/>
      <c r="I821" s="23"/>
    </row>
    <row r="822" spans="1:9" s="13" customFormat="1" ht="26.25" customHeight="1" thickBot="1">
      <c r="A822" s="13" t="s">
        <v>268</v>
      </c>
      <c r="B822" s="15" t="s">
        <v>267</v>
      </c>
      <c r="C822" s="46">
        <v>7.61</v>
      </c>
      <c r="D822" s="36">
        <v>44137</v>
      </c>
      <c r="E822" s="22" t="s">
        <v>1175</v>
      </c>
      <c r="F822" s="23"/>
      <c r="G822" s="23"/>
      <c r="H822" s="23"/>
      <c r="I822" s="23"/>
    </row>
    <row r="823" spans="1:9" s="13" customFormat="1" ht="26.25" customHeight="1" thickBot="1">
      <c r="A823" s="13" t="s">
        <v>266</v>
      </c>
      <c r="B823" s="15" t="s">
        <v>265</v>
      </c>
      <c r="C823" s="46">
        <v>336.07</v>
      </c>
      <c r="D823" s="36">
        <v>44136</v>
      </c>
      <c r="E823" s="22" t="s">
        <v>1175</v>
      </c>
      <c r="F823" s="23"/>
      <c r="G823" s="23"/>
      <c r="H823" s="23"/>
      <c r="I823" s="23"/>
    </row>
    <row r="824" spans="1:9" s="13" customFormat="1" ht="26.25" customHeight="1" thickBot="1">
      <c r="A824" s="13" t="s">
        <v>126</v>
      </c>
      <c r="B824" s="15" t="s">
        <v>264</v>
      </c>
      <c r="C824" s="46">
        <v>366.14</v>
      </c>
      <c r="D824" s="36" t="s">
        <v>141</v>
      </c>
      <c r="E824" s="22" t="s">
        <v>1175</v>
      </c>
      <c r="F824" s="23"/>
      <c r="G824" s="23"/>
      <c r="H824" s="23"/>
      <c r="I824" s="23"/>
    </row>
    <row r="825" spans="1:9" s="13" customFormat="1" ht="26.25" customHeight="1" thickBot="1">
      <c r="A825" s="13" t="s">
        <v>263</v>
      </c>
      <c r="B825" s="15" t="s">
        <v>140</v>
      </c>
      <c r="C825" s="46">
        <v>364.3</v>
      </c>
      <c r="D825" s="36" t="s">
        <v>139</v>
      </c>
      <c r="E825" s="22" t="s">
        <v>1175</v>
      </c>
      <c r="F825" s="23"/>
      <c r="G825" s="23"/>
      <c r="H825" s="23"/>
      <c r="I825" s="23"/>
    </row>
    <row r="826" spans="1:9" s="13" customFormat="1" ht="26.25" customHeight="1" thickBot="1">
      <c r="A826" s="13" t="s">
        <v>138</v>
      </c>
      <c r="B826" s="15" t="s">
        <v>137</v>
      </c>
      <c r="C826" s="46">
        <v>336.57</v>
      </c>
      <c r="D826" s="36" t="s">
        <v>136</v>
      </c>
      <c r="E826" s="22" t="s">
        <v>1175</v>
      </c>
      <c r="F826" s="23"/>
      <c r="G826" s="23"/>
      <c r="H826" s="23"/>
      <c r="I826" s="23"/>
    </row>
    <row r="827" spans="1:9" s="13" customFormat="1" ht="26.25" customHeight="1" thickBot="1">
      <c r="A827" s="13" t="s">
        <v>262</v>
      </c>
      <c r="B827" s="15" t="s">
        <v>134</v>
      </c>
      <c r="C827" s="46">
        <v>335.35</v>
      </c>
      <c r="D827" s="36" t="s">
        <v>133</v>
      </c>
      <c r="E827" s="22" t="s">
        <v>1175</v>
      </c>
      <c r="F827" s="23"/>
      <c r="G827" s="23"/>
      <c r="H827" s="23"/>
      <c r="I827" s="23"/>
    </row>
    <row r="828" spans="1:9" s="13" customFormat="1" ht="26.25" customHeight="1" thickBot="1">
      <c r="A828" s="13" t="s">
        <v>261</v>
      </c>
      <c r="B828" s="15" t="s">
        <v>260</v>
      </c>
      <c r="C828" s="46">
        <v>331</v>
      </c>
      <c r="D828" s="36" t="s">
        <v>131</v>
      </c>
      <c r="E828" s="22" t="s">
        <v>1175</v>
      </c>
      <c r="F828" s="23"/>
      <c r="G828" s="23"/>
      <c r="H828" s="23"/>
      <c r="I828" s="23"/>
    </row>
    <row r="829" spans="1:9" s="13" customFormat="1" ht="26.25" customHeight="1" thickBot="1">
      <c r="A829" s="13" t="s">
        <v>259</v>
      </c>
      <c r="B829" s="15" t="s">
        <v>130</v>
      </c>
      <c r="C829" s="46">
        <v>336</v>
      </c>
      <c r="D829" s="36" t="s">
        <v>129</v>
      </c>
      <c r="E829" s="22" t="s">
        <v>1175</v>
      </c>
      <c r="F829" s="23"/>
      <c r="G829" s="23"/>
      <c r="H829" s="23"/>
      <c r="I829" s="23"/>
    </row>
    <row r="830" spans="1:9" s="13" customFormat="1" ht="26.25" customHeight="1" thickBot="1">
      <c r="A830" s="13" t="s">
        <v>258</v>
      </c>
      <c r="B830" s="15" t="s">
        <v>128</v>
      </c>
      <c r="C830" s="46">
        <v>366.29</v>
      </c>
      <c r="D830" s="36" t="s">
        <v>127</v>
      </c>
      <c r="E830" s="22" t="s">
        <v>1175</v>
      </c>
      <c r="F830" s="23"/>
      <c r="G830" s="23"/>
      <c r="H830" s="23"/>
      <c r="I830" s="23"/>
    </row>
    <row r="831" spans="1:9" s="13" customFormat="1" ht="26.25" customHeight="1" thickBot="1">
      <c r="A831" s="13" t="s">
        <v>257</v>
      </c>
      <c r="B831" s="15" t="s">
        <v>256</v>
      </c>
      <c r="C831" s="46">
        <v>336.91</v>
      </c>
      <c r="D831" s="36">
        <v>44118</v>
      </c>
      <c r="E831" s="22" t="s">
        <v>1175</v>
      </c>
      <c r="F831" s="23"/>
      <c r="G831" s="23"/>
      <c r="H831" s="23"/>
      <c r="I831" s="23"/>
    </row>
    <row r="832" spans="1:9" s="13" customFormat="1" ht="26.25" customHeight="1" thickBot="1">
      <c r="A832" s="13" t="s">
        <v>125</v>
      </c>
      <c r="B832" s="15" t="s">
        <v>255</v>
      </c>
      <c r="C832" s="46">
        <v>336</v>
      </c>
      <c r="D832" s="36">
        <v>44115</v>
      </c>
      <c r="E832" s="22" t="s">
        <v>1175</v>
      </c>
      <c r="F832" s="23"/>
      <c r="G832" s="23"/>
      <c r="H832" s="23"/>
      <c r="I832" s="23"/>
    </row>
    <row r="833" spans="1:9" s="13" customFormat="1" ht="26.25" customHeight="1" thickBot="1">
      <c r="A833" s="13" t="s">
        <v>254</v>
      </c>
      <c r="B833" s="15" t="s">
        <v>124</v>
      </c>
      <c r="C833" s="46">
        <v>7.64</v>
      </c>
      <c r="D833" s="36" t="s">
        <v>123</v>
      </c>
      <c r="E833" s="22" t="s">
        <v>1175</v>
      </c>
      <c r="F833" s="23"/>
      <c r="G833" s="23"/>
      <c r="H833" s="23"/>
      <c r="I833" s="23"/>
    </row>
    <row r="834" spans="1:9" s="13" customFormat="1" ht="26.25" customHeight="1" thickBot="1">
      <c r="A834" s="13" t="s">
        <v>253</v>
      </c>
      <c r="B834" s="15" t="s">
        <v>252</v>
      </c>
      <c r="C834" s="46">
        <v>335.35</v>
      </c>
      <c r="D834" s="36">
        <v>44109</v>
      </c>
      <c r="E834" s="22" t="s">
        <v>1175</v>
      </c>
      <c r="F834" s="23"/>
      <c r="G834" s="23"/>
      <c r="H834" s="23"/>
      <c r="I834" s="23"/>
    </row>
    <row r="835" spans="1:9" s="13" customFormat="1" ht="26.25" customHeight="1" thickBot="1">
      <c r="A835" s="13" t="s">
        <v>122</v>
      </c>
      <c r="B835" s="15" t="s">
        <v>251</v>
      </c>
      <c r="C835" s="46">
        <v>7.61</v>
      </c>
      <c r="D835" s="36">
        <v>44107</v>
      </c>
      <c r="E835" s="22" t="s">
        <v>1175</v>
      </c>
      <c r="F835" s="23"/>
      <c r="G835" s="23"/>
      <c r="H835" s="23"/>
      <c r="I835" s="23"/>
    </row>
    <row r="836" spans="1:9" s="13" customFormat="1" ht="26.25" customHeight="1" thickBot="1">
      <c r="A836" s="13" t="s">
        <v>250</v>
      </c>
      <c r="B836" s="15" t="s">
        <v>249</v>
      </c>
      <c r="C836" s="46">
        <v>547.48</v>
      </c>
      <c r="D836" s="36">
        <v>44107</v>
      </c>
      <c r="E836" s="22" t="s">
        <v>1175</v>
      </c>
      <c r="F836" s="23"/>
      <c r="G836" s="23"/>
      <c r="H836" s="23"/>
      <c r="I836" s="23"/>
    </row>
    <row r="837" spans="1:9" s="13" customFormat="1" ht="26.25" customHeight="1" thickBot="1">
      <c r="A837" s="13" t="s">
        <v>121</v>
      </c>
      <c r="B837" s="15" t="s">
        <v>120</v>
      </c>
      <c r="C837" s="46">
        <v>336.1</v>
      </c>
      <c r="D837" s="36">
        <v>44105</v>
      </c>
      <c r="E837" s="22" t="s">
        <v>1175</v>
      </c>
      <c r="F837" s="23"/>
      <c r="G837" s="23"/>
      <c r="H837" s="23"/>
      <c r="I837" s="23"/>
    </row>
    <row r="838" spans="1:9" s="13" customFormat="1" ht="26.25" customHeight="1" thickBot="1">
      <c r="A838" s="13" t="s">
        <v>119</v>
      </c>
      <c r="B838" s="15" t="s">
        <v>118</v>
      </c>
      <c r="C838" s="46">
        <v>673.3</v>
      </c>
      <c r="D838" s="36">
        <v>44105</v>
      </c>
      <c r="E838" s="22" t="s">
        <v>1175</v>
      </c>
      <c r="F838" s="23"/>
      <c r="G838" s="23"/>
      <c r="H838" s="23"/>
      <c r="I838" s="23"/>
    </row>
    <row r="839" spans="1:9" s="13" customFormat="1" ht="26.25" customHeight="1" thickBot="1">
      <c r="A839" s="13" t="s">
        <v>248</v>
      </c>
      <c r="B839" s="15" t="s">
        <v>112</v>
      </c>
      <c r="C839" s="46">
        <v>336.55</v>
      </c>
      <c r="D839" s="36" t="s">
        <v>117</v>
      </c>
      <c r="E839" s="22" t="s">
        <v>1175</v>
      </c>
      <c r="F839" s="23"/>
      <c r="G839" s="23"/>
      <c r="H839" s="23"/>
      <c r="I839" s="23"/>
    </row>
    <row r="840" spans="1:9" s="13" customFormat="1" ht="26.25" customHeight="1" thickBot="1">
      <c r="A840" s="13" t="s">
        <v>247</v>
      </c>
      <c r="B840" s="15" t="s">
        <v>107</v>
      </c>
      <c r="C840" s="46">
        <v>336.17</v>
      </c>
      <c r="D840" s="36" t="s">
        <v>116</v>
      </c>
      <c r="E840" s="22" t="s">
        <v>1175</v>
      </c>
      <c r="F840" s="23"/>
      <c r="G840" s="23"/>
      <c r="H840" s="23"/>
      <c r="I840" s="23"/>
    </row>
    <row r="841" spans="1:9" s="13" customFormat="1" ht="26.25" customHeight="1" thickBot="1">
      <c r="A841" s="13" t="s">
        <v>246</v>
      </c>
      <c r="B841" s="15" t="s">
        <v>245</v>
      </c>
      <c r="C841" s="46">
        <v>336</v>
      </c>
      <c r="D841" s="36">
        <v>44094</v>
      </c>
      <c r="E841" s="22" t="s">
        <v>1175</v>
      </c>
      <c r="F841" s="23"/>
      <c r="G841" s="23"/>
      <c r="H841" s="23"/>
      <c r="I841" s="23"/>
    </row>
    <row r="842" spans="1:9" s="13" customFormat="1" ht="26.25" customHeight="1" thickBot="1">
      <c r="A842" s="13" t="s">
        <v>244</v>
      </c>
      <c r="B842" s="15" t="s">
        <v>233</v>
      </c>
      <c r="C842" s="46">
        <v>547.48</v>
      </c>
      <c r="D842" s="36" t="s">
        <v>114</v>
      </c>
      <c r="E842" s="22" t="s">
        <v>1175</v>
      </c>
      <c r="F842" s="23"/>
      <c r="G842" s="23"/>
      <c r="H842" s="23"/>
      <c r="I842" s="23"/>
    </row>
    <row r="843" spans="1:9" s="13" customFormat="1" ht="26.25" customHeight="1" thickBot="1">
      <c r="A843" s="13" t="s">
        <v>115</v>
      </c>
      <c r="B843" s="15" t="s">
        <v>243</v>
      </c>
      <c r="C843" s="46">
        <v>336.17</v>
      </c>
      <c r="D843" s="36" t="s">
        <v>114</v>
      </c>
      <c r="E843" s="22" t="s">
        <v>1175</v>
      </c>
      <c r="F843" s="23"/>
      <c r="G843" s="23"/>
      <c r="H843" s="23"/>
      <c r="I843" s="23"/>
    </row>
    <row r="844" spans="1:9" s="13" customFormat="1" ht="26.25" customHeight="1" thickBot="1">
      <c r="A844" s="13" t="s">
        <v>113</v>
      </c>
      <c r="B844" s="15" t="s">
        <v>112</v>
      </c>
      <c r="C844" s="46">
        <v>336.55</v>
      </c>
      <c r="D844" s="36" t="s">
        <v>111</v>
      </c>
      <c r="E844" s="22" t="s">
        <v>1175</v>
      </c>
      <c r="F844" s="23"/>
      <c r="G844" s="23"/>
      <c r="H844" s="23"/>
      <c r="I844" s="23"/>
    </row>
    <row r="845" spans="1:9" s="13" customFormat="1" ht="26.25" customHeight="1" thickBot="1">
      <c r="A845" s="13" t="s">
        <v>242</v>
      </c>
      <c r="B845" s="15" t="s">
        <v>241</v>
      </c>
      <c r="C845" s="46">
        <v>670.93</v>
      </c>
      <c r="D845" s="36" t="s">
        <v>111</v>
      </c>
      <c r="E845" s="22" t="s">
        <v>1175</v>
      </c>
      <c r="F845" s="23"/>
      <c r="G845" s="23"/>
      <c r="H845" s="23"/>
      <c r="I845" s="23"/>
    </row>
    <row r="846" spans="1:9" s="13" customFormat="1" ht="26.25" customHeight="1" thickBot="1">
      <c r="A846" s="13" t="s">
        <v>110</v>
      </c>
      <c r="B846" s="15" t="s">
        <v>240</v>
      </c>
      <c r="C846" s="46">
        <v>670.93</v>
      </c>
      <c r="D846" s="36">
        <v>44086</v>
      </c>
      <c r="E846" s="22" t="s">
        <v>1175</v>
      </c>
      <c r="F846" s="23"/>
      <c r="G846" s="23"/>
      <c r="H846" s="23"/>
      <c r="I846" s="23"/>
    </row>
    <row r="847" spans="1:9" s="13" customFormat="1" ht="26.25" customHeight="1" thickBot="1">
      <c r="A847" s="13" t="s">
        <v>239</v>
      </c>
      <c r="B847" s="15" t="s">
        <v>238</v>
      </c>
      <c r="C847" s="46">
        <v>336.55</v>
      </c>
      <c r="D847" s="36" t="s">
        <v>109</v>
      </c>
      <c r="E847" s="22" t="s">
        <v>1175</v>
      </c>
      <c r="F847" s="23"/>
      <c r="G847" s="23"/>
      <c r="H847" s="23"/>
      <c r="I847" s="23"/>
    </row>
    <row r="848" spans="1:9" s="13" customFormat="1" ht="26.25" customHeight="1" thickBot="1">
      <c r="A848" s="13" t="s">
        <v>108</v>
      </c>
      <c r="B848" s="15" t="s">
        <v>237</v>
      </c>
      <c r="C848" s="46">
        <v>829.37</v>
      </c>
      <c r="D848" s="36">
        <v>44083</v>
      </c>
      <c r="E848" s="22" t="s">
        <v>1175</v>
      </c>
      <c r="F848" s="23"/>
      <c r="G848" s="23"/>
      <c r="H848" s="23"/>
      <c r="I848" s="23"/>
    </row>
    <row r="849" spans="1:9" s="13" customFormat="1" ht="26.25" customHeight="1" thickBot="1">
      <c r="A849" s="13" t="s">
        <v>236</v>
      </c>
      <c r="B849" s="15" t="s">
        <v>235</v>
      </c>
      <c r="C849" s="46">
        <v>829.37</v>
      </c>
      <c r="D849" s="36">
        <v>44082</v>
      </c>
      <c r="E849" s="22" t="s">
        <v>1175</v>
      </c>
      <c r="F849" s="23"/>
      <c r="G849" s="23"/>
      <c r="H849" s="23"/>
      <c r="I849" s="23"/>
    </row>
    <row r="850" spans="1:9" s="13" customFormat="1" ht="26.25" customHeight="1">
      <c r="A850" s="13" t="s">
        <v>234</v>
      </c>
      <c r="B850" s="15" t="s">
        <v>233</v>
      </c>
      <c r="C850" s="46">
        <v>7.64</v>
      </c>
      <c r="D850" s="36">
        <v>44077</v>
      </c>
      <c r="E850" s="22" t="s">
        <v>1175</v>
      </c>
      <c r="F850" s="23"/>
      <c r="G850" s="23"/>
      <c r="H850" s="23"/>
      <c r="I850" s="23"/>
    </row>
    <row r="851" spans="1:9" ht="26.25" customHeight="1">
      <c r="A851" s="145" t="s">
        <v>232</v>
      </c>
      <c r="B851" s="3"/>
      <c r="C851" s="52"/>
      <c r="D851" s="8"/>
      <c r="E851" s="3"/>
      <c r="F851" s="3"/>
      <c r="G851" s="3"/>
      <c r="H851" s="3"/>
      <c r="I851" s="3"/>
    </row>
    <row r="852" spans="1:9" ht="26.25" customHeight="1">
      <c r="A852" s="5" t="s">
        <v>232</v>
      </c>
    </row>
  </sheetData>
  <autoFilter ref="B1:C774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15B3-CFC8-4C0B-8974-1A2D06C26B7C}">
  <sheetPr codeName="Sheet3"/>
  <dimension ref="A1:G52"/>
  <sheetViews>
    <sheetView workbookViewId="0">
      <pane ySplit="2" topLeftCell="A30" activePane="bottomLeft" state="frozen"/>
      <selection pane="bottomLeft" activeCell="F44" sqref="F44"/>
    </sheetView>
  </sheetViews>
  <sheetFormatPr defaultRowHeight="14.25"/>
  <cols>
    <col min="3" max="4" width="16.75" style="45" customWidth="1"/>
    <col min="5" max="5" width="16.75" customWidth="1"/>
  </cols>
  <sheetData>
    <row r="1" spans="1:7">
      <c r="A1" s="12">
        <f>SUM(C1:D1)</f>
        <v>372</v>
      </c>
      <c r="B1" t="s">
        <v>1197</v>
      </c>
      <c r="C1" s="44">
        <f>SUM(C7:C51)</f>
        <v>309</v>
      </c>
      <c r="D1" s="44">
        <f>SUM(D7:D51)</f>
        <v>63</v>
      </c>
    </row>
    <row r="2" spans="1:7" s="10" customFormat="1">
      <c r="A2" s="10" t="s">
        <v>1167</v>
      </c>
      <c r="B2" s="10" t="s">
        <v>1168</v>
      </c>
      <c r="C2" s="10" t="s">
        <v>1196</v>
      </c>
      <c r="D2" s="10" t="s">
        <v>1195</v>
      </c>
    </row>
    <row r="3" spans="1:7" s="10" customFormat="1">
      <c r="A3">
        <v>2999</v>
      </c>
      <c r="B3">
        <v>12</v>
      </c>
      <c r="C3" s="10">
        <v>123</v>
      </c>
      <c r="D3" s="10">
        <v>289</v>
      </c>
    </row>
    <row r="4" spans="1:7">
      <c r="A4">
        <v>2023</v>
      </c>
      <c r="B4">
        <v>12</v>
      </c>
      <c r="C4" s="11">
        <v>0</v>
      </c>
      <c r="D4" s="44">
        <v>0</v>
      </c>
      <c r="E4" s="12"/>
      <c r="G4" s="12"/>
    </row>
    <row r="5" spans="1:7">
      <c r="A5">
        <v>2023</v>
      </c>
      <c r="B5">
        <v>11</v>
      </c>
      <c r="C5" s="11">
        <v>0</v>
      </c>
      <c r="D5" s="44">
        <v>0</v>
      </c>
      <c r="E5" s="12"/>
      <c r="G5" s="12"/>
    </row>
    <row r="6" spans="1:7">
      <c r="A6">
        <v>2023</v>
      </c>
      <c r="B6">
        <v>10</v>
      </c>
      <c r="C6" s="11">
        <v>0</v>
      </c>
      <c r="D6" s="44">
        <v>0</v>
      </c>
      <c r="E6" s="12"/>
      <c r="G6" s="12"/>
    </row>
    <row r="7" spans="1:7">
      <c r="A7">
        <v>2023</v>
      </c>
      <c r="B7">
        <v>9</v>
      </c>
      <c r="C7" s="11">
        <v>0</v>
      </c>
      <c r="D7" s="44">
        <v>0</v>
      </c>
      <c r="E7" s="12"/>
      <c r="G7" s="12"/>
    </row>
    <row r="8" spans="1:7">
      <c r="A8">
        <v>2023</v>
      </c>
      <c r="B8">
        <v>8</v>
      </c>
      <c r="C8" s="11">
        <v>0</v>
      </c>
      <c r="D8" s="44">
        <v>0</v>
      </c>
      <c r="E8" s="12"/>
      <c r="G8" s="12"/>
    </row>
    <row r="9" spans="1:7">
      <c r="A9">
        <v>2023</v>
      </c>
      <c r="B9">
        <v>7</v>
      </c>
      <c r="C9" s="11">
        <v>0</v>
      </c>
      <c r="D9" s="44">
        <v>0</v>
      </c>
      <c r="E9" s="12"/>
      <c r="G9" s="12"/>
    </row>
    <row r="10" spans="1:7">
      <c r="A10">
        <v>2023</v>
      </c>
      <c r="B10">
        <v>6</v>
      </c>
      <c r="C10" s="11">
        <v>0</v>
      </c>
      <c r="D10" s="44">
        <v>0</v>
      </c>
      <c r="E10" s="12"/>
      <c r="G10" s="12"/>
    </row>
    <row r="11" spans="1:7">
      <c r="A11">
        <v>2023</v>
      </c>
      <c r="B11">
        <v>5</v>
      </c>
      <c r="C11" s="11">
        <v>0</v>
      </c>
      <c r="D11" s="44">
        <v>0</v>
      </c>
      <c r="E11" s="12"/>
      <c r="G11" s="12"/>
    </row>
    <row r="12" spans="1:7">
      <c r="A12">
        <v>2023</v>
      </c>
      <c r="B12">
        <v>4</v>
      </c>
      <c r="C12" s="11">
        <v>0</v>
      </c>
      <c r="D12" s="44">
        <v>0</v>
      </c>
      <c r="E12" s="12"/>
      <c r="G12" s="12"/>
    </row>
    <row r="13" spans="1:7">
      <c r="A13">
        <v>2023</v>
      </c>
      <c r="B13">
        <v>3</v>
      </c>
      <c r="C13" s="11">
        <v>0</v>
      </c>
      <c r="D13" s="44">
        <v>0</v>
      </c>
      <c r="E13" s="12"/>
      <c r="G13" s="12"/>
    </row>
    <row r="14" spans="1:7">
      <c r="A14">
        <v>2023</v>
      </c>
      <c r="B14">
        <v>2</v>
      </c>
      <c r="C14" s="11">
        <v>0</v>
      </c>
      <c r="D14" s="44">
        <v>0</v>
      </c>
      <c r="E14" s="12"/>
      <c r="G14" s="12"/>
    </row>
    <row r="15" spans="1:7">
      <c r="A15">
        <v>2023</v>
      </c>
      <c r="B15">
        <v>1</v>
      </c>
      <c r="C15" s="11">
        <v>0</v>
      </c>
      <c r="D15" s="44">
        <v>0</v>
      </c>
      <c r="E15" s="12"/>
      <c r="G15" s="12"/>
    </row>
    <row r="16" spans="1:7">
      <c r="A16">
        <v>2022</v>
      </c>
      <c r="B16">
        <v>12</v>
      </c>
      <c r="C16" s="11">
        <v>0</v>
      </c>
      <c r="D16" s="44">
        <v>0</v>
      </c>
      <c r="E16" s="12"/>
      <c r="G16" s="12"/>
    </row>
    <row r="17" spans="1:5">
      <c r="A17">
        <v>2022</v>
      </c>
      <c r="B17">
        <v>11</v>
      </c>
      <c r="C17" s="44">
        <v>0</v>
      </c>
      <c r="D17" s="44">
        <v>0</v>
      </c>
      <c r="E17" s="12"/>
    </row>
    <row r="18" spans="1:5">
      <c r="A18">
        <v>2022</v>
      </c>
      <c r="B18">
        <v>10</v>
      </c>
      <c r="C18" s="44">
        <v>0</v>
      </c>
      <c r="D18" s="44">
        <v>0</v>
      </c>
      <c r="E18" s="12"/>
    </row>
    <row r="19" spans="1:5">
      <c r="A19">
        <v>2022</v>
      </c>
      <c r="B19">
        <v>9</v>
      </c>
      <c r="C19" s="44">
        <v>0</v>
      </c>
      <c r="D19" s="44">
        <v>0</v>
      </c>
      <c r="E19" s="12"/>
    </row>
    <row r="20" spans="1:5">
      <c r="A20">
        <v>2022</v>
      </c>
      <c r="B20">
        <v>8</v>
      </c>
      <c r="C20" s="44">
        <v>0</v>
      </c>
      <c r="D20" s="44">
        <v>0</v>
      </c>
      <c r="E20" s="12"/>
    </row>
    <row r="21" spans="1:5">
      <c r="A21">
        <v>2022</v>
      </c>
      <c r="B21">
        <v>7</v>
      </c>
      <c r="C21" s="44">
        <v>0</v>
      </c>
      <c r="D21" s="44">
        <v>0</v>
      </c>
      <c r="E21" s="12"/>
    </row>
    <row r="22" spans="1:5">
      <c r="A22">
        <v>2022</v>
      </c>
      <c r="B22">
        <v>6</v>
      </c>
      <c r="C22" s="44">
        <v>0</v>
      </c>
      <c r="D22" s="44">
        <v>0</v>
      </c>
      <c r="E22" s="12"/>
    </row>
    <row r="23" spans="1:5">
      <c r="A23">
        <v>2022</v>
      </c>
      <c r="B23">
        <v>5</v>
      </c>
      <c r="C23" s="44">
        <v>0</v>
      </c>
      <c r="D23" s="44">
        <v>0</v>
      </c>
      <c r="E23" s="12"/>
    </row>
    <row r="24" spans="1:5">
      <c r="A24">
        <v>2022</v>
      </c>
      <c r="B24">
        <v>4</v>
      </c>
      <c r="C24" s="44">
        <v>0</v>
      </c>
      <c r="D24" s="44">
        <v>0</v>
      </c>
      <c r="E24" s="12"/>
    </row>
    <row r="25" spans="1:5">
      <c r="A25">
        <v>2022</v>
      </c>
      <c r="B25">
        <v>3</v>
      </c>
      <c r="C25" s="44">
        <v>0</v>
      </c>
      <c r="D25" s="44">
        <v>0</v>
      </c>
      <c r="E25" s="12"/>
    </row>
    <row r="26" spans="1:5">
      <c r="A26">
        <v>2022</v>
      </c>
      <c r="B26">
        <v>2</v>
      </c>
      <c r="C26" s="44">
        <v>0</v>
      </c>
      <c r="D26" s="44">
        <v>0</v>
      </c>
      <c r="E26" s="12"/>
    </row>
    <row r="27" spans="1:5">
      <c r="A27">
        <v>2022</v>
      </c>
      <c r="B27">
        <v>1</v>
      </c>
      <c r="C27" s="44">
        <v>0</v>
      </c>
      <c r="D27" s="44">
        <v>0</v>
      </c>
      <c r="E27" s="12"/>
    </row>
    <row r="28" spans="1:5">
      <c r="A28">
        <v>2021</v>
      </c>
      <c r="B28">
        <v>12</v>
      </c>
      <c r="C28" s="44">
        <v>0</v>
      </c>
      <c r="D28" s="44">
        <v>0</v>
      </c>
      <c r="E28" s="12"/>
    </row>
    <row r="29" spans="1:5">
      <c r="A29">
        <v>2021</v>
      </c>
      <c r="B29">
        <v>11</v>
      </c>
      <c r="C29" s="44">
        <v>34</v>
      </c>
      <c r="D29" s="44">
        <v>20</v>
      </c>
      <c r="E29" s="12"/>
    </row>
    <row r="30" spans="1:5">
      <c r="A30">
        <v>2021</v>
      </c>
      <c r="B30">
        <v>10</v>
      </c>
      <c r="C30" s="44">
        <v>28</v>
      </c>
      <c r="D30" s="44">
        <v>21</v>
      </c>
      <c r="E30" s="12"/>
    </row>
    <row r="31" spans="1:5">
      <c r="A31">
        <v>2021</v>
      </c>
      <c r="B31">
        <v>9</v>
      </c>
      <c r="C31" s="44">
        <v>26</v>
      </c>
      <c r="D31" s="44">
        <v>11</v>
      </c>
      <c r="E31" s="12"/>
    </row>
    <row r="32" spans="1:5">
      <c r="A32">
        <v>2021</v>
      </c>
      <c r="B32">
        <v>8</v>
      </c>
      <c r="C32" s="44">
        <v>20</v>
      </c>
      <c r="D32" s="44">
        <v>5</v>
      </c>
      <c r="E32" s="12"/>
    </row>
    <row r="33" spans="1:5">
      <c r="A33">
        <v>2021</v>
      </c>
      <c r="B33">
        <v>7</v>
      </c>
      <c r="C33" s="44">
        <v>15</v>
      </c>
      <c r="D33" s="44">
        <v>1</v>
      </c>
      <c r="E33" s="12"/>
    </row>
    <row r="34" spans="1:5">
      <c r="A34">
        <v>2021</v>
      </c>
      <c r="B34">
        <v>6</v>
      </c>
      <c r="C34" s="44">
        <v>6</v>
      </c>
      <c r="D34" s="44">
        <v>3</v>
      </c>
      <c r="E34" s="12"/>
    </row>
    <row r="35" spans="1:5">
      <c r="A35">
        <v>2021</v>
      </c>
      <c r="B35">
        <v>5</v>
      </c>
      <c r="C35" s="44">
        <v>39</v>
      </c>
      <c r="D35" s="44">
        <v>2</v>
      </c>
      <c r="E35" s="12"/>
    </row>
    <row r="36" spans="1:5">
      <c r="A36">
        <v>2021</v>
      </c>
      <c r="B36">
        <v>4</v>
      </c>
      <c r="C36" s="44">
        <v>24</v>
      </c>
      <c r="D36" s="44">
        <v>0</v>
      </c>
      <c r="E36" s="12"/>
    </row>
    <row r="37" spans="1:5">
      <c r="A37">
        <v>2021</v>
      </c>
      <c r="B37">
        <v>3</v>
      </c>
      <c r="C37" s="44">
        <v>20</v>
      </c>
      <c r="D37" s="44">
        <v>0</v>
      </c>
      <c r="E37" s="12"/>
    </row>
    <row r="38" spans="1:5">
      <c r="A38">
        <v>2021</v>
      </c>
      <c r="B38">
        <v>2</v>
      </c>
      <c r="C38" s="44">
        <v>16</v>
      </c>
      <c r="D38" s="44">
        <v>0</v>
      </c>
      <c r="E38" s="12"/>
    </row>
    <row r="39" spans="1:5">
      <c r="A39">
        <v>2021</v>
      </c>
      <c r="B39">
        <v>1</v>
      </c>
      <c r="C39" s="44">
        <v>17</v>
      </c>
      <c r="D39" s="44">
        <v>0</v>
      </c>
      <c r="E39" s="12"/>
    </row>
    <row r="40" spans="1:5">
      <c r="A40">
        <v>2020</v>
      </c>
      <c r="B40">
        <v>12</v>
      </c>
      <c r="C40" s="44">
        <v>11</v>
      </c>
      <c r="D40" s="44">
        <v>0</v>
      </c>
      <c r="E40" s="12"/>
    </row>
    <row r="41" spans="1:5">
      <c r="A41">
        <v>2020</v>
      </c>
      <c r="B41">
        <v>11</v>
      </c>
      <c r="C41" s="44">
        <v>26</v>
      </c>
      <c r="D41" s="44">
        <v>0</v>
      </c>
      <c r="E41" s="12"/>
    </row>
    <row r="42" spans="1:5">
      <c r="A42">
        <v>2020</v>
      </c>
      <c r="B42">
        <v>10</v>
      </c>
      <c r="C42" s="44">
        <v>15</v>
      </c>
      <c r="D42" s="44">
        <v>0</v>
      </c>
      <c r="E42" s="12"/>
    </row>
    <row r="43" spans="1:5">
      <c r="A43">
        <v>2020</v>
      </c>
      <c r="B43">
        <v>9</v>
      </c>
      <c r="C43" s="44">
        <v>12</v>
      </c>
      <c r="D43" s="44">
        <v>0</v>
      </c>
      <c r="E43" s="12"/>
    </row>
    <row r="44" spans="1:5">
      <c r="A44">
        <v>2020</v>
      </c>
      <c r="B44">
        <v>8</v>
      </c>
      <c r="C44" s="44">
        <v>0</v>
      </c>
      <c r="D44" s="44">
        <v>0</v>
      </c>
      <c r="E44" s="12"/>
    </row>
    <row r="45" spans="1:5">
      <c r="A45">
        <v>2020</v>
      </c>
      <c r="B45">
        <v>7</v>
      </c>
      <c r="C45" s="44">
        <v>0</v>
      </c>
      <c r="D45" s="44">
        <v>0</v>
      </c>
      <c r="E45" s="12"/>
    </row>
    <row r="46" spans="1:5">
      <c r="A46">
        <v>2020</v>
      </c>
      <c r="B46">
        <v>6</v>
      </c>
      <c r="C46" s="44">
        <v>0</v>
      </c>
      <c r="D46" s="44">
        <v>0</v>
      </c>
      <c r="E46" s="12"/>
    </row>
    <row r="47" spans="1:5">
      <c r="A47">
        <v>2020</v>
      </c>
      <c r="B47">
        <v>5</v>
      </c>
      <c r="C47" s="44">
        <v>0</v>
      </c>
      <c r="D47" s="44">
        <v>0</v>
      </c>
      <c r="E47" s="12"/>
    </row>
    <row r="48" spans="1:5">
      <c r="A48">
        <v>2020</v>
      </c>
      <c r="B48">
        <v>4</v>
      </c>
      <c r="C48" s="44">
        <v>0</v>
      </c>
      <c r="D48" s="44">
        <v>0</v>
      </c>
      <c r="E48" s="12"/>
    </row>
    <row r="49" spans="1:5">
      <c r="A49">
        <v>2020</v>
      </c>
      <c r="B49">
        <v>3</v>
      </c>
      <c r="C49" s="44">
        <v>0</v>
      </c>
      <c r="D49" s="44">
        <v>0</v>
      </c>
      <c r="E49" s="12"/>
    </row>
    <row r="50" spans="1:5">
      <c r="A50">
        <v>2020</v>
      </c>
      <c r="B50">
        <v>2</v>
      </c>
      <c r="C50" s="44">
        <v>0</v>
      </c>
      <c r="D50" s="44">
        <v>0</v>
      </c>
      <c r="E50" s="12"/>
    </row>
    <row r="51" spans="1:5">
      <c r="A51">
        <v>2020</v>
      </c>
      <c r="B51">
        <v>1</v>
      </c>
      <c r="C51" s="44">
        <v>0</v>
      </c>
      <c r="D51" s="44">
        <v>0</v>
      </c>
      <c r="E51" s="12"/>
    </row>
    <row r="52" spans="1:5" ht="15.75">
      <c r="A52" s="5" t="s">
        <v>232</v>
      </c>
    </row>
  </sheetData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4559-2B40-4C0C-9571-F3CD64288F9F}">
  <sheetPr codeName="Sheet2"/>
  <dimension ref="A1:D1"/>
  <sheetViews>
    <sheetView workbookViewId="0">
      <selection activeCell="A11" sqref="A2:XFD11"/>
    </sheetView>
  </sheetViews>
  <sheetFormatPr defaultRowHeight="14.25"/>
  <cols>
    <col min="1" max="1" width="16.625" customWidth="1"/>
    <col min="4" max="4" width="15.375" customWidth="1"/>
  </cols>
  <sheetData>
    <row r="1" spans="1:4">
      <c r="A1" t="s">
        <v>2778</v>
      </c>
      <c r="B1" t="s">
        <v>2779</v>
      </c>
      <c r="C1" t="s">
        <v>2780</v>
      </c>
      <c r="D1" t="s">
        <v>2781</v>
      </c>
    </row>
  </sheetData>
  <phoneticPr fontId="3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Media Info</vt:lpstr>
      <vt:lpstr>Plan</vt:lpstr>
      <vt:lpstr>Statistics</vt:lpstr>
      <vt:lpstr>Sheet1</vt:lpstr>
      <vt:lpstr>Plan!_FilterDatabase</vt:lpstr>
      <vt:lpstr>图书馆</vt:lpstr>
      <vt:lpstr>完了日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Japan Sun Shubin</cp:lastModifiedBy>
  <dcterms:created xsi:type="dcterms:W3CDTF">2021-10-01T01:17:44Z</dcterms:created>
  <dcterms:modified xsi:type="dcterms:W3CDTF">2022-02-04T07:29:28Z</dcterms:modified>
</cp:coreProperties>
</file>