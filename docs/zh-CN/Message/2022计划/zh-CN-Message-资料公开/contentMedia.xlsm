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0244614d81fa6b2/SSb-Publish@com/Promotion_Tools/"/>
    </mc:Choice>
  </mc:AlternateContent>
  <xr:revisionPtr revIDLastSave="14" documentId="13_ncr:1_{3570CD49-F8B3-42A2-AFAC-2AC84689ACF7}" xr6:coauthVersionLast="47" xr6:coauthVersionMax="47" xr10:uidLastSave="{AE9FD58F-91C9-4DE0-964E-C16DCB11C6FD}"/>
  <bookViews>
    <workbookView xWindow="-120" yWindow="-120" windowWidth="24240" windowHeight="13020" activeTab="1" xr2:uid="{23DEF307-272F-4619-A3DC-14941EDD3B7A}"/>
  </bookViews>
  <sheets>
    <sheet name="Media Info" sheetId="1" r:id="rId1"/>
    <sheet name="Plan" sheetId="2" r:id="rId2"/>
    <sheet name="Swap" sheetId="5" r:id="rId3"/>
    <sheet name="Statistics" sheetId="4" r:id="rId4"/>
    <sheet name="Author" sheetId="6" r:id="rId5"/>
    <sheet name="Programming" sheetId="8" r:id="rId6"/>
    <sheet name="微信公众号资源" sheetId="9" r:id="rId7"/>
    <sheet name="URL" sheetId="7" r:id="rId8"/>
  </sheets>
  <functionGroups builtInGroupCount="19"/>
  <externalReferences>
    <externalReference r:id="rId9"/>
    <externalReference r:id="rId10"/>
  </externalReferences>
  <definedNames>
    <definedName name="_xlnm._FilterDatabase" localSheetId="0" hidden="1">'Media Info'!$A$1:$BY$2196</definedName>
    <definedName name="_xlnm._FilterDatabase" localSheetId="1">Plan!$B$1:$C$407</definedName>
    <definedName name="_xlnm._FilterDatabase" localSheetId="5" hidden="1">Programming!$B$1:$O$64</definedName>
    <definedName name="_xlnm._FilterDatabase" localSheetId="7" hidden="1">URL!$A$1:$M$29</definedName>
    <definedName name="IT" localSheetId="0">[1]Dict!#REF!</definedName>
    <definedName name="IT" localSheetId="1">[1]Dict!#REF!</definedName>
    <definedName name="IT" localSheetId="5">[1]Dict!#REF!</definedName>
    <definedName name="IT" localSheetId="7">[1]Dict!#REF!</definedName>
    <definedName name="IT" localSheetId="6">[1]Dict!#REF!</definedName>
    <definedName name="IT">[1]Dict!#REF!</definedName>
    <definedName name="IT技能" localSheetId="0">#REF!</definedName>
    <definedName name="IT技能" localSheetId="1">#REF!</definedName>
    <definedName name="IT技能" localSheetId="5">#REF!</definedName>
    <definedName name="IT技能" localSheetId="7">#REF!</definedName>
    <definedName name="IT技能" localSheetId="6">#REF!</definedName>
    <definedName name="IT技能">#REF!</definedName>
    <definedName name="jishu2" localSheetId="5">#REF!</definedName>
    <definedName name="jishu2" localSheetId="6">#REF!</definedName>
    <definedName name="jishu2">#REF!</definedName>
    <definedName name="Life" localSheetId="0">#REF!</definedName>
    <definedName name="Life" localSheetId="1">#REF!</definedName>
    <definedName name="Life" localSheetId="5">#REF!</definedName>
    <definedName name="Life" localSheetId="7">#REF!</definedName>
    <definedName name="Life" localSheetId="6">#REF!</definedName>
    <definedName name="Life">#REF!</definedName>
    <definedName name="mail2" localSheetId="5">#REF!</definedName>
    <definedName name="mail2" localSheetId="6">#REF!</definedName>
    <definedName name="mail2">#REF!</definedName>
    <definedName name="Password" localSheetId="0">#REF!</definedName>
    <definedName name="Password" localSheetId="1">#REF!</definedName>
    <definedName name="Password" localSheetId="5">#REF!</definedName>
    <definedName name="Password" localSheetId="7">#REF!</definedName>
    <definedName name="Password" localSheetId="6">#REF!</definedName>
    <definedName name="Password">#REF!</definedName>
    <definedName name="unnamed1" localSheetId="0">#REF!</definedName>
    <definedName name="unnamed1" localSheetId="1">#REF!</definedName>
    <definedName name="unnamed1" localSheetId="5">#REF!</definedName>
    <definedName name="unnamed1" localSheetId="7">#REF!</definedName>
    <definedName name="unnamed1" localSheetId="6">#REF!</definedName>
    <definedName name="unnamed1">#REF!</definedName>
    <definedName name="unnamed2" localSheetId="0">#REF!</definedName>
    <definedName name="unnamed2" localSheetId="1">#REF!</definedName>
    <definedName name="unnamed2" localSheetId="5">#REF!</definedName>
    <definedName name="unnamed2" localSheetId="7">#REF!</definedName>
    <definedName name="unnamed2" localSheetId="6">#REF!</definedName>
    <definedName name="unnamed2">#REF!</definedName>
    <definedName name="Word" localSheetId="0">#REF!</definedName>
    <definedName name="Word" localSheetId="1">#REF!</definedName>
    <definedName name="Word" localSheetId="5">#REF!</definedName>
    <definedName name="Word" localSheetId="7">#REF!</definedName>
    <definedName name="Word" localSheetId="6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 localSheetId="5">#REF!</definedName>
    <definedName name="Work" localSheetId="7">#REF!</definedName>
    <definedName name="Work" localSheetId="6">#REF!</definedName>
    <definedName name="Work">#REF!</definedName>
    <definedName name="メールアドレス１" localSheetId="5">#REF!</definedName>
    <definedName name="メールアドレス１" localSheetId="6">#REF!</definedName>
    <definedName name="メールアドレス１">#REF!</definedName>
    <definedName name="英語" localSheetId="0">#REF!</definedName>
    <definedName name="英語" localSheetId="1">#REF!</definedName>
    <definedName name="英語" localSheetId="5">#REF!</definedName>
    <definedName name="英語" localSheetId="7">#REF!</definedName>
    <definedName name="英語" localSheetId="6">#REF!</definedName>
    <definedName name="英語">#REF!</definedName>
    <definedName name="活用" localSheetId="0">[1]Dict!#REF!</definedName>
    <definedName name="活用" localSheetId="1">[1]Dict!#REF!</definedName>
    <definedName name="活用" localSheetId="5">[1]Dict!#REF!</definedName>
    <definedName name="活用" localSheetId="7">[1]Dict!#REF!</definedName>
    <definedName name="活用" localSheetId="6">[1]Dict!#REF!</definedName>
    <definedName name="活用">[1]Dict!#REF!</definedName>
    <definedName name="完了日">Plan!$D$2:$D$483</definedName>
    <definedName name="技術履歴書" localSheetId="5">#REF!</definedName>
    <definedName name="技術履歴書" localSheetId="6">#REF!</definedName>
    <definedName name="技術履歴書">#REF!</definedName>
    <definedName name="工作" localSheetId="0">[1]Dict!#REF!</definedName>
    <definedName name="工作" localSheetId="1">[1]Dict!#REF!</definedName>
    <definedName name="工作" localSheetId="5">[1]Dict!#REF!</definedName>
    <definedName name="工作" localSheetId="7">[1]Dict!#REF!</definedName>
    <definedName name="工作" localSheetId="6">[1]Dict!#REF!</definedName>
    <definedName name="工作">[1]Dict!#REF!</definedName>
    <definedName name="人物" localSheetId="0">[1]Dict!#REF!</definedName>
    <definedName name="人物" localSheetId="5">[1]Dict!#REF!</definedName>
    <definedName name="人物" localSheetId="7">[1]Dict!#REF!</definedName>
    <definedName name="人物" localSheetId="6">[1]Dict!#REF!</definedName>
    <definedName name="人物">[1]Dict!#REF!</definedName>
    <definedName name="生活" localSheetId="0">[1]Dict!#REF!</definedName>
    <definedName name="生活" localSheetId="5">[1]Dict!#REF!</definedName>
    <definedName name="生活" localSheetId="7">[1]Dict!#REF!</definedName>
    <definedName name="生活" localSheetId="6">[1]Dict!#REF!</definedName>
    <definedName name="生活">[1]Dict!#REF!</definedName>
    <definedName name="青少年室" localSheetId="0">#REF!</definedName>
    <definedName name="青少年室" localSheetId="1">#REF!</definedName>
    <definedName name="青少年室" localSheetId="5">#REF!</definedName>
    <definedName name="青少年室" localSheetId="7">#REF!</definedName>
    <definedName name="青少年室" localSheetId="6">#REF!</definedName>
    <definedName name="青少年室">#REF!</definedName>
    <definedName name="知识" localSheetId="0">[1]Dict!#REF!</definedName>
    <definedName name="知识" localSheetId="1">[1]Dict!#REF!</definedName>
    <definedName name="知识" localSheetId="5">[1]Dict!#REF!</definedName>
    <definedName name="知识" localSheetId="7">[1]Dict!#REF!</definedName>
    <definedName name="知识" localSheetId="6">[1]Dict!#REF!</definedName>
    <definedName name="知识">[1]Dict!#REF!</definedName>
    <definedName name="読書" localSheetId="0">#REF!</definedName>
    <definedName name="読書" localSheetId="1">#REF!</definedName>
    <definedName name="読書" localSheetId="5">#REF!</definedName>
    <definedName name="読書" localSheetId="7">#REF!</definedName>
    <definedName name="読書" localSheetId="6">#REF!</definedName>
    <definedName name="読書">#REF!</definedName>
    <definedName name="日本語" localSheetId="0">#REF!</definedName>
    <definedName name="日本語" localSheetId="1">#REF!</definedName>
    <definedName name="日本語" localSheetId="5">#REF!</definedName>
    <definedName name="日本語" localSheetId="7">#REF!</definedName>
    <definedName name="日本語" localSheetId="6">#REF!</definedName>
    <definedName name="日本語">#REF!</definedName>
    <definedName name="日剧" localSheetId="0">#REF!</definedName>
    <definedName name="日剧" localSheetId="1">#REF!</definedName>
    <definedName name="日剧" localSheetId="5">#REF!</definedName>
    <definedName name="日剧" localSheetId="7">#REF!</definedName>
    <definedName name="日剧" localSheetId="6">#REF!</definedName>
    <definedName name="日剧">#REF!</definedName>
    <definedName name="微信听书">Plan!#REF!</definedName>
    <definedName name="微信读书">Plan!#REF!</definedName>
    <definedName name="福冈县立" localSheetId="0">#REF!</definedName>
    <definedName name="福冈县立" localSheetId="1">#REF!</definedName>
    <definedName name="福冈县立" localSheetId="5">#REF!</definedName>
    <definedName name="福冈县立" localSheetId="7">#REF!</definedName>
    <definedName name="福冈县立" localSheetId="6">#REF!</definedName>
    <definedName name="福冈县立">#REF!</definedName>
    <definedName name="文法" localSheetId="0">[1]Dict!#REF!</definedName>
    <definedName name="文法" localSheetId="1">[1]Dict!#REF!</definedName>
    <definedName name="文法" localSheetId="5">[1]Dict!#REF!</definedName>
    <definedName name="文法" localSheetId="7">[1]Dict!#REF!</definedName>
    <definedName name="文法" localSheetId="6">[1]Dict!#REF!</definedName>
    <definedName name="文法">[1]Dict!#REF!</definedName>
    <definedName name="料理" localSheetId="0">[1]Dict!#REF!</definedName>
    <definedName name="料理" localSheetId="1">[1]Dict!#REF!</definedName>
    <definedName name="料理" localSheetId="5">[1]Dict!#REF!</definedName>
    <definedName name="料理" localSheetId="7">[1]Dict!#REF!</definedName>
    <definedName name="料理" localSheetId="6">[1]Dict!#REF!</definedName>
    <definedName name="料理">[1]Dict!#REF!</definedName>
    <definedName name="专用词" localSheetId="0">[1]Dict!#REF!</definedName>
    <definedName name="专用词" localSheetId="1">[1]Dict!#REF!</definedName>
    <definedName name="专用词" localSheetId="7">[1]Dict!#REF!</definedName>
    <definedName name="专用词">[1]Dict!#REF!</definedName>
    <definedName name="业务" localSheetId="0">[1]Dict!#REF!</definedName>
    <definedName name="业务" localSheetId="1">[1]Dict!#REF!</definedName>
    <definedName name="业务" localSheetId="7">[1]Dict!#REF!</definedName>
    <definedName name="业务">[1]Dict!#REF!</definedName>
    <definedName name="图书馆">Plan!$E$2:$E$483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72" i="1" l="1"/>
  <c r="B73" i="1"/>
  <c r="B14" i="1"/>
  <c r="B13" i="1"/>
  <c r="B440" i="1"/>
  <c r="B134" i="1"/>
  <c r="B135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3" i="1"/>
  <c r="B4" i="1"/>
  <c r="B5" i="1"/>
  <c r="B6" i="1"/>
  <c r="B7" i="1"/>
  <c r="B8" i="1"/>
  <c r="B9" i="1"/>
  <c r="B10" i="1"/>
  <c r="B11" i="1"/>
  <c r="B12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2" i="1"/>
  <c r="AK2197" i="1"/>
  <c r="AM2197" i="1"/>
  <c r="AN2197" i="1"/>
  <c r="AO2197" i="1"/>
  <c r="AP2197" i="1"/>
  <c r="AQ2197" i="1"/>
  <c r="AR2197" i="1"/>
  <c r="AS2197" i="1"/>
  <c r="AT2197" i="1"/>
  <c r="AU2197" i="1"/>
  <c r="AV2197" i="1"/>
  <c r="AW2197" i="1"/>
  <c r="AX2197" i="1"/>
  <c r="AY2197" i="1"/>
  <c r="AZ2197" i="1"/>
  <c r="BA2197" i="1"/>
  <c r="BB2197" i="1"/>
  <c r="BC2197" i="1"/>
  <c r="BD2197" i="1"/>
  <c r="AJ2197" i="1"/>
  <c r="AL2197" i="1"/>
  <c r="BI491" i="1"/>
  <c r="BI492" i="1"/>
  <c r="BI503" i="1"/>
  <c r="BI504" i="1"/>
  <c r="BI505" i="1"/>
  <c r="BI494" i="1"/>
  <c r="BI495" i="1"/>
  <c r="BI496" i="1"/>
  <c r="BI499" i="1"/>
  <c r="BI500" i="1"/>
  <c r="BI501" i="1"/>
  <c r="BI502" i="1"/>
  <c r="BI490" i="1"/>
  <c r="BI487" i="1"/>
  <c r="BI488" i="1"/>
  <c r="BI489" i="1"/>
  <c r="BI506" i="1"/>
  <c r="BI507" i="1"/>
  <c r="BI481" i="1"/>
  <c r="BI482" i="1"/>
  <c r="BI483" i="1"/>
  <c r="BI484" i="1"/>
  <c r="BI485" i="1"/>
  <c r="BI486" i="1"/>
  <c r="BI469" i="1"/>
  <c r="BI470" i="1"/>
  <c r="BI471" i="1"/>
  <c r="BI472" i="1"/>
  <c r="BI473" i="1"/>
  <c r="BI474" i="1"/>
  <c r="BI475" i="1"/>
  <c r="BI476" i="1"/>
  <c r="BI477" i="1"/>
  <c r="BI478" i="1"/>
  <c r="BI479" i="1"/>
  <c r="BI493" i="1"/>
  <c r="BI480" i="1"/>
  <c r="BI463" i="1"/>
  <c r="BI464" i="1"/>
  <c r="BI465" i="1"/>
  <c r="BI466" i="1"/>
  <c r="BI467" i="1"/>
  <c r="BI468" i="1"/>
  <c r="BI508" i="1"/>
  <c r="BI509" i="1"/>
  <c r="BI1273" i="1"/>
  <c r="BI1274" i="1"/>
  <c r="BI1275" i="1"/>
  <c r="BI57" i="1"/>
  <c r="BI454" i="1"/>
  <c r="BI455" i="1"/>
  <c r="BI456" i="1"/>
  <c r="BI457" i="1"/>
  <c r="BI458" i="1"/>
  <c r="BI459" i="1"/>
  <c r="BI124" i="1"/>
  <c r="BI460" i="1"/>
  <c r="BI461" i="1"/>
  <c r="BI46" i="1"/>
  <c r="BI462" i="1"/>
  <c r="BI446" i="1"/>
  <c r="BI447" i="1"/>
  <c r="BI448" i="1"/>
  <c r="BI449" i="1"/>
  <c r="BI450" i="1"/>
  <c r="BI451" i="1"/>
  <c r="BI452" i="1"/>
  <c r="BI442" i="1"/>
  <c r="BI443" i="1"/>
  <c r="BI202" i="1"/>
  <c r="BI444" i="1"/>
  <c r="BI445" i="1"/>
  <c r="BI439" i="1"/>
  <c r="BI438" i="1"/>
  <c r="BI437" i="1"/>
  <c r="BI436" i="1"/>
  <c r="BI435" i="1"/>
  <c r="BI434" i="1"/>
  <c r="BI432" i="1"/>
  <c r="BI433" i="1"/>
  <c r="BI431" i="1"/>
  <c r="BI430" i="1"/>
  <c r="BI429" i="1"/>
  <c r="BI428" i="1"/>
  <c r="BI427" i="1"/>
  <c r="BI426" i="1"/>
  <c r="BI425" i="1"/>
  <c r="BI418" i="1"/>
  <c r="BI419" i="1"/>
  <c r="BI420" i="1"/>
  <c r="BI421" i="1"/>
  <c r="BI422" i="1"/>
  <c r="BI423" i="1"/>
  <c r="BI424" i="1"/>
  <c r="BI417" i="1"/>
  <c r="BI416" i="1"/>
  <c r="BI415" i="1"/>
  <c r="BI414" i="1"/>
  <c r="BI409" i="1"/>
  <c r="BI410" i="1"/>
  <c r="BI411" i="1"/>
  <c r="BI162" i="1"/>
  <c r="BI412" i="1"/>
  <c r="BI413" i="1"/>
  <c r="BI34" i="1"/>
  <c r="BI369" i="1"/>
  <c r="BI370" i="1"/>
  <c r="BI371" i="1"/>
  <c r="BI372" i="1"/>
  <c r="BI373" i="1"/>
  <c r="BI374" i="1"/>
  <c r="BI375" i="1"/>
  <c r="BI376" i="1"/>
  <c r="BI377" i="1"/>
  <c r="BI378" i="1"/>
  <c r="BI379" i="1"/>
  <c r="BI498" i="1"/>
  <c r="BI497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C1" i="4"/>
  <c r="D1" i="4"/>
  <c r="A1" i="4" l="1"/>
</calcChain>
</file>

<file path=xl/sharedStrings.xml><?xml version="1.0" encoding="utf-8"?>
<sst xmlns="http://schemas.openxmlformats.org/spreadsheetml/2006/main" count="7129" uniqueCount="3104">
  <si>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</si>
  <si>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</si>
  <si>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</si>
  <si>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</si>
  <si>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</si>
  <si>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</si>
  <si>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</si>
  <si>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</si>
  <si>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</si>
  <si>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</si>
  <si>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</si>
  <si>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</si>
  <si>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</si>
  <si>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</si>
  <si>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</si>
  <si>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</si>
  <si>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</si>
  <si>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</si>
  <si>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</si>
  <si>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</si>
  <si>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</si>
  <si>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</si>
  <si>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</si>
  <si>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</si>
  <si>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</si>
  <si>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</si>
  <si>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</si>
  <si>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</si>
  <si>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</si>
  <si>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</si>
  <si>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</si>
  <si>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</si>
  <si>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</si>
  <si>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</si>
  <si>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</si>
  <si>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</si>
  <si>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</si>
  <si>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</si>
  <si>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</si>
  <si>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</si>
  <si>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</si>
  <si>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</si>
  <si>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</si>
  <si>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</si>
  <si>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</si>
  <si>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</si>
  <si>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</si>
  <si>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</si>
  <si>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</si>
  <si>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</si>
  <si>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</si>
  <si>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</si>
  <si>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</si>
  <si>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</si>
  <si>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</si>
  <si>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</si>
  <si>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</si>
  <si>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</si>
  <si>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</si>
  <si>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</si>
  <si>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</si>
  <si>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</si>
  <si>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</si>
  <si>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</si>
  <si>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</si>
  <si>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</si>
  <si>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</si>
  <si>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</si>
  <si>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</si>
  <si>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</si>
  <si>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</si>
  <si>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</si>
  <si>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</si>
  <si>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</si>
  <si>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</si>
  <si>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</si>
  <si>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</si>
  <si>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</si>
  <si>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</si>
  <si>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</si>
  <si>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</si>
  <si>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</si>
  <si>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</si>
  <si>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</si>
  <si>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</si>
  <si>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</si>
  <si>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</si>
  <si>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</si>
  <si>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</si>
  <si>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</si>
  <si>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</si>
  <si>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</si>
  <si>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</si>
  <si>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</si>
  <si>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</si>
  <si>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</si>
  <si>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</si>
  <si>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</si>
  <si>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</si>
  <si>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</si>
  <si>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</si>
  <si>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</si>
  <si>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</si>
  <si>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</si>
  <si>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</si>
  <si>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</si>
  <si>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</si>
  <si>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</si>
  <si>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</si>
  <si>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</si>
  <si>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</si>
  <si>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</si>
  <si>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</si>
  <si>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</si>
  <si>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</si>
  <si>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</si>
  <si>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</si>
  <si>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</si>
  <si>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</si>
  <si>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</si>
  <si>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</si>
  <si>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</si>
  <si>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</si>
  <si>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</si>
  <si>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</si>
  <si>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</si>
  <si>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</si>
  <si>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</si>
  <si>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</si>
  <si>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</si>
  <si>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</si>
  <si>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</si>
  <si>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</si>
  <si>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</si>
  <si>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</si>
  <si>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</si>
  <si>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</si>
  <si>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</si>
  <si>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</si>
  <si>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</si>
  <si>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</si>
  <si>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</si>
  <si>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</si>
  <si>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</si>
  <si>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</si>
  <si>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</si>
  <si>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</si>
  <si>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</si>
  <si>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</si>
  <si>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</si>
  <si>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</si>
  <si>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</si>
  <si>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</si>
  <si>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</si>
  <si>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</si>
  <si>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</si>
  <si>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</si>
  <si>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</si>
  <si>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</si>
  <si>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</si>
  <si>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</si>
  <si>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</si>
  <si>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</si>
  <si>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</si>
  <si>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</si>
  <si>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</si>
  <si>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</si>
  <si>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</si>
  <si>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</si>
  <si>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</si>
  <si>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</si>
  <si>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</si>
  <si>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</si>
  <si>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</si>
  <si>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</si>
  <si>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</si>
  <si>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</si>
  <si>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</si>
  <si>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</si>
  <si>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</si>
  <si>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</si>
  <si>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</si>
  <si>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</si>
  <si>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</si>
  <si>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</si>
  <si>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</si>
  <si>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</si>
  <si>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</si>
  <si>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</si>
  <si>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</si>
  <si>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</si>
  <si>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</si>
  <si>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</si>
  <si>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</si>
  <si>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</si>
  <si>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</si>
  <si>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</si>
  <si>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</si>
  <si>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</si>
  <si>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</si>
  <si>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</si>
  <si>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</si>
  <si>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</si>
  <si>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</si>
  <si>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</si>
  <si>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</si>
  <si>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</si>
  <si>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</si>
  <si>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</si>
  <si>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</si>
  <si>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</si>
  <si>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</si>
  <si>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</si>
  <si>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</si>
  <si>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</si>
  <si>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</si>
  <si>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</si>
  <si>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</si>
  <si>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</si>
  <si>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</si>
  <si>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</si>
  <si>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</si>
  <si>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</si>
  <si>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</si>
  <si>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</si>
  <si>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</si>
  <si>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</si>
  <si>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</si>
  <si>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</si>
  <si>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</si>
  <si>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</si>
  <si>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</si>
  <si>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</si>
  <si>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</si>
  <si>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</si>
  <si>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</si>
  <si>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</si>
  <si>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</si>
  <si>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</si>
  <si>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</si>
  <si>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</si>
  <si>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</si>
  <si>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</si>
  <si>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</si>
  <si>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</si>
  <si>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</si>
  <si>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</si>
  <si>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</si>
  <si>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</si>
  <si>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</si>
  <si>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</si>
  <si>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</si>
  <si>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</si>
  <si>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</si>
  <si>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</si>
  <si>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</si>
  <si>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</si>
  <si>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</si>
  <si>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</si>
  <si>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</si>
  <si>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</si>
  <si>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</si>
  <si>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</si>
  <si>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</si>
  <si>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</si>
  <si>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</si>
  <si>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</si>
  <si>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</si>
  <si>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</si>
  <si>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</si>
  <si>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</si>
  <si>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</si>
  <si>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</si>
  <si>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</si>
  <si>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</si>
  <si>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</si>
  <si>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</si>
  <si>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</si>
  <si>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</si>
  <si>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</si>
  <si>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</si>
  <si>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</si>
  <si>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</si>
  <si>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</si>
  <si>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</si>
  <si>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</si>
  <si>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</si>
  <si>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</si>
  <si>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</si>
  <si>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</si>
  <si>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</si>
  <si>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</si>
  <si>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</si>
  <si>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</si>
  <si>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</si>
  <si>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</si>
  <si>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</si>
  <si>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</si>
  <si>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</si>
  <si>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</si>
  <si>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</si>
  <si>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</si>
  <si>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</si>
  <si>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</si>
  <si>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</si>
  <si>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</si>
  <si>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</si>
  <si>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</si>
  <si>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</si>
  <si>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</si>
  <si>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</si>
  <si>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</si>
  <si>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</si>
  <si>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</si>
  <si>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</si>
  <si>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</si>
  <si>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</si>
  <si>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</si>
  <si>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</si>
  <si>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</si>
  <si>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</si>
  <si>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</si>
  <si>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</si>
  <si>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</si>
  <si>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</si>
  <si>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</si>
  <si>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</si>
  <si>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</si>
  <si>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</si>
  <si>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</si>
  <si>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</si>
  <si>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</si>
  <si>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</si>
  <si>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</si>
  <si>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</si>
  <si>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</si>
  <si>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</si>
  <si>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</si>
  <si>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</si>
  <si>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</si>
  <si>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</si>
  <si>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</si>
  <si>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</si>
  <si>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</si>
  <si>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</si>
  <si>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</si>
  <si>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</si>
  <si>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</si>
  <si>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</si>
  <si>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</si>
  <si>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</si>
  <si>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</si>
  <si>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</si>
  <si>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</si>
  <si>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</si>
  <si>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</si>
  <si>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</si>
  <si>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</si>
  <si>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</si>
  <si>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</si>
  <si>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</si>
  <si>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</si>
  <si>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</si>
  <si>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</si>
  <si>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</si>
  <si>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</si>
  <si>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</si>
  <si>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</si>
  <si>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</si>
  <si>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</si>
  <si>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</si>
  <si>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</si>
  <si>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</si>
  <si>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</si>
  <si>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</si>
  <si>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</si>
  <si>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</si>
  <si>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</si>
  <si>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</si>
  <si>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</si>
  <si>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</si>
  <si>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</si>
  <si>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</si>
  <si>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</si>
  <si>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</si>
  <si>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</si>
  <si>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</si>
  <si>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</si>
  <si>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</si>
  <si>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</si>
  <si>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</si>
  <si>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</si>
  <si>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</si>
  <si>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</si>
  <si>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</si>
  <si>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</si>
  <si>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</si>
  <si>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</si>
  <si>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</si>
  <si>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</si>
  <si>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</si>
  <si>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</si>
  <si>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</si>
  <si>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</si>
  <si>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</si>
  <si>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</si>
  <si>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</si>
  <si>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</si>
  <si>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</si>
  <si>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</si>
  <si>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</si>
  <si>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</si>
  <si>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</si>
  <si>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</si>
  <si>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</si>
  <si>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</si>
  <si>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</si>
  <si>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</si>
  <si>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</si>
  <si>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</si>
  <si>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</si>
  <si>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</si>
  <si>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</si>
  <si>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</si>
  <si>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</si>
  <si>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</si>
  <si>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</si>
  <si>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</si>
  <si>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</si>
  <si>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</si>
  <si>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</si>
  <si>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</si>
  <si>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</si>
  <si>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</si>
  <si>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</si>
  <si>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</si>
  <si>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</si>
  <si>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</si>
  <si>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</si>
  <si>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</si>
  <si>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</si>
  <si>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</si>
  <si>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</si>
  <si>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</si>
  <si>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</si>
  <si>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</si>
  <si>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</si>
  <si>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</si>
  <si>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</si>
  <si>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</si>
  <si>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</si>
  <si>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</si>
  <si>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</si>
  <si>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</si>
  <si>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</si>
  <si>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</si>
  <si>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</si>
  <si>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</si>
  <si>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</si>
  <si>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</si>
  <si>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</si>
  <si>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</si>
  <si>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</si>
  <si>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</si>
  <si>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</si>
  <si>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</si>
  <si>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</si>
  <si>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</si>
  <si>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</si>
  <si>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</si>
  <si>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</si>
  <si>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</si>
  <si>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</si>
  <si>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</si>
  <si>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</si>
  <si>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</si>
  <si>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</si>
  <si>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</si>
  <si>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</si>
  <si>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</si>
  <si>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</si>
  <si>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</si>
  <si>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</si>
  <si>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</si>
  <si>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</si>
  <si>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</si>
  <si>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</si>
  <si>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</si>
  <si>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</si>
  <si>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</si>
  <si>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</si>
  <si>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</si>
  <si>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</si>
  <si>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</si>
  <si>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</si>
  <si>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</si>
  <si>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</si>
  <si>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</si>
  <si>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</si>
  <si>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</si>
  <si>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</si>
  <si>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</si>
  <si>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</si>
  <si>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</si>
  <si>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</si>
  <si>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</si>
  <si>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</si>
  <si>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</si>
  <si>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</si>
  <si>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</si>
  <si>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</si>
  <si>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</si>
  <si>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</si>
  <si>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</si>
  <si>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</si>
  <si>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</si>
  <si>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</si>
  <si>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</si>
  <si>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</si>
  <si>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</si>
  <si>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</si>
  <si>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</si>
  <si>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</si>
  <si>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</si>
  <si>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</si>
  <si>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</si>
  <si>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</si>
  <si>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</si>
  <si>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</si>
  <si>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</si>
  <si>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</si>
  <si>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</si>
  <si>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</si>
  <si>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</si>
  <si>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</si>
  <si>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</si>
  <si>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</si>
  <si>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</si>
  <si>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</si>
  <si>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</si>
  <si>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</si>
  <si>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</si>
  <si>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</si>
  <si>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</si>
  <si>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</si>
  <si>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</si>
  <si>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</si>
  <si>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</si>
  <si>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</si>
  <si>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</si>
  <si>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</si>
  <si>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</si>
  <si>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</si>
  <si>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</si>
  <si>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</si>
  <si>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</si>
  <si>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</si>
  <si>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</si>
  <si>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</si>
  <si>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</si>
  <si>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</si>
  <si>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</si>
  <si>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</si>
  <si>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</si>
  <si>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</si>
  <si>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</si>
  <si>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</si>
  <si>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</si>
  <si>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</si>
  <si>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</si>
  <si>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</si>
  <si>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</si>
  <si>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</si>
  <si>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</si>
  <si>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</si>
  <si>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</si>
  <si>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</si>
  <si>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</si>
  <si>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</si>
  <si>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</si>
  <si>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</si>
  <si>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</si>
  <si>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</si>
  <si>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</si>
  <si>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</si>
  <si>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</si>
  <si>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</si>
  <si>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</si>
  <si>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</si>
  <si>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</si>
  <si>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</si>
  <si>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</si>
  <si>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</si>
  <si>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</si>
  <si>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</si>
  <si>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</si>
  <si>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</si>
  <si>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</si>
  <si>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</si>
  <si>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</si>
  <si>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</si>
  <si>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</si>
  <si>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</si>
  <si>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</si>
  <si>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</si>
  <si>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</si>
  <si>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</si>
  <si>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</si>
  <si>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</si>
  <si>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</si>
  <si>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</si>
  <si>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</si>
  <si>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</si>
  <si>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</si>
  <si>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</si>
  <si>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</si>
  <si>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</si>
  <si>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</si>
  <si>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</si>
  <si>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</si>
  <si>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</si>
  <si>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</si>
  <si>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</si>
  <si>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</si>
  <si>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</si>
  <si>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乌合之众：群体心理研究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</si>
  <si>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</si>
  <si>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</si>
  <si>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</si>
  <si>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</si>
  <si>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</si>
  <si>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</si>
  <si>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</si>
  <si>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</si>
  <si>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</si>
  <si>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</si>
  <si>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</si>
  <si>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</si>
  <si>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</si>
  <si>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</si>
  <si>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</si>
  <si>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</si>
  <si>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</si>
  <si>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</si>
  <si>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</si>
  <si>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</si>
  <si>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</si>
  <si>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</si>
  <si>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</si>
  <si>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</si>
  <si>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</si>
  <si>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</si>
  <si>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</si>
  <si>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</si>
  <si>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</si>
  <si>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</si>
  <si>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</si>
  <si>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 xml:space="preserve"> </t>
  </si>
  <si>
    <t>図解人材マネジメント入門　</t>
  </si>
  <si>
    <t>やさしくわかるPythonの教室　</t>
  </si>
  <si>
    <t>天声人語　2021春　</t>
  </si>
  <si>
    <t>みずほ銀行システム統合、苦闘の19年史　</t>
  </si>
  <si>
    <t>Web技術がこれ1冊でしっかりわかる教科書　</t>
  </si>
  <si>
    <t>Excel関数組み合わせ超(スーパー)事典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</si>
  <si>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</si>
  <si>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</si>
  <si>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</si>
  <si>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</si>
  <si>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</si>
  <si>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</si>
  <si>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</si>
  <si>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</si>
  <si>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</si>
  <si>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</si>
  <si>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</si>
  <si>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</si>
  <si>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</si>
  <si>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</si>
  <si>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</si>
  <si>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</si>
  <si>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</si>
  <si>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</si>
  <si>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</si>
  <si>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</si>
  <si>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</si>
  <si>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</si>
  <si>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</si>
  <si>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</si>
  <si>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</si>
  <si>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</si>
  <si>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</si>
  <si>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</si>
  <si>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</si>
  <si>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</si>
  <si>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</si>
  <si>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</si>
  <si>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</si>
  <si>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</si>
  <si>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</si>
  <si>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</si>
  <si>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</si>
  <si>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</si>
  <si>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</si>
  <si>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</si>
  <si>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</si>
  <si>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</si>
  <si>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</si>
  <si>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</si>
  <si>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</si>
  <si>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</si>
  <si>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</si>
  <si>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</si>
  <si>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</si>
  <si>
    <t>ロジ.ソリューション株式会社／著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</si>
  <si>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</si>
  <si>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</si>
  <si>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</si>
  <si>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</si>
  <si>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</si>
  <si>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</si>
  <si>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情商2：影响你一生的社交商</t>
    <phoneticPr fontId="29" type="noConversion"/>
  </si>
  <si>
    <t>人民邮电出版社</t>
    <phoneticPr fontId="29" type="noConversion"/>
  </si>
  <si>
    <t>华章</t>
    <phoneticPr fontId="29" type="noConversion"/>
  </si>
  <si>
    <t>异类：不一样的成功启示录</t>
    <phoneticPr fontId="29" type="noConversion"/>
  </si>
  <si>
    <t>湛卢</t>
    <phoneticPr fontId="29" type="noConversion"/>
  </si>
  <si>
    <t>情商：为什么情商比智商更重要（第2版）</t>
    <phoneticPr fontId="29" type="noConversion"/>
  </si>
  <si>
    <t>免费：商业的未来</t>
    <phoneticPr fontId="29" type="noConversion"/>
  </si>
  <si>
    <t>助推：如何作出有关健康，财富与幸福的最佳决策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</si>
  <si>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</si>
  <si>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</si>
  <si>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</si>
  <si>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</si>
  <si>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</si>
  <si>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</si>
  <si>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创新者的窘境</t>
    <phoneticPr fontId="29" type="noConversion"/>
  </si>
  <si>
    <t>MBA一日读2.0：一日之内学完知名商学院的全部课程</t>
    <phoneticPr fontId="29" type="noConversion"/>
  </si>
  <si>
    <t>高绩效的HR：未来的HR转型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</si>
  <si>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</si>
  <si>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</si>
  <si>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产品游戏化</t>
    <phoneticPr fontId="29" type="noConversion"/>
  </si>
  <si>
    <t>正面领导：让员工跟定你的31个心理学小工具</t>
    <phoneticPr fontId="29" type="noConversion"/>
  </si>
  <si>
    <t>游戏化思维：改变未来商业的新力量</t>
    <phoneticPr fontId="29" type="noConversion"/>
  </si>
  <si>
    <t>重新定义公司 谷歌是如何运营的</t>
    <phoneticPr fontId="29" type="noConversion"/>
  </si>
  <si>
    <t>增长智商：有效构建企业未来的十大路径</t>
    <phoneticPr fontId="29" type="noConversion"/>
  </si>
  <si>
    <t>奇特的传染：群体情绪是怎样控制我们的</t>
    <phoneticPr fontId="29" type="noConversion"/>
  </si>
  <si>
    <t>像TED一样演讲2：沟通升级</t>
    <phoneticPr fontId="29" type="noConversion"/>
  </si>
  <si>
    <t>浅薄</t>
    <phoneticPr fontId="29" type="noConversion"/>
  </si>
  <si>
    <t>深度学习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</si>
  <si>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</si>
  <si>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</si>
  <si>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</si>
  <si>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</si>
  <si>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</si>
  <si>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</si>
  <si>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</si>
  <si>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</si>
  <si>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</si>
  <si>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</si>
  <si>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</si>
  <si>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</si>
  <si>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</si>
  <si>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</si>
  <si>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</si>
  <si>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</si>
  <si>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</si>
  <si>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</si>
  <si>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</si>
  <si>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</si>
  <si>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</si>
  <si>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</si>
  <si>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</si>
  <si>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</si>
  <si>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year</t>
    <phoneticPr fontId="30" type="noConversion"/>
  </si>
  <si>
    <t>month</t>
    <phoneticPr fontId="30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</si>
  <si>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</si>
  <si>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</si>
  <si>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</si>
  <si>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</si>
  <si>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</si>
  <si>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</si>
  <si>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</si>
  <si>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</si>
  <si>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</si>
  <si>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</si>
  <si>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</si>
  <si>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</si>
  <si>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</si>
  <si>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</si>
  <si>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</si>
  <si>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</si>
  <si>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</si>
  <si>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</si>
  <si>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</si>
  <si>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</si>
  <si>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</si>
  <si>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</si>
  <si>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</si>
  <si>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</si>
  <si>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</si>
  <si>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</si>
  <si>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</si>
  <si>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</si>
  <si>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</si>
  <si>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</si>
  <si>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</si>
  <si>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</si>
  <si>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</si>
  <si>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</si>
  <si>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</si>
  <si>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</si>
  <si>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</si>
  <si>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</si>
  <si>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</si>
  <si>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</si>
  <si>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</si>
  <si>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</si>
  <si>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</si>
  <si>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</si>
  <si>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</si>
  <si>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</si>
  <si>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</si>
  <si>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</si>
  <si>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</si>
  <si>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</si>
  <si>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</si>
  <si>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</si>
  <si>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</si>
  <si>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</si>
  <si>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</si>
  <si>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</si>
  <si>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</si>
  <si>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</si>
  <si>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</si>
  <si>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</si>
  <si>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</si>
  <si>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</si>
  <si>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</si>
  <si>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</si>
  <si>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</si>
  <si>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</si>
  <si>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</si>
  <si>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</si>
  <si>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</si>
  <si>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</si>
  <si>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</si>
  <si>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</si>
  <si>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</si>
  <si>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</si>
  <si>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</si>
  <si>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</si>
  <si>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</si>
  <si>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</si>
  <si>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</si>
  <si>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</si>
  <si>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</si>
  <si>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</si>
  <si>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</si>
  <si>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</si>
  <si>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</si>
  <si>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</si>
  <si>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</si>
  <si>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</si>
  <si>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</si>
  <si>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</si>
  <si>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</si>
  <si>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</si>
  <si>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</si>
  <si>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</si>
  <si>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</si>
  <si>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</si>
  <si>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</si>
  <si>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</si>
  <si>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</si>
  <si>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</si>
  <si>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</si>
  <si>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</si>
  <si>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</si>
  <si>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</si>
  <si>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</si>
  <si>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</si>
  <si>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</si>
  <si>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</si>
  <si>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</si>
  <si>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</si>
  <si>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</si>
  <si>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</si>
  <si>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</si>
  <si>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</si>
  <si>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</si>
  <si>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</si>
  <si>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</si>
  <si>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</si>
  <si>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</si>
  <si>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</si>
  <si>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</si>
  <si>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</si>
  <si>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</si>
  <si>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</si>
  <si>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</si>
  <si>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</si>
  <si>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</si>
  <si>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</si>
  <si>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</si>
  <si>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</si>
  <si>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</si>
  <si>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</si>
  <si>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</si>
  <si>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</si>
  <si>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</si>
  <si>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</si>
  <si>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</si>
  <si>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</si>
  <si>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</si>
  <si>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</si>
  <si>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</si>
  <si>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</si>
  <si>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</si>
  <si>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</si>
  <si>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</si>
  <si>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</si>
  <si>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</si>
  <si>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</si>
  <si>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</si>
  <si>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</si>
  <si>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</si>
  <si>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</si>
  <si>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</si>
  <si>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</si>
  <si>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</si>
  <si>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</si>
  <si>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</si>
  <si>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</si>
  <si>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</si>
  <si>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</si>
  <si>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</si>
  <si>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</si>
  <si>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</si>
  <si>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</si>
  <si>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</si>
  <si>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</si>
  <si>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</si>
  <si>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</si>
  <si>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</si>
  <si>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</si>
  <si>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</si>
  <si>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</si>
  <si>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</si>
  <si>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</si>
  <si>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</si>
  <si>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</si>
  <si>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</si>
  <si>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</si>
  <si>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</si>
  <si>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</si>
  <si>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</si>
  <si>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</si>
  <si>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</si>
  <si>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</si>
  <si>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</si>
  <si>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</si>
  <si>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</si>
  <si>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</si>
  <si>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</si>
  <si>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</si>
  <si>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</si>
  <si>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</si>
  <si>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</si>
  <si>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</si>
  <si>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</si>
  <si>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</si>
  <si>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</si>
  <si>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</si>
  <si>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</si>
  <si>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</si>
  <si>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</si>
  <si>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</si>
  <si>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</si>
  <si>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</si>
  <si>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</si>
  <si>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</si>
  <si>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</si>
  <si>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</si>
  <si>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</si>
  <si>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</si>
  <si>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</si>
  <si>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</si>
  <si>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</si>
  <si>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</si>
  <si>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</si>
  <si>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</si>
  <si>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</si>
  <si>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</si>
  <si>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</si>
  <si>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</si>
  <si>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</si>
  <si>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</si>
  <si>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</si>
  <si>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</si>
  <si>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</si>
  <si>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</si>
  <si>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</si>
  <si>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</si>
  <si>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</si>
  <si>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</si>
  <si>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</si>
  <si>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</si>
  <si>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</si>
  <si>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</si>
  <si>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</si>
  <si>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</si>
  <si>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</si>
  <si>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</si>
  <si>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</si>
  <si>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</si>
  <si>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</si>
  <si>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</si>
  <si>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</si>
  <si>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</si>
  <si>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</si>
  <si>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</si>
  <si>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</si>
  <si>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</si>
  <si>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</si>
  <si>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</si>
  <si>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</si>
  <si>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</si>
  <si>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</si>
  <si>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</si>
  <si>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</si>
  <si>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</si>
  <si>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</si>
  <si>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</si>
  <si>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</si>
  <si>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</si>
  <si>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</si>
  <si>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</si>
  <si>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</si>
  <si>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</si>
  <si>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</si>
  <si>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</si>
  <si>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</si>
  <si>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</si>
  <si>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</si>
  <si>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</si>
  <si>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</si>
  <si>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</si>
  <si>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</si>
  <si>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</si>
  <si>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</si>
  <si>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</si>
  <si>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</si>
  <si>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</si>
  <si>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</si>
  <si>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</si>
  <si>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</si>
  <si>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</si>
  <si>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</si>
  <si>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</si>
  <si>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</si>
  <si>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</si>
  <si>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</si>
  <si>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</si>
  <si>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</si>
  <si>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</si>
  <si>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</si>
  <si>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</si>
  <si>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</si>
  <si>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</si>
  <si>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</si>
  <si>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</si>
  <si>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</si>
  <si>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</si>
  <si>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</si>
  <si>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</si>
  <si>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</si>
  <si>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</si>
  <si>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</si>
  <si>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</si>
  <si>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</si>
  <si>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</si>
  <si>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</si>
  <si>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</si>
  <si>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</si>
  <si>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</si>
  <si>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</si>
  <si>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</si>
  <si>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</si>
  <si>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</si>
  <si>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</si>
  <si>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</si>
  <si>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</si>
  <si>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</si>
  <si>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</si>
  <si>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</si>
  <si>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</si>
  <si>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</si>
  <si>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</si>
  <si>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</si>
  <si>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</si>
  <si>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</si>
  <si>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</si>
  <si>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</si>
  <si>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</si>
  <si>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</si>
  <si>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</si>
  <si>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</si>
  <si>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</si>
  <si>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</si>
  <si>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</si>
  <si>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</si>
  <si>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</si>
  <si>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</si>
  <si>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</si>
  <si>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</si>
  <si>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</si>
  <si>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</si>
  <si>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</si>
  <si>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</si>
  <si>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</si>
  <si>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</si>
  <si>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</si>
  <si>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</si>
  <si>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</si>
  <si>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</si>
  <si>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</si>
  <si>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</si>
  <si>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</si>
  <si>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</si>
  <si>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</si>
  <si>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</si>
  <si>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</si>
  <si>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</si>
  <si>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</si>
  <si>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</si>
  <si>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</si>
  <si>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</si>
  <si>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</si>
  <si>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</si>
  <si>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</si>
  <si>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</si>
  <si>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</si>
  <si>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</si>
  <si>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</si>
  <si>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</si>
  <si>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</si>
  <si>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</si>
  <si>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</si>
  <si>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</si>
  <si>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</si>
  <si>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</si>
  <si>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</si>
  <si>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</si>
  <si>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</si>
  <si>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</si>
  <si>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</si>
  <si>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</si>
  <si>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</si>
  <si>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</si>
  <si>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</si>
  <si>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</si>
  <si>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</si>
  <si>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</si>
  <si>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</si>
  <si>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</si>
  <si>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</si>
  <si>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</si>
  <si>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</si>
  <si>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</si>
  <si>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</si>
  <si>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</si>
  <si>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</si>
  <si>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</si>
  <si>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</si>
  <si>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</si>
  <si>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</si>
  <si>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</si>
  <si>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</si>
  <si>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</si>
  <si>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</si>
  <si>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</si>
  <si>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</si>
  <si>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</si>
  <si>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</si>
  <si>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</si>
  <si>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</si>
  <si>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</si>
  <si>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</si>
  <si>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</si>
  <si>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</si>
  <si>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</si>
  <si>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</si>
  <si>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</si>
  <si>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</si>
  <si>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</si>
  <si>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</si>
  <si>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</si>
  <si>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</si>
  <si>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</si>
  <si>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</si>
  <si>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</si>
  <si>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</si>
  <si>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</si>
  <si>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</si>
  <si>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</si>
  <si>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</si>
  <si>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</si>
  <si>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</si>
  <si>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</si>
  <si>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</si>
  <si>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</si>
  <si>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</si>
  <si>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</si>
  <si>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</si>
  <si>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</si>
  <si>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</si>
  <si>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</si>
  <si>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</si>
  <si>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</si>
  <si>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</si>
  <si>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</si>
  <si>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</si>
  <si>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</si>
  <si>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</si>
  <si>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</si>
  <si>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</si>
  <si>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</si>
  <si>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</si>
  <si>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</si>
  <si>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</si>
  <si>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</si>
  <si>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</si>
  <si>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</si>
  <si>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</si>
  <si>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</si>
  <si>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</si>
  <si>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</si>
  <si>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</si>
  <si>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</si>
  <si>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</si>
  <si>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</si>
  <si>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</si>
  <si>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</si>
  <si>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</si>
  <si>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</si>
  <si>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</si>
  <si>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</si>
  <si>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</si>
  <si>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</si>
  <si>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</si>
  <si>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</si>
  <si>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</si>
  <si>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</si>
  <si>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</si>
  <si>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</si>
  <si>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</si>
  <si>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</si>
  <si>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</si>
  <si>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</si>
  <si>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</si>
  <si>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</si>
  <si>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</si>
  <si>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</si>
  <si>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</si>
  <si>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</si>
  <si>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</si>
  <si>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</si>
  <si>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</si>
  <si>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</si>
  <si>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</si>
  <si>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</si>
  <si>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</si>
  <si>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</si>
  <si>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</si>
  <si>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</si>
  <si>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</si>
  <si>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</si>
  <si>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</si>
  <si>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</si>
  <si>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</si>
  <si>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</si>
  <si>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</si>
  <si>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</si>
  <si>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</si>
  <si>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</si>
  <si>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</si>
  <si>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</si>
  <si>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</si>
  <si>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</si>
  <si>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</si>
  <si>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</si>
  <si>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</si>
  <si>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</si>
  <si>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</si>
  <si>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</si>
  <si>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</si>
  <si>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</si>
  <si>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</si>
  <si>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</si>
  <si>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</si>
  <si>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</si>
  <si>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</si>
  <si>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</si>
  <si>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</si>
  <si>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</si>
  <si>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</si>
  <si>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</si>
  <si>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</si>
  <si>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</si>
  <si>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</si>
  <si>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</si>
  <si>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</si>
  <si>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</si>
  <si>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</si>
  <si>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</si>
  <si>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</si>
  <si>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</si>
  <si>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</si>
  <si>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</si>
  <si>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</si>
  <si>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</si>
  <si>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</si>
  <si>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</si>
  <si>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</si>
  <si>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</si>
  <si>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</si>
  <si>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</si>
  <si>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</si>
  <si>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</si>
  <si>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</si>
  <si>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</si>
  <si>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</si>
  <si>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</si>
  <si>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</si>
  <si>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</si>
  <si>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</si>
  <si>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</si>
  <si>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</si>
  <si>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</si>
  <si>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</si>
  <si>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</si>
  <si>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</si>
  <si>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</si>
  <si>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</si>
  <si>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</si>
  <si>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</si>
  <si>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</si>
  <si>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</si>
  <si>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</si>
  <si>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</si>
  <si>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</si>
  <si>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</si>
  <si>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</si>
  <si>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</si>
  <si>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</si>
  <si>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</si>
  <si>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</si>
  <si>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</si>
  <si>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</si>
  <si>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</si>
  <si>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</si>
  <si>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</si>
  <si>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</si>
  <si>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</si>
  <si>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</si>
  <si>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</si>
  <si>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</si>
  <si>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</si>
  <si>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</si>
  <si>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</si>
  <si>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</si>
  <si>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</si>
  <si>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</si>
  <si>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</si>
  <si>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</si>
  <si>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</si>
  <si>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</si>
  <si>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</si>
  <si>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</si>
  <si>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</si>
  <si>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</si>
  <si>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</si>
  <si>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</si>
  <si>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</si>
  <si>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</si>
  <si>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</si>
  <si>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</si>
  <si>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</si>
  <si>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</si>
  <si>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</si>
  <si>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</si>
  <si>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</si>
  <si>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</si>
  <si>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</si>
  <si>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</si>
  <si>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</si>
  <si>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</si>
  <si>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</si>
  <si>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</si>
  <si>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</si>
  <si>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</si>
  <si>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</si>
  <si>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</si>
  <si>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</si>
  <si>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</si>
  <si>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</si>
  <si>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</si>
  <si>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</si>
  <si>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</si>
  <si>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</si>
  <si>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</si>
  <si>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</si>
  <si>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</si>
  <si>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</si>
  <si>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</si>
  <si>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</si>
  <si>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</si>
  <si>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</si>
  <si>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</si>
  <si>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</si>
  <si>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</si>
  <si>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</si>
  <si>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</si>
  <si>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</si>
  <si>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</si>
  <si>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</si>
  <si>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</si>
  <si>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</si>
  <si>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</si>
  <si>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</si>
  <si>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</si>
  <si>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</si>
  <si>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</si>
  <si>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</si>
  <si>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</si>
  <si>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</si>
  <si>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</si>
  <si>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</si>
  <si>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</si>
  <si>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</si>
  <si>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</si>
  <si>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</si>
  <si>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</si>
  <si>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</si>
  <si>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</si>
  <si>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</si>
  <si>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</si>
  <si>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</si>
  <si>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</si>
  <si>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</si>
  <si>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</si>
  <si>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</si>
  <si>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</si>
  <si>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</si>
  <si>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</si>
  <si>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</si>
  <si>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</si>
  <si>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</si>
  <si>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</si>
  <si>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</si>
  <si>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</si>
  <si>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</si>
  <si>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</si>
  <si>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</si>
  <si>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</si>
  <si>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</si>
  <si>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</si>
  <si>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</si>
  <si>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</si>
  <si>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</si>
  <si>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</si>
  <si>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游ゴシック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</si>
  <si>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</si>
  <si>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</si>
  <si>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</si>
  <si>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</si>
  <si>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</si>
  <si>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</si>
  <si>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</si>
  <si>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</si>
  <si>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</si>
  <si>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游ゴシック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</si>
  <si>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</si>
  <si>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</si>
  <si>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</si>
  <si>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</si>
  <si>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</si>
  <si>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</si>
  <si>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</si>
  <si>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</si>
  <si>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</si>
  <si>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</si>
  <si>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游ゴシック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</si>
  <si>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</si>
  <si>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游ゴシック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</si>
  <si>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游ゴシック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</si>
  <si>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</si>
  <si>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</si>
  <si>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</si>
  <si>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</si>
  <si>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</si>
  <si>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</si>
  <si>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</si>
  <si>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</si>
  <si>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游ゴシック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</si>
  <si>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</si>
  <si>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</si>
  <si>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</si>
  <si>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</si>
  <si>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</si>
  <si>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</si>
  <si>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</si>
  <si>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</si>
  <si>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</si>
  <si>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</si>
  <si>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</si>
  <si>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</si>
  <si>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</si>
  <si>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</si>
  <si>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</si>
  <si>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</si>
  <si>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</si>
  <si>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</si>
  <si>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</si>
  <si>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</si>
  <si>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</si>
  <si>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</si>
  <si>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</si>
  <si>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</si>
  <si>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</si>
  <si>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</si>
  <si>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</si>
  <si>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</si>
  <si>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</si>
  <si>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</si>
  <si>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</si>
  <si>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</si>
  <si>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</si>
  <si>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</si>
  <si>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</si>
  <si>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</si>
  <si>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</si>
  <si>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</si>
  <si>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</si>
  <si>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</si>
  <si>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</si>
  <si>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</si>
  <si>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</si>
  <si>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</si>
  <si>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</si>
  <si>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</si>
  <si>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</si>
  <si>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</si>
  <si>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</si>
  <si>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</si>
  <si>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</si>
  <si>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</si>
  <si>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</si>
  <si>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</si>
  <si>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</si>
  <si>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</si>
  <si>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</si>
  <si>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</si>
  <si>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</si>
  <si>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</si>
  <si>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</si>
  <si>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</si>
  <si>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</si>
  <si>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</si>
  <si>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</si>
  <si>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</si>
  <si>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</si>
  <si>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</si>
  <si>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</si>
  <si>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</si>
  <si>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</si>
  <si>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</si>
  <si>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</si>
  <si>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</si>
  <si>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</si>
  <si>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</si>
  <si>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</si>
  <si>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</si>
  <si>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</si>
  <si>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</si>
  <si>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</si>
  <si>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</si>
  <si>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</si>
  <si>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</si>
  <si>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</si>
  <si>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</si>
  <si>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</si>
  <si>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</si>
  <si>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</si>
  <si>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</si>
  <si>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</si>
  <si>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</si>
  <si>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</si>
  <si>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</si>
  <si>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</si>
  <si>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</si>
  <si>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</si>
  <si>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</si>
  <si>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</si>
  <si>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</si>
  <si>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</si>
  <si>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</si>
  <si>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</si>
  <si>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</si>
  <si>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</si>
  <si>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</si>
  <si>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</si>
  <si>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</si>
  <si>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</si>
  <si>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</si>
  <si>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</si>
  <si>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</si>
  <si>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</si>
  <si>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</si>
  <si>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</si>
  <si>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</si>
  <si>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</si>
  <si>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</si>
  <si>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</si>
  <si>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</si>
  <si>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</si>
  <si>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</si>
  <si>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</si>
  <si>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</si>
  <si>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</si>
  <si>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</si>
  <si>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</si>
  <si>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</si>
  <si>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</si>
  <si>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</si>
  <si>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</si>
  <si>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</si>
  <si>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</si>
  <si>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</si>
  <si>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</si>
  <si>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</si>
  <si>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</si>
  <si>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</si>
  <si>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</si>
  <si>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</si>
  <si>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</si>
  <si>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</si>
  <si>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</si>
  <si>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</si>
  <si>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</si>
  <si>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</si>
  <si>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</si>
  <si>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</si>
  <si>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</si>
  <si>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</si>
  <si>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</si>
  <si>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</si>
  <si>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</si>
  <si>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</si>
  <si>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</si>
  <si>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</si>
  <si>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</si>
  <si>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</si>
  <si>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</si>
  <si>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</si>
  <si>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</si>
  <si>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</si>
  <si>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</si>
  <si>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</si>
  <si>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</si>
  <si>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</si>
  <si>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</si>
  <si>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</si>
  <si>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</si>
  <si>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</si>
  <si>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</si>
  <si>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</si>
  <si>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</si>
  <si>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</si>
  <si>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</si>
  <si>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</si>
  <si>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</si>
  <si>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</si>
  <si>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</si>
  <si>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</si>
  <si>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</si>
  <si>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</si>
  <si>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</si>
  <si>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</si>
  <si>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</si>
  <si>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</si>
  <si>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</si>
  <si>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</si>
  <si>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</si>
  <si>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</si>
  <si>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</si>
  <si>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</si>
  <si>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</si>
  <si>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</si>
  <si>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</si>
  <si>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</si>
  <si>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</si>
  <si>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</si>
  <si>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</si>
  <si>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</si>
  <si>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</si>
  <si>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</si>
  <si>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</si>
  <si>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</si>
  <si>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</si>
  <si>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</si>
  <si>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</si>
  <si>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</si>
  <si>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</si>
  <si>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</si>
  <si>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</si>
  <si>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</si>
  <si>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</si>
  <si>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</si>
  <si>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</si>
  <si>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</si>
  <si>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</si>
  <si>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</si>
  <si>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</si>
  <si>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</si>
  <si>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</si>
  <si>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</si>
  <si>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</si>
  <si>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</si>
  <si>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</si>
  <si>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</si>
  <si>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</si>
  <si>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</si>
  <si>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</si>
  <si>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</si>
  <si>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</si>
  <si>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</si>
  <si>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</si>
  <si>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</si>
  <si>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</si>
  <si>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</si>
  <si>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</si>
  <si>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</si>
  <si>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</si>
  <si>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</si>
  <si>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</si>
  <si>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</si>
  <si>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</si>
  <si>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</si>
  <si>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</si>
  <si>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</si>
  <si>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</si>
  <si>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</si>
  <si>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</si>
  <si>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</si>
  <si>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</si>
  <si>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</si>
  <si>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</si>
  <si>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</si>
  <si>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</si>
  <si>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</si>
  <si>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</si>
  <si>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</si>
  <si>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</si>
  <si>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</si>
  <si>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</si>
  <si>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</si>
  <si>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</si>
  <si>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</si>
  <si>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</si>
  <si>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</si>
  <si>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</si>
  <si>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</si>
  <si>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</si>
  <si>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</si>
  <si>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</si>
  <si>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</si>
  <si>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</si>
  <si>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</si>
  <si>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</si>
  <si>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</si>
  <si>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</si>
  <si>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</si>
  <si>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</si>
  <si>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</si>
  <si>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</si>
  <si>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</si>
  <si>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</si>
  <si>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</si>
  <si>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</si>
  <si>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</si>
  <si>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</si>
  <si>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</si>
  <si>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</si>
  <si>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</si>
  <si>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</si>
  <si>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</si>
  <si>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</si>
  <si>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</si>
  <si>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</si>
  <si>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</si>
  <si>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</si>
  <si>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</si>
  <si>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</si>
  <si>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</si>
  <si>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</si>
  <si>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</si>
  <si>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</si>
  <si>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</si>
  <si>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</si>
  <si>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</si>
  <si>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</si>
  <si>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</si>
  <si>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</si>
  <si>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</si>
  <si>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</si>
  <si>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</si>
  <si>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</si>
  <si>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</si>
  <si>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</si>
  <si>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</si>
  <si>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</si>
  <si>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</si>
  <si>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</si>
  <si>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</si>
  <si>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</si>
  <si>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</si>
  <si>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</si>
  <si>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</si>
  <si>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</si>
  <si>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</si>
  <si>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</si>
  <si>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</si>
  <si>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</si>
  <si>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</si>
  <si>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</si>
  <si>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</si>
  <si>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</si>
  <si>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</si>
  <si>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</si>
  <si>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</si>
  <si>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</si>
  <si>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</si>
  <si>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</si>
  <si>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</si>
  <si>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</si>
  <si>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</si>
  <si>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</si>
  <si>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</si>
  <si>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</si>
  <si>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</si>
  <si>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</si>
  <si>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</si>
  <si>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</si>
  <si>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</si>
  <si>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</si>
  <si>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</si>
  <si>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</si>
  <si>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</si>
  <si>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</si>
  <si>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</si>
  <si>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</si>
  <si>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</si>
  <si>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</si>
  <si>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</si>
  <si>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</si>
  <si>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</si>
  <si>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</si>
  <si>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</si>
  <si>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</si>
  <si>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</si>
  <si>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</si>
  <si>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</si>
  <si>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</si>
  <si>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</si>
  <si>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</si>
  <si>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</si>
  <si>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</si>
  <si>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</si>
  <si>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</si>
  <si>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</si>
  <si>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</si>
  <si>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</si>
  <si>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</si>
  <si>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</si>
  <si>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</si>
  <si>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</si>
  <si>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</si>
  <si>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</si>
  <si>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</si>
  <si>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</si>
  <si>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</si>
  <si>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</si>
  <si>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</si>
  <si>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</si>
  <si>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</si>
  <si>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</si>
  <si>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</si>
  <si>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</si>
  <si>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</si>
  <si>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</si>
  <si>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</si>
  <si>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</si>
  <si>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</si>
  <si>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</si>
  <si>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</si>
  <si>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</si>
  <si>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</si>
  <si>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</si>
  <si>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</si>
  <si>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</si>
  <si>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</si>
  <si>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</si>
  <si>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</si>
  <si>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</si>
  <si>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</si>
  <si>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</si>
  <si>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</si>
  <si>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</si>
  <si>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</si>
  <si>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</si>
  <si>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</si>
  <si>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</si>
  <si>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</si>
  <si>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</si>
  <si>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</si>
  <si>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</si>
  <si>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</si>
  <si>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</si>
  <si>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</si>
  <si>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</si>
  <si>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</si>
  <si>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</si>
  <si>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</si>
  <si>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</si>
  <si>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</si>
  <si>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</si>
  <si>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</si>
  <si>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</si>
  <si>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</si>
  <si>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</si>
  <si>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</si>
  <si>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</si>
  <si>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</si>
  <si>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</si>
  <si>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</si>
  <si>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</si>
  <si>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</si>
  <si>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</si>
  <si>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</si>
  <si>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</si>
  <si>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</si>
  <si>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</si>
  <si>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</si>
  <si>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</si>
  <si>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</si>
  <si>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</si>
  <si>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</si>
  <si>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</si>
  <si>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</si>
  <si>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</si>
  <si>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</si>
  <si>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</si>
  <si>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</si>
  <si>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</si>
  <si>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</si>
  <si>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</si>
  <si>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</si>
  <si>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</si>
  <si>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</si>
  <si>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</si>
  <si>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</si>
  <si>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</si>
  <si>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</si>
  <si>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</si>
  <si>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</si>
  <si>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</si>
  <si>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</si>
  <si>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</si>
  <si>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</si>
  <si>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</si>
  <si>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</si>
  <si>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</si>
  <si>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</si>
  <si>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</si>
  <si>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</si>
  <si>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</si>
  <si>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</si>
  <si>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</si>
  <si>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</si>
  <si>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</si>
  <si>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</si>
  <si>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</si>
  <si>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</si>
  <si>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</si>
  <si>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</si>
  <si>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</si>
  <si>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</si>
  <si>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</si>
  <si>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</si>
  <si>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</si>
  <si>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</si>
  <si>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</si>
  <si>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</si>
  <si>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</si>
  <si>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</si>
  <si>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</si>
  <si>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</si>
  <si>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游ゴシック"/>
        <family val="3"/>
        <charset val="134"/>
        <scheme val="minor"/>
      </rPr>
      <t>彻</t>
    </r>
    <r>
      <rPr>
        <sz val="11"/>
        <color theme="1"/>
        <rFont val="游ゴシック"/>
        <family val="2"/>
        <scheme val="minor"/>
      </rPr>
      <t>底入</t>
    </r>
    <r>
      <rPr>
        <sz val="11"/>
        <color theme="1"/>
        <rFont val="游ゴシック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</si>
  <si>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</si>
  <si>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</si>
  <si>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</si>
  <si>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</si>
  <si>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</si>
  <si>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</si>
  <si>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</si>
  <si>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</si>
  <si>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</si>
  <si>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</si>
  <si>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</si>
  <si>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</si>
  <si>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</si>
  <si>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</si>
  <si>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</si>
  <si>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</si>
  <si>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</si>
  <si>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</si>
  <si>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</si>
  <si>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</si>
  <si>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</si>
  <si>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</si>
  <si>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</si>
  <si>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</si>
  <si>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</si>
  <si>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</si>
  <si>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</si>
  <si>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</si>
  <si>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</si>
  <si>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</si>
  <si>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</si>
  <si>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</si>
  <si>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</si>
  <si>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</si>
  <si>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</si>
  <si>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</si>
  <si>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</si>
  <si>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</si>
  <si>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</si>
  <si>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</si>
  <si>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</si>
  <si>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</si>
  <si>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</si>
  <si>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</si>
  <si>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</si>
  <si>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</si>
  <si>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</si>
  <si>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</si>
  <si>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</si>
  <si>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</si>
  <si>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</si>
  <si>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</si>
  <si>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</si>
  <si>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</si>
  <si>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</si>
  <si>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</si>
  <si>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</si>
  <si>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</si>
  <si>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</si>
  <si>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</si>
  <si>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</si>
  <si>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</si>
  <si>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</si>
  <si>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</si>
  <si>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</si>
  <si>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</si>
  <si>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</si>
  <si>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</si>
  <si>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</si>
  <si>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</si>
  <si>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</si>
  <si>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</si>
  <si>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</si>
  <si>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</si>
  <si>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</si>
  <si>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</si>
  <si>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</si>
  <si>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</si>
  <si>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</si>
  <si>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</si>
  <si>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</si>
  <si>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</si>
  <si>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</si>
  <si>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</si>
  <si>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</si>
  <si>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</si>
  <si>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</si>
  <si>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</si>
  <si>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</si>
  <si>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</si>
  <si>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游ゴシック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</si>
  <si>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</si>
  <si>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</si>
  <si>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</si>
  <si>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</si>
  <si>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</si>
  <si>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</si>
  <si>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</si>
  <si>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</si>
  <si>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</si>
  <si>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</si>
  <si>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</si>
  <si>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</si>
  <si>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</si>
  <si>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</si>
  <si>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</si>
  <si>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</si>
  <si>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</si>
  <si>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</si>
  <si>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</si>
  <si>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</si>
  <si>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</si>
  <si>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</si>
  <si>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</si>
  <si>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</si>
  <si>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</si>
  <si>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</si>
  <si>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</si>
  <si>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</si>
  <si>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</si>
  <si>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</si>
  <si>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</si>
  <si>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</si>
  <si>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</si>
  <si>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</si>
  <si>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</si>
  <si>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</si>
  <si>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</si>
  <si>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</si>
  <si>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</si>
  <si>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</si>
  <si>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</si>
  <si>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</si>
  <si>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</si>
  <si>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</si>
  <si>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</si>
  <si>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</si>
  <si>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</si>
  <si>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</si>
  <si>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</si>
  <si>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</si>
  <si>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</si>
  <si>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</si>
  <si>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</si>
  <si>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</si>
  <si>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</si>
  <si>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</si>
  <si>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</si>
  <si>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</si>
  <si>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</si>
  <si>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</si>
  <si>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</si>
  <si>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</si>
  <si>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</si>
  <si>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</si>
  <si>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</si>
  <si>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</si>
  <si>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</si>
  <si>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</si>
  <si>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</si>
  <si>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</si>
  <si>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</si>
  <si>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</si>
  <si>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</si>
  <si>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</si>
  <si>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</si>
  <si>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</si>
  <si>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</si>
  <si>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</si>
  <si>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</si>
  <si>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</si>
  <si>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</si>
  <si>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</si>
  <si>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</si>
  <si>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</si>
  <si>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</si>
  <si>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</si>
  <si>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</si>
  <si>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</si>
  <si>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</si>
  <si>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</si>
  <si>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</si>
  <si>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</si>
  <si>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</si>
  <si>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</si>
  <si>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</si>
  <si>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</si>
  <si>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</si>
  <si>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</si>
  <si>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</si>
  <si>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</si>
  <si>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</si>
  <si>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</si>
  <si>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</si>
  <si>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</si>
  <si>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</si>
  <si>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</si>
  <si>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</si>
  <si>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</si>
  <si>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</si>
  <si>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</si>
  <si>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</si>
  <si>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</si>
  <si>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</si>
  <si>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</si>
  <si>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</si>
  <si>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</si>
  <si>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</si>
  <si>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</si>
  <si>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</si>
  <si>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</si>
  <si>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</si>
  <si>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</si>
  <si>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</si>
  <si>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</si>
  <si>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</si>
  <si>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</si>
  <si>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</si>
  <si>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</si>
  <si>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</si>
  <si>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</si>
  <si>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</si>
  <si>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</si>
  <si>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</si>
  <si>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</si>
  <si>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</si>
  <si>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</si>
  <si>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</si>
  <si>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</si>
  <si>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</si>
  <si>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</si>
  <si>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</si>
  <si>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</si>
  <si>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</si>
  <si>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</si>
  <si>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</si>
  <si>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</si>
  <si>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</si>
  <si>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</si>
  <si>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</si>
  <si>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</si>
  <si>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</si>
  <si>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</si>
  <si>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</si>
  <si>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</si>
  <si>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</si>
  <si>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</si>
  <si>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</si>
  <si>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</si>
  <si>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</si>
  <si>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</si>
  <si>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</si>
  <si>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</si>
  <si>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</si>
  <si>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</si>
  <si>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</si>
  <si>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</si>
  <si>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</si>
  <si>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</si>
  <si>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</si>
  <si>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</si>
  <si>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</si>
  <si>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</si>
  <si>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</si>
  <si>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</si>
  <si>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</si>
  <si>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</si>
  <si>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</si>
  <si>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</si>
  <si>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</si>
  <si>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</si>
  <si>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</si>
  <si>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</si>
  <si>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</si>
  <si>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</si>
  <si>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</si>
  <si>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</si>
  <si>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</si>
  <si>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</si>
  <si>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</si>
  <si>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</si>
  <si>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</si>
  <si>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</si>
  <si>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</si>
  <si>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</si>
  <si>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</si>
  <si>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</si>
  <si>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</si>
  <si>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</si>
  <si>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</si>
  <si>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</si>
  <si>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</si>
  <si>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</si>
  <si>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</si>
  <si>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</si>
  <si>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</si>
  <si>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</si>
  <si>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</si>
  <si>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</si>
  <si>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</si>
  <si>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</si>
  <si>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</si>
  <si>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</si>
  <si>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</si>
  <si>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</si>
  <si>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</si>
  <si>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</si>
  <si>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</si>
  <si>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</si>
  <si>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</si>
  <si>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</si>
  <si>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</si>
  <si>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</si>
  <si>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</si>
  <si>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</si>
  <si>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</si>
  <si>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</si>
  <si>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</si>
  <si>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</si>
  <si>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</si>
  <si>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</si>
  <si>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</si>
  <si>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</si>
  <si>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</si>
  <si>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</si>
  <si>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</si>
  <si>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</si>
  <si>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</si>
  <si>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</si>
  <si>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</si>
  <si>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</si>
  <si>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</si>
  <si>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</si>
  <si>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</si>
  <si>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</si>
  <si>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</si>
  <si>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</si>
  <si>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</si>
  <si>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</si>
  <si>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</si>
  <si>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</si>
  <si>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</si>
  <si>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</si>
  <si>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</si>
  <si>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</si>
  <si>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</si>
  <si>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</si>
  <si>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</si>
  <si>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</si>
  <si>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</si>
  <si>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</si>
  <si>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</si>
  <si>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</si>
  <si>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</si>
  <si>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</si>
  <si>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</si>
  <si>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</si>
  <si>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</si>
  <si>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</si>
  <si>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</si>
  <si>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</si>
  <si>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</si>
  <si>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</si>
  <si>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</si>
  <si>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</si>
  <si>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</si>
  <si>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</si>
  <si>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</si>
  <si>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</si>
  <si>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</si>
  <si>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</si>
  <si>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</si>
  <si>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</si>
  <si>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</si>
  <si>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</si>
  <si>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</si>
  <si>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</si>
  <si>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</si>
  <si>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</si>
  <si>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</si>
  <si>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</si>
  <si>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</si>
  <si>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</si>
  <si>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</si>
  <si>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</si>
  <si>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</si>
  <si>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</si>
  <si>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</si>
  <si>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</si>
  <si>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</si>
  <si>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</si>
  <si>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</si>
  <si>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</si>
  <si>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</si>
  <si>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</si>
  <si>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</si>
  <si>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</si>
  <si>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</si>
  <si>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</si>
  <si>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</si>
  <si>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</si>
  <si>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</si>
  <si>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</si>
  <si>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</si>
  <si>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</si>
  <si>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</si>
  <si>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</si>
  <si>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</si>
  <si>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</si>
  <si>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</si>
  <si>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</si>
  <si>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</si>
  <si>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</si>
  <si>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</si>
  <si>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</si>
  <si>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</si>
  <si>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</si>
  <si>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</si>
  <si>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</si>
  <si>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</si>
  <si>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</si>
  <si>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</si>
  <si>
    <t>Date</t>
  </si>
  <si>
    <t>Update</t>
  </si>
  <si>
    <t>责任病毒：如何分派任务和承担责任</t>
    <phoneticPr fontId="30" type="noConversion"/>
  </si>
  <si>
    <t>危机时代</t>
    <phoneticPr fontId="30" type="noConversion"/>
  </si>
  <si>
    <t>另一种选择</t>
    <phoneticPr fontId="30" type="noConversion"/>
  </si>
  <si>
    <t>高效PDCA工作术</t>
    <phoneticPr fontId="30" type="noConversion"/>
  </si>
  <si>
    <t>怪诞行为学1：可预测的非理性</t>
    <phoneticPr fontId="30" type="noConversion"/>
  </si>
  <si>
    <t>错误的行为：行为经济学的形成</t>
    <phoneticPr fontId="30" type="noConversion"/>
  </si>
  <si>
    <t>盲从与叛逆：从众、反从众行为与决策的智慧</t>
    <phoneticPr fontId="30" type="noConversion"/>
  </si>
  <si>
    <t>长期投资</t>
    <phoneticPr fontId="30" type="noConversion"/>
  </si>
  <si>
    <t>茑屋经营哲学：茑屋书店创始人增田宗昭只对员工传授的商业思考和工作心法</t>
    <phoneticPr fontId="30" type="noConversion"/>
  </si>
  <si>
    <t>行为设计学：打造峰值体验</t>
    <phoneticPr fontId="30" type="noConversion"/>
  </si>
  <si>
    <t>最富足的投资</t>
    <phoneticPr fontId="30" type="noConversion"/>
  </si>
  <si>
    <t>统计</t>
    <phoneticPr fontId="30" type="noConversion"/>
  </si>
  <si>
    <t>领导者的资质</t>
    <phoneticPr fontId="30" type="noConversion"/>
  </si>
  <si>
    <t>山下英子：断舍离</t>
    <phoneticPr fontId="30" type="noConversion"/>
  </si>
  <si>
    <t>麦肯锡教我的逻辑思维</t>
    <phoneticPr fontId="30" type="noConversion"/>
  </si>
  <si>
    <r>
      <t>麦肯锡</t>
    </r>
    <r>
      <rPr>
        <sz val="11"/>
        <color theme="1"/>
        <rFont val="Yu Gothic"/>
        <family val="2"/>
        <charset val="128"/>
      </rPr>
      <t>&amp;</t>
    </r>
    <r>
      <rPr>
        <sz val="11"/>
        <color theme="1"/>
        <rFont val="宋体"/>
        <family val="2"/>
        <charset val="134"/>
      </rPr>
      <t>波士顿解决问题方法和创造价值技巧</t>
    </r>
    <phoneticPr fontId="30" type="noConversion"/>
  </si>
  <si>
    <t>不妥协的谈判：哈佛大学经典谈判心理课</t>
    <phoneticPr fontId="30" type="noConversion"/>
  </si>
  <si>
    <t>强势</t>
    <phoneticPr fontId="30" type="noConversion"/>
  </si>
  <si>
    <t>十定律：万变世界中绝对不变的超强神秘法则</t>
    <phoneticPr fontId="30" type="noConversion"/>
  </si>
  <si>
    <t>经营战略全史</t>
    <phoneticPr fontId="30" type="noConversion"/>
  </si>
  <si>
    <t>威廉·庞德斯通</t>
    <phoneticPr fontId="30" type="noConversion"/>
  </si>
  <si>
    <t>日语敬语入门</t>
    <phoneticPr fontId="30" type="noConversion"/>
  </si>
  <si>
    <t>MBA
教科書</t>
    <phoneticPr fontId="30" type="noConversion"/>
  </si>
  <si>
    <t>MBA
参考</t>
    <phoneticPr fontId="30" type="noConversion"/>
  </si>
  <si>
    <t>原著者英文名</t>
    <phoneticPr fontId="30" type="noConversion"/>
  </si>
  <si>
    <t>原著者中文名</t>
    <phoneticPr fontId="30" type="noConversion"/>
  </si>
  <si>
    <t>美</t>
    <phoneticPr fontId="30" type="noConversion"/>
  </si>
  <si>
    <t>迈克尔·-波特</t>
    <phoneticPr fontId="30" type="noConversion"/>
  </si>
  <si>
    <t>MBA教材</t>
    <phoneticPr fontId="30" type="noConversion"/>
  </si>
  <si>
    <t>产品经理</t>
    <phoneticPr fontId="30" type="noConversion"/>
  </si>
  <si>
    <t>管理经济学</t>
    <phoneticPr fontId="30" type="noConversion"/>
  </si>
  <si>
    <t>营销革命</t>
    <phoneticPr fontId="30" type="noConversion"/>
  </si>
  <si>
    <t>机械</t>
    <phoneticPr fontId="30" type="noConversion"/>
  </si>
  <si>
    <t>公司理财</t>
    <phoneticPr fontId="30" type="noConversion"/>
  </si>
  <si>
    <t>战略管理：概念与案例</t>
    <phoneticPr fontId="30" type="noConversion"/>
  </si>
  <si>
    <t>小阿瑟-A.汤普森</t>
    <phoneticPr fontId="30" type="noConversion"/>
  </si>
  <si>
    <t>运营管理</t>
    <phoneticPr fontId="30" type="noConversion"/>
  </si>
  <si>
    <t>服务营销</t>
    <phoneticPr fontId="30" type="noConversion"/>
  </si>
  <si>
    <t>北京紫图</t>
    <phoneticPr fontId="30" type="noConversion"/>
  </si>
  <si>
    <t>英</t>
    <phoneticPr fontId="30" type="noConversion"/>
  </si>
  <si>
    <t>马歇尔</t>
    <phoneticPr fontId="30" type="noConversion"/>
  </si>
  <si>
    <t>先发影响力</t>
    <phoneticPr fontId="30" type="noConversion"/>
  </si>
  <si>
    <t>罗伯特-西澳迪尼</t>
    <phoneticPr fontId="30" type="noConversion"/>
  </si>
  <si>
    <t>北京联合</t>
    <phoneticPr fontId="30" type="noConversion"/>
  </si>
  <si>
    <t>天津湛卢</t>
    <phoneticPr fontId="30" type="noConversion"/>
  </si>
  <si>
    <t>世界是平的：21世纪简史</t>
    <phoneticPr fontId="30" type="noConversion"/>
  </si>
  <si>
    <t>托马斯-弗里德曼</t>
    <phoneticPr fontId="30" type="noConversion"/>
  </si>
  <si>
    <t>PDF</t>
    <phoneticPr fontId="30" type="noConversion"/>
  </si>
  <si>
    <t>电子书</t>
    <phoneticPr fontId="15" type="noConversion"/>
  </si>
  <si>
    <t>英文纸版定价</t>
    <phoneticPr fontId="30" type="noConversion"/>
  </si>
  <si>
    <t>中文纸版定价
人民币</t>
    <phoneticPr fontId="30" type="noConversion"/>
  </si>
  <si>
    <t>微信电子书
人民币</t>
    <phoneticPr fontId="30" type="noConversion"/>
  </si>
  <si>
    <t>美国增长的起落</t>
    <phoneticPr fontId="30" type="noConversion"/>
  </si>
  <si>
    <t>销售就是要玩转情商：99%的人都不知道的销售软技巧</t>
    <phoneticPr fontId="30" type="noConversion"/>
  </si>
  <si>
    <t>我们如何走到今天：重塑世界的6项创新</t>
    <phoneticPr fontId="30" type="noConversion"/>
  </si>
  <si>
    <t>情绪</t>
    <phoneticPr fontId="30" type="noConversion"/>
  </si>
  <si>
    <t>重来3：跳出疯狂的忙碌</t>
    <phoneticPr fontId="30" type="noConversion"/>
  </si>
  <si>
    <t>巴菲特致股东的信：投资者和公司高管教程</t>
    <phoneticPr fontId="30" type="noConversion"/>
  </si>
  <si>
    <t>已购</t>
    <phoneticPr fontId="30" type="noConversion"/>
  </si>
  <si>
    <t>人力资源管理</t>
    <phoneticPr fontId="30" type="noConversion"/>
  </si>
  <si>
    <t>原著者
国籍</t>
    <phoneticPr fontId="30" type="noConversion"/>
  </si>
  <si>
    <t>管理会计</t>
    <phoneticPr fontId="30" type="noConversion"/>
  </si>
  <si>
    <t>会计学：企业决策的基础（财务会计分册）</t>
    <phoneticPr fontId="30" type="noConversion"/>
  </si>
  <si>
    <t>卡斯·桑斯坦</t>
    <phoneticPr fontId="6" type="noConversion"/>
  </si>
  <si>
    <t>原著
版次</t>
    <phoneticPr fontId="30" type="noConversion"/>
  </si>
  <si>
    <t>中文译者</t>
    <phoneticPr fontId="30" type="noConversion"/>
  </si>
  <si>
    <r>
      <t>原著中文</t>
    </r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</si>
  <si>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原著英文书名</t>
    <phoneticPr fontId="30" type="noConversion"/>
  </si>
  <si>
    <t>原著日文书名</t>
    <phoneticPr fontId="30" type="noConversion"/>
  </si>
  <si>
    <t>原著者日文名</t>
    <phoneticPr fontId="30" type="noConversion"/>
  </si>
  <si>
    <t>日文译者</t>
    <phoneticPr fontId="30" type="noConversion"/>
  </si>
  <si>
    <t>中文版权方</t>
    <phoneticPr fontId="30" type="noConversion"/>
  </si>
  <si>
    <t>中文出版社</t>
    <phoneticPr fontId="30" type="noConversion"/>
  </si>
  <si>
    <t>中文
出版年月</t>
    <phoneticPr fontId="15" type="noConversion"/>
  </si>
  <si>
    <t>End</t>
    <phoneticPr fontId="38"/>
  </si>
  <si>
    <t>https://cloud-textbook.com/</t>
    <phoneticPr fontId="30" type="noConversion"/>
  </si>
  <si>
    <r>
      <t>クラウドサービス徹底比較</t>
    </r>
    <r>
      <rPr>
        <sz val="11"/>
        <color theme="1"/>
        <rFont val="微软雅黑"/>
        <family val="2"/>
        <charset val="128"/>
      </rPr>
      <t>・徹底解説</t>
    </r>
    <phoneticPr fontId="30" type="noConversion"/>
  </si>
  <si>
    <t>jinjs</t>
    <phoneticPr fontId="30" type="noConversion"/>
  </si>
  <si>
    <t>cherrypy</t>
    <phoneticPr fontId="30" type="noConversion"/>
  </si>
  <si>
    <t>webpy</t>
    <phoneticPr fontId="30" type="noConversion"/>
  </si>
  <si>
    <t xml:space="preserve">tornadoweb </t>
    <phoneticPr fontId="30" type="noConversion"/>
  </si>
  <si>
    <t>bottle</t>
    <phoneticPr fontId="30" type="noConversion"/>
  </si>
  <si>
    <t>flask</t>
    <phoneticPr fontId="30" type="noConversion"/>
  </si>
  <si>
    <t>web2py</t>
    <phoneticPr fontId="30" type="noConversion"/>
  </si>
  <si>
    <t>django</t>
    <phoneticPr fontId="30" type="noConversion"/>
  </si>
  <si>
    <t>PySide</t>
    <phoneticPr fontId="30" type="noConversion"/>
  </si>
  <si>
    <t>PyQt</t>
    <phoneticPr fontId="30" type="noConversion"/>
  </si>
  <si>
    <t>PyGTK</t>
    <phoneticPr fontId="30" type="noConversion"/>
  </si>
  <si>
    <t>https://www.wxpython.org/</t>
    <phoneticPr fontId="30" type="noConversion"/>
  </si>
  <si>
    <t>wxPython</t>
    <phoneticPr fontId="30" type="noConversion"/>
  </si>
  <si>
    <t>https://wiki.python.org/moin/TkInter/</t>
    <phoneticPr fontId="30" type="noConversion"/>
  </si>
  <si>
    <t>Tkinter</t>
    <phoneticPr fontId="30" type="noConversion"/>
  </si>
  <si>
    <t>zh-CN</t>
  </si>
  <si>
    <t>https://sysin.org/article/macOS-Big-Sur/</t>
    <phoneticPr fontId="38"/>
  </si>
  <si>
    <t>macOS Big Sur 11.2.3 (20D91) 正式版</t>
    <phoneticPr fontId="38"/>
  </si>
  <si>
    <t>英语</t>
    <phoneticPr fontId="38"/>
  </si>
  <si>
    <t>https://bookclub.japantimes.co.jp/book/b487205.html</t>
    <phoneticPr fontId="38"/>
  </si>
  <si>
    <t>英语书配套音频下载</t>
    <phoneticPr fontId="38"/>
  </si>
  <si>
    <t>已经转移</t>
    <phoneticPr fontId="38"/>
  </si>
  <si>
    <t>https://www.pstips.net/</t>
    <phoneticPr fontId="38"/>
  </si>
  <si>
    <t>中文Powershell教程</t>
    <phoneticPr fontId="38"/>
  </si>
  <si>
    <t>http://www.tohoho-web.com/</t>
    <phoneticPr fontId="38"/>
  </si>
  <si>
    <t>日文编程教程</t>
    <phoneticPr fontId="38"/>
  </si>
  <si>
    <t>https://www.jb51.net/</t>
  </si>
  <si>
    <t>中文脚本编程教程</t>
    <phoneticPr fontId="38"/>
  </si>
  <si>
    <t>https://career-picks.com/</t>
    <phoneticPr fontId="38"/>
  </si>
  <si>
    <t>https://excel-ubara.com/</t>
    <phoneticPr fontId="38"/>
  </si>
  <si>
    <t>日文Excel教程</t>
    <phoneticPr fontId="38"/>
  </si>
  <si>
    <t>https://www.w3school.com.cn/</t>
    <phoneticPr fontId="38"/>
  </si>
  <si>
    <t>中文教程站</t>
    <phoneticPr fontId="38"/>
  </si>
  <si>
    <t>https://www.javadrive.jp/</t>
    <phoneticPr fontId="38"/>
  </si>
  <si>
    <t>日文Java编程</t>
    <phoneticPr fontId="38"/>
  </si>
  <si>
    <t xml:space="preserve">https://www.runoob.com/ </t>
    <phoneticPr fontId="38"/>
  </si>
  <si>
    <t>https://www.jstage.jst.go.jp</t>
    <phoneticPr fontId="38"/>
  </si>
  <si>
    <t>jstage</t>
    <phoneticPr fontId="38"/>
  </si>
  <si>
    <t>en</t>
    <phoneticPr fontId="38"/>
  </si>
  <si>
    <t>http://www.python.org/</t>
    <phoneticPr fontId="38"/>
  </si>
  <si>
    <t>Python</t>
    <phoneticPr fontId="38"/>
  </si>
  <si>
    <t>https://pypi.python.org/pypi</t>
    <phoneticPr fontId="38"/>
  </si>
  <si>
    <t>pip</t>
    <phoneticPr fontId="38"/>
  </si>
  <si>
    <t>http://blog.getpelican.com/</t>
    <phoneticPr fontId="38"/>
  </si>
  <si>
    <t>pelican</t>
    <phoneticPr fontId="38"/>
  </si>
  <si>
    <t>http://markdownpad.com/</t>
    <phoneticPr fontId="38"/>
  </si>
  <si>
    <t>markdownpad</t>
    <phoneticPr fontId="38"/>
  </si>
  <si>
    <t>https://pm-notes.com/</t>
    <phoneticPr fontId="30" type="noConversion"/>
  </si>
  <si>
    <t>pm-notes</t>
    <phoneticPr fontId="38"/>
  </si>
  <si>
    <t>https://nissenad-digitalhub.com/</t>
    <phoneticPr fontId="30" type="noConversion"/>
  </si>
  <si>
    <t>nissenad-digitalhub</t>
    <phoneticPr fontId="38"/>
  </si>
  <si>
    <t>http://daringfireball.net/projects/markdown/syntax</t>
    <phoneticPr fontId="38"/>
  </si>
  <si>
    <t>markdown</t>
    <phoneticPr fontId="38"/>
  </si>
  <si>
    <t>https://hexo.io/docs/</t>
    <phoneticPr fontId="38"/>
  </si>
  <si>
    <t>Hexo文档</t>
    <phoneticPr fontId="38"/>
  </si>
  <si>
    <t>https://github.com/hexojs/hexo/wiki/Themes</t>
    <phoneticPr fontId="38"/>
  </si>
  <si>
    <t>Hexo主题一览</t>
    <phoneticPr fontId="38"/>
  </si>
  <si>
    <t>http://msysgit.github.io/</t>
    <phoneticPr fontId="38"/>
  </si>
  <si>
    <t>git</t>
    <phoneticPr fontId="38"/>
  </si>
  <si>
    <t>https://yum.oracle.com/oracle-linux-isos.html</t>
    <phoneticPr fontId="38"/>
  </si>
  <si>
    <r>
      <t xml:space="preserve">Oracle Linux </t>
    </r>
    <r>
      <rPr>
        <sz val="11"/>
        <color theme="1"/>
        <rFont val="微软雅黑"/>
        <family val="2"/>
        <charset val="134"/>
      </rPr>
      <t>下载</t>
    </r>
    <phoneticPr fontId="38"/>
  </si>
  <si>
    <t>https://hexo.io/zh-cn/docs/</t>
    <phoneticPr fontId="38"/>
  </si>
  <si>
    <t>Hexo中文文档</t>
    <phoneticPr fontId="38"/>
  </si>
  <si>
    <r>
      <rPr>
        <sz val="11"/>
        <color theme="1"/>
        <rFont val="游ゴシック"/>
        <family val="2"/>
        <charset val="134"/>
        <scheme val="minor"/>
      </rPr>
      <t>https://www.runoob.com/</t>
    </r>
    <phoneticPr fontId="41" type="noConversion"/>
  </si>
  <si>
    <r>
      <rPr>
        <sz val="10"/>
        <rFont val="Microsoft YaHei"/>
        <family val="2"/>
        <charset val="134"/>
      </rPr>
      <t>编程语言教程</t>
    </r>
    <phoneticPr fontId="41" type="noConversion"/>
  </si>
  <si>
    <t xml:space="preserve">http://www.aspku.net  </t>
    <phoneticPr fontId="38"/>
  </si>
  <si>
    <t>网站模板</t>
    <phoneticPr fontId="30" type="noConversion"/>
  </si>
  <si>
    <t>http://www.mobanwang.com</t>
    <phoneticPr fontId="38"/>
  </si>
  <si>
    <t>https://docs.microsoft.com/zh-cn/office/vba/api/overview/</t>
    <phoneticPr fontId="38"/>
  </si>
  <si>
    <t>Office Visual Basic for Applications (VBA) 参考</t>
    <phoneticPr fontId="38"/>
  </si>
  <si>
    <r>
      <rPr>
        <sz val="11"/>
        <color theme="1"/>
        <rFont val="游ゴシック"/>
        <family val="2"/>
        <charset val="134"/>
        <scheme val="minor"/>
      </rPr>
      <t>http://neo4j.com.cn/</t>
    </r>
    <phoneticPr fontId="41" type="noConversion"/>
  </si>
  <si>
    <r>
      <rPr>
        <sz val="10"/>
        <color rgb="FF000000"/>
        <rFont val="Microsoft YaHei"/>
        <family val="2"/>
        <charset val="134"/>
      </rPr>
      <t>neo4j教程</t>
    </r>
    <phoneticPr fontId="41" type="noConversion"/>
  </si>
  <si>
    <t>https://lnmp.org/</t>
    <phoneticPr fontId="38"/>
  </si>
  <si>
    <r>
      <t>直接安装，</t>
    </r>
    <r>
      <rPr>
        <sz val="11"/>
        <color theme="1"/>
        <rFont val="宋体"/>
        <family val="2"/>
        <charset val="134"/>
      </rPr>
      <t>约1小时，错误较少，支持Linux版本较多，已经验证</t>
    </r>
    <phoneticPr fontId="38"/>
  </si>
  <si>
    <r>
      <t>LAMP</t>
    </r>
    <r>
      <rPr>
        <sz val="11"/>
        <color theme="1"/>
        <rFont val="微软雅黑"/>
        <family val="2"/>
        <charset val="134"/>
      </rPr>
      <t>一键安装脚本</t>
    </r>
    <phoneticPr fontId="38"/>
  </si>
  <si>
    <t>Memo</t>
    <phoneticPr fontId="38"/>
  </si>
  <si>
    <r>
      <rPr>
        <sz val="11"/>
        <color theme="1"/>
        <rFont val="Yu Gothic"/>
        <family val="2"/>
        <charset val="128"/>
      </rPr>
      <t>U</t>
    </r>
    <r>
      <rPr>
        <sz val="11"/>
        <color theme="1"/>
        <rFont val="宋体"/>
        <family val="2"/>
        <charset val="128"/>
      </rPr>
      <t>pdate</t>
    </r>
    <phoneticPr fontId="38"/>
  </si>
  <si>
    <r>
      <rPr>
        <sz val="11"/>
        <color theme="1"/>
        <rFont val="Yu Gothic"/>
        <family val="2"/>
        <charset val="128"/>
      </rPr>
      <t>D</t>
    </r>
    <r>
      <rPr>
        <sz val="11"/>
        <color theme="1"/>
        <rFont val="宋体"/>
        <family val="2"/>
        <charset val="128"/>
      </rPr>
      <t>ate</t>
    </r>
    <phoneticPr fontId="38"/>
  </si>
  <si>
    <t>TagEnd</t>
    <phoneticPr fontId="38"/>
  </si>
  <si>
    <t>Tag</t>
    <phoneticPr fontId="38"/>
  </si>
  <si>
    <t>WEB</t>
    <phoneticPr fontId="38"/>
  </si>
  <si>
    <t>GUI</t>
    <phoneticPr fontId="38"/>
  </si>
  <si>
    <t>TagStart</t>
    <phoneticPr fontId="38"/>
  </si>
  <si>
    <t>lang</t>
    <phoneticPr fontId="38"/>
  </si>
  <si>
    <t>URL</t>
    <phoneticPr fontId="38"/>
  </si>
  <si>
    <t>Note</t>
    <phoneticPr fontId="38"/>
  </si>
  <si>
    <t>title</t>
    <phoneticPr fontId="38"/>
  </si>
  <si>
    <t>&lt;ruby&gt;中&lt;rt&gt;zhōng&lt;/rt&gt;国&lt;rt&gt;guó&lt;/rt&gt;人&lt;rt&gt;rén&lt;/rt&gt;民&lt;rt&gt;mín&lt;/rt&gt;&lt;/ruby&gt;</t>
    <phoneticPr fontId="38"/>
  </si>
  <si>
    <t>拼音标注</t>
    <phoneticPr fontId="38"/>
  </si>
  <si>
    <t>http://adrai.github.io/flowchart.js/</t>
    <phoneticPr fontId="38"/>
  </si>
  <si>
    <t>流程图语法参考</t>
    <phoneticPr fontId="38"/>
  </si>
  <si>
    <t>代码：
1.	$$\sum_{i=1}^n a_i=0$$
2.	
3.	$$f(x_1,x_x,\ldots,x_n) = x_1^2 + x_2^2 + \cdots + x_n^2 $$
4.	
5.	$$\sum^{j-1}_{k=0}{\widehat{\gamma}_{kj} z_k}$$</t>
    <phoneticPr fontId="38"/>
  </si>
  <si>
    <t>$$ 表示整行公式：</t>
    <phoneticPr fontId="38"/>
  </si>
  <si>
    <t>代码：
1.	质能守恒方程可以用一个很简洁的方程式 $E=mc^2$ 来表达。</t>
    <phoneticPr fontId="38"/>
  </si>
  <si>
    <t>$ 表示行内公式</t>
    <phoneticPr fontId="38"/>
  </si>
  <si>
    <t>版本控制的系统中都少不了diff的功能，即展示一个文件内容的增加与删除。
GFM中可以显示的展示diff效果。使用绿色表示新增，红色表示删除。
其语法与代码高亮类似，只是在三个反引号后面写diff，
并且其内容中，以 +开头表示新增，-开头表示删除。
效果如下：
+ 鸟宿池边树，僧敲月下门
- 鸟宿池边树，僧推月下门</t>
    <phoneticPr fontId="38"/>
  </si>
  <si>
    <t>diff语法</t>
    <phoneticPr fontId="38"/>
  </si>
  <si>
    <t>Github的Markdown语法支持添加emoji表情，输入不同的符号码（两个冒号包围的字符）可以显示出不同的表情。
比如:blush:，可以显示:blush:。
具体每一个表情的符号码，可以查询GitHub的官方网页http://www.emoji-cheat-sheet.com。</t>
    <phoneticPr fontId="38"/>
  </si>
  <si>
    <t>表情</t>
    <phoneticPr fontId="38"/>
  </si>
  <si>
    <r>
      <t>&lt;video id="video" controls="" preload="none" poster="http://om2bks7xs.bkt.clouddn.com/2017-08-26-Markdown-Advance-Video.jpg"&gt;
&lt;source id="mp4" src="http://om2bks7xs.bkt.clouddn.com/2017-08-26-Markdown-Advance-Video.mp4" type="video/mp4"&gt;
&lt;/video&gt;
视频库 哔哩哔哩
&lt;iframe src="//player.bilibili.com/player.html?aid=67086362&amp;bvid=BV1C4411C7sf&amp;cid=116329440&amp;page=1" scrolling="no" border="0" frameborder="no" framespacing="0" allowfullscreen="true"&gt; &lt;/iframe&gt; 
&lt;iframe src="https://www.bilibili.com/html/html5player.html?aid=11200262&amp;cid=18527724&amp;as_wide=1" frameborder="0" width="640" height="430" allowfullscreen</t>
    </r>
    <r>
      <rPr>
        <sz val="11"/>
        <color theme="1"/>
        <rFont val="Yu Gothic"/>
        <family val="2"/>
        <charset val="128"/>
      </rPr>
      <t xml:space="preserve"> scrolling ="no" frameborder ="0" autoplay ="true"</t>
    </r>
    <r>
      <rPr>
        <sz val="11"/>
        <color theme="1"/>
        <rFont val="微软雅黑"/>
        <family val="2"/>
        <charset val="134"/>
      </rPr>
      <t>&gt;&lt;/iframe&gt;</t>
    </r>
    <phoneticPr fontId="38"/>
  </si>
  <si>
    <t>视频</t>
    <phoneticPr fontId="38"/>
  </si>
  <si>
    <r>
      <t xml:space="preserve">&lt;audio id="audio" controls="" preload="none"&gt;
&lt;source id="mp3" src="http://oht4nlntk.bkt.clouddn.com/Music_iP%E8%B5%B5%E9%9C%B2%20-%20%E7%A6%BB%E6%AD%8C%20%28Live%29.mp3"&gt;
&lt;/audio&gt;
</t>
    </r>
    <r>
      <rPr>
        <sz val="11"/>
        <color theme="1"/>
        <rFont val="微软雅黑"/>
        <family val="2"/>
        <charset val="134"/>
      </rPr>
      <t>相对路径
&lt;audio id="audio" controls="" preload="none"&gt;
&lt;source id="mp3" src="./listening/n2-1991.mp3"&gt;
&lt;/audio&gt;
绝对路径
&lt;audio id="audio" controls="" preload="none"&gt;
&lt;source id="mp3" src="https://sb-talents.github.io/The-Practice-of-Japanese/listening/n2-1991.mp3"&gt;
&lt;/audio&gt;</t>
    </r>
  </si>
  <si>
    <t>音频</t>
    <phoneticPr fontId="38"/>
  </si>
  <si>
    <t>语法说明： 
在文档要插入图片的地方写![图片Alt][标记] 
在文档的最后写上[标记]:图片地址 “Title”
代码：
1.	美丽花儿：
2.	![美丽花儿][flower]
3.	
4.	[flower]:http://image102.360doc.com/DownloadImg/2016/12/2102/87417504_1.jpg  "美丽花儿"</t>
    <phoneticPr fontId="38"/>
  </si>
  <si>
    <t xml:space="preserve">	图片 参考式</t>
    <phoneticPr fontId="38"/>
  </si>
  <si>
    <t xml:space="preserve">![图片alt](图片地址 "图片title")
图片alt就是显示在图片下面的文字，相当于对图片内容的解释。
图片title是图片的标题，当鼠标移到图片上时显示的内容。title可加可不加
如果引用本仓库中的图片，直接使用相对路径就可了，如果引用其他github仓库中的图片要注意格式，即：仓库地址/raw/分支名/图片路径，如：
https://github.com/guodongxiaren/ImageCache/raw/master/Logo/foryou.gif </t>
    <phoneticPr fontId="38"/>
  </si>
  <si>
    <t xml:space="preserve">	图片 行内式</t>
    <phoneticPr fontId="38"/>
  </si>
  <si>
    <t xml:space="preserve">	流程图</t>
    <phoneticPr fontId="38"/>
  </si>
  <si>
    <t>在三个反引号后面加上编程语言的名字，另起一行开始写代码，最后一行再加上三个反引号。
public static void main(String[]args){} //Java
int main(int argc, char *argv[]) //C
echo "hello GitHub" #Bash
document.getElementById("myH1").innerHTML="Welcome to my Homepage"; //javascipt
string &amp;operator+(const string&amp; A,const string&amp; B) //cpp</t>
    <phoneticPr fontId="38"/>
  </si>
  <si>
    <t>代码高亮</t>
    <phoneticPr fontId="38"/>
  </si>
  <si>
    <t>代码之间分别用三个反引号包起来，且两边的反引号单独占一行
(```)
  代码...
  代码...
  代码...
(```)
注：为了防止转译，前后三个反引号处加了小括号，实际是没有的。这里只是用来演示，实际中去掉两边小括号即可。</t>
    <phoneticPr fontId="38"/>
  </si>
  <si>
    <t>代码块</t>
    <phoneticPr fontId="38"/>
  </si>
  <si>
    <t>缩进 4 个空格或是 1 个制表符
一个代码区块会一直持续到没有缩进的那一行（或是文件结尾）。
代码：
1.	    #include &lt;stdio.h&gt;
2.	    int main(void)
3.	    {
4.	        printf("Hello world\n");
5.	    }
`create database hero;`</t>
    <phoneticPr fontId="38"/>
  </si>
  <si>
    <t>缩进式多行代码</t>
    <phoneticPr fontId="38"/>
  </si>
  <si>
    <t>代码之间分别用一个反引号包起来
    `代码内容`
```
`Code` text
```
**效果**   
`Code` text</t>
    <phoneticPr fontId="38"/>
  </si>
  <si>
    <t>单行代码</t>
    <phoneticPr fontId="38"/>
  </si>
  <si>
    <t>语法：
表头|表头|表头
---|:--:|---:
内容|内容|内容
内容|内容|内容
第二行分割表头和内容。
- 有一个就行，为了对齐，多加了几个
文字默认居左
-两边加：表示文字居中
-右边加：表示文字居右
注：原生的语法两边都要用 | 包起来。此处省略
示例：
姓名|技能|排行
--|:--:|--:
刘备|哭|大哥
关羽|打|二哥
张飞|骂|三弟</t>
    <phoneticPr fontId="38"/>
  </si>
  <si>
    <t>定义表格</t>
    <phoneticPr fontId="38"/>
  </si>
  <si>
    <t>在引用的文字前加&gt;即可。引用也可以嵌套，如加两个&gt;&gt;三个&gt;&gt;&gt;
n个...
貌似可以一直加下去，但没神马卵用
示例：
&gt;这是引用的内容
&gt;&gt;这是引用的内容
&gt;&gt;&gt;&gt;&gt;&gt;&gt;&gt;&gt;&gt;这是引用的内容
效果如下：
这是引用的内容
这是引用的内容
这是引用的内容</t>
    <phoneticPr fontId="38"/>
  </si>
  <si>
    <t>引用</t>
    <phoneticPr fontId="38"/>
  </si>
  <si>
    <t>```
{% asset_img 01.jpg "20170731" %}
```</t>
    <phoneticPr fontId="38"/>
  </si>
  <si>
    <t>文件资源夹</t>
    <phoneticPr fontId="38"/>
  </si>
  <si>
    <t>每一个标题都是一个锚点，和HTML的锚点（#）类似，比如我们
语法	效果
[回到顶部](#readme)	回到顶部不过要注意，标题中的英文字母都被转化为小写字母了。
以前GitHub对中文支持的不好，所以中文标题不能正确识别为锚点，但是现在已经没问题啦！</t>
    <phoneticPr fontId="38"/>
  </si>
  <si>
    <t>页内锚点</t>
    <phoneticPr fontId="38"/>
  </si>
  <si>
    <t>给图片加链接的本质是混合图片显示语法和普通的链接语法。普通的链接中[ ]内部是链接要显示的文本，而图片链接[ ]里面则是要显示的图片。
直接混合两种语法当然可以，但是十分啰嗦，为此我们可以使用URL标识符的形式。
#	语法	效果
1	[[图片上传失败...(image-ea9c0f-1531809400967)]	[[图片上传失败...(image-562f47-1531809400967)]
2	[[图片上传失败...(image-2b77ee-1531809400967)]][zhihu]	[图片上传失败...(image-d8a872-1531809400967)]3	[![csdn-logo]][csdn]	![csdn-logo]因为图片本身和链接本身都支持URL标识符的形式，所以图片链接也可以很简洁（见例3）。
注意，此时鼠标悬停时显示的文字是图片的title，而非链接本身的title了。
```
![Image](src)
```</t>
    <phoneticPr fontId="38"/>
  </si>
  <si>
    <t xml:space="preserve">	图片链接</t>
    <phoneticPr fontId="38"/>
  </si>
  <si>
    <t>网页中，锚点其实就是页内超链接，也就是链接本文档内部的某些元素，实现当前页面中的跳转。比如我这里写下一个锚点，点击回到目录，就能跳转到目录。 在目录中点击这一节，就能跳过来。还有下一节的注脚。这些根本上都是用锚点来实现的。
注意： 
1. Markdown Extra 只支持在标题后插入锚点，其它地方无效。 
2. Leanote 编辑器右侧显示效果区域暂时不支持锚点跳转，所以点来点去发现没有跳转不必惊慌，但是你发布成笔记或博文后是支持跳转的。
语法描述： 
在你准备跳转到的指定标题后插入锚点{#标记}，然后在文档的其它地方写上连接到锚点的链接。
代码：
1.	## 0. 目录{#index}
2.	
3.	跳转到[目录](#index)</t>
    <phoneticPr fontId="38"/>
  </si>
  <si>
    <t>锚点</t>
    <phoneticPr fontId="38"/>
  </si>
  <si>
    <t>语法说明： 
Markdown 支持以比较简短的自动链接形式来处理网址和电子邮件信箱，只要是用&lt;&gt;包起来， Markdown 就会自动把它转成链接。一般网址的链接文字就和链接地址一样，例如：
代码：
1.	&lt;http://example.com/&gt;
2.	&lt;address@example.com&gt;
显示效果：
http://example.com/ 
address@example.com</t>
    <phoneticPr fontId="38"/>
  </si>
  <si>
    <t>自动链接</t>
    <phoneticPr fontId="38"/>
  </si>
  <si>
    <t>参考式超链接一般用在学术论文上面，或者另一种情况，如果某一个链接在文章中多处使用，那么使用引用 的方式创建链接将非常好，它可以让你对链接进行统一的管理。
注意：经测试注脚与注脚之间必须空一行，不然会失效。成功后会发现，即使你没有把注脚写在文末，经Markdown转换后，也会自动归类到文章的最后。
语法说明： 
参考式链接分为两部分，文中的写法 [链接文字][链接标记]，在文本的任意位置添加[链接标记]:链接地址 “链接标题”，链接地址与链接标题前有一个空格。
如果链接文字本身可以做为链接标记，你也可以写成[链接文字][] 
[链接文字]：链接地址的形式，见代码的最后一行。
代码：
1.	我经常去的几个网站[Google][1]、[Leanote][2]以及[自己的博客][3]
2.	[Leanote 笔记][2]是一个不错的[网站][]。
3.	
4.	[1]:http://www.google.com "Google"
5.	[2]:http://www.leanote.com "Leanote"
6.	[3]:http://http://blog.leanote.com/freewalk "梵居闹市"
7.	[网站]:http://http://blog.leanote.com/freewalk</t>
    <phoneticPr fontId="38"/>
  </si>
  <si>
    <t>参考式超链接</t>
    <phoneticPr fontId="38"/>
  </si>
  <si>
    <t>语法	效果
[我的简介](/example/profile.md)	我的简介[Book](./Book)	Book</t>
    <phoneticPr fontId="38"/>
  </si>
  <si>
    <t>链接本仓库里的URL</t>
    <phoneticPr fontId="38"/>
  </si>
  <si>
    <t>语法：
[超链接名](超链接地址 "超链接title")
title可加可不加
注：Markdown本身语法不支持链接在新页面中打开，貌似简书做了处理，是可以的。别的平台可能就不行了，如果想要在新页面中打开的话可以用html语言的a标签代替。
&lt;a href="超链接地址" title="这是超bai链接显示的信息框" target="_blank"&gt;超链接名&lt;/a&gt;
语法2由两部分组成：
•	第一部分使用两个中括号，[ ]里的标识符（本例中zhihu），可以是数字，字母等的组合，标识符上下对应就行了
•	第二部分标记实际URL。
使用URL标识符能达到复用的目的，一般把全文所有的URL标识符统一放在文章末尾，这样看起来比较干净。
```
[Link](url) 
[超链接名](超链接地址 "超链接title")
&lt;a href="url" title="title"  target="_blank"&gt;Link&lt;/a&gt; 
```
示例
```
[GitHub Flavored Markdown](https://guides.github.com/features/mastering-markdown/)
```
**效果**
[GitHub Flavored Markdown](https://guides.github.com/features/mastering-markdown/)</t>
    <phoneticPr fontId="38"/>
  </si>
  <si>
    <t>```
&lt;p align="right"&gt;
    &lt;a href="#top" title="点击后返回页面顶部。"  target="_blank"&gt;回到顶部&lt;/a&gt;  
&lt;/p&gt;    
&lt;br&gt;
```</t>
    <phoneticPr fontId="38"/>
  </si>
  <si>
    <t>链接外部URL</t>
    <phoneticPr fontId="38"/>
  </si>
  <si>
    <t>要加删除线的文字左右分别用两个~~号包起来
示例：
**这是加粗的文字**
*这是倾斜的文字*`
***这是斜体加粗的文字***
~~这是加删除线的文字~~
效果如下：
这是加粗的文字
这是倾斜的文字
这是斜体加粗的文字</t>
    <phoneticPr fontId="38"/>
  </si>
  <si>
    <r>
      <t>字体</t>
    </r>
    <r>
      <rPr>
        <sz val="11"/>
        <color theme="1"/>
        <rFont val="微软雅黑"/>
        <family val="2"/>
        <charset val="134"/>
      </rPr>
      <t>删除线</t>
    </r>
  </si>
  <si>
    <t>要倾斜和加粗的文字左右分别用三个*号包起来</t>
    <phoneticPr fontId="38"/>
  </si>
  <si>
    <t>字体斜体加粗</t>
    <phoneticPr fontId="38"/>
  </si>
  <si>
    <t>要倾斜的文字左右分别用一个*号包起来
*内容 * 　　 (*与内容之间没有空格)
_斜体_
```
_Italic_
```
**效果**   
_Italic_</t>
    <phoneticPr fontId="38"/>
  </si>
  <si>
    <t>字体斜体</t>
    <phoneticPr fontId="38"/>
  </si>
  <si>
    <t xml:space="preserve">要加粗的文字左右分别用两个*号包起来
** 内容 ** 　(*与内容之间没有空格)
```
**Bold** 
```  
**效果**   
**Bold** </t>
    <phoneticPr fontId="38"/>
  </si>
  <si>
    <t>字体	加粗</t>
    <phoneticPr fontId="38"/>
  </si>
  <si>
    <t>&lt;font color=red&gt;color &lt;/font&gt;</t>
    <phoneticPr fontId="38"/>
  </si>
  <si>
    <r>
      <t>字体</t>
    </r>
    <r>
      <rPr>
        <sz val="11"/>
        <color theme="1"/>
        <rFont val="微软雅黑"/>
        <family val="2"/>
        <charset val="134"/>
      </rPr>
      <t>颜色</t>
    </r>
  </si>
  <si>
    <t>&lt; font size=5&gt; Hello</t>
    <phoneticPr fontId="38"/>
  </si>
  <si>
    <t>字体大小</t>
    <phoneticPr fontId="38"/>
  </si>
  <si>
    <t>&lt; font face=“微软雅黑”&gt;微软雅黑</t>
    <phoneticPr fontId="38"/>
  </si>
  <si>
    <t>字体类型</t>
    <phoneticPr fontId="38"/>
  </si>
  <si>
    <t>•	[x] 需求分析
•	[x] 系统设计
•	[x] 详细设计
•	[ ] 编码
•	[ ] 测试
•	[ ] 交付
您可以使用这个功能来标注某个项目各项任务的完成情况。
Tip:
在GitHub的issue中使用该语法是可以实时点击复选框来勾选或解除勾选的，而无需修改issue原文。</t>
    <phoneticPr fontId="38"/>
  </si>
  <si>
    <t>复选框列表</t>
    <phoneticPr fontId="38"/>
  </si>
  <si>
    <t>在特殊情况下，项目列表很可能会不小心产生，像是下面这样的写法：
1.	1986. What a great season.
会显示成：
1.	What a great season.
换句话说，也就是在行首出现数字-句点-空白，要避免这样的状况，你可以在句点前面加上反斜杠：
1.	1986\. What a great season.
会显示成：
1986. What a great season.</t>
    <phoneticPr fontId="38"/>
  </si>
  <si>
    <t>在特殊情况下，项目列表很可能会不小心产生</t>
    <phoneticPr fontId="38"/>
  </si>
  <si>
    <t>语法说明： 
如果要放代码区块的话，该区块就需要缩进两次，也就是 8 个空格或是 2 个制表符：
•	一列表项包含一个列表区块：
1.	&lt;代码写在这&gt;</t>
    <phoneticPr fontId="38"/>
  </si>
  <si>
    <t>包含代码区块的引用</t>
    <phoneticPr fontId="38"/>
  </si>
  <si>
    <t>语法说明：
如果要在列表项目内放进引用，那 &gt; 就需要缩进：
代码：
1.	*   阅读的方法:
2.	
3.	    &gt; 打开书本。
4.	    &gt; 打开电灯。</t>
    <phoneticPr fontId="38"/>
  </si>
  <si>
    <t>包含引用的列表</t>
    <phoneticPr fontId="38"/>
  </si>
  <si>
    <t>列表项目可以包含多个段落，每个项目下的段落都必须缩进 4 个空格或是 1 个制表符（显示效果与代码一致）：
•	轻轻的我走了， 正如我轻轻的来； 我轻轻的招手， 作别西天的云彩。 
那河畔的金柳， 是夕阳中的新娘； 波光里的艳影， 在我的心头荡漾。 
软泥上的青荇， 油油的在水底招摇； 在康河的柔波里， 我甘心做一条水草！
那榆荫下的一潭， 不是清泉， 是天上虹； 揉碎在浮藻间， 沉淀着彩虹似的梦。 
寻梦？撑一支长篙， 向青草更青处漫溯； 满载一船星辉， 在星辉斑斓里放歌。 
但我不能放歌， 悄悄是别离的笙箫； 夏虫也为我沉默， 沉默是今晚的康桥！ 
•	悄悄的我走了， 正如我悄悄的来； 我挥一挥衣袖， 不带走一片云彩。</t>
    <phoneticPr fontId="38"/>
  </si>
  <si>
    <t>包含段落的列表</t>
    <phoneticPr fontId="38"/>
  </si>
  <si>
    <t>列表项目标记通常是放在最左边，但是其实也可以缩进，最多 3 个空格，项目标记后面则一定要接着至少一个空格或制表符。
要让列表看起来更漂亮，你可以把内容用固定的缩进整理好（显示效果与代码一致）：
•	轻轻的我走了， 正如我轻轻的来； 我轻轻的招手， 作别西天的云彩。 
那河畔的金柳， 是夕阳中的新娘； 波光里的艳影， 在我的心头荡漾。 
软泥上的青荇， 油油的在水底招摇； 在康河的柔波里， 我甘心做一条水草！ 
•	那榆荫下的一潭， 不是清泉， 是天上虹； 揉碎在浮藻间， 沉淀着彩虹似的梦。 
寻梦？撑一支长篙， 向青草更青处漫溯； 满载一船星辉， 在星辉斑斓里放歌。 
但我不能放歌， 悄悄是别离的笙箫； 夏虫也为我沉默， 沉默是今晚的康桥！ 
悄悄的我走了， 正如我悄悄的来； 我挥一挥衣袖， 不带走一片云彩。</t>
    <phoneticPr fontId="38"/>
  </si>
  <si>
    <t>列表缩进</t>
    <phoneticPr fontId="38"/>
  </si>
  <si>
    <t>语法说明：
定义型列表由名词和解释组成。一行写上定义，紧跟一行写上解释。解释的写法:紧跟一个缩进(Tab)
代码：
1.	Markdown
2.	:    轻量级文本标记语言，可以转换成html，pdf等格式（左侧有一个可见的冒号和四个不可见的空格）
3.	
4.	代码块 2
5.	:   这是代码块的定义（左侧有一个可见的冒号和四个不可见的空格）
6.	
7.	        代码块（左侧有八个不可见的空格）</t>
    <phoneticPr fontId="38"/>
  </si>
  <si>
    <t>定义型列表</t>
    <phoneticPr fontId="38"/>
  </si>
  <si>
    <t>上一级和下一级之间敲三个空格即可
•	一级无序列表内容
o	二级无序列表内容
o	二级无序列表内容
o	二级无序列表内容
•	一级无序列表内容
o	二级有序列表内容
o	二级有序列表内容
o	二级有序列表内容
1.	一级有序列表内容
o	二级无序列表内容
o	二级无序列表内容
o	二级无序列表内容
2.	一级有序列表内容
o	二级有序列表内容
o	二级有序列表内容
o	二级有序列表内容</t>
    <phoneticPr fontId="38"/>
  </si>
  <si>
    <t>列表嵌套</t>
    <phoneticPr fontId="38"/>
  </si>
  <si>
    <t xml:space="preserve">语法：
数字加点
1. 列表内容
2. 列表内容
3. 列表内容
注意：序号跟内容之间要有空格
``` 
1. Numbered
2. List
``` 
效果如下：
1. Numbered
2. List
</t>
    <phoneticPr fontId="38"/>
  </si>
  <si>
    <t>有序列表</t>
    <phoneticPr fontId="38"/>
  </si>
  <si>
    <r>
      <t xml:space="preserve">•	</t>
    </r>
    <r>
      <rPr>
        <sz val="11"/>
        <color theme="1"/>
        <rFont val="微软雅黑"/>
        <family val="2"/>
        <charset val="134"/>
      </rPr>
      <t>编</t>
    </r>
    <r>
      <rPr>
        <sz val="11"/>
        <color theme="1"/>
        <rFont val="Yu Gothic"/>
        <family val="2"/>
        <charset val="128"/>
      </rPr>
      <t>程</t>
    </r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 xml:space="preserve">言 
</t>
    </r>
    <r>
      <rPr>
        <sz val="11"/>
        <color theme="1"/>
        <rFont val="微软雅黑"/>
        <family val="2"/>
        <charset val="134"/>
      </rPr>
      <t xml:space="preserve">    </t>
    </r>
    <r>
      <rPr>
        <sz val="11"/>
        <color theme="1"/>
        <rFont val="Yu Gothic"/>
        <family val="2"/>
        <charset val="128"/>
      </rPr>
      <t>o	脚本</t>
    </r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 xml:space="preserve">言 
</t>
    </r>
    <r>
      <rPr>
        <sz val="11"/>
        <color theme="1"/>
        <rFont val="Yu Gothic"/>
        <family val="2"/>
      </rPr>
      <t xml:space="preserve">        </t>
    </r>
    <r>
      <rPr>
        <sz val="11"/>
        <color theme="1"/>
        <rFont val="Wingdings"/>
        <family val="2"/>
        <charset val="2"/>
      </rPr>
      <t></t>
    </r>
    <r>
      <rPr>
        <sz val="11"/>
        <color theme="1"/>
        <rFont val="游ゴシック"/>
        <family val="2"/>
        <scheme val="minor"/>
      </rPr>
      <t xml:space="preserve">	Python</t>
    </r>
  </si>
  <si>
    <t>多级无序列表</t>
    <phoneticPr fontId="38"/>
  </si>
  <si>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>法：
无序列表用 - + * 任何一种都可以
- 列表内容
+ 列表内容
* 列表内容
注意：- + * 跟内容之</t>
    </r>
    <r>
      <rPr>
        <sz val="11"/>
        <color theme="1"/>
        <rFont val="微软雅黑"/>
        <family val="2"/>
        <charset val="134"/>
      </rPr>
      <t>间</t>
    </r>
    <r>
      <rPr>
        <sz val="11"/>
        <color theme="1"/>
        <rFont val="Yu Gothic"/>
        <family val="2"/>
        <charset val="128"/>
      </rPr>
      <t>都要有一个空格
```
- Bulleted
    * List
- List
```  
**效果**
- Bulleted
    * List
- List</t>
    </r>
  </si>
  <si>
    <t>无序列表</t>
    <phoneticPr fontId="38"/>
  </si>
  <si>
    <t>两种方案
•	两个回车即可
•	使用&lt; br &gt;</t>
    <phoneticPr fontId="38"/>
  </si>
  <si>
    <t>换行</t>
    <phoneticPr fontId="38"/>
  </si>
  <si>
    <t>&lt;p align="right"&gt;月是故乡明&lt;/p&gt;</t>
    <phoneticPr fontId="38"/>
  </si>
  <si>
    <t>右对齐</t>
    <phoneticPr fontId="38"/>
  </si>
  <si>
    <t>&lt;p align="left"&gt;月是故乡明&lt;/p&gt;</t>
    <phoneticPr fontId="38"/>
  </si>
  <si>
    <t>左对齐</t>
    <phoneticPr fontId="38"/>
  </si>
  <si>
    <r>
      <t>两种方案
•	手</t>
    </r>
    <r>
      <rPr>
        <sz val="11"/>
        <color theme="1"/>
        <rFont val="微软雅黑"/>
        <family val="2"/>
        <charset val="134"/>
      </rPr>
      <t>动输</t>
    </r>
    <r>
      <rPr>
        <sz val="11"/>
        <color theme="1"/>
        <rFont val="Yu Gothic"/>
        <family val="2"/>
        <charset val="128"/>
      </rPr>
      <t>入空格 （&amp;nbsp；）。注意！此</t>
    </r>
    <r>
      <rPr>
        <sz val="11"/>
        <color theme="1"/>
        <rFont val="微软雅黑"/>
        <family val="2"/>
        <charset val="134"/>
      </rPr>
      <t>时</t>
    </r>
    <r>
      <rPr>
        <sz val="11"/>
        <color theme="1"/>
        <rFont val="Yu Gothic"/>
        <family val="2"/>
        <charset val="128"/>
      </rPr>
      <t>的分号</t>
    </r>
    <r>
      <rPr>
        <sz val="11"/>
        <color theme="1"/>
        <rFont val="微软雅黑"/>
        <family val="2"/>
        <charset val="134"/>
      </rPr>
      <t>为</t>
    </r>
    <r>
      <rPr>
        <sz val="11"/>
        <color theme="1"/>
        <rFont val="Yu Gothic"/>
        <family val="2"/>
        <charset val="128"/>
      </rPr>
      <t>英文分号，但是不推荐使用此方法，太麻</t>
    </r>
    <r>
      <rPr>
        <sz val="11"/>
        <color theme="1"/>
        <rFont val="微软雅黑"/>
        <family val="2"/>
        <charset val="134"/>
      </rPr>
      <t>烦</t>
    </r>
    <r>
      <rPr>
        <sz val="11"/>
        <color theme="1"/>
        <rFont val="Yu Gothic"/>
        <family val="2"/>
        <charset val="128"/>
      </rPr>
      <t>！
•	使用全角空格(切</t>
    </r>
    <r>
      <rPr>
        <sz val="11"/>
        <color theme="1"/>
        <rFont val="微软雅黑"/>
        <family val="2"/>
        <charset val="134"/>
      </rPr>
      <t>换</t>
    </r>
    <r>
      <rPr>
        <sz val="11"/>
        <color theme="1"/>
        <rFont val="Yu Gothic"/>
        <family val="2"/>
        <charset val="128"/>
      </rPr>
      <t>快捷</t>
    </r>
    <r>
      <rPr>
        <sz val="11"/>
        <color theme="1"/>
        <rFont val="微软雅黑"/>
        <family val="2"/>
        <charset val="134"/>
      </rPr>
      <t>键</t>
    </r>
    <r>
      <rPr>
        <sz val="11"/>
        <color theme="1"/>
        <rFont val="Yu Gothic"/>
        <family val="2"/>
        <charset val="128"/>
      </rPr>
      <t>shift+空格)。即：在全角</t>
    </r>
    <r>
      <rPr>
        <sz val="11"/>
        <color theme="1"/>
        <rFont val="微软雅黑"/>
        <family val="2"/>
        <charset val="134"/>
      </rPr>
      <t>输</t>
    </r>
    <r>
      <rPr>
        <sz val="11"/>
        <color theme="1"/>
        <rFont val="Yu Gothic"/>
        <family val="2"/>
        <charset val="128"/>
      </rPr>
      <t>入状</t>
    </r>
    <r>
      <rPr>
        <sz val="11"/>
        <color theme="1"/>
        <rFont val="微软雅黑"/>
        <family val="2"/>
        <charset val="134"/>
      </rPr>
      <t>态</t>
    </r>
    <r>
      <rPr>
        <sz val="11"/>
        <color theme="1"/>
        <rFont val="Yu Gothic"/>
        <family val="2"/>
        <charset val="128"/>
      </rPr>
      <t>下直接使用空格</t>
    </r>
    <r>
      <rPr>
        <sz val="11"/>
        <color theme="1"/>
        <rFont val="微软雅黑"/>
        <family val="2"/>
        <charset val="134"/>
      </rPr>
      <t>键</t>
    </r>
    <r>
      <rPr>
        <sz val="11"/>
        <color theme="1"/>
        <rFont val="Yu Gothic"/>
        <family val="2"/>
        <charset val="128"/>
      </rPr>
      <t>就ok了
1.1	居中
&lt;center&gt;
居中渲染
&lt;/center&gt;
注意： 内部文本</t>
    </r>
    <r>
      <rPr>
        <sz val="11"/>
        <color theme="1"/>
        <rFont val="微软雅黑"/>
        <family val="2"/>
        <charset val="134"/>
      </rPr>
      <t>换</t>
    </r>
    <r>
      <rPr>
        <sz val="11"/>
        <color theme="1"/>
        <rFont val="Yu Gothic"/>
        <family val="2"/>
        <charset val="128"/>
      </rPr>
      <t>行</t>
    </r>
    <r>
      <rPr>
        <sz val="11"/>
        <color theme="1"/>
        <rFont val="微软雅黑"/>
        <family val="2"/>
        <charset val="134"/>
      </rPr>
      <t>时</t>
    </r>
    <r>
      <rPr>
        <sz val="11"/>
        <color theme="1"/>
        <rFont val="Yu Gothic"/>
        <family val="2"/>
        <charset val="128"/>
      </rPr>
      <t>要用&lt;br&gt;,两个回</t>
    </r>
    <r>
      <rPr>
        <sz val="11"/>
        <color theme="1"/>
        <rFont val="微软雅黑"/>
        <family val="2"/>
        <charset val="134"/>
      </rPr>
      <t>车</t>
    </r>
    <r>
      <rPr>
        <sz val="11"/>
        <color theme="1"/>
        <rFont val="Yu Gothic"/>
        <family val="2"/>
        <charset val="128"/>
      </rPr>
      <t>无效</t>
    </r>
  </si>
  <si>
    <t>缩进</t>
    <phoneticPr fontId="38"/>
  </si>
  <si>
    <t xml:space="preserve">在想要设置为标题的文字前面加#来表示
一个#是一级标题，二个#是二级标题，以此类推。支持六级标题。
注：标准语法一般在#后跟个空格再写文字，貌似简书不加空格也行。
示例：
```
# Header 1
## Header 2
### Header 3
#### 这是四级标题
##### 这是五级标题
###### 这是六级标题
```
效果如下：
# Header 1
## Header 2
### Header 3
#### 这是四级标题
##### 这是五级标题
###### 这是六级标题   
</t>
    <phoneticPr fontId="38"/>
  </si>
  <si>
    <t>标题</t>
    <phoneticPr fontId="38"/>
  </si>
  <si>
    <t>三个或者三个以上的 - 或者 * 都可以。
示例：
---
----
***
*****
效果如下：
可以看到，显示效果是一样的。
________________________________________
________________________________________
________________________________________
________________________________________</t>
    <phoneticPr fontId="38"/>
  </si>
  <si>
    <t>分割线</t>
    <phoneticPr fontId="38"/>
  </si>
  <si>
    <r>
      <t xml:space="preserve">```
[comment]: &lt;&gt; (This is a comment, it will not be included)
[comment]: &lt;&gt; (in  the output file unless you use it in)
[comment]: &lt;&gt; (a reference style link.)
[//]: &lt;&gt; (This is also a comment.)
[//]: # (This may be the most platform independent comment)
[^_^]:
</t>
    </r>
    <r>
      <rPr>
        <sz val="11"/>
        <color theme="1"/>
        <rFont val="微软雅黑"/>
        <family val="2"/>
        <charset val="134"/>
      </rPr>
      <t xml:space="preserve">
[//]:导航开始 
[//]:导航结束
```</t>
    </r>
    <r>
      <rPr>
        <sz val="11"/>
        <color theme="1"/>
        <rFont val="游ゴシック"/>
        <family val="2"/>
        <scheme val="minor"/>
      </rPr>
      <t xml:space="preserve">
</t>
    </r>
  </si>
  <si>
    <t>注释</t>
    <phoneticPr fontId="38"/>
  </si>
  <si>
    <t>在段落中填写 [TOC] 以显示全文内容的目录结构。</t>
    <phoneticPr fontId="38"/>
  </si>
  <si>
    <t>内容目录</t>
    <phoneticPr fontId="38"/>
  </si>
  <si>
    <t>Markdown是一种纯文本格式的标记语言。通过简单的标记语法，它可以使普通文本内容具有一定的格式。
优点：
1、因为是纯文本，所以只要支持Markdown的地方都能获得一样的编辑效果，可以让作者摆脱排版的困扰，专心写作。
2、操作简单。比如:WYSIWYG编辑时标记个标题，先选中内容，再点击导航栏的标题按钮，选择几级标题。要三个步骤。而Markdown只需要在标题内容前加#即可
缺点：
1、需要记一些语法（当然，是很简单。五分钟学会）。
2、有些平台不支持Markdown编辑模式。</t>
    <phoneticPr fontId="38"/>
  </si>
  <si>
    <t>语言介绍</t>
    <phoneticPr fontId="38"/>
  </si>
  <si>
    <r>
      <rPr>
        <sz val="11"/>
        <color theme="1"/>
        <rFont val="Yu Gothic"/>
        <family val="2"/>
        <charset val="128"/>
      </rPr>
      <t>U</t>
    </r>
    <r>
      <rPr>
        <sz val="11"/>
        <color theme="1"/>
        <rFont val="宋体"/>
        <family val="2"/>
        <charset val="128"/>
      </rPr>
      <t>pdate</t>
    </r>
  </si>
  <si>
    <r>
      <rPr>
        <sz val="11"/>
        <color theme="1"/>
        <rFont val="Yu Gothic"/>
        <family val="2"/>
        <charset val="128"/>
      </rPr>
      <t>D</t>
    </r>
    <r>
      <rPr>
        <sz val="11"/>
        <color theme="1"/>
        <rFont val="宋体"/>
        <family val="2"/>
        <charset val="128"/>
      </rPr>
      <t>ate</t>
    </r>
  </si>
  <si>
    <t>Markdown</t>
    <phoneticPr fontId="38"/>
  </si>
  <si>
    <t>HTML5</t>
    <phoneticPr fontId="38"/>
  </si>
  <si>
    <t>explanatory notes</t>
    <phoneticPr fontId="38"/>
  </si>
  <si>
    <t>顺</t>
    <phoneticPr fontId="38"/>
  </si>
  <si>
    <t>新智元</t>
    <phoneticPr fontId="30" type="noConversion"/>
  </si>
  <si>
    <t>●</t>
    <phoneticPr fontId="27" type="noConversion"/>
  </si>
  <si>
    <t>大连理工大学人才办</t>
    <phoneticPr fontId="30" type="noConversion"/>
  </si>
  <si>
    <t>SAP招聘</t>
    <phoneticPr fontId="30" type="noConversion"/>
  </si>
  <si>
    <t>华章管理</t>
    <phoneticPr fontId="30" type="noConversion"/>
  </si>
  <si>
    <t>人民网教育频道</t>
    <phoneticPr fontId="30" type="noConversion"/>
  </si>
  <si>
    <t>东大赤门华风</t>
    <phoneticPr fontId="30" type="noConversion"/>
  </si>
  <si>
    <t>阳光导报</t>
    <phoneticPr fontId="30" type="noConversion"/>
  </si>
  <si>
    <t>人民日报日文版</t>
  </si>
  <si>
    <t>营口市工商业联合会</t>
    <phoneticPr fontId="30" type="noConversion"/>
  </si>
  <si>
    <t>营口发布</t>
    <phoneticPr fontId="30" type="noConversion"/>
  </si>
  <si>
    <t>OpenCV中文网</t>
    <phoneticPr fontId="30" type="noConversion"/>
  </si>
  <si>
    <t>Hbase技术社区</t>
    <phoneticPr fontId="30" type="noConversion"/>
  </si>
  <si>
    <t>从零开始学自动化测试</t>
    <phoneticPr fontId="30" type="noConversion"/>
  </si>
  <si>
    <t>Salesforce考试</t>
    <phoneticPr fontId="30" type="noConversion"/>
  </si>
  <si>
    <t>Salesforce零基础学习</t>
    <phoneticPr fontId="30" type="noConversion"/>
  </si>
  <si>
    <t>excel星球</t>
    <phoneticPr fontId="30" type="noConversion"/>
  </si>
  <si>
    <t>VBA教程</t>
    <phoneticPr fontId="30" type="noConversion"/>
  </si>
  <si>
    <t>VBA编程学习与实践</t>
    <phoneticPr fontId="30" type="noConversion"/>
  </si>
  <si>
    <t>世界经济论坛</t>
    <phoneticPr fontId="30" type="noConversion"/>
  </si>
  <si>
    <t>Excel</t>
    <phoneticPr fontId="30" type="noConversion"/>
  </si>
  <si>
    <t>excel和access学习笔记</t>
    <phoneticPr fontId="30" type="noConversion"/>
  </si>
  <si>
    <t>完美Excel</t>
    <phoneticPr fontId="30" type="noConversion"/>
  </si>
  <si>
    <t>碎片化学习</t>
    <phoneticPr fontId="30" type="noConversion"/>
  </si>
  <si>
    <t>互联网er的早读课</t>
    <phoneticPr fontId="30" type="noConversion"/>
  </si>
  <si>
    <t>养老</t>
    <phoneticPr fontId="27" type="noConversion"/>
  </si>
  <si>
    <r>
      <rPr>
        <sz val="12"/>
        <color rgb="FF000000"/>
        <rFont val="SimSun"/>
        <family val="3"/>
        <charset val="134"/>
      </rPr>
      <t>养老产业观察</t>
    </r>
    <phoneticPr fontId="27" type="noConversion"/>
  </si>
  <si>
    <r>
      <rPr>
        <sz val="12"/>
        <color rgb="FF000000"/>
        <rFont val="SimSun"/>
        <family val="3"/>
        <charset val="134"/>
      </rPr>
      <t>养老产业咨询</t>
    </r>
    <phoneticPr fontId="27" type="noConversion"/>
  </si>
  <si>
    <r>
      <rPr>
        <sz val="12"/>
        <color rgb="FF000000"/>
        <rFont val="SimSun"/>
        <family val="3"/>
        <charset val="134"/>
      </rPr>
      <t>医学界护理频道</t>
    </r>
    <phoneticPr fontId="27" type="noConversion"/>
  </si>
  <si>
    <r>
      <rPr>
        <sz val="12"/>
        <color rgb="FF000000"/>
        <rFont val="SimSun"/>
        <family val="3"/>
        <charset val="134"/>
      </rPr>
      <t>中国长期照护</t>
    </r>
    <phoneticPr fontId="27" type="noConversion"/>
  </si>
  <si>
    <r>
      <rPr>
        <sz val="12"/>
        <color rgb="FF000000"/>
        <rFont val="SimSun"/>
        <family val="3"/>
        <charset val="134"/>
      </rPr>
      <t>老龄参考</t>
    </r>
    <phoneticPr fontId="27" type="noConversion"/>
  </si>
  <si>
    <r>
      <rPr>
        <sz val="12"/>
        <color rgb="FF000000"/>
        <rFont val="SimSun"/>
        <family val="3"/>
        <charset val="134"/>
      </rPr>
      <t>上海养老产业</t>
    </r>
    <phoneticPr fontId="27" type="noConversion"/>
  </si>
  <si>
    <r>
      <rPr>
        <sz val="11"/>
        <color rgb="FF000000"/>
        <rFont val="Segoe UI Symbol"/>
        <family val="2"/>
      </rPr>
      <t>×</t>
    </r>
    <phoneticPr fontId="27" type="noConversion"/>
  </si>
  <si>
    <r>
      <rPr>
        <sz val="12"/>
        <color rgb="FF000000"/>
        <rFont val="SimSun"/>
        <family val="3"/>
        <charset val="134"/>
      </rPr>
      <t>亚洲养老资讯</t>
    </r>
    <phoneticPr fontId="27" type="noConversion"/>
  </si>
  <si>
    <r>
      <rPr>
        <sz val="12"/>
        <color rgb="FF000000"/>
        <rFont val="SimSun"/>
        <family val="3"/>
        <charset val="134"/>
      </rPr>
      <t>中国养老研究院</t>
    </r>
    <phoneticPr fontId="27" type="noConversion"/>
  </si>
  <si>
    <r>
      <rPr>
        <sz val="11"/>
        <color rgb="FF000000"/>
        <rFont val="Segoe UI Symbol"/>
        <family val="2"/>
      </rPr>
      <t>⚪</t>
    </r>
    <phoneticPr fontId="27" type="noConversion"/>
  </si>
  <si>
    <t>智慧养老研究</t>
    <phoneticPr fontId="27" type="noConversion"/>
  </si>
  <si>
    <t>医养结合与养老业高质量发展</t>
    <phoneticPr fontId="27" type="noConversion"/>
  </si>
  <si>
    <t>医学界护理频道</t>
    <phoneticPr fontId="27" type="noConversion"/>
  </si>
  <si>
    <t>养老护理机器人</t>
    <phoneticPr fontId="27" type="noConversion"/>
  </si>
  <si>
    <t>养老地产考察</t>
    <phoneticPr fontId="27" type="noConversion"/>
  </si>
  <si>
    <t>养老产业研究</t>
    <phoneticPr fontId="27" type="noConversion"/>
  </si>
  <si>
    <t>老龄参考</t>
    <phoneticPr fontId="27" type="noConversion"/>
  </si>
  <si>
    <t>日医介乎之窗</t>
    <phoneticPr fontId="27" type="noConversion"/>
  </si>
  <si>
    <t>⚪</t>
    <phoneticPr fontId="27" type="noConversion"/>
  </si>
  <si>
    <r>
      <rPr>
        <sz val="12"/>
        <color rgb="FF000000"/>
        <rFont val="SimSun"/>
        <family val="3"/>
        <charset val="134"/>
      </rPr>
      <t>中国医疗保险</t>
    </r>
    <phoneticPr fontId="27" type="noConversion"/>
  </si>
  <si>
    <r>
      <rPr>
        <sz val="12"/>
        <color rgb="FF000000"/>
        <rFont val="宋体"/>
        <family val="3"/>
        <charset val="134"/>
      </rPr>
      <t>学习强国</t>
    </r>
    <phoneticPr fontId="27" type="noConversion"/>
  </si>
  <si>
    <r>
      <rPr>
        <sz val="12"/>
        <color rgb="FF000000"/>
        <rFont val="SimSun"/>
        <family val="3"/>
        <charset val="134"/>
      </rPr>
      <t>IBM校园行</t>
    </r>
    <phoneticPr fontId="27" type="noConversion"/>
  </si>
  <si>
    <r>
      <rPr>
        <sz val="12"/>
        <color rgb="FF000000"/>
        <rFont val="SimSun"/>
        <family val="3"/>
        <charset val="134"/>
      </rPr>
      <t>生命科学</t>
    </r>
    <phoneticPr fontId="27" type="noConversion"/>
  </si>
  <si>
    <r>
      <rPr>
        <sz val="12"/>
        <color rgb="FF000000"/>
        <rFont val="宋体"/>
        <family val="3"/>
        <charset val="134"/>
      </rPr>
      <t>IBM客户创新中心</t>
    </r>
    <phoneticPr fontId="27" type="noConversion"/>
  </si>
  <si>
    <t>人民日报</t>
    <phoneticPr fontId="30" type="noConversion"/>
  </si>
  <si>
    <r>
      <rPr>
        <sz val="12"/>
        <color rgb="FF000000"/>
        <rFont val="SimSun"/>
        <family val="3"/>
        <charset val="134"/>
      </rPr>
      <t>人民日报英文客户端</t>
    </r>
    <phoneticPr fontId="27" type="noConversion"/>
  </si>
  <si>
    <r>
      <rPr>
        <sz val="12"/>
        <color rgb="FF000000"/>
        <rFont val="SimSun"/>
        <family val="3"/>
        <charset val="134"/>
      </rPr>
      <t>中国科学数学</t>
    </r>
    <phoneticPr fontId="27" type="noConversion"/>
  </si>
  <si>
    <r>
      <rPr>
        <sz val="12"/>
        <color rgb="FF000000"/>
        <rFont val="SimSun"/>
        <family val="3"/>
        <charset val="134"/>
      </rPr>
      <t>营口市投资促进局</t>
    </r>
    <phoneticPr fontId="27" type="noConversion"/>
  </si>
  <si>
    <r>
      <rPr>
        <sz val="12"/>
        <color rgb="FF000000"/>
        <rFont val="SimSun"/>
        <family val="3"/>
        <charset val="134"/>
      </rPr>
      <t>国家图书馆</t>
    </r>
    <phoneticPr fontId="27" type="noConversion"/>
  </si>
  <si>
    <r>
      <rPr>
        <sz val="12"/>
        <color rgb="FF000000"/>
        <rFont val="SimSun"/>
        <family val="3"/>
        <charset val="134"/>
      </rPr>
      <t>西西弗书店</t>
    </r>
    <phoneticPr fontId="27" type="noConversion"/>
  </si>
  <si>
    <r>
      <rPr>
        <sz val="12"/>
        <color rgb="FF000000"/>
        <rFont val="SimSun"/>
        <family val="3"/>
        <charset val="134"/>
      </rPr>
      <t>中国科学杂志社</t>
    </r>
    <phoneticPr fontId="27" type="noConversion"/>
  </si>
  <si>
    <r>
      <rPr>
        <sz val="12"/>
        <color rgb="FF000000"/>
        <rFont val="SimSun"/>
        <family val="3"/>
        <charset val="134"/>
      </rPr>
      <t>全民较真-腾讯新闻</t>
    </r>
    <phoneticPr fontId="27" type="noConversion"/>
  </si>
  <si>
    <r>
      <rPr>
        <sz val="12"/>
        <color rgb="FF000000"/>
        <rFont val="SimSun"/>
        <family val="3"/>
        <charset val="134"/>
      </rPr>
      <t>中国信息报</t>
    </r>
    <phoneticPr fontId="27" type="noConversion"/>
  </si>
  <si>
    <r>
      <rPr>
        <sz val="12"/>
        <color rgb="FF000000"/>
        <rFont val="SimSun"/>
        <family val="3"/>
        <charset val="134"/>
      </rPr>
      <t>中国国际进口博览会</t>
    </r>
    <phoneticPr fontId="27" type="noConversion"/>
  </si>
  <si>
    <r>
      <rPr>
        <sz val="12"/>
        <color rgb="FF000000"/>
        <rFont val="SimSun"/>
        <family val="3"/>
        <charset val="134"/>
      </rPr>
      <t>中新经纬</t>
    </r>
    <phoneticPr fontId="27" type="noConversion"/>
  </si>
  <si>
    <r>
      <rPr>
        <sz val="12"/>
        <color rgb="FF000000"/>
        <rFont val="SimSun"/>
        <family val="3"/>
        <charset val="134"/>
      </rPr>
      <t>中国旅游报</t>
    </r>
    <phoneticPr fontId="27" type="noConversion"/>
  </si>
  <si>
    <r>
      <rPr>
        <sz val="12"/>
        <color rgb="FF000000"/>
        <rFont val="SimSun"/>
        <family val="3"/>
        <charset val="134"/>
      </rPr>
      <t>凤凰网</t>
    </r>
    <phoneticPr fontId="27" type="noConversion"/>
  </si>
  <si>
    <r>
      <rPr>
        <sz val="12"/>
        <color rgb="FF000000"/>
        <rFont val="SimSun"/>
        <family val="3"/>
        <charset val="134"/>
      </rPr>
      <t>凤凰网财经</t>
    </r>
    <phoneticPr fontId="27" type="noConversion"/>
  </si>
  <si>
    <r>
      <rPr>
        <sz val="12"/>
        <color rgb="FF000000"/>
        <rFont val="SimSun"/>
        <family val="3"/>
        <charset val="134"/>
      </rPr>
      <t>招商武汉</t>
    </r>
    <phoneticPr fontId="27" type="noConversion"/>
  </si>
  <si>
    <r>
      <rPr>
        <sz val="12"/>
        <color rgb="FF000000"/>
        <rFont val="SimSun"/>
        <family val="3"/>
        <charset val="134"/>
      </rPr>
      <t>资讯</t>
    </r>
    <phoneticPr fontId="27" type="noConversion"/>
  </si>
  <si>
    <r>
      <rPr>
        <sz val="12"/>
        <color rgb="FF000000"/>
        <rFont val="SimSun"/>
        <family val="3"/>
        <charset val="134"/>
      </rPr>
      <t>中国社会报</t>
    </r>
    <phoneticPr fontId="27" type="noConversion"/>
  </si>
  <si>
    <r>
      <rPr>
        <sz val="12"/>
        <color rgb="FF000000"/>
        <rFont val="SimSun"/>
        <family val="3"/>
        <charset val="134"/>
      </rPr>
      <t>杭州市投资促进局</t>
    </r>
    <phoneticPr fontId="27" type="noConversion"/>
  </si>
  <si>
    <r>
      <rPr>
        <sz val="12"/>
        <color rgb="FF000000"/>
        <rFont val="SimSun"/>
        <family val="3"/>
        <charset val="134"/>
      </rPr>
      <t>中国知识产权报</t>
    </r>
    <phoneticPr fontId="27" type="noConversion"/>
  </si>
  <si>
    <r>
      <rPr>
        <sz val="12"/>
        <color rgb="FF000000"/>
        <rFont val="SimSun"/>
        <family val="3"/>
        <charset val="134"/>
      </rPr>
      <t>科技日报</t>
    </r>
    <phoneticPr fontId="27" type="noConversion"/>
  </si>
  <si>
    <r>
      <rPr>
        <sz val="12"/>
        <color rgb="FF000000"/>
        <rFont val="SimSun"/>
        <family val="3"/>
        <charset val="134"/>
      </rPr>
      <t>央视财经</t>
    </r>
    <phoneticPr fontId="27" type="noConversion"/>
  </si>
  <si>
    <r>
      <rPr>
        <sz val="12"/>
        <color rgb="FF000000"/>
        <rFont val="SimSun"/>
        <family val="3"/>
        <charset val="134"/>
      </rPr>
      <t>界面新闻</t>
    </r>
    <phoneticPr fontId="27" type="noConversion"/>
  </si>
  <si>
    <r>
      <rPr>
        <sz val="12"/>
        <color rgb="FF000000"/>
        <rFont val="SimSun"/>
        <family val="3"/>
        <charset val="134"/>
      </rPr>
      <t>参考消息</t>
    </r>
    <phoneticPr fontId="27" type="noConversion"/>
  </si>
  <si>
    <r>
      <rPr>
        <sz val="12"/>
        <color rgb="FF000000"/>
        <rFont val="SimSun"/>
        <family val="3"/>
        <charset val="134"/>
      </rPr>
      <t>央视新闻</t>
    </r>
    <phoneticPr fontId="27" type="noConversion"/>
  </si>
  <si>
    <r>
      <rPr>
        <sz val="12"/>
        <color rgb="FF000000"/>
        <rFont val="SimSun"/>
        <family val="3"/>
        <charset val="134"/>
      </rPr>
      <t>人民论坛网</t>
    </r>
    <phoneticPr fontId="27" type="noConversion"/>
  </si>
  <si>
    <r>
      <rPr>
        <sz val="12"/>
        <color rgb="FF000000"/>
        <rFont val="SimSun"/>
        <family val="3"/>
        <charset val="134"/>
      </rPr>
      <t>人民日报评论</t>
    </r>
    <phoneticPr fontId="27" type="noConversion"/>
  </si>
  <si>
    <r>
      <rPr>
        <sz val="12"/>
        <color rgb="FF000000"/>
        <rFont val="SimSun"/>
        <family val="3"/>
        <charset val="134"/>
      </rPr>
      <t>人民日报</t>
    </r>
    <phoneticPr fontId="27" type="noConversion"/>
  </si>
  <si>
    <r>
      <rPr>
        <sz val="12"/>
        <color rgb="FF000000"/>
        <rFont val="SimSun"/>
        <family val="3"/>
        <charset val="134"/>
      </rPr>
      <t>中国日报</t>
    </r>
    <phoneticPr fontId="27" type="noConversion"/>
  </si>
  <si>
    <r>
      <rPr>
        <sz val="12"/>
        <color rgb="FF000000"/>
        <rFont val="SimSun"/>
        <family val="3"/>
        <charset val="134"/>
      </rPr>
      <t>澎湃新闻</t>
    </r>
    <phoneticPr fontId="27" type="noConversion"/>
  </si>
  <si>
    <r>
      <rPr>
        <sz val="12"/>
        <color rgb="FF000000"/>
        <rFont val="SimSun"/>
        <family val="3"/>
        <charset val="134"/>
      </rPr>
      <t>中国日报网</t>
    </r>
    <phoneticPr fontId="27" type="noConversion"/>
  </si>
  <si>
    <r>
      <rPr>
        <sz val="12"/>
        <color rgb="FF000000"/>
        <rFont val="SimSun"/>
        <family val="3"/>
        <charset val="134"/>
      </rPr>
      <t>新华社</t>
    </r>
    <phoneticPr fontId="27" type="noConversion"/>
  </si>
  <si>
    <r>
      <rPr>
        <sz val="12"/>
        <color rgb="FF000000"/>
        <rFont val="SimSun"/>
        <family val="3"/>
        <charset val="134"/>
      </rPr>
      <t>CCTV4</t>
    </r>
    <phoneticPr fontId="27" type="noConversion"/>
  </si>
  <si>
    <r>
      <rPr>
        <sz val="12"/>
        <color rgb="FF000000"/>
        <rFont val="宋体"/>
        <family val="3"/>
        <charset val="134"/>
      </rPr>
      <t>新闻联播</t>
    </r>
    <phoneticPr fontId="27" type="noConversion"/>
  </si>
  <si>
    <r>
      <rPr>
        <sz val="12"/>
        <color rgb="FF000000"/>
        <rFont val="SimSun"/>
        <family val="3"/>
        <charset val="134"/>
      </rPr>
      <t>央视网</t>
    </r>
    <phoneticPr fontId="27" type="noConversion"/>
  </si>
  <si>
    <t>中国社会报</t>
    <phoneticPr fontId="27" type="noConversion"/>
  </si>
  <si>
    <t>中国劳动保障报</t>
    <phoneticPr fontId="27" type="noConversion"/>
  </si>
  <si>
    <t>中国知识产权报</t>
    <phoneticPr fontId="27" type="noConversion"/>
  </si>
  <si>
    <t>中国消费者报</t>
    <phoneticPr fontId="27" type="noConversion"/>
  </si>
  <si>
    <t>中国财经报</t>
    <phoneticPr fontId="27" type="noConversion"/>
  </si>
  <si>
    <t>中国教育报</t>
    <phoneticPr fontId="27" type="noConversion"/>
  </si>
  <si>
    <t>中国证券报</t>
    <phoneticPr fontId="27" type="noConversion"/>
  </si>
  <si>
    <t>科技日报</t>
    <phoneticPr fontId="27" type="noConversion"/>
  </si>
  <si>
    <t>中国经营报</t>
    <phoneticPr fontId="27" type="noConversion"/>
  </si>
  <si>
    <t>环球科学</t>
    <phoneticPr fontId="27" type="noConversion"/>
  </si>
  <si>
    <t>海外网</t>
    <phoneticPr fontId="27" type="noConversion"/>
  </si>
  <si>
    <t>英语</t>
    <phoneticPr fontId="27" type="noConversion"/>
  </si>
  <si>
    <t>Chinadaily</t>
    <phoneticPr fontId="27" type="noConversion"/>
  </si>
  <si>
    <t>中国日报双语新闻</t>
    <phoneticPr fontId="27" type="noConversion"/>
  </si>
  <si>
    <t>商业周刊中文版</t>
    <phoneticPr fontId="27" type="noConversion"/>
  </si>
  <si>
    <r>
      <rPr>
        <sz val="12"/>
        <color rgb="FF000000"/>
        <rFont val="SimSun"/>
        <family val="3"/>
        <charset val="134"/>
      </rPr>
      <t>北京师范大学</t>
    </r>
    <phoneticPr fontId="27" type="noConversion"/>
  </si>
  <si>
    <r>
      <rPr>
        <sz val="12"/>
        <color rgb="FF000000"/>
        <rFont val="SimSun"/>
        <family val="3"/>
        <charset val="134"/>
      </rPr>
      <t>考博圈</t>
    </r>
    <phoneticPr fontId="27" type="noConversion"/>
  </si>
  <si>
    <t>日语</t>
    <phoneticPr fontId="30" type="noConversion"/>
  </si>
  <si>
    <r>
      <rPr>
        <sz val="12"/>
        <color rgb="FF000000"/>
        <rFont val="SimSun"/>
        <family val="3"/>
        <charset val="134"/>
      </rPr>
      <t>叶言日语</t>
    </r>
    <phoneticPr fontId="27" type="noConversion"/>
  </si>
  <si>
    <r>
      <rPr>
        <sz val="12"/>
        <color rgb="FF000000"/>
        <rFont val="SimSun"/>
        <family val="3"/>
        <charset val="134"/>
      </rPr>
      <t>日语听译学习</t>
    </r>
    <phoneticPr fontId="27" type="noConversion"/>
  </si>
  <si>
    <r>
      <rPr>
        <sz val="12"/>
        <color rgb="FF000000"/>
        <rFont val="SimSun"/>
        <family val="3"/>
        <charset val="134"/>
      </rPr>
      <t>爱学日本语</t>
    </r>
    <phoneticPr fontId="27" type="noConversion"/>
  </si>
  <si>
    <r>
      <rPr>
        <sz val="12"/>
        <color rgb="FF000000"/>
        <rFont val="SimSun"/>
        <family val="3"/>
        <charset val="134"/>
      </rPr>
      <t>JTEST日语考试</t>
    </r>
    <phoneticPr fontId="27" type="noConversion"/>
  </si>
  <si>
    <r>
      <rPr>
        <sz val="12"/>
        <color rgb="FF000000"/>
        <rFont val="SimSun"/>
        <family val="3"/>
        <charset val="134"/>
      </rPr>
      <t>留日通讯</t>
    </r>
    <phoneticPr fontId="27" type="noConversion"/>
  </si>
  <si>
    <t>日本资讯</t>
    <phoneticPr fontId="30" type="noConversion"/>
  </si>
  <si>
    <r>
      <rPr>
        <sz val="12"/>
        <color rgb="FF000000"/>
        <rFont val="SimSun"/>
        <family val="3"/>
        <charset val="134"/>
      </rPr>
      <t>浩说东瀛</t>
    </r>
    <phoneticPr fontId="27" type="noConversion"/>
  </si>
  <si>
    <r>
      <rPr>
        <sz val="12"/>
        <color rgb="FF000000"/>
        <rFont val="SimSun"/>
        <family val="3"/>
        <charset val="134"/>
      </rPr>
      <t>日语JTEST考试</t>
    </r>
    <phoneticPr fontId="27" type="noConversion"/>
  </si>
  <si>
    <r>
      <rPr>
        <sz val="12"/>
        <color rgb="FF000000"/>
        <rFont val="SimSun"/>
        <family val="3"/>
        <charset val="134"/>
      </rPr>
      <t>在日华人圈</t>
    </r>
    <phoneticPr fontId="27" type="noConversion"/>
  </si>
  <si>
    <r>
      <rPr>
        <sz val="12"/>
        <color rgb="FF000000"/>
        <rFont val="SimSun"/>
        <family val="3"/>
        <charset val="134"/>
      </rPr>
      <t>日语专业考研</t>
    </r>
    <phoneticPr fontId="27" type="noConversion"/>
  </si>
  <si>
    <r>
      <rPr>
        <sz val="12"/>
        <color rgb="FF000000"/>
        <rFont val="SimSun"/>
        <family val="3"/>
        <charset val="134"/>
      </rPr>
      <t>日语能力考JLPT</t>
    </r>
    <phoneticPr fontId="27" type="noConversion"/>
  </si>
  <si>
    <r>
      <rPr>
        <sz val="12"/>
        <color rgb="FF000000"/>
        <rFont val="SimSun"/>
        <family val="3"/>
        <charset val="134"/>
      </rPr>
      <t>日本华人信息网</t>
    </r>
    <phoneticPr fontId="27" type="noConversion"/>
  </si>
  <si>
    <r>
      <rPr>
        <sz val="12"/>
        <color rgb="FF000000"/>
        <rFont val="SimSun"/>
        <family val="3"/>
        <charset val="134"/>
      </rPr>
      <t>NHK日语听力</t>
    </r>
    <phoneticPr fontId="27" type="noConversion"/>
  </si>
  <si>
    <r>
      <rPr>
        <sz val="12"/>
        <color rgb="FF000000"/>
        <rFont val="SimSun"/>
        <family val="3"/>
        <charset val="134"/>
      </rPr>
      <t>NHK新闻</t>
    </r>
    <phoneticPr fontId="27" type="noConversion"/>
  </si>
  <si>
    <r>
      <rPr>
        <sz val="12"/>
        <color rgb="FF000000"/>
        <rFont val="SimSun"/>
        <family val="3"/>
        <charset val="134"/>
      </rPr>
      <t>NHK每日放送</t>
    </r>
    <phoneticPr fontId="27" type="noConversion"/>
  </si>
  <si>
    <r>
      <rPr>
        <sz val="12"/>
        <color rgb="FF000000"/>
        <rFont val="SimSun"/>
        <family val="3"/>
        <charset val="134"/>
      </rPr>
      <t>听NHK学日语</t>
    </r>
    <phoneticPr fontId="27" type="noConversion"/>
  </si>
  <si>
    <r>
      <rPr>
        <sz val="12"/>
        <color rgb="FF000000"/>
        <rFont val="SimSun"/>
        <family val="3"/>
        <charset val="134"/>
      </rPr>
      <t>东京在线</t>
    </r>
    <phoneticPr fontId="27" type="noConversion"/>
  </si>
  <si>
    <t>东方网日文版</t>
    <phoneticPr fontId="27" type="noConversion"/>
  </si>
  <si>
    <t>人民网日文版</t>
    <phoneticPr fontId="27" type="noConversion"/>
  </si>
  <si>
    <t>综合日语</t>
    <phoneticPr fontId="27" type="noConversion"/>
  </si>
  <si>
    <t>日语阅读进阶</t>
    <phoneticPr fontId="27" type="noConversion"/>
  </si>
  <si>
    <r>
      <rPr>
        <sz val="11"/>
        <color rgb="FF000000"/>
        <rFont val="等线"/>
        <family val="3"/>
        <charset val="134"/>
      </rPr>
      <t>日语</t>
    </r>
    <r>
      <rPr>
        <sz val="11"/>
        <color rgb="FF000000"/>
        <rFont val="微软雅黑"/>
        <family val="2"/>
        <charset val="134"/>
      </rPr>
      <t>News阅读</t>
    </r>
    <phoneticPr fontId="27" type="noConversion"/>
  </si>
  <si>
    <t>每天一首英文歌</t>
    <phoneticPr fontId="27" type="noConversion"/>
  </si>
  <si>
    <t>每天学英语</t>
    <phoneticPr fontId="27" type="noConversion"/>
  </si>
  <si>
    <t>BBC英语听力</t>
    <phoneticPr fontId="27" type="noConversion"/>
  </si>
  <si>
    <t>《英语世界》杂志社有限公司</t>
    <phoneticPr fontId="27" type="noConversion"/>
  </si>
  <si>
    <t>英语世界</t>
    <phoneticPr fontId="27" type="noConversion"/>
  </si>
  <si>
    <t>英文演讲视频精选</t>
    <phoneticPr fontId="27" type="noConversion"/>
  </si>
  <si>
    <t>韩语</t>
    <phoneticPr fontId="27" type="noConversion"/>
  </si>
  <si>
    <t>韩语免费学</t>
    <phoneticPr fontId="27" type="noConversion"/>
  </si>
  <si>
    <t>RPA</t>
    <phoneticPr fontId="27" type="noConversion"/>
  </si>
  <si>
    <t>UiPath RPA社区</t>
    <phoneticPr fontId="27" type="noConversion"/>
  </si>
  <si>
    <r>
      <rPr>
        <sz val="11"/>
        <color rgb="FF000000"/>
        <rFont val="SimSun"/>
        <family val="3"/>
        <charset val="134"/>
      </rPr>
      <t>程序设计</t>
    </r>
    <phoneticPr fontId="27" type="noConversion"/>
  </si>
  <si>
    <r>
      <rPr>
        <sz val="12"/>
        <color rgb="FF000000"/>
        <rFont val="SimSun"/>
        <family val="3"/>
        <charset val="134"/>
      </rPr>
      <t>Excel和Access学习笔记</t>
    </r>
    <phoneticPr fontId="27" type="noConversion"/>
  </si>
  <si>
    <r>
      <rPr>
        <sz val="12"/>
        <color rgb="FF000000"/>
        <rFont val="SimSun"/>
        <family val="3"/>
        <charset val="134"/>
      </rPr>
      <t>VBA编程学习与实践</t>
    </r>
    <phoneticPr fontId="27" type="noConversion"/>
  </si>
  <si>
    <r>
      <rPr>
        <sz val="12"/>
        <color rgb="FF000000"/>
        <rFont val="SimSun"/>
        <family val="3"/>
        <charset val="134"/>
      </rPr>
      <t>ExcelVBA编程办公自动化</t>
    </r>
    <phoneticPr fontId="27" type="noConversion"/>
  </si>
  <si>
    <t>机器学习算法与自然语言处理</t>
    <phoneticPr fontId="30" type="noConversion"/>
  </si>
  <si>
    <r>
      <rPr>
        <sz val="12"/>
        <color rgb="FF000000"/>
        <rFont val="SimSun"/>
        <family val="3"/>
        <charset val="134"/>
      </rPr>
      <t>咨询</t>
    </r>
    <phoneticPr fontId="27" type="noConversion"/>
  </si>
  <si>
    <r>
      <rPr>
        <sz val="12"/>
        <color rgb="FF000000"/>
        <rFont val="SimSun"/>
        <family val="3"/>
        <charset val="134"/>
      </rPr>
      <t>贝恩公司</t>
    </r>
    <phoneticPr fontId="27" type="noConversion"/>
  </si>
  <si>
    <r>
      <rPr>
        <sz val="12"/>
        <color rgb="FF000000"/>
        <rFont val="SimSun"/>
        <family val="3"/>
        <charset val="134"/>
      </rPr>
      <t>毕马威KPMG</t>
    </r>
    <phoneticPr fontId="27" type="noConversion"/>
  </si>
  <si>
    <t>普华永道中天会计师事务所（特殊普通合伙）</t>
    <phoneticPr fontId="27" type="noConversion"/>
  </si>
  <si>
    <t>普华永道中国</t>
    <phoneticPr fontId="27" type="noConversion"/>
  </si>
  <si>
    <t>咨询</t>
    <phoneticPr fontId="27" type="noConversion"/>
  </si>
  <si>
    <t>BCG波士顿咨询</t>
    <phoneticPr fontId="27" type="noConversion"/>
  </si>
  <si>
    <t>创服</t>
    <phoneticPr fontId="27" type="noConversion"/>
  </si>
  <si>
    <t>中金资本</t>
    <phoneticPr fontId="27" type="noConversion"/>
  </si>
  <si>
    <t>中关村众筹联盟</t>
    <phoneticPr fontId="27" type="noConversion"/>
  </si>
  <si>
    <t>中关村大河资本</t>
    <phoneticPr fontId="27" type="noConversion"/>
  </si>
  <si>
    <t>真格基金</t>
    <phoneticPr fontId="27" type="noConversion"/>
  </si>
  <si>
    <r>
      <rPr>
        <sz val="12"/>
        <color rgb="FF000000"/>
        <rFont val="宋体"/>
        <family val="3"/>
        <charset val="134"/>
      </rPr>
      <t>云启资本</t>
    </r>
    <phoneticPr fontId="27" type="noConversion"/>
  </si>
  <si>
    <t>煜华尚和</t>
    <phoneticPr fontId="27" type="noConversion"/>
  </si>
  <si>
    <t>愉悦资本</t>
    <phoneticPr fontId="27" type="noConversion"/>
  </si>
  <si>
    <t>优客工场</t>
    <phoneticPr fontId="27" type="noConversion"/>
  </si>
  <si>
    <t>渶策资本</t>
    <phoneticPr fontId="27" type="noConversion"/>
  </si>
  <si>
    <t>英诺天使</t>
    <phoneticPr fontId="27" type="noConversion"/>
  </si>
  <si>
    <t>银杏谷资本</t>
    <phoneticPr fontId="27" type="noConversion"/>
  </si>
  <si>
    <t>以太创服（中介）</t>
    <phoneticPr fontId="27" type="noConversion"/>
  </si>
  <si>
    <t>万融资本</t>
    <phoneticPr fontId="27" type="noConversion"/>
  </si>
  <si>
    <t>天使投资人中心</t>
    <phoneticPr fontId="27" type="noConversion"/>
  </si>
  <si>
    <t>天使茶馆</t>
    <phoneticPr fontId="27" type="noConversion"/>
  </si>
  <si>
    <t>天使百人会</t>
    <phoneticPr fontId="27" type="noConversion"/>
  </si>
  <si>
    <t>天使VC投资家</t>
    <phoneticPr fontId="27" type="noConversion"/>
  </si>
  <si>
    <t>天津股权投资基金协会</t>
    <phoneticPr fontId="27" type="noConversion"/>
  </si>
  <si>
    <t>深圳天使投资引导基金管理公司</t>
    <phoneticPr fontId="27" type="noConversion"/>
  </si>
  <si>
    <r>
      <rPr>
        <sz val="11"/>
        <color rgb="FF000000"/>
        <rFont val="Segoe UI Symbol"/>
        <family val="2"/>
      </rPr>
      <t>🔺</t>
    </r>
    <phoneticPr fontId="27" type="noConversion"/>
  </si>
  <si>
    <t>赛富投资基金</t>
    <phoneticPr fontId="27" type="noConversion"/>
  </si>
  <si>
    <t>赛伯乐</t>
    <phoneticPr fontId="27" type="noConversion"/>
  </si>
  <si>
    <t>润加速产业加速器</t>
    <phoneticPr fontId="27" type="noConversion"/>
  </si>
  <si>
    <t>青松基金</t>
    <phoneticPr fontId="27" type="noConversion"/>
  </si>
  <si>
    <t>明势资本</t>
    <phoneticPr fontId="27" type="noConversion"/>
  </si>
  <si>
    <t>梅花创投</t>
    <phoneticPr fontId="27" type="noConversion"/>
  </si>
  <si>
    <t>领势</t>
    <phoneticPr fontId="27" type="noConversion"/>
  </si>
  <si>
    <t>联想之星</t>
    <phoneticPr fontId="27" type="noConversion"/>
  </si>
  <si>
    <t>君联资本</t>
    <phoneticPr fontId="27" type="noConversion"/>
  </si>
  <si>
    <t>经纬创投</t>
    <phoneticPr fontId="27" type="noConversion"/>
  </si>
  <si>
    <t>将门创投</t>
    <phoneticPr fontId="27" type="noConversion"/>
  </si>
  <si>
    <t>坚果资本</t>
    <phoneticPr fontId="27" type="noConversion"/>
  </si>
  <si>
    <t>嘉程资本</t>
    <phoneticPr fontId="27" type="noConversion"/>
  </si>
  <si>
    <t>荟强投资</t>
    <phoneticPr fontId="27" type="noConversion"/>
  </si>
  <si>
    <t>华睿投资</t>
    <phoneticPr fontId="27" type="noConversion"/>
  </si>
  <si>
    <t>华辰资本</t>
    <phoneticPr fontId="27" type="noConversion"/>
  </si>
  <si>
    <t>红杉汇</t>
    <phoneticPr fontId="27" type="noConversion"/>
  </si>
  <si>
    <t>黑马基金</t>
    <phoneticPr fontId="27" type="noConversion"/>
  </si>
  <si>
    <t>峰岚投资</t>
    <phoneticPr fontId="27" type="noConversion"/>
  </si>
  <si>
    <t>东方富海</t>
    <phoneticPr fontId="27" type="noConversion"/>
  </si>
  <si>
    <t>春华资本</t>
    <phoneticPr fontId="27" type="noConversion"/>
  </si>
  <si>
    <t>长石资本</t>
    <phoneticPr fontId="27" type="noConversion"/>
  </si>
  <si>
    <t>创新工场</t>
    <phoneticPr fontId="27" type="noConversion"/>
  </si>
  <si>
    <t>创投异类（中介）</t>
    <phoneticPr fontId="27" type="noConversion"/>
  </si>
  <si>
    <t>创投精选</t>
    <phoneticPr fontId="27" type="noConversion"/>
  </si>
  <si>
    <t>初心资本</t>
    <phoneticPr fontId="27" type="noConversion"/>
  </si>
  <si>
    <t>JingData</t>
    <phoneticPr fontId="27" type="noConversion"/>
  </si>
  <si>
    <r>
      <rPr>
        <sz val="11"/>
        <color rgb="FF000000"/>
        <rFont val="Segoe UI Symbol"/>
        <family val="2"/>
      </rPr>
      <t>订阅号</t>
    </r>
    <phoneticPr fontId="27" type="noConversion"/>
  </si>
  <si>
    <t>IDG资本</t>
    <phoneticPr fontId="27" type="noConversion"/>
  </si>
  <si>
    <r>
      <rPr>
        <sz val="12"/>
        <color rgb="FF000000"/>
        <rFont val="SimSun"/>
        <family val="3"/>
        <charset val="134"/>
      </rPr>
      <t>工业互联网</t>
    </r>
    <phoneticPr fontId="27" type="noConversion"/>
  </si>
  <si>
    <t>工业互联网周刊</t>
    <phoneticPr fontId="27" type="noConversion"/>
  </si>
  <si>
    <t>工业互联网世界</t>
    <phoneticPr fontId="27" type="noConversion"/>
  </si>
  <si>
    <t>教育</t>
    <phoneticPr fontId="27" type="noConversion"/>
  </si>
  <si>
    <t>人民教育</t>
    <phoneticPr fontId="27" type="noConversion"/>
  </si>
  <si>
    <t>清华大学未来实验室</t>
    <phoneticPr fontId="27" type="noConversion"/>
  </si>
  <si>
    <t>课堂漫话</t>
    <phoneticPr fontId="27" type="noConversion"/>
  </si>
  <si>
    <t>教育与中国未来30人论坛</t>
    <phoneticPr fontId="27" type="noConversion"/>
  </si>
  <si>
    <t>教育技术资讯</t>
    <phoneticPr fontId="27" type="noConversion"/>
  </si>
  <si>
    <t>教育技术学平台</t>
    <phoneticPr fontId="27" type="noConversion"/>
  </si>
  <si>
    <t>教育技术学</t>
    <phoneticPr fontId="27" type="noConversion"/>
  </si>
  <si>
    <t>华中师范大学</t>
    <phoneticPr fontId="27" type="noConversion"/>
  </si>
  <si>
    <t>教育大数据国家工程实验室</t>
    <phoneticPr fontId="27" type="noConversion"/>
  </si>
  <si>
    <t>北京师范大学</t>
    <phoneticPr fontId="27" type="noConversion"/>
  </si>
  <si>
    <t>互联网教育国家工程实验室</t>
    <phoneticPr fontId="27" type="noConversion"/>
  </si>
  <si>
    <t>国际与比较教育研究所</t>
    <phoneticPr fontId="27" type="noConversion"/>
  </si>
  <si>
    <t>高教创时代</t>
    <phoneticPr fontId="27" type="noConversion"/>
  </si>
  <si>
    <t>华中科技大学</t>
    <phoneticPr fontId="27" type="noConversion"/>
  </si>
  <si>
    <t>高等工程教育研究</t>
    <phoneticPr fontId="27" type="noConversion"/>
  </si>
  <si>
    <t>电化教育研究</t>
    <phoneticPr fontId="27" type="noConversion"/>
  </si>
  <si>
    <t>大学教改动态</t>
    <phoneticPr fontId="27" type="noConversion"/>
  </si>
  <si>
    <t>北师大创新发展研究院</t>
    <phoneticPr fontId="27" type="noConversion"/>
  </si>
  <si>
    <t>北京师范大学智慧学习研究院</t>
    <phoneticPr fontId="27" type="noConversion"/>
  </si>
  <si>
    <t>Mooc</t>
    <phoneticPr fontId="27" type="noConversion"/>
  </si>
  <si>
    <t>GES未来教育大会</t>
    <phoneticPr fontId="27" type="noConversion"/>
  </si>
  <si>
    <t>清华大学</t>
    <phoneticPr fontId="27" type="noConversion"/>
  </si>
  <si>
    <t>终身学习实验室</t>
    <phoneticPr fontId="27" type="noConversion"/>
  </si>
  <si>
    <t>中央电化教育馆</t>
    <phoneticPr fontId="27" type="noConversion"/>
  </si>
  <si>
    <t>中小学数字教学</t>
    <phoneticPr fontId="27" type="noConversion"/>
  </si>
  <si>
    <t>中小学人工智能</t>
    <phoneticPr fontId="27" type="noConversion"/>
  </si>
  <si>
    <t>北京远教时代文化传媒有限公司</t>
    <phoneticPr fontId="27" type="noConversion"/>
  </si>
  <si>
    <t>中国远程教育杂志</t>
    <phoneticPr fontId="27" type="noConversion"/>
  </si>
  <si>
    <t>学习科学与分析</t>
    <phoneticPr fontId="27" type="noConversion"/>
  </si>
  <si>
    <t>新校长传媒</t>
    <phoneticPr fontId="27" type="noConversion"/>
  </si>
  <si>
    <t>四川广播电视大学</t>
    <phoneticPr fontId="27" type="noConversion"/>
  </si>
  <si>
    <t>现代远程教育研究</t>
    <phoneticPr fontId="27" type="noConversion"/>
  </si>
  <si>
    <t>现代教育报</t>
    <phoneticPr fontId="27" type="noConversion"/>
  </si>
  <si>
    <t>未来教育高精尖创新中心</t>
    <phoneticPr fontId="27" type="noConversion"/>
  </si>
  <si>
    <t>世界教育信息</t>
    <phoneticPr fontId="27" type="noConversion"/>
  </si>
  <si>
    <t>中国民办教育协会学前教育专委会</t>
    <phoneticPr fontId="27" type="noConversion"/>
  </si>
  <si>
    <t>中国教育学会</t>
    <phoneticPr fontId="27" type="noConversion"/>
  </si>
  <si>
    <t>中国教育信息化</t>
    <phoneticPr fontId="27" type="noConversion"/>
  </si>
  <si>
    <t>中国教育新闻网</t>
    <phoneticPr fontId="27" type="noConversion"/>
  </si>
  <si>
    <t>北京三十人论坛教育咨询有限公司</t>
    <phoneticPr fontId="27" type="noConversion"/>
  </si>
  <si>
    <t>中国教育三十人论坛</t>
    <phoneticPr fontId="27" type="noConversion"/>
  </si>
  <si>
    <t>中国教育技术协会</t>
    <phoneticPr fontId="27" type="noConversion"/>
  </si>
  <si>
    <t>中国教师报</t>
    <phoneticPr fontId="27" type="noConversion"/>
  </si>
  <si>
    <t>中国教育科学研究院</t>
    <phoneticPr fontId="27" type="noConversion"/>
  </si>
  <si>
    <t>中国教科院</t>
    <phoneticPr fontId="27" type="noConversion"/>
  </si>
  <si>
    <t>中关村互联网教育创新中心</t>
    <phoneticPr fontId="27" type="noConversion"/>
  </si>
  <si>
    <t>育英士</t>
    <phoneticPr fontId="27" type="noConversion"/>
  </si>
  <si>
    <t>有间大学</t>
    <phoneticPr fontId="27" type="noConversion"/>
  </si>
  <si>
    <t>中国信息技术教育</t>
    <phoneticPr fontId="27" type="noConversion"/>
  </si>
  <si>
    <t>中国未来学校实验室</t>
    <phoneticPr fontId="27" type="noConversion"/>
  </si>
  <si>
    <r>
      <rPr>
        <sz val="12"/>
        <color rgb="FF000000"/>
        <rFont val="SimSun"/>
        <family val="3"/>
        <charset val="134"/>
      </rPr>
      <t>软件和服务外包资讯</t>
    </r>
    <phoneticPr fontId="27" type="noConversion"/>
  </si>
  <si>
    <r>
      <rPr>
        <sz val="12"/>
        <color rgb="FF000000"/>
        <rFont val="SimSun"/>
        <family val="3"/>
        <charset val="134"/>
      </rPr>
      <t>影单来了</t>
    </r>
    <phoneticPr fontId="27" type="noConversion"/>
  </si>
  <si>
    <r>
      <rPr>
        <sz val="12"/>
        <color rgb="FF000000"/>
        <rFont val="SimSun"/>
        <family val="3"/>
        <charset val="134"/>
      </rPr>
      <t>书单来了</t>
    </r>
    <phoneticPr fontId="27" type="noConversion"/>
  </si>
  <si>
    <t>人工智能</t>
    <phoneticPr fontId="27" type="noConversion"/>
  </si>
  <si>
    <t>开放知识图谱</t>
    <phoneticPr fontId="27" type="noConversion"/>
  </si>
  <si>
    <t>机器学习算法工程师</t>
    <phoneticPr fontId="27" type="noConversion"/>
  </si>
  <si>
    <t>中国人工智能学会</t>
    <phoneticPr fontId="27" type="noConversion"/>
  </si>
  <si>
    <t>智造智库</t>
    <phoneticPr fontId="27" type="noConversion"/>
  </si>
  <si>
    <t>人工智能学家</t>
    <phoneticPr fontId="27" type="noConversion"/>
  </si>
  <si>
    <t>数据观</t>
    <phoneticPr fontId="27" type="noConversion"/>
  </si>
  <si>
    <t>深度学习</t>
    <phoneticPr fontId="27" type="noConversion"/>
  </si>
  <si>
    <r>
      <rPr>
        <sz val="12"/>
        <color rgb="FF000000"/>
        <rFont val="SimSun"/>
        <family val="3"/>
        <charset val="134"/>
      </rPr>
      <t>知识工场</t>
    </r>
    <phoneticPr fontId="27" type="noConversion"/>
  </si>
  <si>
    <r>
      <rPr>
        <sz val="12"/>
        <color rgb="FF000000"/>
        <rFont val="SimSun"/>
        <family val="3"/>
        <charset val="134"/>
      </rPr>
      <t>人工智能</t>
    </r>
    <phoneticPr fontId="27" type="noConversion"/>
  </si>
  <si>
    <r>
      <rPr>
        <sz val="12"/>
        <color rgb="FF000000"/>
        <rFont val="SimSun"/>
        <family val="3"/>
        <charset val="134"/>
      </rPr>
      <t>大数据创新学习中心</t>
    </r>
    <phoneticPr fontId="27" type="noConversion"/>
  </si>
  <si>
    <t>产品经理</t>
    <phoneticPr fontId="27" type="noConversion"/>
  </si>
  <si>
    <t>人人都是产品经理</t>
    <phoneticPr fontId="27" type="noConversion"/>
  </si>
  <si>
    <t>产品经理读书会</t>
    <phoneticPr fontId="27" type="noConversion"/>
  </si>
  <si>
    <t>大外学生就业</t>
    <phoneticPr fontId="30" type="noConversion"/>
  </si>
  <si>
    <t>文思海辉招聘</t>
    <phoneticPr fontId="30" type="noConversion"/>
  </si>
  <si>
    <r>
      <rPr>
        <sz val="12"/>
        <color rgb="FF000000"/>
        <rFont val="宋体"/>
        <family val="3"/>
        <charset val="134"/>
      </rPr>
      <t>大工就业</t>
    </r>
    <phoneticPr fontId="27" type="noConversion"/>
  </si>
  <si>
    <t>HRClub</t>
    <phoneticPr fontId="27" type="noConversion"/>
  </si>
  <si>
    <t>大连</t>
    <phoneticPr fontId="27" type="noConversion"/>
  </si>
  <si>
    <t>中美国际创业港</t>
    <phoneticPr fontId="27" type="noConversion"/>
  </si>
  <si>
    <t>全民益拍</t>
    <phoneticPr fontId="27" type="noConversion"/>
  </si>
  <si>
    <t>七贤荟</t>
    <phoneticPr fontId="27" type="noConversion"/>
  </si>
  <si>
    <t>沙河口区96685公共服务平台</t>
    <phoneticPr fontId="27" type="noConversion"/>
  </si>
  <si>
    <t>三创直播室</t>
    <phoneticPr fontId="27" type="noConversion"/>
  </si>
  <si>
    <t>中国数交会</t>
    <phoneticPr fontId="27" type="noConversion"/>
  </si>
  <si>
    <t>海外学子创业周</t>
    <phoneticPr fontId="27" type="noConversion"/>
  </si>
  <si>
    <t>大连自然资源</t>
    <phoneticPr fontId="27" type="noConversion"/>
  </si>
  <si>
    <t>大连银联</t>
    <phoneticPr fontId="27" type="noConversion"/>
  </si>
  <si>
    <t>大连移动</t>
    <phoneticPr fontId="27" type="noConversion"/>
  </si>
  <si>
    <t>大连新闻广播</t>
    <phoneticPr fontId="27" type="noConversion"/>
  </si>
  <si>
    <t>大连晚报</t>
    <phoneticPr fontId="27" type="noConversion"/>
  </si>
  <si>
    <t>大连市战略性新兴产业研究</t>
    <phoneticPr fontId="27" type="noConversion"/>
  </si>
  <si>
    <t>大连市人力资源市场</t>
    <phoneticPr fontId="27" type="noConversion"/>
  </si>
  <si>
    <t>大连市人工智能产业协会</t>
    <phoneticPr fontId="27" type="noConversion"/>
  </si>
  <si>
    <t>大连市老龄产业联合会</t>
    <phoneticPr fontId="27" type="noConversion"/>
  </si>
  <si>
    <t>大连市股权投资业协会</t>
    <phoneticPr fontId="27" type="noConversion"/>
  </si>
  <si>
    <t>大连市创新创业创投服务中心</t>
    <phoneticPr fontId="27" type="noConversion"/>
  </si>
  <si>
    <t>大连市电子商务协会</t>
    <phoneticPr fontId="27" type="noConversion"/>
  </si>
  <si>
    <t>大连商务</t>
    <phoneticPr fontId="27" type="noConversion"/>
  </si>
  <si>
    <t>大连软件园</t>
    <phoneticPr fontId="27" type="noConversion"/>
  </si>
  <si>
    <t>大连日报</t>
    <phoneticPr fontId="27" type="noConversion"/>
  </si>
  <si>
    <t>大连人才</t>
    <phoneticPr fontId="27" type="noConversion"/>
  </si>
  <si>
    <t>大连民政公众号</t>
    <phoneticPr fontId="27" type="noConversion"/>
  </si>
  <si>
    <t>大连劳动法</t>
    <phoneticPr fontId="27" type="noConversion"/>
  </si>
  <si>
    <t>大连公开</t>
    <phoneticPr fontId="27" type="noConversion"/>
  </si>
  <si>
    <t>大连高新区人才市场</t>
    <phoneticPr fontId="27" type="noConversion"/>
  </si>
  <si>
    <t>大连高新</t>
    <phoneticPr fontId="27" type="noConversion"/>
  </si>
  <si>
    <t>大连发展改革委</t>
    <phoneticPr fontId="27" type="noConversion"/>
  </si>
  <si>
    <t>大连创业之家</t>
    <phoneticPr fontId="27" type="noConversion"/>
  </si>
  <si>
    <t>大连创业园</t>
    <phoneticPr fontId="27" type="noConversion"/>
  </si>
  <si>
    <t>大连本地宝</t>
    <phoneticPr fontId="27" type="noConversion"/>
  </si>
  <si>
    <t>大观新闻</t>
    <phoneticPr fontId="27" type="noConversion"/>
  </si>
  <si>
    <t>滨城智库</t>
    <phoneticPr fontId="27" type="noConversion"/>
  </si>
  <si>
    <t>半岛晨报</t>
    <phoneticPr fontId="27" type="noConversion"/>
  </si>
  <si>
    <r>
      <rPr>
        <sz val="11"/>
        <color rgb="FF000000"/>
        <rFont val="SimSun"/>
        <family val="3"/>
        <charset val="134"/>
      </rPr>
      <t>意大利政府</t>
    </r>
    <phoneticPr fontId="27" type="noConversion"/>
  </si>
  <si>
    <t>意大利国家旅游局</t>
    <phoneticPr fontId="27" type="noConversion"/>
  </si>
  <si>
    <r>
      <rPr>
        <sz val="12"/>
        <color rgb="FF000000"/>
        <rFont val="SimSun"/>
        <family val="3"/>
        <charset val="134"/>
      </rPr>
      <t>日本国驻大连领事办公室</t>
    </r>
    <phoneticPr fontId="27" type="noConversion"/>
  </si>
  <si>
    <r>
      <rPr>
        <sz val="11"/>
        <color rgb="FF000000"/>
        <rFont val="SimSun"/>
        <family val="3"/>
        <charset val="134"/>
      </rPr>
      <t>日本政府</t>
    </r>
    <phoneticPr fontId="27" type="noConversion"/>
  </si>
  <si>
    <t>日本国家旅游局</t>
    <phoneticPr fontId="27" type="noConversion"/>
  </si>
  <si>
    <r>
      <rPr>
        <sz val="12"/>
        <color rgb="FF000000"/>
        <rFont val="SimSun"/>
        <family val="3"/>
        <charset val="134"/>
      </rPr>
      <t>关键基础设施安全应急响应中心</t>
    </r>
    <phoneticPr fontId="27" type="noConversion"/>
  </si>
  <si>
    <r>
      <rPr>
        <sz val="12"/>
        <color rgb="FF000000"/>
        <rFont val="SimSun"/>
        <family val="3"/>
        <charset val="134"/>
      </rPr>
      <t>商务部投资促进事务局</t>
    </r>
    <phoneticPr fontId="27" type="noConversion"/>
  </si>
  <si>
    <r>
      <rPr>
        <sz val="12"/>
        <color rgb="FF000000"/>
        <rFont val="SimSun"/>
        <family val="3"/>
        <charset val="134"/>
      </rPr>
      <t>国家医保局</t>
    </r>
    <phoneticPr fontId="27" type="noConversion"/>
  </si>
  <si>
    <r>
      <rPr>
        <sz val="12"/>
        <color rgb="FF000000"/>
        <rFont val="SimSun"/>
        <family val="3"/>
        <charset val="134"/>
      </rPr>
      <t>中国外汇</t>
    </r>
    <phoneticPr fontId="27" type="noConversion"/>
  </si>
  <si>
    <r>
      <rPr>
        <sz val="11"/>
        <color rgb="FF000000"/>
        <rFont val="SimSun"/>
        <family val="3"/>
        <charset val="134"/>
      </rPr>
      <t>中国政府</t>
    </r>
    <phoneticPr fontId="27" type="noConversion"/>
  </si>
  <si>
    <r>
      <rPr>
        <sz val="12"/>
        <color rgb="FF000000"/>
        <rFont val="SimSun"/>
        <family val="3"/>
        <charset val="134"/>
      </rPr>
      <t>中国疾控动态</t>
    </r>
    <phoneticPr fontId="27" type="noConversion"/>
  </si>
  <si>
    <t>国家网信办举报中心</t>
    <phoneticPr fontId="27" type="noConversion"/>
  </si>
  <si>
    <t>国家税务总局</t>
    <phoneticPr fontId="27" type="noConversion"/>
  </si>
  <si>
    <t>中国政府</t>
    <phoneticPr fontId="27" type="noConversion"/>
  </si>
  <si>
    <t>中华人民共和国应急管理部</t>
    <phoneticPr fontId="27" type="noConversion"/>
  </si>
  <si>
    <t>中国民政</t>
    <phoneticPr fontId="27" type="noConversion"/>
  </si>
  <si>
    <r>
      <rPr>
        <sz val="12"/>
        <color rgb="FF000000"/>
        <rFont val="SimSun"/>
        <family val="3"/>
        <charset val="134"/>
      </rPr>
      <t>中央纪委国家监委网站</t>
    </r>
    <phoneticPr fontId="27" type="noConversion"/>
  </si>
  <si>
    <r>
      <rPr>
        <sz val="12"/>
        <color rgb="FF000000"/>
        <rFont val="SimSun"/>
        <family val="3"/>
        <charset val="134"/>
      </rPr>
      <t>国家发展改革委</t>
    </r>
    <phoneticPr fontId="27" type="noConversion"/>
  </si>
  <si>
    <t>社会保障卡</t>
    <phoneticPr fontId="27" type="noConversion"/>
  </si>
  <si>
    <t>人社12333</t>
    <phoneticPr fontId="27" type="noConversion"/>
  </si>
  <si>
    <t>人力资源和社会保障部</t>
    <phoneticPr fontId="27" type="noConversion"/>
  </si>
  <si>
    <t>外交部发言人办公室</t>
    <phoneticPr fontId="27" type="noConversion"/>
  </si>
  <si>
    <r>
      <rPr>
        <sz val="12"/>
        <color rgb="FF000000"/>
        <rFont val="SimSun"/>
        <family val="3"/>
        <charset val="134"/>
      </rPr>
      <t>中国驻日本大使馆</t>
    </r>
    <phoneticPr fontId="27" type="noConversion"/>
  </si>
  <si>
    <t>国家移民管理局</t>
    <phoneticPr fontId="27" type="noConversion"/>
  </si>
  <si>
    <r>
      <rPr>
        <sz val="12"/>
        <color rgb="FF000000"/>
        <rFont val="宋体"/>
        <family val="3"/>
        <charset val="134"/>
      </rPr>
      <t>中国政府网</t>
    </r>
    <phoneticPr fontId="27" type="noConversion"/>
  </si>
  <si>
    <r>
      <rPr>
        <sz val="12"/>
        <color rgb="FF000000"/>
        <rFont val="SimSun"/>
        <family val="3"/>
        <charset val="134"/>
      </rPr>
      <t>中国政府</t>
    </r>
    <phoneticPr fontId="27" type="noConversion"/>
  </si>
  <si>
    <t>🔺</t>
    <phoneticPr fontId="27" type="noConversion"/>
  </si>
  <si>
    <t>企业微信</t>
    <phoneticPr fontId="27" type="noConversion"/>
  </si>
  <si>
    <t>职场情报</t>
    <phoneticPr fontId="27" type="noConversion"/>
  </si>
  <si>
    <r>
      <rPr>
        <sz val="11"/>
        <color rgb="FF000000"/>
        <rFont val="Segoe UI Symbol"/>
        <family val="2"/>
      </rPr>
      <t>●</t>
    </r>
    <phoneticPr fontId="27" type="noConversion"/>
  </si>
  <si>
    <t>考研与留学</t>
    <phoneticPr fontId="27" type="noConversion"/>
  </si>
  <si>
    <t>日语</t>
    <phoneticPr fontId="27" type="noConversion"/>
  </si>
  <si>
    <r>
      <rPr>
        <sz val="12"/>
        <color rgb="FF000000"/>
        <rFont val="SimSun"/>
        <family val="3"/>
        <charset val="134"/>
      </rPr>
      <t>软件研发</t>
    </r>
    <phoneticPr fontId="27" type="noConversion"/>
  </si>
  <si>
    <t>Salesforce</t>
    <phoneticPr fontId="27" type="noConversion"/>
  </si>
  <si>
    <r>
      <rPr>
        <sz val="11"/>
        <color rgb="FF000000"/>
        <rFont val="等线"/>
        <family val="3"/>
        <charset val="134"/>
      </rPr>
      <t>●</t>
    </r>
    <phoneticPr fontId="27" type="noConversion"/>
  </si>
  <si>
    <r>
      <rPr>
        <sz val="12"/>
        <color rgb="FF000000"/>
        <rFont val="SimSun"/>
        <family val="3"/>
        <charset val="134"/>
      </rPr>
      <t>移动互联网应用开发</t>
    </r>
    <phoneticPr fontId="27" type="noConversion"/>
  </si>
  <si>
    <r>
      <rPr>
        <sz val="12"/>
        <color rgb="FF000000"/>
        <rFont val="SimSun"/>
        <family val="3"/>
        <charset val="134"/>
      </rPr>
      <t>英语从入门到实践88</t>
    </r>
    <phoneticPr fontId="27" type="noConversion"/>
  </si>
  <si>
    <t>盖世绝学</t>
    <phoneticPr fontId="27" type="noConversion"/>
  </si>
  <si>
    <t>大连智桥科技有限公司</t>
    <phoneticPr fontId="27" type="noConversion"/>
  </si>
  <si>
    <t>外语2020</t>
    <phoneticPr fontId="27" type="noConversion"/>
  </si>
  <si>
    <t>点评</t>
    <phoneticPr fontId="30" type="noConversion"/>
  </si>
  <si>
    <r>
      <rPr>
        <sz val="11"/>
        <rFont val="等线"/>
        <family val="3"/>
        <charset val="134"/>
      </rPr>
      <t>账号类别</t>
    </r>
    <phoneticPr fontId="27" type="noConversion"/>
  </si>
  <si>
    <r>
      <rPr>
        <sz val="12"/>
        <color rgb="FF000000"/>
        <rFont val="SimSun"/>
        <family val="3"/>
        <charset val="134"/>
      </rPr>
      <t>账号主体</t>
    </r>
    <phoneticPr fontId="27" type="noConversion"/>
  </si>
  <si>
    <r>
      <rPr>
        <sz val="11"/>
        <color rgb="FF000000"/>
        <rFont val="等线"/>
        <family val="3"/>
        <charset val="134"/>
      </rPr>
      <t>sunshubin-America</t>
    </r>
    <phoneticPr fontId="27" type="noConversion"/>
  </si>
  <si>
    <t>sun_shubin</t>
    <phoneticPr fontId="27" type="noConversion"/>
  </si>
  <si>
    <t>sun-shubin</t>
    <phoneticPr fontId="27" type="noConversion"/>
  </si>
  <si>
    <r>
      <rPr>
        <sz val="10"/>
        <color rgb="FF000000"/>
        <rFont val="SimSun"/>
        <family val="3"/>
        <charset val="134"/>
      </rPr>
      <t>sunshubin</t>
    </r>
    <phoneticPr fontId="27" type="noConversion"/>
  </si>
  <si>
    <t>类别</t>
    <phoneticPr fontId="27" type="noConversion"/>
  </si>
  <si>
    <r>
      <rPr>
        <b/>
        <sz val="12"/>
        <color rgb="FF000000"/>
        <rFont val="SimSun"/>
        <family val="3"/>
        <charset val="134"/>
      </rPr>
      <t>资源名称</t>
    </r>
    <phoneticPr fontId="27" type="noConversion"/>
  </si>
  <si>
    <t>订阅号小计</t>
    <phoneticPr fontId="27" type="noConversion"/>
  </si>
  <si>
    <t>企业微信小计</t>
    <phoneticPr fontId="27" type="noConversion"/>
  </si>
  <si>
    <r>
      <t>sunshubin-</t>
    </r>
    <r>
      <rPr>
        <sz val="11"/>
        <color rgb="FF000000"/>
        <rFont val="Yu Gothic"/>
        <family val="3"/>
        <charset val="128"/>
      </rPr>
      <t>Asia</t>
    </r>
    <phoneticPr fontId="27" type="noConversion"/>
  </si>
  <si>
    <t>备注</t>
    <phoneticPr fontId="38"/>
  </si>
  <si>
    <t>Date</t>
    <phoneticPr fontId="38"/>
  </si>
  <si>
    <t>Update</t>
    <phoneticPr fontId="38"/>
  </si>
  <si>
    <t>sunshubin-Oceania</t>
    <phoneticPr fontId="27" type="noConversion"/>
  </si>
  <si>
    <t>sunshubin-Africa</t>
    <phoneticPr fontId="27" type="noConversion"/>
  </si>
  <si>
    <t>S4</t>
    <phoneticPr fontId="27" type="noConversion"/>
  </si>
  <si>
    <r>
      <t>sunshubin</t>
    </r>
    <r>
      <rPr>
        <sz val="11"/>
        <color rgb="FF000000"/>
        <rFont val="Yu Gothic"/>
        <family val="3"/>
        <charset val="128"/>
      </rPr>
      <t>-Europe</t>
    </r>
    <phoneticPr fontId="27" type="noConversion"/>
  </si>
  <si>
    <t>自治体クラウド　</t>
  </si>
  <si>
    <t>伊藤元規／著</t>
  </si>
  <si>
    <t>こうすればうまくいく行政のデジタル化　</t>
  </si>
  <si>
    <t>石井大地／著</t>
  </si>
  <si>
    <t>耳から覚える日本語能力試験語彙トレーニングN1　</t>
  </si>
  <si>
    <t>安藤栄里子／著</t>
  </si>
  <si>
    <t>機械学習&amp;ディープラーニングのしくみと技術がこれ1冊でしっかりわかる教科書　</t>
  </si>
  <si>
    <t>山口達輝／著</t>
  </si>
  <si>
    <t>ビジョナリーカンパニー　2　</t>
  </si>
  <si>
    <t>ジェームズ・C.コリンズ／著</t>
  </si>
  <si>
    <t>ビジョナリーカンパニー　3　</t>
  </si>
  <si>
    <t>Google Cloudのしくみと技術がこれ1冊でしっかりわかる教科書　</t>
  </si>
  <si>
    <t>grasys／著</t>
  </si>
  <si>
    <t>アパレル業界のしくみとビジネスがこれ1冊でしっかりわかる教科書　</t>
  </si>
  <si>
    <t>たかぎこういち／著</t>
  </si>
  <si>
    <t>食品業界のしくみとビジネスがこれ1冊でしっかりわかる教科書　</t>
  </si>
  <si>
    <t>松岡康浩／著</t>
  </si>
  <si>
    <t>勘定科目と仕訳がこれ1冊でしっかりわかる本　</t>
  </si>
  <si>
    <t>樋渡順／著</t>
  </si>
  <si>
    <t>裁判例の要点からつかむ「権利濫用」の主張立証　</t>
  </si>
  <si>
    <t>東京弁護士会二一会研究部／編著</t>
  </si>
  <si>
    <t>学校の未来はここから始まる　</t>
  </si>
  <si>
    <t>木村泰子／著</t>
  </si>
  <si>
    <t>Linux+コマンド入門　</t>
  </si>
  <si>
    <t>西村めぐみ／著</t>
  </si>
  <si>
    <t>できるPower Automate Desktop　</t>
  </si>
  <si>
    <t>あーちゃん／著</t>
  </si>
  <si>
    <t>GCPの教科書　3　</t>
  </si>
  <si>
    <t>世界のエリートが学んでいるMBA必読書50冊を1冊にまとめてみた　</t>
  </si>
  <si>
    <t>データサイエンスのための統計学入門　</t>
  </si>
  <si>
    <t>Peter Bruce／著</t>
  </si>
  <si>
    <t>東京江東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</si>
</sst>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¥&quot;#,##0.00;[Red]&quot;¥&quot;\-#,##0.00"/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&quot;年&quot;m&quot;月&quot;;@"/>
    <numFmt numFmtId="181" formatCode="yyyy/m/d\ h:mm:ss"/>
  </numFmts>
  <fonts count="6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游ゴシック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u/>
      <sz val="11"/>
      <color theme="10"/>
      <name val="游ゴシック"/>
      <family val="3"/>
      <charset val="128"/>
      <scheme val="minor"/>
    </font>
    <font>
      <sz val="10"/>
      <color rgb="FF262626"/>
      <name val="游ゴシック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游ゴシック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游ゴシック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游ゴシック"/>
      <family val="2"/>
      <scheme val="minor"/>
    </font>
    <font>
      <sz val="8"/>
      <name val="游ゴシック"/>
      <family val="2"/>
      <scheme val="minor"/>
    </font>
    <font>
      <sz val="9"/>
      <name val="游ゴシック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微软雅黑"/>
      <family val="2"/>
      <charset val="128"/>
    </font>
    <font>
      <sz val="11"/>
      <color theme="1"/>
      <name val="MS UI Gothic"/>
      <family val="2"/>
      <charset val="128"/>
    </font>
    <font>
      <sz val="12"/>
      <color theme="1"/>
      <name val="微软雅黑"/>
      <family val="2"/>
    </font>
    <font>
      <sz val="10"/>
      <name val="Microsoft YaHei"/>
      <family val="2"/>
      <charset val="134"/>
    </font>
    <font>
      <sz val="11"/>
      <color theme="1"/>
      <name val="宋体"/>
      <family val="2"/>
      <charset val="128"/>
    </font>
    <font>
      <sz val="11"/>
      <color theme="1"/>
      <name val="Yu Gothic"/>
      <family val="2"/>
    </font>
    <font>
      <sz val="11"/>
      <color theme="1"/>
      <name val="Wingdings"/>
      <family val="2"/>
      <charset val="2"/>
    </font>
    <font>
      <sz val="11"/>
      <color theme="1"/>
      <name val="游ゴシック"/>
      <family val="2"/>
      <charset val="134"/>
    </font>
    <font>
      <sz val="12"/>
      <color theme="1"/>
      <name val="游ゴシック"/>
      <family val="3"/>
      <charset val="134"/>
      <scheme val="minor"/>
    </font>
    <font>
      <sz val="11"/>
      <color rgb="FF000000"/>
      <name val="Segoe UI Symbol"/>
      <family val="2"/>
    </font>
    <font>
      <sz val="12"/>
      <color rgb="FF000000"/>
      <name val="SimSun"/>
      <family val="3"/>
      <charset val="134"/>
    </font>
    <font>
      <sz val="11"/>
      <color rgb="FF000000"/>
      <name val="等线"/>
      <family val="3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2"/>
      <charset val="134"/>
    </font>
    <font>
      <sz val="11"/>
      <color rgb="FF000000"/>
      <name val="微软雅黑"/>
      <family val="2"/>
      <charset val="134"/>
    </font>
    <font>
      <sz val="11"/>
      <color rgb="FF000000"/>
      <name val="SimSun"/>
      <family val="3"/>
      <charset val="134"/>
    </font>
    <font>
      <b/>
      <sz val="12"/>
      <color rgb="FF000000"/>
      <name val="宋体"/>
      <family val="3"/>
      <charset val="134"/>
    </font>
    <font>
      <sz val="11"/>
      <name val="等线"/>
      <family val="3"/>
      <charset val="134"/>
    </font>
    <font>
      <sz val="10"/>
      <color rgb="FF000000"/>
      <name val="等线"/>
      <family val="3"/>
      <charset val="134"/>
    </font>
    <font>
      <sz val="10"/>
      <color rgb="FF000000"/>
      <name val="SimSun"/>
      <family val="3"/>
      <charset val="134"/>
    </font>
    <font>
      <b/>
      <sz val="12"/>
      <color rgb="FF000000"/>
      <name val="SimSun"/>
      <family val="3"/>
      <charset val="134"/>
    </font>
    <font>
      <sz val="11"/>
      <color rgb="FF000000"/>
      <name val="Yu Gothic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</borders>
  <cellStyleXfs count="15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/>
    <xf numFmtId="0" fontId="37" fillId="0" borderId="0"/>
    <xf numFmtId="0" fontId="17" fillId="0" borderId="0">
      <alignment vertical="center"/>
    </xf>
    <xf numFmtId="0" fontId="17" fillId="0" borderId="0">
      <alignment vertical="center"/>
    </xf>
  </cellStyleXfs>
  <cellXfs count="302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0" fillId="0" borderId="3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0" xfId="0" applyFill="1" applyAlignment="1">
      <alignment vertical="center"/>
    </xf>
    <xf numFmtId="0" fontId="26" fillId="0" borderId="4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4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4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3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4" fillId="0" borderId="0" xfId="0" applyNumberFormat="1" applyFont="1" applyAlignment="1">
      <alignment horizontal="center" vertical="center" wrapText="1"/>
    </xf>
    <xf numFmtId="0" fontId="35" fillId="0" borderId="0" xfId="0" applyFont="1" applyFill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3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0" fontId="25" fillId="5" borderId="0" xfId="1" applyFont="1" applyFill="1" applyBorder="1" applyAlignment="1">
      <alignment horizontal="center" vertical="center"/>
    </xf>
    <xf numFmtId="0" fontId="19" fillId="3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right" vertical="center"/>
    </xf>
    <xf numFmtId="0" fontId="1" fillId="0" borderId="0" xfId="1" applyFill="1" applyBorder="1" applyAlignment="1">
      <alignment horizontal="right" vertical="center"/>
    </xf>
    <xf numFmtId="22" fontId="1" fillId="0" borderId="0" xfId="1" applyNumberFormat="1" applyFill="1" applyBorder="1" applyAlignment="1">
      <alignment horizontal="right" vertical="center"/>
    </xf>
    <xf numFmtId="22" fontId="21" fillId="0" borderId="0" xfId="0" applyNumberFormat="1" applyFont="1" applyFill="1" applyAlignment="1">
      <alignment horizontal="right" vertical="center" wrapText="1"/>
    </xf>
    <xf numFmtId="0" fontId="1" fillId="0" borderId="0" xfId="5" applyBorder="1" applyAlignment="1">
      <alignment horizontal="right" vertical="center"/>
    </xf>
    <xf numFmtId="0" fontId="2" fillId="0" borderId="0" xfId="8" applyBorder="1" applyAlignment="1">
      <alignment horizontal="right" vertic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18" fillId="0" borderId="0" xfId="10" applyFont="1" applyBorder="1" applyAlignment="1">
      <alignment horizontal="right" vertical="center"/>
    </xf>
    <xf numFmtId="0" fontId="10" fillId="0" borderId="0" xfId="6" applyBorder="1" applyAlignment="1">
      <alignment horizontal="right"/>
    </xf>
    <xf numFmtId="0" fontId="5" fillId="0" borderId="0" xfId="3" applyBorder="1" applyAlignment="1">
      <alignment horizontal="right"/>
    </xf>
    <xf numFmtId="0" fontId="5" fillId="2" borderId="0" xfId="3" applyFill="1" applyBorder="1" applyAlignment="1">
      <alignment horizontal="right"/>
    </xf>
    <xf numFmtId="0" fontId="5" fillId="0" borderId="0" xfId="4" applyBorder="1" applyAlignment="1">
      <alignment horizontal="right"/>
    </xf>
    <xf numFmtId="22" fontId="1" fillId="0" borderId="0" xfId="1" applyNumberFormat="1" applyBorder="1" applyAlignment="1">
      <alignment horizontal="right" vertical="center"/>
    </xf>
    <xf numFmtId="22" fontId="1" fillId="0" borderId="0" xfId="5" applyNumberFormat="1" applyBorder="1" applyAlignment="1">
      <alignment horizontal="right" vertical="center"/>
    </xf>
    <xf numFmtId="22" fontId="2" fillId="0" borderId="0" xfId="8" applyNumberFormat="1" applyBorder="1" applyAlignment="1">
      <alignment horizontal="right" vertical="center"/>
    </xf>
    <xf numFmtId="20" fontId="21" fillId="0" borderId="0" xfId="0" applyNumberFormat="1" applyFont="1" applyFill="1" applyAlignment="1">
      <alignment vertical="center" wrapText="1"/>
    </xf>
    <xf numFmtId="0" fontId="25" fillId="2" borderId="0" xfId="1" applyFont="1" applyFill="1" applyBorder="1" applyAlignment="1">
      <alignment horizontal="center" vertical="center" wrapText="1"/>
    </xf>
    <xf numFmtId="22" fontId="1" fillId="0" borderId="0" xfId="1" applyNumberForma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26" fillId="0" borderId="0" xfId="0" applyFont="1" applyFill="1" applyBorder="1" applyAlignment="1">
      <alignment vertical="top" wrapText="1"/>
    </xf>
    <xf numFmtId="0" fontId="26" fillId="0" borderId="0" xfId="0" applyFont="1" applyFill="1" applyBorder="1" applyAlignment="1">
      <alignment vertical="center" wrapText="1"/>
    </xf>
    <xf numFmtId="180" fontId="1" fillId="0" borderId="0" xfId="1" applyNumberFormat="1" applyFill="1" applyBorder="1" applyAlignment="1">
      <alignment horizontal="center" vertical="center"/>
    </xf>
    <xf numFmtId="180" fontId="21" fillId="0" borderId="0" xfId="0" applyNumberFormat="1" applyFont="1" applyFill="1" applyAlignment="1">
      <alignment vertical="center" wrapText="1"/>
    </xf>
    <xf numFmtId="180" fontId="1" fillId="0" borderId="0" xfId="5" applyNumberFormat="1" applyBorder="1" applyAlignment="1">
      <alignment horizontal="center" vertical="center"/>
    </xf>
    <xf numFmtId="180" fontId="2" fillId="0" borderId="0" xfId="8" applyNumberFormat="1" applyBorder="1">
      <alignment vertical="center"/>
    </xf>
    <xf numFmtId="180" fontId="1" fillId="0" borderId="0" xfId="1" applyNumberFormat="1" applyBorder="1">
      <alignment vertical="center"/>
    </xf>
    <xf numFmtId="180" fontId="19" fillId="0" borderId="0" xfId="10" applyNumberFormat="1" applyFont="1" applyBorder="1" applyAlignment="1">
      <alignment horizontal="center" vertical="center"/>
    </xf>
    <xf numFmtId="180" fontId="0" fillId="0" borderId="0" xfId="0" applyNumberFormat="1" applyFill="1" applyAlignment="1">
      <alignment wrapText="1"/>
    </xf>
    <xf numFmtId="18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 wrapText="1"/>
    </xf>
    <xf numFmtId="180" fontId="21" fillId="0" borderId="0" xfId="0" applyNumberFormat="1" applyFont="1" applyFill="1" applyAlignment="1">
      <alignment horizontal="center" vertical="center" wrapText="1"/>
    </xf>
    <xf numFmtId="180" fontId="17" fillId="0" borderId="0" xfId="10" applyNumberFormat="1" applyBorder="1">
      <alignment vertical="center"/>
    </xf>
    <xf numFmtId="180" fontId="18" fillId="0" borderId="0" xfId="10" applyNumberFormat="1" applyFont="1" applyBorder="1">
      <alignment vertical="center"/>
    </xf>
    <xf numFmtId="180" fontId="1" fillId="0" borderId="0" xfId="5" applyNumberFormat="1" applyBorder="1">
      <alignment vertical="center"/>
    </xf>
    <xf numFmtId="180" fontId="10" fillId="0" borderId="0" xfId="6" applyNumberFormat="1" applyBorder="1"/>
    <xf numFmtId="180" fontId="5" fillId="0" borderId="0" xfId="3" applyNumberFormat="1" applyBorder="1"/>
    <xf numFmtId="180" fontId="5" fillId="0" borderId="0" xfId="3" applyNumberFormat="1" applyBorder="1" applyAlignment="1">
      <alignment horizontal="center"/>
    </xf>
    <xf numFmtId="180" fontId="5" fillId="2" borderId="0" xfId="3" applyNumberFormat="1" applyFill="1" applyBorder="1"/>
    <xf numFmtId="180" fontId="5" fillId="0" borderId="0" xfId="4" applyNumberFormat="1" applyBorder="1" applyAlignment="1">
      <alignment horizontal="center"/>
    </xf>
    <xf numFmtId="180" fontId="5" fillId="0" borderId="0" xfId="4" applyNumberFormat="1" applyBorder="1"/>
    <xf numFmtId="180" fontId="1" fillId="2" borderId="0" xfId="1" applyNumberFormat="1" applyFill="1" applyBorder="1">
      <alignment vertical="center"/>
    </xf>
    <xf numFmtId="180" fontId="1" fillId="0" borderId="0" xfId="1" applyNumberFormat="1" applyFill="1" applyBorder="1">
      <alignment vertical="center"/>
    </xf>
    <xf numFmtId="22" fontId="1" fillId="0" borderId="0" xfId="1" applyNumberFormat="1" applyFill="1" applyBorder="1">
      <alignment vertical="center"/>
    </xf>
    <xf numFmtId="22" fontId="1" fillId="0" borderId="0" xfId="1" applyNumberFormat="1" applyBorder="1">
      <alignment vertical="center"/>
    </xf>
    <xf numFmtId="0" fontId="33" fillId="6" borderId="0" xfId="1" applyFont="1" applyFill="1" applyBorder="1" applyAlignment="1">
      <alignment horizontal="center" vertical="center" wrapText="1"/>
    </xf>
    <xf numFmtId="8" fontId="16" fillId="2" borderId="0" xfId="1" applyNumberFormat="1" applyFont="1" applyFill="1" applyBorder="1" applyAlignment="1">
      <alignment horizontal="center" vertical="center" wrapText="1"/>
    </xf>
    <xf numFmtId="8" fontId="16" fillId="0" borderId="0" xfId="1" applyNumberFormat="1" applyFont="1" applyFill="1" applyBorder="1" applyAlignment="1">
      <alignment horizontal="center" vertical="center" wrapText="1"/>
    </xf>
    <xf numFmtId="8" fontId="1" fillId="0" borderId="0" xfId="5" applyNumberFormat="1" applyBorder="1">
      <alignment vertical="center"/>
    </xf>
    <xf numFmtId="8" fontId="21" fillId="0" borderId="0" xfId="0" applyNumberFormat="1" applyFont="1" applyFill="1" applyAlignment="1">
      <alignment vertical="center" wrapText="1"/>
    </xf>
    <xf numFmtId="8" fontId="2" fillId="0" borderId="0" xfId="8" applyNumberFormat="1" applyBorder="1">
      <alignment vertical="center"/>
    </xf>
    <xf numFmtId="8" fontId="1" fillId="0" borderId="0" xfId="1" applyNumberFormat="1" applyBorder="1" applyAlignment="1">
      <alignment vertical="center" wrapText="1"/>
    </xf>
    <xf numFmtId="8" fontId="16" fillId="0" borderId="0" xfId="1" applyNumberFormat="1" applyFont="1" applyBorder="1" applyAlignment="1">
      <alignment horizontal="center" vertical="center" wrapText="1"/>
    </xf>
    <xf numFmtId="8" fontId="0" fillId="0" borderId="0" xfId="0" applyNumberFormat="1" applyFill="1" applyAlignment="1">
      <alignment wrapText="1"/>
    </xf>
    <xf numFmtId="8" fontId="0" fillId="0" borderId="0" xfId="0" applyNumberFormat="1" applyFill="1" applyAlignment="1">
      <alignment vertical="center"/>
    </xf>
    <xf numFmtId="8" fontId="0" fillId="0" borderId="0" xfId="0" applyNumberFormat="1" applyFill="1" applyAlignment="1">
      <alignment vertical="center" wrapText="1"/>
    </xf>
    <xf numFmtId="8" fontId="21" fillId="0" borderId="0" xfId="0" applyNumberFormat="1" applyFont="1" applyFill="1" applyAlignment="1">
      <alignment horizontal="center" vertical="center" wrapText="1"/>
    </xf>
    <xf numFmtId="8" fontId="19" fillId="0" borderId="0" xfId="10" applyNumberFormat="1" applyFont="1" applyBorder="1" applyAlignment="1">
      <alignment vertical="center" wrapText="1"/>
    </xf>
    <xf numFmtId="8" fontId="18" fillId="0" borderId="0" xfId="10" applyNumberFormat="1" applyFont="1" applyBorder="1" applyAlignment="1">
      <alignment vertical="center" wrapText="1"/>
    </xf>
    <xf numFmtId="8" fontId="15" fillId="0" borderId="0" xfId="1" applyNumberFormat="1" applyFont="1" applyBorder="1" applyAlignment="1">
      <alignment vertical="center" wrapText="1"/>
    </xf>
    <xf numFmtId="8" fontId="1" fillId="0" borderId="0" xfId="5" applyNumberFormat="1" applyBorder="1" applyAlignment="1">
      <alignment vertical="center" wrapText="1"/>
    </xf>
    <xf numFmtId="8" fontId="2" fillId="0" borderId="0" xfId="8" applyNumberFormat="1" applyBorder="1" applyAlignment="1">
      <alignment vertical="center" wrapText="1"/>
    </xf>
    <xf numFmtId="8" fontId="2" fillId="0" borderId="0" xfId="8" applyNumberFormat="1" applyBorder="1" applyAlignment="1">
      <alignment horizontal="left" vertical="center"/>
    </xf>
    <xf numFmtId="8" fontId="11" fillId="0" borderId="0" xfId="6" applyNumberFormat="1" applyFont="1" applyBorder="1"/>
    <xf numFmtId="8" fontId="10" fillId="0" borderId="0" xfId="6" applyNumberFormat="1" applyBorder="1"/>
    <xf numFmtId="8" fontId="13" fillId="0" borderId="0" xfId="6" applyNumberFormat="1" applyFont="1" applyBorder="1"/>
    <xf numFmtId="8" fontId="5" fillId="0" borderId="0" xfId="3" applyNumberFormat="1" applyBorder="1" applyAlignment="1">
      <alignment horizontal="center"/>
    </xf>
    <xf numFmtId="8" fontId="5" fillId="2" borderId="0" xfId="3" applyNumberFormat="1" applyFill="1" applyBorder="1" applyAlignment="1">
      <alignment horizontal="center"/>
    </xf>
    <xf numFmtId="8" fontId="6" fillId="0" borderId="0" xfId="4" applyNumberFormat="1" applyFont="1" applyBorder="1" applyAlignment="1">
      <alignment horizontal="center"/>
    </xf>
    <xf numFmtId="8" fontId="5" fillId="0" borderId="0" xfId="4" applyNumberFormat="1" applyBorder="1" applyAlignment="1">
      <alignment horizontal="center"/>
    </xf>
    <xf numFmtId="8" fontId="3" fillId="0" borderId="0" xfId="5" applyNumberFormat="1" applyFont="1" applyBorder="1" applyAlignment="1">
      <alignment vertical="center" wrapText="1"/>
    </xf>
    <xf numFmtId="8" fontId="6" fillId="0" borderId="0" xfId="3" applyNumberFormat="1" applyFont="1" applyBorder="1" applyAlignment="1">
      <alignment horizontal="center"/>
    </xf>
    <xf numFmtId="8" fontId="1" fillId="0" borderId="0" xfId="1" applyNumberFormat="1" applyBorder="1" applyAlignment="1"/>
    <xf numFmtId="8" fontId="3" fillId="0" borderId="0" xfId="1" applyNumberFormat="1" applyFont="1" applyBorder="1" applyAlignment="1">
      <alignment vertical="center" wrapText="1"/>
    </xf>
    <xf numFmtId="8" fontId="2" fillId="0" borderId="0" xfId="2" applyNumberFormat="1" applyBorder="1">
      <alignment vertical="center"/>
    </xf>
    <xf numFmtId="8" fontId="1" fillId="0" borderId="0" xfId="1" applyNumberFormat="1" applyBorder="1">
      <alignment vertical="center"/>
    </xf>
    <xf numFmtId="8" fontId="1" fillId="0" borderId="0" xfId="1" applyNumberFormat="1" applyFill="1" applyBorder="1" applyAlignment="1">
      <alignment vertical="center" wrapText="1"/>
    </xf>
    <xf numFmtId="22" fontId="21" fillId="0" borderId="0" xfId="0" applyNumberFormat="1" applyFont="1" applyFill="1" applyAlignment="1">
      <alignment vertical="center" wrapText="1"/>
    </xf>
    <xf numFmtId="22" fontId="1" fillId="0" borderId="0" xfId="5" applyNumberFormat="1" applyBorder="1">
      <alignment vertical="center"/>
    </xf>
    <xf numFmtId="22" fontId="2" fillId="0" borderId="0" xfId="8" applyNumberFormat="1" applyBorder="1">
      <alignment vertical="center"/>
    </xf>
    <xf numFmtId="20" fontId="36" fillId="0" borderId="0" xfId="0" applyNumberFormat="1" applyFont="1" applyFill="1" applyAlignment="1">
      <alignment horizontal="center" vertical="center" wrapText="1"/>
    </xf>
    <xf numFmtId="0" fontId="33" fillId="0" borderId="0" xfId="1" applyFont="1" applyBorder="1" applyAlignment="1">
      <alignment horizontal="center" vertical="center"/>
    </xf>
    <xf numFmtId="0" fontId="33" fillId="5" borderId="0" xfId="1" applyFont="1" applyFill="1" applyBorder="1" applyAlignment="1">
      <alignment horizontal="left" vertical="center" wrapText="1"/>
    </xf>
    <xf numFmtId="0" fontId="33" fillId="7" borderId="0" xfId="1" applyFont="1" applyFill="1" applyBorder="1" applyAlignment="1">
      <alignment horizontal="left" vertical="center" wrapText="1"/>
    </xf>
    <xf numFmtId="0" fontId="2" fillId="0" borderId="0" xfId="8" applyFill="1" applyBorder="1">
      <alignment vertical="center"/>
    </xf>
    <xf numFmtId="180" fontId="1" fillId="2" borderId="0" xfId="1" applyNumberFormat="1" applyFill="1" applyBorder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0" xfId="0" applyFill="1" applyAlignment="1">
      <alignment horizontal="center" vertical="center"/>
    </xf>
    <xf numFmtId="181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4" fontId="16" fillId="0" borderId="0" xfId="0" applyNumberFormat="1" applyFont="1" applyAlignment="1">
      <alignment horizontal="left" vertical="center"/>
    </xf>
    <xf numFmtId="0" fontId="0" fillId="0" borderId="0" xfId="12" applyFont="1" applyAlignment="1">
      <alignment horizontal="left" vertical="center" wrapText="1"/>
    </xf>
    <xf numFmtId="0" fontId="18" fillId="0" borderId="0" xfId="13" applyFont="1" applyAlignment="1">
      <alignment vertical="center" wrapText="1"/>
    </xf>
    <xf numFmtId="0" fontId="18" fillId="0" borderId="0" xfId="13" applyFont="1" applyAlignment="1">
      <alignment horizontal="left" vertical="center" wrapText="1"/>
    </xf>
    <xf numFmtId="0" fontId="37" fillId="0" borderId="0" xfId="12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14" fontId="33" fillId="0" borderId="0" xfId="0" applyNumberFormat="1" applyFont="1" applyAlignment="1">
      <alignment horizontal="center" vertical="center"/>
    </xf>
    <xf numFmtId="181" fontId="33" fillId="0" borderId="0" xfId="0" applyNumberFormat="1" applyFont="1" applyAlignment="1">
      <alignment horizontal="center" vertical="center"/>
    </xf>
    <xf numFmtId="0" fontId="19" fillId="0" borderId="0" xfId="13" applyFont="1" applyAlignment="1">
      <alignment vertical="center" wrapText="1"/>
    </xf>
    <xf numFmtId="0" fontId="19" fillId="0" borderId="0" xfId="13" applyFont="1" applyAlignment="1">
      <alignment horizontal="left" vertical="center" wrapText="1"/>
    </xf>
    <xf numFmtId="0" fontId="33" fillId="7" borderId="0" xfId="0" applyFont="1" applyFill="1" applyAlignment="1">
      <alignment horizontal="center" vertical="center"/>
    </xf>
    <xf numFmtId="0" fontId="43" fillId="0" borderId="0" xfId="0" applyFont="1" applyAlignment="1">
      <alignment horizontal="center" vertical="center"/>
    </xf>
    <xf numFmtId="181" fontId="4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46" fillId="0" borderId="0" xfId="0" applyFont="1" applyAlignment="1">
      <alignment horizontal="left" vertical="top" wrapText="1"/>
    </xf>
    <xf numFmtId="0" fontId="33" fillId="0" borderId="0" xfId="0" applyFont="1" applyAlignment="1">
      <alignment horizontal="center" vertical="top" wrapText="1"/>
    </xf>
    <xf numFmtId="0" fontId="17" fillId="0" borderId="0" xfId="14">
      <alignment vertical="center"/>
    </xf>
    <xf numFmtId="0" fontId="47" fillId="0" borderId="0" xfId="14" applyFont="1">
      <alignment vertical="center"/>
    </xf>
    <xf numFmtId="0" fontId="48" fillId="0" borderId="0" xfId="14" applyFont="1" applyAlignment="1">
      <alignment horizontal="center" vertical="center"/>
    </xf>
    <xf numFmtId="0" fontId="47" fillId="2" borderId="0" xfId="14" applyFont="1" applyFill="1">
      <alignment vertical="center"/>
    </xf>
    <xf numFmtId="0" fontId="17" fillId="2" borderId="0" xfId="14" applyFill="1">
      <alignment vertical="center"/>
    </xf>
    <xf numFmtId="0" fontId="49" fillId="0" borderId="0" xfId="14" applyFont="1" applyAlignment="1">
      <alignment horizontal="left" vertical="center" wrapText="1"/>
    </xf>
    <xf numFmtId="0" fontId="18" fillId="0" borderId="0" xfId="14" applyFont="1">
      <alignment vertical="center"/>
    </xf>
    <xf numFmtId="0" fontId="50" fillId="0" borderId="0" xfId="14" applyFont="1" applyAlignment="1">
      <alignment horizontal="left" vertical="center" wrapText="1"/>
    </xf>
    <xf numFmtId="0" fontId="50" fillId="0" borderId="0" xfId="14" applyFont="1" applyAlignment="1">
      <alignment horizontal="left" vertical="center"/>
    </xf>
    <xf numFmtId="0" fontId="51" fillId="0" borderId="0" xfId="14" applyFont="1" applyAlignment="1">
      <alignment horizontal="center" vertical="center" wrapText="1"/>
    </xf>
    <xf numFmtId="0" fontId="52" fillId="0" borderId="0" xfId="14" applyFont="1" applyAlignment="1">
      <alignment horizontal="center" vertical="center"/>
    </xf>
    <xf numFmtId="0" fontId="51" fillId="0" borderId="0" xfId="14" applyFont="1" applyAlignment="1">
      <alignment horizontal="left" vertical="center" wrapText="1"/>
    </xf>
    <xf numFmtId="0" fontId="48" fillId="7" borderId="0" xfId="14" applyFont="1" applyFill="1" applyAlignment="1">
      <alignment horizontal="center" vertical="center"/>
    </xf>
    <xf numFmtId="0" fontId="49" fillId="0" borderId="0" xfId="14" applyFont="1" applyAlignment="1">
      <alignment horizontal="center" vertical="center" wrapText="1"/>
    </xf>
    <xf numFmtId="0" fontId="50" fillId="0" borderId="0" xfId="14" applyFont="1" applyAlignment="1">
      <alignment horizontal="center" vertical="center"/>
    </xf>
    <xf numFmtId="0" fontId="53" fillId="0" borderId="0" xfId="14" applyFont="1" applyAlignment="1">
      <alignment horizontal="center" vertical="center"/>
    </xf>
    <xf numFmtId="0" fontId="53" fillId="0" borderId="0" xfId="14" applyFont="1" applyAlignment="1">
      <alignment horizontal="left" vertical="center" wrapText="1"/>
    </xf>
    <xf numFmtId="0" fontId="54" fillId="0" borderId="0" xfId="14" applyFont="1" applyAlignment="1">
      <alignment horizontal="center" vertical="center"/>
    </xf>
    <xf numFmtId="0" fontId="48" fillId="0" borderId="0" xfId="14" applyFont="1" applyAlignment="1">
      <alignment horizontal="left" vertical="center"/>
    </xf>
    <xf numFmtId="0" fontId="48" fillId="8" borderId="0" xfId="14" applyFont="1" applyFill="1" applyAlignment="1">
      <alignment horizontal="center" vertical="center"/>
    </xf>
    <xf numFmtId="0" fontId="2" fillId="5" borderId="0" xfId="14" applyFont="1" applyFill="1" applyAlignment="1">
      <alignment horizontal="center" vertical="center" wrapText="1"/>
    </xf>
    <xf numFmtId="0" fontId="50" fillId="8" borderId="0" xfId="14" applyFont="1" applyFill="1" applyAlignment="1">
      <alignment horizontal="left" vertical="center"/>
    </xf>
    <xf numFmtId="0" fontId="48" fillId="9" borderId="0" xfId="14" applyFont="1" applyFill="1" applyAlignment="1">
      <alignment horizontal="center" vertical="center"/>
    </xf>
    <xf numFmtId="0" fontId="55" fillId="0" borderId="0" xfId="14" applyFont="1" applyAlignment="1">
      <alignment horizontal="center" vertical="center" wrapText="1"/>
    </xf>
    <xf numFmtId="0" fontId="48" fillId="3" borderId="5" xfId="14" applyFont="1" applyFill="1" applyBorder="1" applyAlignment="1">
      <alignment horizontal="center" vertical="center"/>
    </xf>
    <xf numFmtId="0" fontId="51" fillId="2" borderId="0" xfId="14" applyFont="1" applyFill="1" applyAlignment="1">
      <alignment horizontal="center" vertical="center" wrapText="1"/>
    </xf>
    <xf numFmtId="0" fontId="48" fillId="7" borderId="5" xfId="14" applyFont="1" applyFill="1" applyBorder="1" applyAlignment="1">
      <alignment horizontal="center" vertical="center"/>
    </xf>
    <xf numFmtId="0" fontId="48" fillId="3" borderId="6" xfId="14" applyFont="1" applyFill="1" applyBorder="1" applyAlignment="1">
      <alignment horizontal="center" vertical="center"/>
    </xf>
    <xf numFmtId="0" fontId="50" fillId="0" borderId="0" xfId="14" applyFont="1" applyAlignment="1">
      <alignment horizontal="center" vertical="center" wrapText="1"/>
    </xf>
    <xf numFmtId="0" fontId="50" fillId="7" borderId="0" xfId="14" applyFont="1" applyFill="1" applyAlignment="1">
      <alignment horizontal="center" vertical="center" wrapText="1"/>
    </xf>
    <xf numFmtId="0" fontId="50" fillId="7" borderId="0" xfId="14" applyFont="1" applyFill="1" applyAlignment="1">
      <alignment horizontal="left" vertical="center" wrapText="1"/>
    </xf>
    <xf numFmtId="0" fontId="50" fillId="8" borderId="0" xfId="14" applyFont="1" applyFill="1" applyAlignment="1">
      <alignment horizontal="left" vertical="center" wrapText="1"/>
    </xf>
    <xf numFmtId="0" fontId="50" fillId="3" borderId="0" xfId="14" applyFont="1" applyFill="1" applyAlignment="1">
      <alignment horizontal="left" vertical="center" wrapText="1"/>
    </xf>
    <xf numFmtId="0" fontId="50" fillId="3" borderId="7" xfId="14" applyFont="1" applyFill="1" applyBorder="1" applyAlignment="1">
      <alignment horizontal="left" vertical="center" wrapText="1"/>
    </xf>
    <xf numFmtId="0" fontId="50" fillId="8" borderId="7" xfId="14" applyFont="1" applyFill="1" applyBorder="1" applyAlignment="1">
      <alignment horizontal="left" vertical="center" wrapText="1"/>
    </xf>
    <xf numFmtId="0" fontId="57" fillId="3" borderId="7" xfId="14" applyFont="1" applyFill="1" applyBorder="1" applyAlignment="1">
      <alignment horizontal="center" vertical="center" wrapText="1"/>
    </xf>
    <xf numFmtId="0" fontId="58" fillId="3" borderId="5" xfId="14" applyFont="1" applyFill="1" applyBorder="1" applyAlignment="1">
      <alignment horizontal="center" vertical="center" wrapText="1"/>
    </xf>
    <xf numFmtId="0" fontId="59" fillId="0" borderId="0" xfId="14" applyFont="1" applyAlignment="1">
      <alignment horizontal="center" vertical="center" wrapText="1"/>
    </xf>
    <xf numFmtId="0" fontId="60" fillId="10" borderId="0" xfId="14" applyFont="1" applyFill="1" applyAlignment="1">
      <alignment horizontal="left" vertical="center" wrapText="1"/>
    </xf>
  </cellXfs>
  <cellStyles count="15">
    <cellStyle name="標準" xfId="0" builtinId="0"/>
    <cellStyle name="標準 10" xfId="1" xr:uid="{FCD14554-D592-43E1-B78F-1FE84173D3E5}"/>
    <cellStyle name="標準 3" xfId="10" xr:uid="{F9996BAD-6EA6-430C-9B0F-3F5EFC94B7EF}"/>
    <cellStyle name="標準 3 3" xfId="14" xr:uid="{062F9F8E-ADC1-497C-96BA-AC37EAD6199F}"/>
    <cellStyle name="標準 4" xfId="11" xr:uid="{B36CF346-718F-47EF-863F-A0CCC27A6262}"/>
    <cellStyle name="標準 5 2" xfId="13" xr:uid="{0AB8FDCD-AD97-47B3-BF3B-F1CD49D6FD9B}"/>
    <cellStyle name="標準 7" xfId="2" xr:uid="{5BD031ED-DD5D-4679-9698-A976A1E8B184}"/>
    <cellStyle name="常规 2" xfId="12" xr:uid="{A2280043-EFD2-4609-8E16-CBAA1D098FDB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CH2204"/>
  <sheetViews>
    <sheetView zoomScale="90" zoomScaleNormal="90" workbookViewId="0">
      <pane xSplit="5" ySplit="1" topLeftCell="F2" activePane="bottomRight" state="frozen"/>
      <selection pane="topRight" activeCell="D1" sqref="D1"/>
      <selection pane="bottomLeft" activeCell="A2" sqref="A2"/>
      <selection pane="bottomRight" activeCell="CE9" sqref="CE9"/>
    </sheetView>
  </sheetViews>
  <sheetFormatPr defaultColWidth="9" defaultRowHeight="18.75"/>
  <cols>
    <col min="1" max="2" width="5.625" style="76" customWidth="1"/>
    <col min="3" max="3" width="32.75" style="136" customWidth="1"/>
    <col min="4" max="4" width="10.875" style="74" customWidth="1"/>
    <col min="5" max="5" width="10" style="74" customWidth="1"/>
    <col min="6" max="6" width="13.625" style="74" customWidth="1"/>
    <col min="7" max="7" width="44" style="74" customWidth="1"/>
    <col min="8" max="8" width="34.125" style="74" customWidth="1"/>
    <col min="9" max="11" width="24.375" style="74" customWidth="1"/>
    <col min="12" max="13" width="23.625" style="74" customWidth="1"/>
    <col min="14" max="14" width="20" style="74" customWidth="1"/>
    <col min="15" max="15" width="34.125" style="74" customWidth="1"/>
    <col min="16" max="16" width="10.625" style="170" customWidth="1"/>
    <col min="17" max="17" width="27.625" style="74" customWidth="1"/>
    <col min="18" max="18" width="19.625" style="74" customWidth="1"/>
    <col min="19" max="20" width="16.875" style="195" customWidth="1"/>
    <col min="21" max="21" width="13.625" style="74" customWidth="1"/>
    <col min="22" max="23" width="19.375" style="74" customWidth="1"/>
    <col min="24" max="24" width="13.125" style="74" customWidth="1"/>
    <col min="25" max="25" width="27.125" style="74" customWidth="1"/>
    <col min="26" max="26" width="11.75" style="57" customWidth="1"/>
    <col min="27" max="28" width="9" style="57" customWidth="1"/>
    <col min="29" max="29" width="9" style="76" customWidth="1"/>
    <col min="30" max="35" width="9" style="57" customWidth="1"/>
    <col min="36" max="36" width="10.375" style="57" customWidth="1"/>
    <col min="37" max="37" width="9" style="57"/>
    <col min="38" max="38" width="10.75" style="57" customWidth="1"/>
    <col min="39" max="39" width="10" style="57" bestFit="1" customWidth="1"/>
    <col min="40" max="40" width="10.375" style="57" customWidth="1"/>
    <col min="41" max="44" width="9" style="57"/>
    <col min="45" max="45" width="16.625" style="74" customWidth="1"/>
    <col min="46" max="46" width="14.25" style="74" customWidth="1"/>
    <col min="47" max="47" width="13.375" style="74" customWidth="1"/>
    <col min="48" max="60" width="16.625" style="74" customWidth="1"/>
    <col min="61" max="61" width="42.625" style="74" customWidth="1"/>
    <col min="62" max="62" width="13.125" style="74" customWidth="1"/>
    <col min="63" max="63" width="10.25" style="57" customWidth="1"/>
    <col min="64" max="64" width="13.125" style="74" customWidth="1"/>
    <col min="65" max="65" width="10.625" style="57" customWidth="1"/>
    <col min="66" max="66" width="13.125" style="74" customWidth="1"/>
    <col min="67" max="68" width="17" style="76" customWidth="1"/>
    <col min="69" max="69" width="52.875" style="76" customWidth="1"/>
    <col min="70" max="71" width="10.25" style="57" customWidth="1"/>
    <col min="72" max="72" width="28.875" style="57" customWidth="1"/>
    <col min="73" max="73" width="11.875" style="57" customWidth="1"/>
    <col min="74" max="74" width="10.625" style="57" customWidth="1"/>
    <col min="75" max="75" width="14.375" style="57" customWidth="1"/>
    <col min="76" max="76" width="16" style="57" customWidth="1"/>
    <col min="77" max="77" width="9" style="76"/>
    <col min="78" max="78" width="10.25" style="57" customWidth="1"/>
    <col min="79" max="79" width="16.375" style="143" customWidth="1"/>
    <col min="80" max="80" width="18.625" style="76" customWidth="1"/>
    <col min="81" max="16384" width="9" style="76"/>
  </cols>
  <sheetData>
    <row r="1" spans="1:81" s="57" customFormat="1" ht="37.5">
      <c r="A1" s="50" t="s">
        <v>228</v>
      </c>
      <c r="B1" s="225" t="s">
        <v>2490</v>
      </c>
      <c r="C1" s="115" t="s">
        <v>2498</v>
      </c>
      <c r="D1" s="51" t="s">
        <v>2492</v>
      </c>
      <c r="E1" s="51" t="s">
        <v>2496</v>
      </c>
      <c r="F1" s="51" t="s">
        <v>227</v>
      </c>
      <c r="G1" s="113" t="s">
        <v>2499</v>
      </c>
      <c r="H1" s="51" t="s">
        <v>2456</v>
      </c>
      <c r="I1" s="51" t="s">
        <v>2457</v>
      </c>
      <c r="J1" s="51" t="s">
        <v>2500</v>
      </c>
      <c r="K1" s="51" t="s">
        <v>2501</v>
      </c>
      <c r="L1" s="51" t="s">
        <v>2497</v>
      </c>
      <c r="M1" s="51" t="s">
        <v>2502</v>
      </c>
      <c r="N1" s="51" t="s">
        <v>2503</v>
      </c>
      <c r="O1" s="51" t="s">
        <v>2504</v>
      </c>
      <c r="P1" s="229" t="s">
        <v>2505</v>
      </c>
      <c r="Q1" s="51" t="s">
        <v>796</v>
      </c>
      <c r="R1" s="51" t="s">
        <v>2481</v>
      </c>
      <c r="S1" s="190" t="s">
        <v>2482</v>
      </c>
      <c r="T1" s="190" t="s">
        <v>2483</v>
      </c>
      <c r="U1" s="51" t="s">
        <v>899</v>
      </c>
      <c r="V1" s="51" t="s">
        <v>806</v>
      </c>
      <c r="W1" s="51" t="s">
        <v>900</v>
      </c>
      <c r="X1" s="52" t="s">
        <v>1126</v>
      </c>
      <c r="Y1" s="51" t="s">
        <v>803</v>
      </c>
      <c r="Z1" s="53" t="s">
        <v>930</v>
      </c>
      <c r="AA1" s="54" t="s">
        <v>2480</v>
      </c>
      <c r="AB1" s="55" t="s">
        <v>223</v>
      </c>
      <c r="AC1" s="54" t="s">
        <v>938</v>
      </c>
      <c r="AD1" s="55" t="s">
        <v>1127</v>
      </c>
      <c r="AE1" s="55"/>
      <c r="AF1" s="55"/>
      <c r="AG1" s="55"/>
      <c r="AH1" s="55"/>
      <c r="AI1" s="55"/>
      <c r="AJ1" s="55"/>
      <c r="AK1" s="55" t="s">
        <v>989</v>
      </c>
      <c r="AL1" s="51" t="s">
        <v>981</v>
      </c>
      <c r="AM1" s="51" t="s">
        <v>2455</v>
      </c>
      <c r="AN1" s="161" t="s">
        <v>2454</v>
      </c>
      <c r="AO1" s="51" t="s">
        <v>931</v>
      </c>
      <c r="AP1" s="51" t="s">
        <v>932</v>
      </c>
      <c r="AQ1" s="51" t="s">
        <v>933</v>
      </c>
      <c r="AR1" s="51" t="s">
        <v>934</v>
      </c>
      <c r="AS1" s="51" t="s">
        <v>935</v>
      </c>
      <c r="AT1" s="51" t="s">
        <v>929</v>
      </c>
      <c r="AU1" s="51" t="s">
        <v>936</v>
      </c>
      <c r="AV1" s="51" t="s">
        <v>837</v>
      </c>
      <c r="AW1" s="51" t="s">
        <v>937</v>
      </c>
      <c r="AX1" s="51"/>
      <c r="AY1" s="51" t="s">
        <v>944</v>
      </c>
      <c r="AZ1" s="51"/>
      <c r="BA1" s="51"/>
      <c r="BB1" s="51"/>
      <c r="BC1" s="51"/>
      <c r="BD1" s="51"/>
      <c r="BE1" s="51"/>
      <c r="BF1" s="51"/>
      <c r="BG1" s="51"/>
      <c r="BH1" s="51"/>
      <c r="BI1" s="51" t="s">
        <v>823</v>
      </c>
      <c r="BJ1" s="52" t="s">
        <v>226</v>
      </c>
      <c r="BK1" s="52" t="s">
        <v>225</v>
      </c>
      <c r="BL1" s="52" t="s">
        <v>224</v>
      </c>
      <c r="BM1" s="54" t="s">
        <v>222</v>
      </c>
      <c r="BN1" s="52" t="s">
        <v>221</v>
      </c>
      <c r="BO1" s="52" t="s">
        <v>220</v>
      </c>
      <c r="BP1" s="56" t="s">
        <v>219</v>
      </c>
      <c r="BQ1" s="54" t="s">
        <v>218</v>
      </c>
      <c r="BR1" s="52" t="s">
        <v>217</v>
      </c>
      <c r="BS1" s="52"/>
      <c r="BT1" s="54" t="s">
        <v>216</v>
      </c>
      <c r="BU1" s="54" t="s">
        <v>215</v>
      </c>
      <c r="BV1" s="54" t="s">
        <v>214</v>
      </c>
      <c r="BW1" s="54" t="s">
        <v>213</v>
      </c>
      <c r="BX1" s="54" t="s">
        <v>212</v>
      </c>
      <c r="BY1" s="54"/>
      <c r="BZ1" s="142" t="s">
        <v>211</v>
      </c>
      <c r="CA1" s="57" t="s">
        <v>2430</v>
      </c>
      <c r="CB1" s="57" t="s">
        <v>2431</v>
      </c>
      <c r="CC1" s="141" t="s">
        <v>2353</v>
      </c>
    </row>
    <row r="2" spans="1:81" s="118" customFormat="1" ht="19.5">
      <c r="A2" s="114"/>
      <c r="B2" s="114">
        <f>COUNTA(AO2:AW2)</f>
        <v>0</v>
      </c>
      <c r="C2" s="189" t="s">
        <v>2460</v>
      </c>
      <c r="D2" s="116"/>
      <c r="E2" s="116"/>
      <c r="F2" s="116"/>
      <c r="G2" s="115"/>
      <c r="H2" s="116"/>
      <c r="I2" s="116"/>
      <c r="J2" s="116"/>
      <c r="K2" s="116"/>
      <c r="L2" s="116"/>
      <c r="M2" s="116"/>
      <c r="N2" s="116"/>
      <c r="O2" s="116"/>
      <c r="P2" s="166"/>
      <c r="Q2" s="116"/>
      <c r="R2" s="116"/>
      <c r="S2" s="191"/>
      <c r="T2" s="191"/>
      <c r="U2" s="116"/>
      <c r="V2" s="116"/>
      <c r="W2" s="116"/>
      <c r="X2" s="117"/>
      <c r="Y2" s="116"/>
      <c r="Z2" s="114"/>
      <c r="AB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30"/>
      <c r="AP2" s="119"/>
      <c r="AQ2" s="130"/>
      <c r="AR2" s="119"/>
      <c r="AS2" s="125"/>
      <c r="AT2" s="116"/>
      <c r="AU2" s="116"/>
      <c r="AV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7"/>
      <c r="BK2" s="117"/>
      <c r="BL2" s="117"/>
      <c r="BN2" s="117"/>
      <c r="BO2" s="117"/>
      <c r="BP2" s="120"/>
      <c r="BR2" s="117"/>
      <c r="BS2" s="117"/>
      <c r="BZ2" s="117"/>
      <c r="CA2" s="145">
        <v>44604.564976851849</v>
      </c>
    </row>
    <row r="3" spans="1:81" s="118" customFormat="1" ht="19.5">
      <c r="A3" s="114"/>
      <c r="B3" s="114">
        <f t="shared" ref="B3:B68" si="0">COUNTA(AO3:AW3)</f>
        <v>0</v>
      </c>
      <c r="C3" s="136"/>
      <c r="D3" s="116"/>
      <c r="E3" s="116"/>
      <c r="F3" s="116"/>
      <c r="G3" s="115"/>
      <c r="H3" s="116"/>
      <c r="I3" s="116"/>
      <c r="J3" s="116"/>
      <c r="K3" s="116"/>
      <c r="L3" s="116"/>
      <c r="M3" s="116"/>
      <c r="N3" s="116"/>
      <c r="O3" s="116"/>
      <c r="P3" s="166"/>
      <c r="Q3" s="116"/>
      <c r="R3" s="116"/>
      <c r="S3" s="191"/>
      <c r="T3" s="191"/>
      <c r="U3" s="116"/>
      <c r="V3" s="116"/>
      <c r="W3" s="116"/>
      <c r="X3" s="117"/>
      <c r="Y3" s="116"/>
      <c r="Z3" s="114"/>
      <c r="AB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30"/>
      <c r="AP3" s="119"/>
      <c r="AQ3" s="130"/>
      <c r="AR3" s="119"/>
      <c r="AS3" s="125"/>
      <c r="AT3" s="116"/>
      <c r="AU3" s="116"/>
      <c r="AV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7"/>
      <c r="BK3" s="117"/>
      <c r="BL3" s="117"/>
      <c r="BN3" s="117"/>
      <c r="BO3" s="117"/>
      <c r="BP3" s="120"/>
      <c r="BR3" s="117"/>
      <c r="BS3" s="117"/>
      <c r="BZ3" s="117"/>
      <c r="CA3" s="145">
        <v>44604.616909722223</v>
      </c>
    </row>
    <row r="4" spans="1:81" s="118" customFormat="1" ht="19.5">
      <c r="A4" s="114"/>
      <c r="B4" s="114">
        <f t="shared" si="0"/>
        <v>0</v>
      </c>
      <c r="C4" s="136"/>
      <c r="D4" s="116"/>
      <c r="E4" s="116"/>
      <c r="F4" s="116"/>
      <c r="G4" s="115"/>
      <c r="H4" s="116"/>
      <c r="I4" s="116"/>
      <c r="J4" s="116"/>
      <c r="K4" s="116"/>
      <c r="L4" s="116"/>
      <c r="M4" s="116"/>
      <c r="N4" s="116"/>
      <c r="O4" s="116"/>
      <c r="P4" s="166"/>
      <c r="Q4" s="116"/>
      <c r="R4" s="116"/>
      <c r="S4" s="191"/>
      <c r="T4" s="191"/>
      <c r="U4" s="116"/>
      <c r="V4" s="116"/>
      <c r="W4" s="116"/>
      <c r="X4" s="117"/>
      <c r="Y4" s="116"/>
      <c r="Z4" s="114"/>
      <c r="AB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30"/>
      <c r="AP4" s="119"/>
      <c r="AQ4" s="130"/>
      <c r="AR4" s="119"/>
      <c r="AS4" s="125"/>
      <c r="AT4" s="116"/>
      <c r="AU4" s="116"/>
      <c r="AV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7"/>
      <c r="BK4" s="117"/>
      <c r="BL4" s="117"/>
      <c r="BN4" s="117"/>
      <c r="BO4" s="117"/>
      <c r="BP4" s="120"/>
      <c r="BR4" s="117"/>
      <c r="BS4" s="117"/>
      <c r="BZ4" s="117"/>
      <c r="CA4" s="145"/>
    </row>
    <row r="5" spans="1:81" s="118" customFormat="1" ht="19.5">
      <c r="A5" s="114"/>
      <c r="B5" s="114">
        <f t="shared" si="0"/>
        <v>0</v>
      </c>
      <c r="C5" s="226" t="s">
        <v>2468</v>
      </c>
      <c r="D5" s="116" t="s">
        <v>2458</v>
      </c>
      <c r="E5" s="116">
        <v>15</v>
      </c>
      <c r="F5" s="116"/>
      <c r="G5" s="115"/>
      <c r="H5" s="116"/>
      <c r="I5" s="116"/>
      <c r="J5" s="116"/>
      <c r="K5" s="116"/>
      <c r="L5" s="116"/>
      <c r="M5" s="116"/>
      <c r="N5" s="116"/>
      <c r="O5" s="116" t="s">
        <v>2464</v>
      </c>
      <c r="P5" s="166">
        <v>43647</v>
      </c>
      <c r="Q5" s="116"/>
      <c r="R5" s="116"/>
      <c r="S5" s="191">
        <v>99</v>
      </c>
      <c r="T5" s="191">
        <v>69.3</v>
      </c>
      <c r="U5" s="116"/>
      <c r="V5" s="116"/>
      <c r="W5" s="116"/>
      <c r="X5" s="117"/>
      <c r="Y5" s="116"/>
      <c r="Z5" s="114"/>
      <c r="AB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>
        <v>10</v>
      </c>
      <c r="AO5" s="130"/>
      <c r="AP5" s="119"/>
      <c r="AQ5" s="130"/>
      <c r="AR5" s="119"/>
      <c r="AS5" s="125"/>
      <c r="AT5" s="116"/>
      <c r="AU5" s="116"/>
      <c r="AV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7"/>
      <c r="BK5" s="117"/>
      <c r="BL5" s="117"/>
      <c r="BN5" s="117"/>
      <c r="BO5" s="117"/>
      <c r="BP5" s="120"/>
      <c r="BR5" s="117"/>
      <c r="BS5" s="117"/>
      <c r="BZ5" s="117"/>
      <c r="CA5" s="145">
        <v>44604.575173611112</v>
      </c>
    </row>
    <row r="6" spans="1:81" s="118" customFormat="1" ht="19.5">
      <c r="A6" s="114"/>
      <c r="B6" s="114">
        <f t="shared" si="0"/>
        <v>0</v>
      </c>
      <c r="C6" s="227" t="s">
        <v>2468</v>
      </c>
      <c r="D6" s="116" t="s">
        <v>2458</v>
      </c>
      <c r="E6" s="116">
        <v>14</v>
      </c>
      <c r="F6" s="116"/>
      <c r="G6" s="115"/>
      <c r="H6" s="116"/>
      <c r="I6" s="116"/>
      <c r="J6" s="116"/>
      <c r="K6" s="116"/>
      <c r="L6" s="116"/>
      <c r="M6" s="116"/>
      <c r="N6" s="116"/>
      <c r="O6" s="116" t="s">
        <v>2464</v>
      </c>
      <c r="P6" s="166">
        <v>42064</v>
      </c>
      <c r="Q6" s="116"/>
      <c r="R6" s="116"/>
      <c r="S6" s="191"/>
      <c r="T6" s="191">
        <v>63</v>
      </c>
      <c r="U6" s="116"/>
      <c r="V6" s="116"/>
      <c r="W6" s="116"/>
      <c r="X6" s="117"/>
      <c r="Y6" s="116"/>
      <c r="Z6" s="114"/>
      <c r="AB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>
        <v>10</v>
      </c>
      <c r="AO6" s="130"/>
      <c r="AP6" s="119"/>
      <c r="AQ6" s="130"/>
      <c r="AR6" s="119"/>
      <c r="AS6" s="125"/>
      <c r="AT6" s="116"/>
      <c r="AU6" s="116"/>
      <c r="AV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7"/>
      <c r="BK6" s="117"/>
      <c r="BL6" s="117"/>
      <c r="BN6" s="117"/>
      <c r="BO6" s="117"/>
      <c r="BP6" s="120"/>
      <c r="BR6" s="117"/>
      <c r="BS6" s="117"/>
      <c r="BZ6" s="117"/>
      <c r="CA6" s="145">
        <v>44604.574097222219</v>
      </c>
    </row>
    <row r="7" spans="1:81" s="118" customFormat="1">
      <c r="A7" s="114"/>
      <c r="B7" s="114">
        <f t="shared" si="0"/>
        <v>1</v>
      </c>
      <c r="C7" s="136" t="s">
        <v>2469</v>
      </c>
      <c r="D7" s="116" t="s">
        <v>2458</v>
      </c>
      <c r="E7" s="116">
        <v>7</v>
      </c>
      <c r="F7" s="116"/>
      <c r="G7" s="115"/>
      <c r="H7" s="116"/>
      <c r="I7" s="116"/>
      <c r="J7" s="116"/>
      <c r="K7" s="116"/>
      <c r="L7" s="116"/>
      <c r="M7" s="116"/>
      <c r="N7" s="116"/>
      <c r="O7" s="116" t="s">
        <v>2464</v>
      </c>
      <c r="P7" s="166">
        <v>43405</v>
      </c>
      <c r="Q7" s="116"/>
      <c r="R7" s="116"/>
      <c r="S7" s="191">
        <v>99</v>
      </c>
      <c r="T7" s="191">
        <v>69.3</v>
      </c>
      <c r="U7" s="116"/>
      <c r="V7" s="116"/>
      <c r="W7" s="116"/>
      <c r="X7" s="117"/>
      <c r="Y7" s="116"/>
      <c r="Z7" s="114"/>
      <c r="AB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>
        <v>10</v>
      </c>
      <c r="AO7" s="130"/>
      <c r="AP7" s="119"/>
      <c r="AQ7" s="130"/>
      <c r="AR7" s="119"/>
      <c r="AS7" s="130">
        <v>69.3</v>
      </c>
      <c r="AT7" s="116"/>
      <c r="AU7" s="116"/>
      <c r="AV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7"/>
      <c r="BK7" s="117"/>
      <c r="BL7" s="117"/>
      <c r="BN7" s="117"/>
      <c r="BO7" s="117"/>
      <c r="BP7" s="120"/>
      <c r="BR7" s="117"/>
      <c r="BS7" s="117"/>
      <c r="BZ7" s="117"/>
      <c r="CA7" s="145">
        <v>44604.577268518522</v>
      </c>
    </row>
    <row r="8" spans="1:81" s="118" customFormat="1" ht="19.5">
      <c r="A8" s="114"/>
      <c r="B8" s="114">
        <f t="shared" si="0"/>
        <v>3</v>
      </c>
      <c r="C8" s="136" t="s">
        <v>1079</v>
      </c>
      <c r="D8" s="116" t="s">
        <v>2458</v>
      </c>
      <c r="E8" s="116"/>
      <c r="F8" s="116"/>
      <c r="G8" s="115"/>
      <c r="H8" s="116"/>
      <c r="I8" s="116" t="s">
        <v>2459</v>
      </c>
      <c r="J8" s="116"/>
      <c r="K8" s="116"/>
      <c r="L8" s="116"/>
      <c r="M8" s="116"/>
      <c r="N8" s="116"/>
      <c r="O8" s="116" t="s">
        <v>950</v>
      </c>
      <c r="P8" s="166">
        <v>41852</v>
      </c>
      <c r="Q8" s="116"/>
      <c r="R8" s="116"/>
      <c r="S8" s="191"/>
      <c r="T8" s="191"/>
      <c r="U8" s="116"/>
      <c r="V8" s="116"/>
      <c r="W8" s="116"/>
      <c r="X8" s="117"/>
      <c r="Y8" s="116"/>
      <c r="Z8" s="114"/>
      <c r="AB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>
        <v>1</v>
      </c>
      <c r="AN8" s="119">
        <v>10</v>
      </c>
      <c r="AO8" s="130">
        <v>0</v>
      </c>
      <c r="AP8" s="119"/>
      <c r="AQ8" s="130">
        <v>0</v>
      </c>
      <c r="AR8" s="119"/>
      <c r="AS8" s="125"/>
      <c r="AT8" s="116"/>
      <c r="AU8" s="116"/>
      <c r="AV8" s="116"/>
      <c r="AW8" s="130">
        <v>0</v>
      </c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7"/>
      <c r="BK8" s="117"/>
      <c r="BL8" s="117"/>
      <c r="BN8" s="117"/>
      <c r="BO8" s="117"/>
      <c r="BP8" s="120"/>
      <c r="BR8" s="117"/>
      <c r="BS8" s="117"/>
      <c r="BZ8" s="117"/>
      <c r="CA8" s="145">
        <v>44596.6015625</v>
      </c>
      <c r="CB8" s="162">
        <v>44604.65351851852</v>
      </c>
    </row>
    <row r="9" spans="1:81" s="118" customFormat="1">
      <c r="A9" s="114"/>
      <c r="B9" s="114">
        <f t="shared" si="0"/>
        <v>1</v>
      </c>
      <c r="C9" s="136" t="s">
        <v>2466</v>
      </c>
      <c r="D9" s="116" t="s">
        <v>2458</v>
      </c>
      <c r="E9" s="116">
        <v>21</v>
      </c>
      <c r="F9" s="116"/>
      <c r="G9" s="115"/>
      <c r="H9" s="116"/>
      <c r="I9" s="116" t="s">
        <v>2467</v>
      </c>
      <c r="J9" s="116"/>
      <c r="K9" s="116"/>
      <c r="L9" s="116"/>
      <c r="M9" s="116"/>
      <c r="N9" s="116"/>
      <c r="O9" s="116" t="s">
        <v>2464</v>
      </c>
      <c r="P9" s="166">
        <v>43831</v>
      </c>
      <c r="Q9" s="116"/>
      <c r="R9" s="116"/>
      <c r="S9" s="191">
        <v>90</v>
      </c>
      <c r="T9" s="191">
        <v>63</v>
      </c>
      <c r="U9" s="116"/>
      <c r="V9" s="116"/>
      <c r="W9" s="116"/>
      <c r="X9" s="117"/>
      <c r="Y9" s="116"/>
      <c r="Z9" s="114"/>
      <c r="AB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>
        <v>10</v>
      </c>
      <c r="AO9" s="130"/>
      <c r="AP9" s="119"/>
      <c r="AQ9" s="130"/>
      <c r="AR9" s="119"/>
      <c r="AS9" s="130">
        <v>63</v>
      </c>
      <c r="AT9" s="116"/>
      <c r="AU9" s="116"/>
      <c r="AV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7"/>
      <c r="BK9" s="117"/>
      <c r="BL9" s="117"/>
      <c r="BN9" s="117"/>
      <c r="BO9" s="117"/>
      <c r="BP9" s="120"/>
      <c r="BR9" s="117"/>
      <c r="BS9" s="117"/>
      <c r="BZ9" s="117"/>
      <c r="CA9" s="145">
        <v>44604.572141203702</v>
      </c>
      <c r="CB9" s="162"/>
    </row>
    <row r="10" spans="1:81" s="118" customFormat="1" ht="19.5">
      <c r="A10" s="114"/>
      <c r="B10" s="114">
        <f t="shared" si="0"/>
        <v>0</v>
      </c>
      <c r="C10" s="226" t="s">
        <v>2462</v>
      </c>
      <c r="D10" s="116" t="s">
        <v>2458</v>
      </c>
      <c r="E10" s="116">
        <v>12</v>
      </c>
      <c r="F10" s="116"/>
      <c r="G10" s="115"/>
      <c r="H10" s="116"/>
      <c r="I10" s="116"/>
      <c r="J10" s="116"/>
      <c r="K10" s="116"/>
      <c r="L10" s="116"/>
      <c r="M10" s="116"/>
      <c r="N10" s="116"/>
      <c r="O10" s="116"/>
      <c r="P10" s="166"/>
      <c r="Q10" s="116"/>
      <c r="R10" s="116"/>
      <c r="S10" s="191">
        <v>89</v>
      </c>
      <c r="T10" s="191">
        <v>62.3</v>
      </c>
      <c r="U10" s="116"/>
      <c r="V10" s="116"/>
      <c r="W10" s="116"/>
      <c r="X10" s="117"/>
      <c r="Y10" s="116"/>
      <c r="Z10" s="114"/>
      <c r="AB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>
        <v>10</v>
      </c>
      <c r="AO10" s="130"/>
      <c r="AP10" s="119"/>
      <c r="AQ10" s="130"/>
      <c r="AR10" s="119"/>
      <c r="AS10" s="125"/>
      <c r="AT10" s="116"/>
      <c r="AU10" s="116"/>
      <c r="AV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7"/>
      <c r="BK10" s="117"/>
      <c r="BL10" s="117"/>
      <c r="BN10" s="117"/>
      <c r="BO10" s="117"/>
      <c r="BP10" s="120"/>
      <c r="BR10" s="117"/>
      <c r="BS10" s="117"/>
      <c r="BZ10" s="117"/>
      <c r="CA10" s="145">
        <v>44604.567719907405</v>
      </c>
      <c r="CB10" s="162"/>
    </row>
    <row r="11" spans="1:81" s="118" customFormat="1">
      <c r="A11" s="114"/>
      <c r="B11" s="114">
        <f t="shared" si="0"/>
        <v>1</v>
      </c>
      <c r="C11" s="136" t="s">
        <v>2465</v>
      </c>
      <c r="D11" s="116" t="s">
        <v>2458</v>
      </c>
      <c r="E11" s="116">
        <v>12</v>
      </c>
      <c r="F11" s="116"/>
      <c r="G11" s="115"/>
      <c r="H11" s="116"/>
      <c r="I11" s="116"/>
      <c r="J11" s="116"/>
      <c r="K11" s="116"/>
      <c r="L11" s="116"/>
      <c r="M11" s="116"/>
      <c r="N11" s="116"/>
      <c r="O11" s="116" t="s">
        <v>2464</v>
      </c>
      <c r="P11" s="166">
        <v>43831</v>
      </c>
      <c r="Q11" s="116"/>
      <c r="R11" s="116"/>
      <c r="S11" s="191">
        <v>99</v>
      </c>
      <c r="T11" s="191">
        <v>69.3</v>
      </c>
      <c r="U11" s="116"/>
      <c r="V11" s="116"/>
      <c r="W11" s="116"/>
      <c r="X11" s="117"/>
      <c r="Y11" s="116"/>
      <c r="Z11" s="114"/>
      <c r="AB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>
        <v>10</v>
      </c>
      <c r="AO11" s="130"/>
      <c r="AP11" s="119"/>
      <c r="AQ11" s="130"/>
      <c r="AR11" s="119"/>
      <c r="AS11" s="130">
        <v>69.3</v>
      </c>
      <c r="AT11" s="116"/>
      <c r="AU11" s="116"/>
      <c r="AV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7"/>
      <c r="BK11" s="117"/>
      <c r="BL11" s="117"/>
      <c r="BN11" s="117"/>
      <c r="BO11" s="117"/>
      <c r="BP11" s="120"/>
      <c r="BR11" s="117"/>
      <c r="BS11" s="117"/>
      <c r="BZ11" s="117"/>
      <c r="CA11" s="145">
        <v>44604.570532407408</v>
      </c>
      <c r="CB11" s="162"/>
    </row>
    <row r="12" spans="1:81" s="118" customFormat="1">
      <c r="A12" s="114"/>
      <c r="B12" s="114">
        <f t="shared" si="0"/>
        <v>1</v>
      </c>
      <c r="C12" s="136" t="s">
        <v>1132</v>
      </c>
      <c r="D12" s="116" t="s">
        <v>2458</v>
      </c>
      <c r="E12" s="116">
        <v>13</v>
      </c>
      <c r="F12" s="116"/>
      <c r="G12" s="115"/>
      <c r="H12" s="116"/>
      <c r="I12" s="116"/>
      <c r="J12" s="116"/>
      <c r="K12" s="116"/>
      <c r="L12" s="116"/>
      <c r="M12" s="116"/>
      <c r="N12" s="116"/>
      <c r="O12" s="116" t="s">
        <v>2464</v>
      </c>
      <c r="P12" s="166">
        <v>43191</v>
      </c>
      <c r="Q12" s="116"/>
      <c r="R12" s="116"/>
      <c r="S12" s="191">
        <v>109</v>
      </c>
      <c r="T12" s="191">
        <v>76.3</v>
      </c>
      <c r="U12" s="116"/>
      <c r="V12" s="116"/>
      <c r="W12" s="116"/>
      <c r="X12" s="117"/>
      <c r="Y12" s="116"/>
      <c r="Z12" s="114"/>
      <c r="AB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>
        <v>10</v>
      </c>
      <c r="AO12" s="130"/>
      <c r="AP12" s="119"/>
      <c r="AQ12" s="130"/>
      <c r="AR12" s="119"/>
      <c r="AS12" s="130">
        <v>76.3</v>
      </c>
      <c r="AT12" s="116"/>
      <c r="AU12" s="116"/>
      <c r="AV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7"/>
      <c r="BK12" s="117"/>
      <c r="BL12" s="117"/>
      <c r="BN12" s="117"/>
      <c r="BO12" s="117"/>
      <c r="BP12" s="120"/>
      <c r="BR12" s="117"/>
      <c r="BS12" s="117"/>
      <c r="BZ12" s="117"/>
      <c r="CA12" s="145">
        <v>44604.570254629631</v>
      </c>
      <c r="CB12" s="162"/>
    </row>
    <row r="13" spans="1:81" s="118" customFormat="1">
      <c r="A13" s="114"/>
      <c r="B13" s="114">
        <f t="shared" si="0"/>
        <v>1</v>
      </c>
      <c r="C13" s="136" t="s">
        <v>2491</v>
      </c>
      <c r="D13" s="116" t="s">
        <v>2458</v>
      </c>
      <c r="E13" s="116">
        <v>12</v>
      </c>
      <c r="F13" s="116"/>
      <c r="G13" s="115"/>
      <c r="H13" s="116"/>
      <c r="I13" s="116"/>
      <c r="J13" s="116"/>
      <c r="K13" s="116"/>
      <c r="L13" s="116"/>
      <c r="M13" s="116"/>
      <c r="N13" s="116"/>
      <c r="O13" s="116" t="s">
        <v>2464</v>
      </c>
      <c r="P13" s="166"/>
      <c r="Q13" s="116"/>
      <c r="R13" s="116"/>
      <c r="S13" s="191">
        <v>55</v>
      </c>
      <c r="T13" s="191">
        <v>38.5</v>
      </c>
      <c r="U13" s="116"/>
      <c r="V13" s="116"/>
      <c r="W13" s="116"/>
      <c r="X13" s="117"/>
      <c r="Y13" s="116"/>
      <c r="Z13" s="114"/>
      <c r="AB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>
        <v>10</v>
      </c>
      <c r="AO13" s="130"/>
      <c r="AP13" s="119"/>
      <c r="AQ13" s="130"/>
      <c r="AR13" s="119"/>
      <c r="AS13" s="130">
        <v>38.5</v>
      </c>
      <c r="AT13" s="116"/>
      <c r="AU13" s="116"/>
      <c r="AV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7"/>
      <c r="BK13" s="117"/>
      <c r="BL13" s="117"/>
      <c r="BN13" s="117"/>
      <c r="BO13" s="117"/>
      <c r="BP13" s="120"/>
      <c r="BR13" s="117"/>
      <c r="BS13" s="117"/>
      <c r="BZ13" s="117"/>
      <c r="CA13" s="145"/>
      <c r="CB13" s="162"/>
    </row>
    <row r="14" spans="1:81" s="118" customFormat="1">
      <c r="A14" s="114"/>
      <c r="B14" s="114">
        <f t="shared" si="0"/>
        <v>1</v>
      </c>
      <c r="C14" s="136" t="s">
        <v>2493</v>
      </c>
      <c r="D14" s="116" t="s">
        <v>2458</v>
      </c>
      <c r="E14" s="116">
        <v>16</v>
      </c>
      <c r="F14" s="116"/>
      <c r="G14" s="115"/>
      <c r="H14" s="116"/>
      <c r="I14" s="116"/>
      <c r="J14" s="116"/>
      <c r="K14" s="116"/>
      <c r="L14" s="116"/>
      <c r="M14" s="116"/>
      <c r="N14" s="116"/>
      <c r="O14" s="116" t="s">
        <v>2464</v>
      </c>
      <c r="P14" s="166">
        <v>43466</v>
      </c>
      <c r="Q14" s="116"/>
      <c r="R14" s="116"/>
      <c r="S14" s="191">
        <v>89</v>
      </c>
      <c r="T14" s="191">
        <v>62.3</v>
      </c>
      <c r="U14" s="116"/>
      <c r="V14" s="116"/>
      <c r="W14" s="116"/>
      <c r="X14" s="117"/>
      <c r="Y14" s="116"/>
      <c r="Z14" s="114"/>
      <c r="AB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>
        <v>10</v>
      </c>
      <c r="AO14" s="130"/>
      <c r="AP14" s="119"/>
      <c r="AQ14" s="130"/>
      <c r="AR14" s="119"/>
      <c r="AS14" s="130">
        <v>62.3</v>
      </c>
      <c r="AT14" s="116"/>
      <c r="AU14" s="116"/>
      <c r="AV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7"/>
      <c r="BK14" s="117"/>
      <c r="BL14" s="117"/>
      <c r="BN14" s="117"/>
      <c r="BO14" s="117"/>
      <c r="BP14" s="120"/>
      <c r="BR14" s="117"/>
      <c r="BS14" s="117"/>
      <c r="BZ14" s="117"/>
      <c r="CA14" s="145"/>
      <c r="CB14" s="162"/>
    </row>
    <row r="15" spans="1:81" s="118" customFormat="1">
      <c r="A15" s="114"/>
      <c r="B15" s="114">
        <f t="shared" si="0"/>
        <v>1</v>
      </c>
      <c r="C15" s="136" t="s">
        <v>1095</v>
      </c>
      <c r="D15" s="116" t="s">
        <v>2471</v>
      </c>
      <c r="E15" s="116"/>
      <c r="F15" s="116"/>
      <c r="G15" s="115"/>
      <c r="H15" s="116"/>
      <c r="I15" s="116" t="s">
        <v>2472</v>
      </c>
      <c r="J15" s="116"/>
      <c r="K15" s="116"/>
      <c r="L15" s="116"/>
      <c r="M15" s="116"/>
      <c r="N15" s="116"/>
      <c r="O15" s="116" t="s">
        <v>2470</v>
      </c>
      <c r="P15" s="166">
        <v>40360</v>
      </c>
      <c r="Q15" s="116"/>
      <c r="R15" s="116"/>
      <c r="S15" s="191">
        <v>49.9</v>
      </c>
      <c r="T15" s="191">
        <v>14.99</v>
      </c>
      <c r="U15" s="116"/>
      <c r="V15" s="116"/>
      <c r="W15" s="116"/>
      <c r="X15" s="117"/>
      <c r="Y15" s="116"/>
      <c r="Z15" s="114"/>
      <c r="AB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>
        <v>1</v>
      </c>
      <c r="AN15" s="119">
        <v>10</v>
      </c>
      <c r="AO15" s="119"/>
      <c r="AP15" s="119"/>
      <c r="AQ15" s="119"/>
      <c r="AR15" s="119"/>
      <c r="AS15" s="116"/>
      <c r="AT15" s="116">
        <v>14.99</v>
      </c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7"/>
      <c r="BK15" s="117"/>
      <c r="BL15" s="117"/>
      <c r="BN15" s="117"/>
      <c r="BO15" s="117"/>
      <c r="BP15" s="120"/>
      <c r="BR15" s="117"/>
      <c r="BS15" s="117"/>
      <c r="BZ15" s="117"/>
      <c r="CA15" s="145">
        <v>44604.582349537035</v>
      </c>
    </row>
    <row r="16" spans="1:81" s="118" customFormat="1" ht="27">
      <c r="A16" s="114"/>
      <c r="B16" s="114">
        <f t="shared" si="0"/>
        <v>1</v>
      </c>
      <c r="C16" s="136" t="s">
        <v>2494</v>
      </c>
      <c r="D16" s="116" t="s">
        <v>2458</v>
      </c>
      <c r="E16" s="116">
        <v>17</v>
      </c>
      <c r="F16" s="116"/>
      <c r="G16" s="115"/>
      <c r="H16" s="116"/>
      <c r="I16" s="116"/>
      <c r="J16" s="116"/>
      <c r="K16" s="116"/>
      <c r="L16" s="116"/>
      <c r="M16" s="116"/>
      <c r="N16" s="116"/>
      <c r="O16" s="116"/>
      <c r="P16" s="166">
        <v>42856</v>
      </c>
      <c r="Q16" s="116"/>
      <c r="R16" s="116"/>
      <c r="S16" s="191"/>
      <c r="T16" s="191">
        <v>52.5</v>
      </c>
      <c r="U16" s="116"/>
      <c r="V16" s="116"/>
      <c r="W16" s="116"/>
      <c r="X16" s="117"/>
      <c r="Y16" s="116"/>
      <c r="Z16" s="114"/>
      <c r="AB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>
        <v>10</v>
      </c>
      <c r="AO16" s="130"/>
      <c r="AP16" s="119"/>
      <c r="AQ16" s="130"/>
      <c r="AR16" s="119"/>
      <c r="AS16" s="130">
        <v>52.5</v>
      </c>
      <c r="AT16" s="116"/>
      <c r="AU16" s="116"/>
      <c r="AV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7"/>
      <c r="BK16" s="117"/>
      <c r="BL16" s="117"/>
      <c r="BN16" s="117"/>
      <c r="BO16" s="117"/>
      <c r="BP16" s="120"/>
      <c r="BR16" s="117"/>
      <c r="BS16" s="117"/>
      <c r="BZ16" s="117"/>
      <c r="CA16" s="145">
        <v>44604.580717592595</v>
      </c>
      <c r="CB16" s="162"/>
    </row>
    <row r="17" spans="1:80" s="118" customFormat="1" ht="19.5">
      <c r="A17" s="114"/>
      <c r="B17" s="114">
        <f t="shared" si="0"/>
        <v>0</v>
      </c>
      <c r="C17" s="136"/>
      <c r="D17" s="116"/>
      <c r="E17" s="116"/>
      <c r="F17" s="116"/>
      <c r="G17" s="115"/>
      <c r="H17" s="116"/>
      <c r="I17" s="116"/>
      <c r="J17" s="116"/>
      <c r="K17" s="116"/>
      <c r="L17" s="116"/>
      <c r="M17" s="116"/>
      <c r="N17" s="116"/>
      <c r="O17" s="116"/>
      <c r="P17" s="166"/>
      <c r="Q17" s="116"/>
      <c r="R17" s="116"/>
      <c r="S17" s="191"/>
      <c r="T17" s="191"/>
      <c r="U17" s="116"/>
      <c r="V17" s="116"/>
      <c r="W17" s="116"/>
      <c r="X17" s="117"/>
      <c r="Y17" s="116"/>
      <c r="Z17" s="114"/>
      <c r="AB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30"/>
      <c r="AP17" s="119"/>
      <c r="AQ17" s="130"/>
      <c r="AR17" s="119"/>
      <c r="AS17" s="125"/>
      <c r="AT17" s="116"/>
      <c r="AU17" s="116"/>
      <c r="AV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7"/>
      <c r="BK17" s="117"/>
      <c r="BL17" s="117"/>
      <c r="BN17" s="117"/>
      <c r="BO17" s="117"/>
      <c r="BP17" s="120"/>
      <c r="BR17" s="117"/>
      <c r="BS17" s="117"/>
      <c r="BZ17" s="117"/>
      <c r="CA17" s="145">
        <v>44604.565717592595</v>
      </c>
      <c r="CB17" s="162"/>
    </row>
    <row r="18" spans="1:80" s="118" customFormat="1" ht="19.5">
      <c r="A18" s="114"/>
      <c r="B18" s="114">
        <f t="shared" si="0"/>
        <v>0</v>
      </c>
      <c r="C18" s="189" t="s">
        <v>2461</v>
      </c>
      <c r="D18" s="116"/>
      <c r="E18" s="116"/>
      <c r="F18" s="116"/>
      <c r="G18" s="115"/>
      <c r="H18" s="116"/>
      <c r="I18" s="116"/>
      <c r="J18" s="116"/>
      <c r="K18" s="116"/>
      <c r="L18" s="116"/>
      <c r="M18" s="116"/>
      <c r="N18" s="116"/>
      <c r="O18" s="116"/>
      <c r="P18" s="166"/>
      <c r="Q18" s="116"/>
      <c r="R18" s="116"/>
      <c r="S18" s="191"/>
      <c r="T18" s="191"/>
      <c r="U18" s="116"/>
      <c r="V18" s="116"/>
      <c r="W18" s="116"/>
      <c r="X18" s="117"/>
      <c r="Y18" s="116"/>
      <c r="Z18" s="114"/>
      <c r="AB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30"/>
      <c r="AP18" s="119"/>
      <c r="AQ18" s="130"/>
      <c r="AR18" s="119"/>
      <c r="AS18" s="125"/>
      <c r="AT18" s="116"/>
      <c r="AU18" s="116"/>
      <c r="AV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7"/>
      <c r="BK18" s="117"/>
      <c r="BL18" s="117"/>
      <c r="BN18" s="117"/>
      <c r="BO18" s="117"/>
      <c r="BP18" s="120"/>
      <c r="BR18" s="117"/>
      <c r="BS18" s="117"/>
      <c r="BZ18" s="117"/>
      <c r="CA18" s="145">
        <v>44604.561585648145</v>
      </c>
    </row>
    <row r="19" spans="1:80" s="118" customFormat="1">
      <c r="A19" s="114"/>
      <c r="B19" s="114">
        <f t="shared" si="0"/>
        <v>1</v>
      </c>
      <c r="C19" s="136" t="s">
        <v>1023</v>
      </c>
      <c r="D19" s="116"/>
      <c r="E19" s="116"/>
      <c r="F19" s="116"/>
      <c r="G19" s="115"/>
      <c r="H19" s="116"/>
      <c r="I19" s="116"/>
      <c r="J19" s="116"/>
      <c r="K19" s="116"/>
      <c r="L19" s="116"/>
      <c r="M19" s="116"/>
      <c r="N19" s="116"/>
      <c r="O19" s="116"/>
      <c r="P19" s="166"/>
      <c r="Q19" s="116"/>
      <c r="R19" s="116"/>
      <c r="S19" s="191"/>
      <c r="T19" s="191"/>
      <c r="U19" s="116"/>
      <c r="V19" s="116"/>
      <c r="W19" s="116"/>
      <c r="X19" s="117"/>
      <c r="Y19" s="116"/>
      <c r="Z19" s="114"/>
      <c r="AB19" s="119"/>
      <c r="AD19" s="119"/>
      <c r="AE19" s="119"/>
      <c r="AF19" s="119"/>
      <c r="AG19" s="119"/>
      <c r="AH19" s="119"/>
      <c r="AI19" s="119"/>
      <c r="AJ19" s="119"/>
      <c r="AK19" s="119"/>
      <c r="AL19" s="119">
        <v>10</v>
      </c>
      <c r="AM19" s="119"/>
      <c r="AN19" s="119"/>
      <c r="AO19" s="119"/>
      <c r="AP19" s="119"/>
      <c r="AQ19" s="119"/>
      <c r="AR19" s="119"/>
      <c r="AS19" s="130">
        <v>20</v>
      </c>
      <c r="AT19" s="126"/>
      <c r="AU19" s="12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7"/>
      <c r="BK19" s="117"/>
      <c r="BL19" s="117"/>
      <c r="BN19" s="117"/>
      <c r="BO19" s="117"/>
      <c r="BP19" s="120"/>
      <c r="BR19" s="117"/>
      <c r="BS19" s="117"/>
      <c r="BZ19" s="117"/>
      <c r="CA19" s="145">
        <v>44604.561863425923</v>
      </c>
    </row>
    <row r="20" spans="1:80" s="118" customFormat="1" ht="27">
      <c r="A20" s="114"/>
      <c r="B20" s="114">
        <f t="shared" si="0"/>
        <v>2</v>
      </c>
      <c r="C20" s="136" t="s">
        <v>2339</v>
      </c>
      <c r="D20" s="116"/>
      <c r="E20" s="116"/>
      <c r="F20" s="116"/>
      <c r="G20" s="115"/>
      <c r="H20" s="116"/>
      <c r="I20" s="116"/>
      <c r="J20" s="116"/>
      <c r="K20" s="116"/>
      <c r="L20" s="116"/>
      <c r="M20" s="116"/>
      <c r="N20" s="116"/>
      <c r="O20" s="116"/>
      <c r="P20" s="166"/>
      <c r="Q20" s="116"/>
      <c r="R20" s="116"/>
      <c r="S20" s="191"/>
      <c r="T20" s="191"/>
      <c r="U20" s="116"/>
      <c r="V20" s="116"/>
      <c r="W20" s="116"/>
      <c r="X20" s="117"/>
      <c r="Y20" s="116"/>
      <c r="Z20" s="114"/>
      <c r="AB20" s="119"/>
      <c r="AD20" s="119"/>
      <c r="AE20" s="119"/>
      <c r="AF20" s="119"/>
      <c r="AG20" s="119"/>
      <c r="AH20" s="119"/>
      <c r="AI20" s="119"/>
      <c r="AJ20" s="119"/>
      <c r="AK20" s="119"/>
      <c r="AL20" s="119">
        <v>10</v>
      </c>
      <c r="AM20" s="119"/>
      <c r="AN20" s="119"/>
      <c r="AO20" s="119"/>
      <c r="AP20" s="130">
        <v>45</v>
      </c>
      <c r="AQ20" s="119"/>
      <c r="AR20" s="119"/>
      <c r="AS20" s="130">
        <v>45</v>
      </c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7"/>
      <c r="BK20" s="117"/>
      <c r="BL20" s="117"/>
      <c r="BN20" s="117"/>
      <c r="BO20" s="117"/>
      <c r="BP20" s="120"/>
      <c r="BR20" s="117"/>
      <c r="BS20" s="117"/>
      <c r="BZ20" s="117"/>
      <c r="CA20" s="145">
        <v>44596.621851851851</v>
      </c>
    </row>
    <row r="21" spans="1:80" s="118" customFormat="1">
      <c r="A21" s="114"/>
      <c r="B21" s="114">
        <f t="shared" si="0"/>
        <v>1</v>
      </c>
      <c r="C21" s="136" t="s">
        <v>1024</v>
      </c>
      <c r="D21" s="116"/>
      <c r="E21" s="116">
        <v>4</v>
      </c>
      <c r="F21" s="116"/>
      <c r="G21" s="115"/>
      <c r="H21" s="116"/>
      <c r="I21" s="116"/>
      <c r="J21" s="116"/>
      <c r="K21" s="116"/>
      <c r="L21" s="116"/>
      <c r="M21" s="116"/>
      <c r="N21" s="116"/>
      <c r="O21" s="116"/>
      <c r="P21" s="166"/>
      <c r="Q21" s="116"/>
      <c r="R21" s="116"/>
      <c r="S21" s="191"/>
      <c r="T21" s="191"/>
      <c r="U21" s="116"/>
      <c r="V21" s="116"/>
      <c r="W21" s="116"/>
      <c r="X21" s="117"/>
      <c r="Y21" s="116"/>
      <c r="Z21" s="114"/>
      <c r="AB21" s="119"/>
      <c r="AD21" s="119"/>
      <c r="AE21" s="119"/>
      <c r="AF21" s="119"/>
      <c r="AG21" s="119"/>
      <c r="AH21" s="119"/>
      <c r="AI21" s="119"/>
      <c r="AJ21" s="119"/>
      <c r="AK21" s="119"/>
      <c r="AL21" s="119">
        <v>10</v>
      </c>
      <c r="AM21" s="119"/>
      <c r="AN21" s="119"/>
      <c r="AO21" s="119"/>
      <c r="AP21" s="119"/>
      <c r="AQ21" s="119"/>
      <c r="AR21" s="119"/>
      <c r="AS21" s="130">
        <v>25</v>
      </c>
      <c r="AT21" s="126"/>
      <c r="AU21" s="12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7"/>
      <c r="BK21" s="117"/>
      <c r="BL21" s="117"/>
      <c r="BN21" s="117"/>
      <c r="BO21" s="117"/>
      <c r="BP21" s="120"/>
      <c r="BR21" s="117"/>
      <c r="BS21" s="117"/>
      <c r="BZ21" s="117"/>
      <c r="CA21" s="144"/>
    </row>
    <row r="22" spans="1:80" s="118" customFormat="1">
      <c r="A22" s="114"/>
      <c r="B22" s="114">
        <f t="shared" si="0"/>
        <v>1</v>
      </c>
      <c r="C22" s="136" t="s">
        <v>2341</v>
      </c>
      <c r="D22" s="116"/>
      <c r="E22" s="116"/>
      <c r="F22" s="116"/>
      <c r="G22" s="115"/>
      <c r="H22" s="116"/>
      <c r="I22" s="116"/>
      <c r="J22" s="116"/>
      <c r="K22" s="116"/>
      <c r="L22" s="116"/>
      <c r="M22" s="116"/>
      <c r="N22" s="116"/>
      <c r="O22" s="116"/>
      <c r="P22" s="166"/>
      <c r="Q22" s="116"/>
      <c r="R22" s="116"/>
      <c r="S22" s="191"/>
      <c r="T22" s="191"/>
      <c r="U22" s="116"/>
      <c r="V22" s="116"/>
      <c r="W22" s="116"/>
      <c r="X22" s="117"/>
      <c r="Y22" s="116"/>
      <c r="Z22" s="114"/>
      <c r="AB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30"/>
      <c r="AQ22" s="119"/>
      <c r="AR22" s="119"/>
      <c r="AS22" s="130"/>
      <c r="AT22" s="126"/>
      <c r="AU22" s="130">
        <v>0</v>
      </c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7"/>
      <c r="BK22" s="117"/>
      <c r="BL22" s="117"/>
      <c r="BN22" s="117"/>
      <c r="BO22" s="117"/>
      <c r="BP22" s="120"/>
      <c r="BR22" s="117"/>
      <c r="BS22" s="117"/>
      <c r="BZ22" s="117"/>
      <c r="CA22" s="144"/>
    </row>
    <row r="23" spans="1:80" s="118" customFormat="1">
      <c r="A23" s="114"/>
      <c r="B23" s="114">
        <f t="shared" si="0"/>
        <v>1</v>
      </c>
      <c r="C23" s="136" t="s">
        <v>2343</v>
      </c>
      <c r="D23" s="116"/>
      <c r="E23" s="116"/>
      <c r="F23" s="116"/>
      <c r="G23" s="115"/>
      <c r="H23" s="116"/>
      <c r="I23" s="116"/>
      <c r="J23" s="116"/>
      <c r="K23" s="116"/>
      <c r="L23" s="116"/>
      <c r="M23" s="116"/>
      <c r="N23" s="116"/>
      <c r="O23" s="116"/>
      <c r="P23" s="166"/>
      <c r="Q23" s="116"/>
      <c r="R23" s="116"/>
      <c r="S23" s="191"/>
      <c r="T23" s="191"/>
      <c r="U23" s="116"/>
      <c r="V23" s="116"/>
      <c r="W23" s="116"/>
      <c r="X23" s="117"/>
      <c r="Y23" s="116"/>
      <c r="Z23" s="114"/>
      <c r="AB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30"/>
      <c r="AQ23" s="119"/>
      <c r="AR23" s="119"/>
      <c r="AS23" s="130"/>
      <c r="AT23" s="126"/>
      <c r="AU23" s="130">
        <v>9.99</v>
      </c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7"/>
      <c r="BK23" s="117"/>
      <c r="BL23" s="117"/>
      <c r="BN23" s="117"/>
      <c r="BO23" s="117"/>
      <c r="BP23" s="120"/>
      <c r="BR23" s="117"/>
      <c r="BS23" s="117"/>
      <c r="BZ23" s="117"/>
      <c r="CA23" s="144"/>
    </row>
    <row r="24" spans="1:80" s="118" customFormat="1">
      <c r="A24" s="114"/>
      <c r="B24" s="114">
        <f t="shared" si="0"/>
        <v>1</v>
      </c>
      <c r="C24" s="136" t="s">
        <v>988</v>
      </c>
      <c r="D24" s="116"/>
      <c r="E24" s="116"/>
      <c r="F24" s="116"/>
      <c r="G24" s="115"/>
      <c r="H24" s="116"/>
      <c r="I24" s="116"/>
      <c r="J24" s="116"/>
      <c r="K24" s="116"/>
      <c r="L24" s="116"/>
      <c r="M24" s="116"/>
      <c r="N24" s="116"/>
      <c r="O24" s="116"/>
      <c r="P24" s="166"/>
      <c r="Q24" s="116"/>
      <c r="R24" s="116"/>
      <c r="S24" s="191"/>
      <c r="T24" s="191"/>
      <c r="U24" s="116"/>
      <c r="V24" s="116"/>
      <c r="W24" s="116"/>
      <c r="X24" s="117"/>
      <c r="Y24" s="116"/>
      <c r="Z24" s="114"/>
      <c r="AB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6"/>
      <c r="AT24" s="126"/>
      <c r="AU24" s="130">
        <v>15.6</v>
      </c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7"/>
      <c r="BK24" s="117"/>
      <c r="BL24" s="117"/>
      <c r="BN24" s="117"/>
      <c r="BO24" s="117"/>
      <c r="BP24" s="120"/>
      <c r="BR24" s="117"/>
      <c r="BS24" s="117"/>
      <c r="BZ24" s="117"/>
      <c r="CA24" s="145">
        <v>44596.683518518519</v>
      </c>
    </row>
    <row r="25" spans="1:80" s="118" customFormat="1">
      <c r="A25" s="114"/>
      <c r="B25" s="114">
        <f t="shared" si="0"/>
        <v>1</v>
      </c>
      <c r="C25" s="136" t="s">
        <v>2350</v>
      </c>
      <c r="D25" s="116"/>
      <c r="E25" s="116"/>
      <c r="F25" s="116"/>
      <c r="G25" s="115"/>
      <c r="H25" s="116"/>
      <c r="I25" s="116"/>
      <c r="J25" s="116"/>
      <c r="K25" s="116"/>
      <c r="L25" s="116"/>
      <c r="M25" s="116"/>
      <c r="N25" s="116"/>
      <c r="O25" s="116"/>
      <c r="P25" s="166"/>
      <c r="Q25" s="116"/>
      <c r="R25" s="116"/>
      <c r="S25" s="191"/>
      <c r="T25" s="191"/>
      <c r="U25" s="116"/>
      <c r="V25" s="116"/>
      <c r="W25" s="116"/>
      <c r="X25" s="117"/>
      <c r="Y25" s="116"/>
      <c r="Z25" s="114"/>
      <c r="AB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30"/>
      <c r="AQ25" s="119"/>
      <c r="AR25" s="119"/>
      <c r="AS25" s="130"/>
      <c r="AT25" s="130">
        <v>0</v>
      </c>
      <c r="AU25" s="12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7"/>
      <c r="BK25" s="117"/>
      <c r="BL25" s="117"/>
      <c r="BN25" s="117"/>
      <c r="BO25" s="117"/>
      <c r="BP25" s="120"/>
      <c r="BR25" s="117"/>
      <c r="BS25" s="117"/>
      <c r="BZ25" s="117"/>
      <c r="CA25" s="144"/>
    </row>
    <row r="26" spans="1:80" s="80" customFormat="1">
      <c r="B26" s="114">
        <f t="shared" si="0"/>
        <v>4</v>
      </c>
      <c r="C26" s="136" t="s">
        <v>1117</v>
      </c>
      <c r="F26" s="82"/>
      <c r="H26" s="80" t="s">
        <v>1010</v>
      </c>
      <c r="P26" s="168"/>
      <c r="S26" s="192"/>
      <c r="T26" s="192"/>
      <c r="U26" s="82"/>
      <c r="V26" s="82"/>
      <c r="W26" s="82"/>
      <c r="Y26" s="81"/>
      <c r="AA26" s="80" t="s">
        <v>1009</v>
      </c>
      <c r="AC26" s="82"/>
      <c r="AL26" s="119">
        <v>10</v>
      </c>
      <c r="AM26" s="119">
        <v>1</v>
      </c>
      <c r="AO26" s="130">
        <v>0</v>
      </c>
      <c r="AQ26" s="130">
        <v>0</v>
      </c>
      <c r="AT26" s="130">
        <v>0</v>
      </c>
      <c r="AU26" s="82"/>
      <c r="AV26" s="82"/>
      <c r="AW26" s="130">
        <v>0</v>
      </c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L26" s="82"/>
      <c r="CA26" s="158">
        <v>44596.665509259263</v>
      </c>
      <c r="CB26" s="222">
        <v>44604.601365740738</v>
      </c>
    </row>
    <row r="27" spans="1:80" s="80" customFormat="1" ht="30" customHeight="1">
      <c r="B27" s="114">
        <f t="shared" si="0"/>
        <v>4</v>
      </c>
      <c r="C27" s="136" t="s">
        <v>1141</v>
      </c>
      <c r="F27" s="82"/>
      <c r="P27" s="168"/>
      <c r="S27" s="192"/>
      <c r="T27" s="192"/>
      <c r="U27" s="82"/>
      <c r="V27" s="82"/>
      <c r="W27" s="82"/>
      <c r="Y27" s="81"/>
      <c r="AC27" s="82"/>
      <c r="AL27" s="119">
        <v>10</v>
      </c>
      <c r="AM27" s="119">
        <v>1</v>
      </c>
      <c r="AP27" s="130">
        <v>0</v>
      </c>
      <c r="AQ27" s="130">
        <v>0</v>
      </c>
      <c r="AR27" s="130">
        <v>0</v>
      </c>
      <c r="AS27" s="130">
        <v>0</v>
      </c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L27" s="82"/>
      <c r="CA27" s="158">
        <v>44596.609733796293</v>
      </c>
      <c r="CB27" s="222">
        <v>44604.635162037041</v>
      </c>
    </row>
    <row r="28" spans="1:80" s="118" customFormat="1" ht="19.5">
      <c r="A28" s="114"/>
      <c r="B28" s="114">
        <f>COUNTA(AO28:AW28)</f>
        <v>0</v>
      </c>
      <c r="C28" s="136" t="s">
        <v>2463</v>
      </c>
      <c r="D28" s="116" t="s">
        <v>2458</v>
      </c>
      <c r="E28" s="116"/>
      <c r="F28" s="116"/>
      <c r="G28" s="115"/>
      <c r="H28" s="116"/>
      <c r="I28" s="116"/>
      <c r="J28" s="116"/>
      <c r="K28" s="116"/>
      <c r="L28" s="116"/>
      <c r="M28" s="116"/>
      <c r="N28" s="116"/>
      <c r="O28" s="116" t="s">
        <v>2464</v>
      </c>
      <c r="P28" s="166">
        <v>42979</v>
      </c>
      <c r="Q28" s="116"/>
      <c r="R28" s="116"/>
      <c r="S28" s="191">
        <v>59</v>
      </c>
      <c r="T28" s="191">
        <v>25</v>
      </c>
      <c r="U28" s="116"/>
      <c r="V28" s="116"/>
      <c r="W28" s="116"/>
      <c r="X28" s="117"/>
      <c r="Y28" s="116"/>
      <c r="Z28" s="114"/>
      <c r="AB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30"/>
      <c r="AP28" s="119"/>
      <c r="AQ28" s="130"/>
      <c r="AR28" s="119"/>
      <c r="AS28" s="125"/>
      <c r="AT28" s="116"/>
      <c r="AU28" s="116"/>
      <c r="AV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7"/>
      <c r="BK28" s="117"/>
      <c r="BL28" s="117"/>
      <c r="BN28" s="117"/>
      <c r="BO28" s="117"/>
      <c r="BP28" s="120"/>
      <c r="BR28" s="117"/>
      <c r="BS28" s="117"/>
      <c r="BZ28" s="117"/>
      <c r="CA28" s="145">
        <v>44604.568738425929</v>
      </c>
      <c r="CB28" s="162"/>
    </row>
    <row r="29" spans="1:80" s="118" customFormat="1" ht="19.5">
      <c r="A29" s="114"/>
      <c r="B29" s="114">
        <f t="shared" si="0"/>
        <v>6</v>
      </c>
      <c r="C29" s="136" t="s">
        <v>980</v>
      </c>
      <c r="D29" s="116"/>
      <c r="E29" s="116"/>
      <c r="F29" s="116"/>
      <c r="G29" s="115"/>
      <c r="H29" s="116"/>
      <c r="I29" s="116"/>
      <c r="J29" s="116"/>
      <c r="K29" s="116"/>
      <c r="L29" s="116"/>
      <c r="M29" s="116"/>
      <c r="N29" s="116"/>
      <c r="O29" s="116"/>
      <c r="P29" s="166"/>
      <c r="Q29" s="116"/>
      <c r="R29" s="116"/>
      <c r="S29" s="191"/>
      <c r="T29" s="191"/>
      <c r="U29" s="116"/>
      <c r="V29" s="116"/>
      <c r="W29" s="116"/>
      <c r="X29" s="117"/>
      <c r="Y29" s="116"/>
      <c r="Z29" s="114"/>
      <c r="AB29" s="119"/>
      <c r="AD29" s="119"/>
      <c r="AE29" s="119"/>
      <c r="AF29" s="119"/>
      <c r="AG29" s="119"/>
      <c r="AH29" s="119"/>
      <c r="AI29" s="119"/>
      <c r="AJ29" s="119"/>
      <c r="AK29" s="119"/>
      <c r="AL29" s="119">
        <v>10</v>
      </c>
      <c r="AM29" s="119"/>
      <c r="AN29" s="119"/>
      <c r="AO29" s="119"/>
      <c r="AP29" s="130">
        <v>0</v>
      </c>
      <c r="AQ29" s="119"/>
      <c r="AR29" s="130">
        <v>0</v>
      </c>
      <c r="AS29" s="125" t="s">
        <v>948</v>
      </c>
      <c r="AT29" s="126"/>
      <c r="AU29" s="130">
        <v>0</v>
      </c>
      <c r="AV29" s="130">
        <v>0</v>
      </c>
      <c r="AW29" s="130">
        <v>0</v>
      </c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7"/>
      <c r="BK29" s="117"/>
      <c r="BL29" s="117"/>
      <c r="BN29" s="117"/>
      <c r="BO29" s="117"/>
      <c r="BP29" s="120"/>
      <c r="BR29" s="117"/>
      <c r="BS29" s="117"/>
      <c r="BZ29" s="117"/>
      <c r="CA29" s="145">
        <v>44596.62841435185</v>
      </c>
      <c r="CB29" s="162">
        <v>44604.569918981484</v>
      </c>
    </row>
    <row r="30" spans="1:80" s="13" customFormat="1" ht="26.25" customHeight="1">
      <c r="B30" s="114">
        <f t="shared" si="0"/>
        <v>3</v>
      </c>
      <c r="C30" s="136" t="s">
        <v>1128</v>
      </c>
      <c r="D30" s="15"/>
      <c r="F30" s="42"/>
      <c r="H30" s="15" t="s">
        <v>2452</v>
      </c>
      <c r="I30" s="15"/>
      <c r="J30" s="15"/>
      <c r="K30" s="15"/>
      <c r="L30" s="17"/>
      <c r="M30" s="17"/>
      <c r="N30" s="17"/>
      <c r="O30" s="16"/>
      <c r="P30" s="167"/>
      <c r="S30" s="193"/>
      <c r="T30" s="193"/>
      <c r="AO30" s="130">
        <v>0</v>
      </c>
      <c r="AS30" s="130">
        <v>0</v>
      </c>
      <c r="AU30" s="130">
        <v>0</v>
      </c>
      <c r="CA30" s="146">
        <v>44596.68273148148</v>
      </c>
    </row>
    <row r="31" spans="1:80" s="118" customFormat="1" ht="19.5">
      <c r="A31" s="114"/>
      <c r="B31" s="114">
        <f t="shared" si="0"/>
        <v>0</v>
      </c>
      <c r="C31" s="136"/>
      <c r="D31" s="116"/>
      <c r="E31" s="116"/>
      <c r="F31" s="116"/>
      <c r="G31" s="115"/>
      <c r="H31" s="116"/>
      <c r="I31" s="116"/>
      <c r="J31" s="116"/>
      <c r="K31" s="116"/>
      <c r="L31" s="116"/>
      <c r="M31" s="116"/>
      <c r="N31" s="116"/>
      <c r="O31" s="116"/>
      <c r="P31" s="166"/>
      <c r="Q31" s="116"/>
      <c r="R31" s="116"/>
      <c r="S31" s="191"/>
      <c r="T31" s="191"/>
      <c r="U31" s="116"/>
      <c r="V31" s="116"/>
      <c r="W31" s="116"/>
      <c r="X31" s="117"/>
      <c r="Y31" s="116"/>
      <c r="Z31" s="114"/>
      <c r="AB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30"/>
      <c r="AP31" s="119"/>
      <c r="AQ31" s="130"/>
      <c r="AR31" s="119"/>
      <c r="AS31" s="125"/>
      <c r="AT31" s="116"/>
      <c r="AU31" s="116"/>
      <c r="AV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7"/>
      <c r="BK31" s="117"/>
      <c r="BL31" s="117"/>
      <c r="BN31" s="117"/>
      <c r="BO31" s="117"/>
      <c r="BP31" s="120"/>
      <c r="BR31" s="117"/>
      <c r="BS31" s="117"/>
      <c r="BZ31" s="117"/>
      <c r="CA31" s="145"/>
    </row>
    <row r="32" spans="1:80" s="118" customFormat="1" ht="19.5">
      <c r="A32" s="114"/>
      <c r="B32" s="114">
        <f t="shared" si="0"/>
        <v>0</v>
      </c>
      <c r="C32" s="136"/>
      <c r="D32" s="116"/>
      <c r="E32" s="116"/>
      <c r="F32" s="116"/>
      <c r="G32" s="115"/>
      <c r="H32" s="116"/>
      <c r="I32" s="116"/>
      <c r="J32" s="116"/>
      <c r="K32" s="116"/>
      <c r="L32" s="116"/>
      <c r="M32" s="116"/>
      <c r="N32" s="116"/>
      <c r="O32" s="116"/>
      <c r="P32" s="166"/>
      <c r="Q32" s="116"/>
      <c r="R32" s="116"/>
      <c r="S32" s="191"/>
      <c r="T32" s="191"/>
      <c r="U32" s="116"/>
      <c r="V32" s="116"/>
      <c r="W32" s="116"/>
      <c r="X32" s="117"/>
      <c r="Y32" s="116"/>
      <c r="Z32" s="114"/>
      <c r="AB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30"/>
      <c r="AP32" s="119"/>
      <c r="AQ32" s="130"/>
      <c r="AR32" s="119"/>
      <c r="AS32" s="125"/>
      <c r="AT32" s="116"/>
      <c r="AU32" s="116"/>
      <c r="AV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7"/>
      <c r="BK32" s="117"/>
      <c r="BL32" s="117"/>
      <c r="BN32" s="117"/>
      <c r="BO32" s="117"/>
      <c r="BP32" s="120"/>
      <c r="BR32" s="117"/>
      <c r="BS32" s="117"/>
      <c r="BZ32" s="117"/>
      <c r="CA32" s="145"/>
    </row>
    <row r="33" spans="1:80" s="118" customFormat="1" ht="19.5">
      <c r="A33" s="114"/>
      <c r="B33" s="114">
        <f t="shared" si="0"/>
        <v>0</v>
      </c>
      <c r="C33" s="136"/>
      <c r="D33" s="116"/>
      <c r="E33" s="116"/>
      <c r="F33" s="116"/>
      <c r="G33" s="115"/>
      <c r="H33" s="116"/>
      <c r="I33" s="116"/>
      <c r="J33" s="116"/>
      <c r="K33" s="116"/>
      <c r="L33" s="116"/>
      <c r="M33" s="116"/>
      <c r="N33" s="116"/>
      <c r="O33" s="116"/>
      <c r="P33" s="166"/>
      <c r="Q33" s="116"/>
      <c r="R33" s="116"/>
      <c r="S33" s="191"/>
      <c r="T33" s="191"/>
      <c r="U33" s="116"/>
      <c r="V33" s="116"/>
      <c r="W33" s="116"/>
      <c r="X33" s="117"/>
      <c r="Y33" s="116"/>
      <c r="Z33" s="114"/>
      <c r="AB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30"/>
      <c r="AP33" s="119"/>
      <c r="AQ33" s="130"/>
      <c r="AR33" s="119"/>
      <c r="AS33" s="125"/>
      <c r="AT33" s="116"/>
      <c r="AU33" s="116"/>
      <c r="AV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7"/>
      <c r="BK33" s="117"/>
      <c r="BL33" s="117"/>
      <c r="BN33" s="117"/>
      <c r="BO33" s="117"/>
      <c r="BP33" s="120"/>
      <c r="BR33" s="117"/>
      <c r="BS33" s="117"/>
      <c r="BZ33" s="117"/>
      <c r="CA33" s="145"/>
    </row>
    <row r="34" spans="1:80" s="118" customFormat="1">
      <c r="A34" s="114"/>
      <c r="B34" s="114">
        <f t="shared" si="0"/>
        <v>1</v>
      </c>
      <c r="C34" s="136" t="s">
        <v>952</v>
      </c>
      <c r="D34" s="116"/>
      <c r="E34" s="116"/>
      <c r="F34" s="116"/>
      <c r="G34" s="115"/>
      <c r="H34" s="116"/>
      <c r="I34" s="116"/>
      <c r="J34" s="116"/>
      <c r="K34" s="116"/>
      <c r="L34" s="116"/>
      <c r="M34" s="116"/>
      <c r="N34" s="116"/>
      <c r="O34" s="116"/>
      <c r="P34" s="166"/>
      <c r="Q34" s="116"/>
      <c r="R34" s="116"/>
      <c r="S34" s="191"/>
      <c r="T34" s="191"/>
      <c r="U34" s="116"/>
      <c r="V34" s="116"/>
      <c r="W34" s="116"/>
      <c r="X34" s="117"/>
      <c r="Y34" s="116"/>
      <c r="Z34" s="114"/>
      <c r="AB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6"/>
      <c r="AT34" s="130">
        <v>55.3</v>
      </c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 t="str">
        <f>C34&amp;"(第"&amp;E34&amp;"版）"</f>
        <v>社交网络分析(第版）</v>
      </c>
      <c r="BJ34" s="117"/>
      <c r="BK34" s="117"/>
      <c r="BL34" s="117"/>
      <c r="BN34" s="117"/>
      <c r="BO34" s="117"/>
      <c r="BP34" s="120"/>
      <c r="BR34" s="117"/>
      <c r="BS34" s="117"/>
      <c r="BZ34" s="117"/>
      <c r="CA34" s="145">
        <v>44604.547638888886</v>
      </c>
    </row>
    <row r="35" spans="1:80" s="118" customFormat="1" ht="29.25" customHeight="1">
      <c r="A35" s="114"/>
      <c r="B35" s="114">
        <f t="shared" si="0"/>
        <v>1</v>
      </c>
      <c r="C35" s="136" t="s">
        <v>953</v>
      </c>
      <c r="D35" s="116"/>
      <c r="E35" s="116"/>
      <c r="F35" s="116"/>
      <c r="G35" s="115"/>
      <c r="H35" s="116"/>
      <c r="I35" s="116"/>
      <c r="J35" s="116"/>
      <c r="K35" s="116"/>
      <c r="L35" s="116"/>
      <c r="M35" s="116"/>
      <c r="N35" s="116"/>
      <c r="O35" s="116"/>
      <c r="P35" s="166"/>
      <c r="Q35" s="116"/>
      <c r="R35" s="116"/>
      <c r="S35" s="191"/>
      <c r="T35" s="191"/>
      <c r="U35" s="116"/>
      <c r="V35" s="116"/>
      <c r="W35" s="116"/>
      <c r="X35" s="117"/>
      <c r="Y35" s="116"/>
      <c r="Z35" s="114"/>
      <c r="AB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6"/>
      <c r="AT35" s="130">
        <v>48.3</v>
      </c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7"/>
      <c r="BK35" s="117"/>
      <c r="BL35" s="117"/>
      <c r="BN35" s="117"/>
      <c r="BO35" s="117"/>
      <c r="BP35" s="120"/>
      <c r="BR35" s="117"/>
      <c r="BS35" s="117"/>
      <c r="BZ35" s="117"/>
      <c r="CA35" s="144"/>
    </row>
    <row r="36" spans="1:80" s="118" customFormat="1" ht="29.25" customHeight="1">
      <c r="A36" s="114"/>
      <c r="B36" s="114">
        <f t="shared" si="0"/>
        <v>0</v>
      </c>
      <c r="C36" s="136"/>
      <c r="D36" s="116"/>
      <c r="E36" s="116"/>
      <c r="F36" s="116"/>
      <c r="G36" s="115"/>
      <c r="H36" s="116"/>
      <c r="I36" s="116"/>
      <c r="J36" s="116"/>
      <c r="K36" s="116"/>
      <c r="L36" s="116"/>
      <c r="M36" s="116"/>
      <c r="N36" s="116"/>
      <c r="O36" s="116"/>
      <c r="P36" s="166"/>
      <c r="Q36" s="116"/>
      <c r="R36" s="116"/>
      <c r="S36" s="191"/>
      <c r="T36" s="191"/>
      <c r="U36" s="116"/>
      <c r="V36" s="116"/>
      <c r="W36" s="116"/>
      <c r="X36" s="117"/>
      <c r="Y36" s="116"/>
      <c r="Z36" s="114"/>
      <c r="AB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6"/>
      <c r="AT36" s="130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7"/>
      <c r="BK36" s="117"/>
      <c r="BL36" s="117"/>
      <c r="BN36" s="117"/>
      <c r="BO36" s="117"/>
      <c r="BP36" s="120"/>
      <c r="BR36" s="117"/>
      <c r="BS36" s="117"/>
      <c r="BZ36" s="117"/>
      <c r="CA36" s="144"/>
    </row>
    <row r="37" spans="1:80" s="118" customFormat="1" ht="27">
      <c r="A37" s="114"/>
      <c r="B37" s="114">
        <f t="shared" si="0"/>
        <v>1</v>
      </c>
      <c r="C37" s="136" t="s">
        <v>960</v>
      </c>
      <c r="D37" s="116"/>
      <c r="E37" s="116"/>
      <c r="F37" s="116"/>
      <c r="G37" s="115"/>
      <c r="H37" s="116"/>
      <c r="I37" s="116"/>
      <c r="J37" s="116"/>
      <c r="K37" s="116"/>
      <c r="L37" s="116"/>
      <c r="M37" s="116"/>
      <c r="N37" s="116"/>
      <c r="O37" s="116"/>
      <c r="P37" s="166"/>
      <c r="Q37" s="116"/>
      <c r="R37" s="116"/>
      <c r="S37" s="191"/>
      <c r="T37" s="191"/>
      <c r="U37" s="116"/>
      <c r="V37" s="116"/>
      <c r="W37" s="116"/>
      <c r="X37" s="117"/>
      <c r="Y37" s="116"/>
      <c r="Z37" s="114"/>
      <c r="AB37" s="119"/>
      <c r="AD37" s="119"/>
      <c r="AE37" s="119"/>
      <c r="AF37" s="119"/>
      <c r="AG37" s="119"/>
      <c r="AH37" s="119"/>
      <c r="AI37" s="119"/>
      <c r="AJ37" s="119"/>
      <c r="AK37" s="119"/>
      <c r="AL37" s="119">
        <v>10</v>
      </c>
      <c r="AM37" s="119"/>
      <c r="AN37" s="119"/>
      <c r="AO37" s="119"/>
      <c r="AP37" s="119"/>
      <c r="AQ37" s="119"/>
      <c r="AR37" s="119"/>
      <c r="AS37" s="116"/>
      <c r="AT37" s="130">
        <v>47.4</v>
      </c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7"/>
      <c r="BK37" s="117"/>
      <c r="BL37" s="117"/>
      <c r="BN37" s="117"/>
      <c r="BO37" s="117"/>
      <c r="BP37" s="120"/>
      <c r="BR37" s="117"/>
      <c r="BS37" s="117"/>
      <c r="BZ37" s="117"/>
      <c r="CA37" s="145">
        <v>44604.547824074078</v>
      </c>
    </row>
    <row r="38" spans="1:80" s="118" customFormat="1">
      <c r="A38" s="114"/>
      <c r="B38" s="114">
        <f t="shared" si="0"/>
        <v>0</v>
      </c>
      <c r="C38" s="136"/>
      <c r="D38" s="116"/>
      <c r="E38" s="116"/>
      <c r="F38" s="116"/>
      <c r="G38" s="115"/>
      <c r="H38" s="116"/>
      <c r="I38" s="116"/>
      <c r="J38" s="116"/>
      <c r="K38" s="116"/>
      <c r="L38" s="116"/>
      <c r="M38" s="116"/>
      <c r="N38" s="116"/>
      <c r="O38" s="116"/>
      <c r="P38" s="166"/>
      <c r="Q38" s="116"/>
      <c r="R38" s="116"/>
      <c r="S38" s="191"/>
      <c r="T38" s="191"/>
      <c r="U38" s="116"/>
      <c r="V38" s="116"/>
      <c r="W38" s="116"/>
      <c r="X38" s="117"/>
      <c r="Y38" s="116"/>
      <c r="Z38" s="114"/>
      <c r="AB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30"/>
      <c r="AT38" s="126"/>
      <c r="AU38" s="12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7"/>
      <c r="BK38" s="117"/>
      <c r="BL38" s="117"/>
      <c r="BN38" s="117"/>
      <c r="BO38" s="117"/>
      <c r="BP38" s="120"/>
      <c r="BR38" s="117"/>
      <c r="BS38" s="117"/>
      <c r="BZ38" s="117"/>
      <c r="CA38" s="144"/>
    </row>
    <row r="39" spans="1:80" s="118" customFormat="1">
      <c r="A39" s="114"/>
      <c r="B39" s="114">
        <f t="shared" si="0"/>
        <v>1</v>
      </c>
      <c r="C39" s="136" t="s">
        <v>2340</v>
      </c>
      <c r="D39" s="116"/>
      <c r="E39" s="116"/>
      <c r="F39" s="116"/>
      <c r="G39" s="115"/>
      <c r="H39" s="116"/>
      <c r="I39" s="116"/>
      <c r="J39" s="116"/>
      <c r="K39" s="116"/>
      <c r="L39" s="116"/>
      <c r="M39" s="116"/>
      <c r="N39" s="116"/>
      <c r="O39" s="116"/>
      <c r="P39" s="166"/>
      <c r="Q39" s="116"/>
      <c r="R39" s="116"/>
      <c r="S39" s="191"/>
      <c r="T39" s="191"/>
      <c r="U39" s="116"/>
      <c r="V39" s="116"/>
      <c r="W39" s="116"/>
      <c r="X39" s="117"/>
      <c r="Y39" s="116"/>
      <c r="Z39" s="114"/>
      <c r="AB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6"/>
      <c r="AT39" s="130"/>
      <c r="AU39" s="130">
        <v>0</v>
      </c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7"/>
      <c r="BK39" s="117"/>
      <c r="BL39" s="117"/>
      <c r="BN39" s="117"/>
      <c r="BO39" s="117"/>
      <c r="BP39" s="120"/>
      <c r="BR39" s="117"/>
      <c r="BS39" s="117"/>
      <c r="BZ39" s="117"/>
      <c r="CA39" s="144"/>
    </row>
    <row r="40" spans="1:80" s="118" customFormat="1">
      <c r="A40" s="114"/>
      <c r="B40" s="114">
        <f t="shared" si="0"/>
        <v>1</v>
      </c>
      <c r="C40" s="136" t="s">
        <v>1125</v>
      </c>
      <c r="D40" s="116"/>
      <c r="E40" s="116"/>
      <c r="F40" s="116"/>
      <c r="G40" s="115"/>
      <c r="H40" s="116"/>
      <c r="I40" s="116"/>
      <c r="J40" s="116"/>
      <c r="K40" s="116"/>
      <c r="L40" s="116"/>
      <c r="M40" s="116"/>
      <c r="N40" s="116"/>
      <c r="O40" s="116"/>
      <c r="P40" s="166"/>
      <c r="Q40" s="116"/>
      <c r="R40" s="116"/>
      <c r="S40" s="191"/>
      <c r="T40" s="191"/>
      <c r="U40" s="116"/>
      <c r="V40" s="116"/>
      <c r="W40" s="116"/>
      <c r="X40" s="117"/>
      <c r="Y40" s="116"/>
      <c r="Z40" s="114"/>
      <c r="AB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6"/>
      <c r="AT40" s="130">
        <v>1.99</v>
      </c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7"/>
      <c r="BK40" s="117"/>
      <c r="BL40" s="117"/>
      <c r="BN40" s="117"/>
      <c r="BO40" s="117"/>
      <c r="BP40" s="120"/>
      <c r="BR40" s="117"/>
      <c r="BS40" s="117"/>
      <c r="BZ40" s="117"/>
      <c r="CA40" s="144"/>
    </row>
    <row r="41" spans="1:80" s="118" customFormat="1">
      <c r="A41" s="114"/>
      <c r="B41" s="114">
        <f t="shared" si="0"/>
        <v>0</v>
      </c>
      <c r="C41" s="136"/>
      <c r="D41" s="116"/>
      <c r="E41" s="116"/>
      <c r="F41" s="116"/>
      <c r="G41" s="115"/>
      <c r="H41" s="116"/>
      <c r="I41" s="116"/>
      <c r="J41" s="116"/>
      <c r="K41" s="116"/>
      <c r="L41" s="116"/>
      <c r="M41" s="116"/>
      <c r="N41" s="116"/>
      <c r="O41" s="116"/>
      <c r="P41" s="166"/>
      <c r="Q41" s="116"/>
      <c r="R41" s="116"/>
      <c r="S41" s="191"/>
      <c r="T41" s="191"/>
      <c r="U41" s="116"/>
      <c r="V41" s="116"/>
      <c r="W41" s="116"/>
      <c r="X41" s="117"/>
      <c r="Y41" s="116"/>
      <c r="Z41" s="114"/>
      <c r="AB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6"/>
      <c r="AT41" s="130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7"/>
      <c r="BK41" s="117"/>
      <c r="BL41" s="117"/>
      <c r="BN41" s="117"/>
      <c r="BO41" s="117"/>
      <c r="BP41" s="120"/>
      <c r="BR41" s="117"/>
      <c r="BS41" s="117"/>
      <c r="BZ41" s="117"/>
      <c r="CA41" s="144"/>
    </row>
    <row r="42" spans="1:80" s="118" customFormat="1">
      <c r="A42" s="114"/>
      <c r="B42" s="114">
        <f t="shared" si="0"/>
        <v>7</v>
      </c>
      <c r="C42" s="136" t="s">
        <v>1129</v>
      </c>
      <c r="D42" s="116"/>
      <c r="E42" s="116"/>
      <c r="F42" s="116"/>
      <c r="G42" s="115"/>
      <c r="H42" s="116"/>
      <c r="I42" s="116"/>
      <c r="J42" s="116"/>
      <c r="K42" s="116"/>
      <c r="L42" s="116"/>
      <c r="M42" s="116"/>
      <c r="N42" s="116"/>
      <c r="O42" s="116"/>
      <c r="P42" s="166"/>
      <c r="Q42" s="116"/>
      <c r="R42" s="116"/>
      <c r="S42" s="191"/>
      <c r="T42" s="191"/>
      <c r="U42" s="116"/>
      <c r="V42" s="116"/>
      <c r="W42" s="116"/>
      <c r="X42" s="117"/>
      <c r="Y42" s="116"/>
      <c r="Z42" s="114"/>
      <c r="AB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30">
        <v>0</v>
      </c>
      <c r="AP42" s="130">
        <v>0</v>
      </c>
      <c r="AQ42" s="130">
        <v>0</v>
      </c>
      <c r="AR42" s="119"/>
      <c r="AS42" s="130">
        <v>0</v>
      </c>
      <c r="AT42" s="130">
        <v>0</v>
      </c>
      <c r="AU42" s="130">
        <v>0</v>
      </c>
      <c r="AV42" s="130">
        <v>0</v>
      </c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7"/>
      <c r="BK42" s="117"/>
      <c r="BL42" s="117"/>
      <c r="BN42" s="117"/>
      <c r="BO42" s="117"/>
      <c r="BP42" s="120"/>
      <c r="BR42" s="117"/>
      <c r="BS42" s="117"/>
      <c r="BZ42" s="117"/>
      <c r="CA42" s="145">
        <v>44596.608298611114</v>
      </c>
      <c r="CB42" s="162">
        <v>44604.647638888891</v>
      </c>
    </row>
    <row r="43" spans="1:80" s="118" customFormat="1" ht="32.25">
      <c r="A43" s="114"/>
      <c r="B43" s="114">
        <f t="shared" si="0"/>
        <v>2</v>
      </c>
      <c r="C43" s="136" t="s">
        <v>2447</v>
      </c>
      <c r="D43" s="116"/>
      <c r="E43" s="116"/>
      <c r="F43" s="116"/>
      <c r="G43" s="115"/>
      <c r="H43" s="116"/>
      <c r="I43" s="116"/>
      <c r="J43" s="116"/>
      <c r="K43" s="116"/>
      <c r="L43" s="116"/>
      <c r="M43" s="116"/>
      <c r="N43" s="116"/>
      <c r="O43" s="116"/>
      <c r="P43" s="166"/>
      <c r="Q43" s="116"/>
      <c r="R43" s="116"/>
      <c r="S43" s="191"/>
      <c r="T43" s="191"/>
      <c r="U43" s="116"/>
      <c r="V43" s="116"/>
      <c r="W43" s="116"/>
      <c r="X43" s="117"/>
      <c r="Y43" s="116"/>
      <c r="Z43" s="114"/>
      <c r="AB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30"/>
      <c r="AP43" s="130"/>
      <c r="AQ43" s="130"/>
      <c r="AR43" s="119"/>
      <c r="AS43" s="130">
        <v>0</v>
      </c>
      <c r="AT43" s="130"/>
      <c r="AU43" s="130">
        <v>0</v>
      </c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7"/>
      <c r="BK43" s="117"/>
      <c r="BL43" s="117"/>
      <c r="BN43" s="117"/>
      <c r="BO43" s="117"/>
      <c r="BP43" s="120"/>
      <c r="BR43" s="117"/>
      <c r="BS43" s="117"/>
      <c r="BZ43" s="117"/>
      <c r="CA43" s="145">
        <v>44596.654120370367</v>
      </c>
      <c r="CB43" s="162">
        <v>44604.590011574073</v>
      </c>
    </row>
    <row r="44" spans="1:80" s="118" customFormat="1">
      <c r="A44" s="114"/>
      <c r="B44" s="114">
        <f t="shared" si="0"/>
        <v>1</v>
      </c>
      <c r="C44" s="136" t="s">
        <v>2434</v>
      </c>
      <c r="D44" s="116"/>
      <c r="E44" s="116"/>
      <c r="F44" s="116"/>
      <c r="G44" s="115"/>
      <c r="H44" s="116"/>
      <c r="I44" s="116"/>
      <c r="J44" s="116"/>
      <c r="K44" s="116"/>
      <c r="L44" s="116"/>
      <c r="M44" s="116"/>
      <c r="N44" s="116"/>
      <c r="O44" s="116"/>
      <c r="P44" s="166"/>
      <c r="Q44" s="116"/>
      <c r="R44" s="116"/>
      <c r="S44" s="191"/>
      <c r="T44" s="191"/>
      <c r="U44" s="116"/>
      <c r="V44" s="116"/>
      <c r="W44" s="116"/>
      <c r="X44" s="117"/>
      <c r="Y44" s="116"/>
      <c r="Z44" s="114"/>
      <c r="AB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30"/>
      <c r="AP44" s="130">
        <v>0</v>
      </c>
      <c r="AQ44" s="130"/>
      <c r="AR44" s="119"/>
      <c r="AS44" s="130"/>
      <c r="AT44" s="130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7"/>
      <c r="BK44" s="117"/>
      <c r="BL44" s="117"/>
      <c r="BN44" s="117"/>
      <c r="BO44" s="117"/>
      <c r="BP44" s="120"/>
      <c r="BR44" s="117"/>
      <c r="BS44" s="117"/>
      <c r="BZ44" s="117"/>
      <c r="CA44" s="145">
        <v>44596.609039351853</v>
      </c>
    </row>
    <row r="45" spans="1:80" s="118" customFormat="1">
      <c r="A45" s="114"/>
      <c r="B45" s="114">
        <f t="shared" si="0"/>
        <v>6</v>
      </c>
      <c r="C45" s="136" t="s">
        <v>991</v>
      </c>
      <c r="D45" s="116"/>
      <c r="E45" s="116"/>
      <c r="F45" s="116"/>
      <c r="G45" s="115"/>
      <c r="H45" s="116"/>
      <c r="I45" s="116"/>
      <c r="J45" s="116"/>
      <c r="K45" s="116"/>
      <c r="L45" s="116"/>
      <c r="M45" s="116"/>
      <c r="N45" s="116"/>
      <c r="O45" s="116"/>
      <c r="P45" s="166"/>
      <c r="Q45" s="116"/>
      <c r="R45" s="116"/>
      <c r="S45" s="191"/>
      <c r="T45" s="191"/>
      <c r="U45" s="116"/>
      <c r="V45" s="116"/>
      <c r="W45" s="116"/>
      <c r="X45" s="117"/>
      <c r="Y45" s="116"/>
      <c r="Z45" s="114"/>
      <c r="AB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30">
        <v>0</v>
      </c>
      <c r="AP45" s="130">
        <v>0</v>
      </c>
      <c r="AQ45" s="130">
        <v>0</v>
      </c>
      <c r="AR45" s="119"/>
      <c r="AS45" s="116"/>
      <c r="AT45" s="116"/>
      <c r="AU45" s="130">
        <v>0</v>
      </c>
      <c r="AV45" s="130">
        <v>0</v>
      </c>
      <c r="AW45" s="130">
        <v>0</v>
      </c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7"/>
      <c r="BK45" s="117"/>
      <c r="BL45" s="117"/>
      <c r="BN45" s="117"/>
      <c r="BO45" s="117"/>
      <c r="BP45" s="120"/>
      <c r="BR45" s="117"/>
      <c r="BS45" s="117"/>
      <c r="BZ45" s="117"/>
      <c r="CA45" s="145">
        <v>44596.60864583333</v>
      </c>
    </row>
    <row r="46" spans="1:80" s="118" customFormat="1">
      <c r="A46" s="114"/>
      <c r="B46" s="114">
        <f t="shared" si="0"/>
        <v>0</v>
      </c>
      <c r="C46" s="136" t="s">
        <v>898</v>
      </c>
      <c r="D46" s="116"/>
      <c r="E46" s="116"/>
      <c r="F46" s="116"/>
      <c r="G46" s="115"/>
      <c r="H46" s="116"/>
      <c r="I46" s="116"/>
      <c r="J46" s="116"/>
      <c r="K46" s="116"/>
      <c r="L46" s="116"/>
      <c r="M46" s="116"/>
      <c r="N46" s="116"/>
      <c r="O46" s="116"/>
      <c r="P46" s="166"/>
      <c r="Q46" s="116"/>
      <c r="R46" s="116"/>
      <c r="S46" s="191"/>
      <c r="T46" s="191"/>
      <c r="U46" s="116"/>
      <c r="V46" s="116"/>
      <c r="W46" s="116"/>
      <c r="X46" s="117"/>
      <c r="Y46" s="116"/>
      <c r="Z46" s="114"/>
      <c r="AB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30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 t="str">
        <f>C46&amp;"(第"&amp;E46&amp;"版）"</f>
        <v>从0到1：开启商业与未来的秘密(第版）</v>
      </c>
      <c r="BJ46" s="117"/>
      <c r="BK46" s="117"/>
      <c r="BL46" s="117"/>
      <c r="BN46" s="117"/>
      <c r="BO46" s="117"/>
      <c r="BP46" s="120"/>
      <c r="BR46" s="117"/>
      <c r="BS46" s="117"/>
      <c r="BZ46" s="117"/>
      <c r="CA46" s="145">
        <v>44596.658819444441</v>
      </c>
    </row>
    <row r="47" spans="1:80" s="118" customFormat="1" ht="27">
      <c r="A47" s="114"/>
      <c r="B47" s="114">
        <f t="shared" si="0"/>
        <v>3</v>
      </c>
      <c r="C47" s="136" t="s">
        <v>1022</v>
      </c>
      <c r="D47" s="116"/>
      <c r="E47" s="116"/>
      <c r="F47" s="116"/>
      <c r="G47" s="115"/>
      <c r="H47" s="116"/>
      <c r="I47" s="116"/>
      <c r="J47" s="116"/>
      <c r="K47" s="116"/>
      <c r="L47" s="116"/>
      <c r="M47" s="116"/>
      <c r="N47" s="116"/>
      <c r="O47" s="116"/>
      <c r="P47" s="166"/>
      <c r="Q47" s="116"/>
      <c r="R47" s="116"/>
      <c r="S47" s="191"/>
      <c r="T47" s="191"/>
      <c r="U47" s="116"/>
      <c r="V47" s="116"/>
      <c r="W47" s="116"/>
      <c r="X47" s="117"/>
      <c r="Y47" s="116"/>
      <c r="Z47" s="114"/>
      <c r="AB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30">
        <v>0</v>
      </c>
      <c r="AQ47" s="130">
        <v>0</v>
      </c>
      <c r="AR47" s="119"/>
      <c r="AS47" s="130">
        <v>0</v>
      </c>
      <c r="AT47" s="126"/>
      <c r="AU47" s="12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7"/>
      <c r="BK47" s="117"/>
      <c r="BL47" s="117"/>
      <c r="BN47" s="117"/>
      <c r="BO47" s="117"/>
      <c r="BP47" s="120"/>
      <c r="BR47" s="117"/>
      <c r="BS47" s="117"/>
      <c r="BZ47" s="117"/>
      <c r="CA47" s="145">
        <v>44596.646874999999</v>
      </c>
    </row>
    <row r="48" spans="1:80" s="118" customFormat="1">
      <c r="A48" s="114"/>
      <c r="B48" s="114">
        <f t="shared" si="0"/>
        <v>0</v>
      </c>
      <c r="C48" s="136"/>
      <c r="D48" s="116"/>
      <c r="E48" s="116"/>
      <c r="F48" s="116"/>
      <c r="G48" s="115"/>
      <c r="H48" s="116"/>
      <c r="I48" s="116"/>
      <c r="J48" s="116"/>
      <c r="K48" s="116"/>
      <c r="L48" s="116"/>
      <c r="M48" s="116"/>
      <c r="N48" s="116"/>
      <c r="O48" s="116"/>
      <c r="P48" s="166"/>
      <c r="Q48" s="116"/>
      <c r="R48" s="116"/>
      <c r="S48" s="191"/>
      <c r="T48" s="191"/>
      <c r="U48" s="116"/>
      <c r="V48" s="116"/>
      <c r="W48" s="116"/>
      <c r="X48" s="117"/>
      <c r="Y48" s="116"/>
      <c r="Z48" s="114"/>
      <c r="AB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30"/>
      <c r="AQ48" s="119"/>
      <c r="AR48" s="119"/>
      <c r="AS48" s="130"/>
      <c r="AT48" s="126"/>
      <c r="AU48" s="12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7"/>
      <c r="BK48" s="117"/>
      <c r="BL48" s="117"/>
      <c r="BN48" s="117"/>
      <c r="BO48" s="117"/>
      <c r="BP48" s="120"/>
      <c r="BR48" s="117"/>
      <c r="BS48" s="117"/>
      <c r="BZ48" s="117"/>
      <c r="CA48" s="144"/>
    </row>
    <row r="49" spans="1:80" s="118" customFormat="1">
      <c r="A49" s="114"/>
      <c r="B49" s="114">
        <f t="shared" si="0"/>
        <v>0</v>
      </c>
      <c r="C49" s="136"/>
      <c r="D49" s="116"/>
      <c r="E49" s="116"/>
      <c r="F49" s="116"/>
      <c r="G49" s="115"/>
      <c r="H49" s="116"/>
      <c r="I49" s="116"/>
      <c r="J49" s="116"/>
      <c r="K49" s="116"/>
      <c r="L49" s="116"/>
      <c r="M49" s="116"/>
      <c r="N49" s="116"/>
      <c r="O49" s="116"/>
      <c r="P49" s="166"/>
      <c r="Q49" s="116"/>
      <c r="R49" s="116"/>
      <c r="S49" s="191"/>
      <c r="T49" s="191"/>
      <c r="U49" s="116"/>
      <c r="V49" s="116"/>
      <c r="W49" s="116"/>
      <c r="X49" s="117"/>
      <c r="Y49" s="116"/>
      <c r="Z49" s="114"/>
      <c r="AB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30"/>
      <c r="AQ49" s="119"/>
      <c r="AR49" s="119"/>
      <c r="AS49" s="130"/>
      <c r="AT49" s="126"/>
      <c r="AU49" s="12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7"/>
      <c r="BK49" s="117"/>
      <c r="BL49" s="117"/>
      <c r="BN49" s="117"/>
      <c r="BO49" s="117"/>
      <c r="BP49" s="120"/>
      <c r="BR49" s="117"/>
      <c r="BS49" s="117"/>
      <c r="BZ49" s="117"/>
      <c r="CA49" s="144"/>
    </row>
    <row r="50" spans="1:80" s="118" customFormat="1">
      <c r="A50" s="114"/>
      <c r="B50" s="114">
        <f t="shared" si="0"/>
        <v>0</v>
      </c>
      <c r="C50" s="136"/>
      <c r="D50" s="116"/>
      <c r="E50" s="116"/>
      <c r="F50" s="116"/>
      <c r="G50" s="115"/>
      <c r="H50" s="116"/>
      <c r="I50" s="116"/>
      <c r="J50" s="116"/>
      <c r="K50" s="116"/>
      <c r="L50" s="116"/>
      <c r="M50" s="116"/>
      <c r="N50" s="116"/>
      <c r="O50" s="116"/>
      <c r="P50" s="166"/>
      <c r="Q50" s="116"/>
      <c r="R50" s="116"/>
      <c r="S50" s="191"/>
      <c r="T50" s="191"/>
      <c r="U50" s="116"/>
      <c r="V50" s="116"/>
      <c r="W50" s="116"/>
      <c r="X50" s="117"/>
      <c r="Y50" s="116"/>
      <c r="Z50" s="114"/>
      <c r="AB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30"/>
      <c r="AQ50" s="119"/>
      <c r="AR50" s="119"/>
      <c r="AS50" s="130"/>
      <c r="AT50" s="126"/>
      <c r="AU50" s="12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7"/>
      <c r="BK50" s="117"/>
      <c r="BL50" s="117"/>
      <c r="BN50" s="117"/>
      <c r="BO50" s="117"/>
      <c r="BP50" s="120"/>
      <c r="BR50" s="117"/>
      <c r="BS50" s="117"/>
      <c r="BZ50" s="117"/>
      <c r="CA50" s="144"/>
    </row>
    <row r="51" spans="1:80" s="13" customFormat="1" ht="26.25" customHeight="1">
      <c r="B51" s="114">
        <f t="shared" si="0"/>
        <v>0</v>
      </c>
      <c r="C51" s="136"/>
      <c r="D51" s="15"/>
      <c r="F51" s="42"/>
      <c r="H51" s="15"/>
      <c r="I51" s="15"/>
      <c r="J51" s="15"/>
      <c r="K51" s="15"/>
      <c r="L51" s="17"/>
      <c r="M51" s="17"/>
      <c r="N51" s="17"/>
      <c r="O51" s="16"/>
      <c r="P51" s="167"/>
      <c r="S51" s="193"/>
      <c r="T51" s="193"/>
      <c r="AQ51" s="130"/>
      <c r="CA51" s="146">
        <v>44604.555567129632</v>
      </c>
    </row>
    <row r="52" spans="1:80" s="13" customFormat="1" ht="26.25" customHeight="1">
      <c r="B52" s="114">
        <f t="shared" si="0"/>
        <v>0</v>
      </c>
      <c r="C52" s="136"/>
      <c r="D52" s="15"/>
      <c r="F52" s="42"/>
      <c r="H52" s="15"/>
      <c r="I52" s="15"/>
      <c r="J52" s="15"/>
      <c r="K52" s="15"/>
      <c r="L52" s="17"/>
      <c r="M52" s="17"/>
      <c r="N52" s="17"/>
      <c r="O52" s="16"/>
      <c r="P52" s="167"/>
      <c r="S52" s="193"/>
      <c r="T52" s="193"/>
      <c r="AQ52" s="130"/>
      <c r="CA52" s="33"/>
    </row>
    <row r="53" spans="1:80" s="13" customFormat="1" ht="26.25" customHeight="1">
      <c r="B53" s="114">
        <f t="shared" si="0"/>
        <v>0</v>
      </c>
      <c r="C53" s="136"/>
      <c r="D53" s="15"/>
      <c r="F53" s="42"/>
      <c r="H53" s="15"/>
      <c r="I53" s="15"/>
      <c r="J53" s="15"/>
      <c r="K53" s="15"/>
      <c r="L53" s="17"/>
      <c r="M53" s="17"/>
      <c r="N53" s="17"/>
      <c r="O53" s="16"/>
      <c r="P53" s="167"/>
      <c r="S53" s="193"/>
      <c r="T53" s="193"/>
      <c r="AQ53" s="130"/>
      <c r="CA53" s="33"/>
    </row>
    <row r="54" spans="1:80" s="13" customFormat="1" ht="26.25" customHeight="1">
      <c r="B54" s="114">
        <f t="shared" si="0"/>
        <v>0</v>
      </c>
      <c r="C54" s="136"/>
      <c r="D54" s="15"/>
      <c r="F54" s="42"/>
      <c r="H54" s="15"/>
      <c r="I54" s="15"/>
      <c r="J54" s="15"/>
      <c r="K54" s="15"/>
      <c r="L54" s="17"/>
      <c r="M54" s="17"/>
      <c r="N54" s="17"/>
      <c r="O54" s="16"/>
      <c r="P54" s="167"/>
      <c r="S54" s="193"/>
      <c r="T54" s="193"/>
      <c r="AQ54" s="130"/>
      <c r="CA54" s="33"/>
    </row>
    <row r="55" spans="1:80" s="118" customFormat="1">
      <c r="A55" s="114"/>
      <c r="B55" s="114">
        <f t="shared" si="0"/>
        <v>2</v>
      </c>
      <c r="C55" s="136" t="s">
        <v>2432</v>
      </c>
      <c r="D55" s="116"/>
      <c r="E55" s="116"/>
      <c r="F55" s="116"/>
      <c r="G55" s="115"/>
      <c r="H55" s="116"/>
      <c r="I55" s="116"/>
      <c r="J55" s="116"/>
      <c r="K55" s="116"/>
      <c r="L55" s="116"/>
      <c r="M55" s="116"/>
      <c r="N55" s="116"/>
      <c r="O55" s="116"/>
      <c r="P55" s="166"/>
      <c r="Q55" s="116"/>
      <c r="R55" s="116"/>
      <c r="S55" s="191"/>
      <c r="T55" s="191"/>
      <c r="U55" s="116"/>
      <c r="V55" s="116"/>
      <c r="W55" s="116"/>
      <c r="X55" s="117"/>
      <c r="Y55" s="116"/>
      <c r="Z55" s="114"/>
      <c r="AB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30">
        <v>0</v>
      </c>
      <c r="AP55" s="119"/>
      <c r="AQ55" s="119"/>
      <c r="AR55" s="119"/>
      <c r="AS55" s="130">
        <v>0</v>
      </c>
      <c r="AT55" s="130"/>
      <c r="AU55" s="116"/>
      <c r="AV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7"/>
      <c r="BK55" s="117"/>
      <c r="BL55" s="117"/>
      <c r="BN55" s="117"/>
      <c r="BO55" s="117"/>
      <c r="BP55" s="120"/>
      <c r="BR55" s="117"/>
      <c r="BS55" s="117"/>
      <c r="BZ55" s="117"/>
      <c r="CA55" s="145">
        <v>44596.600601851853</v>
      </c>
    </row>
    <row r="56" spans="1:80" s="118" customFormat="1">
      <c r="A56" s="114"/>
      <c r="B56" s="114">
        <f t="shared" si="0"/>
        <v>3</v>
      </c>
      <c r="C56" s="136" t="s">
        <v>1032</v>
      </c>
      <c r="D56" s="116"/>
      <c r="E56" s="116"/>
      <c r="F56" s="116"/>
      <c r="G56" s="115"/>
      <c r="H56" s="116"/>
      <c r="I56" s="116"/>
      <c r="J56" s="116"/>
      <c r="K56" s="116"/>
      <c r="L56" s="116"/>
      <c r="M56" s="116"/>
      <c r="N56" s="116"/>
      <c r="O56" s="116"/>
      <c r="P56" s="166"/>
      <c r="Q56" s="116"/>
      <c r="R56" s="116"/>
      <c r="S56" s="191"/>
      <c r="T56" s="191"/>
      <c r="U56" s="116"/>
      <c r="V56" s="116"/>
      <c r="W56" s="116"/>
      <c r="X56" s="117"/>
      <c r="Y56" s="116"/>
      <c r="Z56" s="114"/>
      <c r="AB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26"/>
      <c r="AT56" s="130">
        <v>0</v>
      </c>
      <c r="AU56" s="130">
        <v>0</v>
      </c>
      <c r="AV56" s="130">
        <v>0</v>
      </c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7"/>
      <c r="BK56" s="117"/>
      <c r="BL56" s="117"/>
      <c r="BN56" s="117"/>
      <c r="BO56" s="117"/>
      <c r="BP56" s="120"/>
      <c r="BR56" s="117"/>
      <c r="BS56" s="117"/>
      <c r="BZ56" s="117"/>
      <c r="CA56" s="145">
        <v>44596.600439814814</v>
      </c>
      <c r="CB56" s="162">
        <v>44604.618564814817</v>
      </c>
    </row>
    <row r="57" spans="1:80" s="118" customFormat="1">
      <c r="A57" s="114"/>
      <c r="B57" s="114">
        <f t="shared" si="0"/>
        <v>4</v>
      </c>
      <c r="C57" s="136" t="s">
        <v>1144</v>
      </c>
      <c r="D57" s="116"/>
      <c r="E57" s="116"/>
      <c r="F57" s="116" t="s">
        <v>951</v>
      </c>
      <c r="G57" s="115"/>
      <c r="H57" s="116"/>
      <c r="I57" s="116"/>
      <c r="J57" s="116"/>
      <c r="K57" s="116"/>
      <c r="L57" s="116"/>
      <c r="M57" s="116"/>
      <c r="N57" s="116"/>
      <c r="O57" s="116" t="s">
        <v>950</v>
      </c>
      <c r="P57" s="166"/>
      <c r="Q57" s="116"/>
      <c r="R57" s="116"/>
      <c r="S57" s="191"/>
      <c r="T57" s="191"/>
      <c r="U57" s="116"/>
      <c r="V57" s="116"/>
      <c r="W57" s="116"/>
      <c r="X57" s="117"/>
      <c r="Y57" s="116"/>
      <c r="Z57" s="114"/>
      <c r="AB57" s="119"/>
      <c r="AD57" s="119"/>
      <c r="AE57" s="119"/>
      <c r="AF57" s="119"/>
      <c r="AG57" s="119"/>
      <c r="AH57" s="119"/>
      <c r="AI57" s="119"/>
      <c r="AJ57" s="119"/>
      <c r="AK57" s="119"/>
      <c r="AL57" s="119">
        <v>10</v>
      </c>
      <c r="AM57" s="119"/>
      <c r="AN57" s="119"/>
      <c r="AO57" s="130">
        <v>0</v>
      </c>
      <c r="AP57" s="130">
        <v>0</v>
      </c>
      <c r="AQ57" s="119"/>
      <c r="AR57" s="119"/>
      <c r="AS57" s="116" t="s">
        <v>828</v>
      </c>
      <c r="AT57" s="130">
        <v>0</v>
      </c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 t="str">
        <f>C57&amp;"(第"&amp;E57&amp;"版）"</f>
        <v>敏捷革命(第版）</v>
      </c>
      <c r="BJ57" s="117"/>
      <c r="BK57" s="117"/>
      <c r="BL57" s="117"/>
      <c r="BN57" s="117"/>
      <c r="BO57" s="117"/>
      <c r="BP57" s="120"/>
      <c r="BR57" s="117"/>
      <c r="BS57" s="117"/>
      <c r="BZ57" s="117"/>
      <c r="CA57" s="145">
        <v>44604.551006944443</v>
      </c>
    </row>
    <row r="58" spans="1:80" s="118" customFormat="1">
      <c r="A58" s="114"/>
      <c r="B58" s="114">
        <f t="shared" si="0"/>
        <v>4</v>
      </c>
      <c r="C58" s="136" t="s">
        <v>958</v>
      </c>
      <c r="D58" s="116"/>
      <c r="E58" s="116"/>
      <c r="F58" s="116"/>
      <c r="G58" s="115"/>
      <c r="H58" s="116"/>
      <c r="I58" s="116"/>
      <c r="J58" s="116"/>
      <c r="K58" s="116"/>
      <c r="L58" s="116"/>
      <c r="M58" s="116"/>
      <c r="N58" s="116"/>
      <c r="O58" s="116"/>
      <c r="P58" s="166"/>
      <c r="Q58" s="116"/>
      <c r="R58" s="116"/>
      <c r="S58" s="191"/>
      <c r="T58" s="191"/>
      <c r="U58" s="116"/>
      <c r="V58" s="116"/>
      <c r="W58" s="116"/>
      <c r="X58" s="117"/>
      <c r="Y58" s="116"/>
      <c r="Z58" s="114"/>
      <c r="AB58" s="119"/>
      <c r="AD58" s="119"/>
      <c r="AE58" s="119"/>
      <c r="AF58" s="119"/>
      <c r="AG58" s="119"/>
      <c r="AH58" s="119"/>
      <c r="AI58" s="119"/>
      <c r="AK58" s="119"/>
      <c r="AL58" s="119">
        <v>10</v>
      </c>
      <c r="AM58" s="119"/>
      <c r="AN58" s="119"/>
      <c r="AO58" s="119"/>
      <c r="AP58" s="130">
        <v>0</v>
      </c>
      <c r="AQ58" s="130">
        <v>0</v>
      </c>
      <c r="AR58" s="119"/>
      <c r="AS58" s="116"/>
      <c r="AT58" s="130">
        <v>0</v>
      </c>
      <c r="AU58" s="116"/>
      <c r="AV58" s="130">
        <v>0</v>
      </c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7"/>
      <c r="BK58" s="117"/>
      <c r="BL58" s="117"/>
      <c r="BN58" s="117"/>
      <c r="BO58" s="117"/>
      <c r="BP58" s="120"/>
      <c r="BR58" s="117"/>
      <c r="BS58" s="117"/>
      <c r="BZ58" s="117"/>
      <c r="CA58" s="145">
        <v>44596.608090277776</v>
      </c>
      <c r="CB58" s="162">
        <v>44604.551053240742</v>
      </c>
    </row>
    <row r="59" spans="1:80" s="118" customFormat="1">
      <c r="A59" s="114"/>
      <c r="B59" s="114">
        <f t="shared" si="0"/>
        <v>1</v>
      </c>
      <c r="C59" s="136" t="s">
        <v>1168</v>
      </c>
      <c r="D59" s="116"/>
      <c r="E59" s="116"/>
      <c r="F59" s="116"/>
      <c r="G59" s="115"/>
      <c r="H59" s="116"/>
      <c r="I59" s="116"/>
      <c r="J59" s="116"/>
      <c r="K59" s="116"/>
      <c r="L59" s="116"/>
      <c r="M59" s="116"/>
      <c r="N59" s="116"/>
      <c r="O59" s="116"/>
      <c r="P59" s="166"/>
      <c r="Q59" s="116"/>
      <c r="R59" s="116"/>
      <c r="S59" s="191"/>
      <c r="T59" s="191"/>
      <c r="U59" s="116"/>
      <c r="V59" s="116"/>
      <c r="W59" s="116"/>
      <c r="X59" s="117"/>
      <c r="Y59" s="116"/>
      <c r="Z59" s="114"/>
      <c r="AB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30"/>
      <c r="AR59" s="119"/>
      <c r="AS59" s="130">
        <v>0</v>
      </c>
      <c r="AT59" s="130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7"/>
      <c r="BK59" s="117"/>
      <c r="BL59" s="117"/>
      <c r="BN59" s="117"/>
      <c r="BO59" s="117"/>
      <c r="BP59" s="120"/>
      <c r="BR59" s="117"/>
      <c r="BS59" s="117"/>
      <c r="BZ59" s="117"/>
      <c r="CA59" s="144"/>
    </row>
    <row r="60" spans="1:80" s="13" customFormat="1" ht="26.25" customHeight="1">
      <c r="B60" s="114">
        <f t="shared" si="0"/>
        <v>0</v>
      </c>
      <c r="C60" s="136"/>
      <c r="D60" s="15"/>
      <c r="F60" s="42"/>
      <c r="H60" s="15"/>
      <c r="I60" s="15"/>
      <c r="J60" s="15"/>
      <c r="K60" s="15"/>
      <c r="L60" s="17"/>
      <c r="M60" s="17"/>
      <c r="N60" s="17"/>
      <c r="O60" s="16"/>
      <c r="P60" s="167"/>
      <c r="S60" s="193"/>
      <c r="T60" s="193"/>
      <c r="CA60" s="33"/>
    </row>
    <row r="61" spans="1:80" s="13" customFormat="1" ht="26.25" customHeight="1">
      <c r="B61" s="114">
        <f t="shared" si="0"/>
        <v>0</v>
      </c>
      <c r="C61" s="136"/>
      <c r="D61" s="15"/>
      <c r="F61" s="42"/>
      <c r="H61" s="15"/>
      <c r="I61" s="15"/>
      <c r="J61" s="15"/>
      <c r="K61" s="15"/>
      <c r="L61" s="17"/>
      <c r="M61" s="17"/>
      <c r="N61" s="17"/>
      <c r="O61" s="16"/>
      <c r="P61" s="167"/>
      <c r="S61" s="193"/>
      <c r="T61" s="193"/>
      <c r="AO61" s="130"/>
      <c r="AS61" s="125"/>
      <c r="CA61" s="146">
        <v>44596.682858796295</v>
      </c>
    </row>
    <row r="62" spans="1:80" s="13" customFormat="1" ht="26.25" customHeight="1">
      <c r="B62" s="114">
        <f t="shared" si="0"/>
        <v>4</v>
      </c>
      <c r="C62" s="136" t="s">
        <v>2349</v>
      </c>
      <c r="D62" s="15"/>
      <c r="F62" s="42"/>
      <c r="H62" s="15"/>
      <c r="I62" s="15"/>
      <c r="J62" s="15"/>
      <c r="K62" s="15"/>
      <c r="L62" s="17"/>
      <c r="M62" s="17"/>
      <c r="N62" s="17"/>
      <c r="O62" s="16"/>
      <c r="P62" s="167"/>
      <c r="S62" s="193"/>
      <c r="T62" s="193"/>
      <c r="AO62" s="130"/>
      <c r="AP62" s="130">
        <v>0</v>
      </c>
      <c r="AS62" s="130">
        <v>0</v>
      </c>
      <c r="AT62" s="130">
        <v>0</v>
      </c>
      <c r="AU62" s="130">
        <v>0</v>
      </c>
      <c r="CA62" s="146">
        <v>44596.612592592595</v>
      </c>
      <c r="CB62" s="221">
        <v>44604.610694444447</v>
      </c>
    </row>
    <row r="63" spans="1:80" s="118" customFormat="1">
      <c r="A63" s="114"/>
      <c r="B63" s="114">
        <f t="shared" si="0"/>
        <v>2</v>
      </c>
      <c r="C63" s="136" t="s">
        <v>1033</v>
      </c>
      <c r="D63" s="116"/>
      <c r="E63" s="116"/>
      <c r="F63" s="116"/>
      <c r="G63" s="115"/>
      <c r="H63" s="116"/>
      <c r="I63" s="116"/>
      <c r="J63" s="116"/>
      <c r="K63" s="116"/>
      <c r="L63" s="116"/>
      <c r="M63" s="116"/>
      <c r="N63" s="116"/>
      <c r="O63" s="116"/>
      <c r="P63" s="166"/>
      <c r="Q63" s="116"/>
      <c r="R63" s="116"/>
      <c r="S63" s="191"/>
      <c r="T63" s="191"/>
      <c r="U63" s="116"/>
      <c r="V63" s="116"/>
      <c r="W63" s="116"/>
      <c r="X63" s="117"/>
      <c r="Y63" s="116"/>
      <c r="Z63" s="114"/>
      <c r="AB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30">
        <v>0</v>
      </c>
      <c r="AS63" s="126"/>
      <c r="AT63" s="126"/>
      <c r="AU63" s="126"/>
      <c r="AV63" s="130">
        <v>0</v>
      </c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7"/>
      <c r="BK63" s="117"/>
      <c r="BL63" s="117"/>
      <c r="BN63" s="117"/>
      <c r="BO63" s="117"/>
      <c r="BP63" s="120"/>
      <c r="BR63" s="117"/>
      <c r="BS63" s="117"/>
      <c r="BZ63" s="117"/>
      <c r="CA63" s="145">
        <v>44596.629004629627</v>
      </c>
    </row>
    <row r="64" spans="1:80" s="13" customFormat="1" ht="26.25" customHeight="1">
      <c r="B64" s="114">
        <f t="shared" si="0"/>
        <v>1</v>
      </c>
      <c r="C64" s="136" t="s">
        <v>1406</v>
      </c>
      <c r="D64" s="15"/>
      <c r="F64" s="42"/>
      <c r="H64" s="15"/>
      <c r="I64" s="15"/>
      <c r="J64" s="15"/>
      <c r="K64" s="15"/>
      <c r="L64" s="17"/>
      <c r="M64" s="17"/>
      <c r="N64" s="17"/>
      <c r="O64" s="16" t="s">
        <v>621</v>
      </c>
      <c r="P64" s="167"/>
      <c r="S64" s="193"/>
      <c r="T64" s="193"/>
      <c r="AP64" s="130"/>
      <c r="AS64" s="125" t="s">
        <v>948</v>
      </c>
      <c r="CA64" s="146">
        <v>44596.614027777781</v>
      </c>
    </row>
    <row r="65" spans="1:80" s="13" customFormat="1" ht="26.25" customHeight="1">
      <c r="B65" s="114">
        <f t="shared" si="0"/>
        <v>2</v>
      </c>
      <c r="C65" s="136" t="s">
        <v>1407</v>
      </c>
      <c r="D65" s="15"/>
      <c r="F65" s="42"/>
      <c r="H65" s="15"/>
      <c r="I65" s="15"/>
      <c r="J65" s="15"/>
      <c r="K65" s="15"/>
      <c r="L65" s="17"/>
      <c r="M65" s="17"/>
      <c r="N65" s="17"/>
      <c r="O65" s="16" t="s">
        <v>621</v>
      </c>
      <c r="P65" s="167"/>
      <c r="S65" s="193"/>
      <c r="T65" s="193"/>
      <c r="AP65" s="130">
        <v>0</v>
      </c>
      <c r="AS65" s="125" t="s">
        <v>948</v>
      </c>
      <c r="CA65" s="33"/>
    </row>
    <row r="66" spans="1:80" s="13" customFormat="1" ht="26.25" customHeight="1">
      <c r="B66" s="114">
        <f t="shared" si="0"/>
        <v>2</v>
      </c>
      <c r="C66" s="136" t="s">
        <v>1408</v>
      </c>
      <c r="D66" s="15"/>
      <c r="F66" s="42"/>
      <c r="H66" s="15"/>
      <c r="I66" s="15"/>
      <c r="J66" s="15"/>
      <c r="K66" s="15"/>
      <c r="L66" s="17"/>
      <c r="M66" s="17"/>
      <c r="N66" s="17"/>
      <c r="O66" s="16" t="s">
        <v>621</v>
      </c>
      <c r="P66" s="167"/>
      <c r="S66" s="193"/>
      <c r="T66" s="193"/>
      <c r="AP66" s="130">
        <v>0</v>
      </c>
      <c r="AS66" s="125" t="s">
        <v>948</v>
      </c>
      <c r="CA66" s="33"/>
    </row>
    <row r="67" spans="1:80" s="13" customFormat="1" ht="26.25" customHeight="1">
      <c r="B67" s="114">
        <f t="shared" si="0"/>
        <v>2</v>
      </c>
      <c r="C67" s="136" t="s">
        <v>1409</v>
      </c>
      <c r="D67" s="15"/>
      <c r="F67" s="42"/>
      <c r="H67" s="15"/>
      <c r="I67" s="15"/>
      <c r="J67" s="15"/>
      <c r="K67" s="15"/>
      <c r="L67" s="17"/>
      <c r="M67" s="17"/>
      <c r="N67" s="17"/>
      <c r="O67" s="16" t="s">
        <v>621</v>
      </c>
      <c r="P67" s="167"/>
      <c r="S67" s="193"/>
      <c r="T67" s="193"/>
      <c r="AP67" s="130">
        <v>0</v>
      </c>
      <c r="AS67" s="125" t="s">
        <v>948</v>
      </c>
      <c r="CA67" s="33"/>
    </row>
    <row r="68" spans="1:80" s="13" customFormat="1" ht="26.25" customHeight="1">
      <c r="B68" s="114">
        <f t="shared" si="0"/>
        <v>2</v>
      </c>
      <c r="C68" s="136" t="s">
        <v>1410</v>
      </c>
      <c r="D68" s="15"/>
      <c r="F68" s="42"/>
      <c r="H68" s="15"/>
      <c r="I68" s="15"/>
      <c r="J68" s="15"/>
      <c r="K68" s="15"/>
      <c r="L68" s="17"/>
      <c r="M68" s="17"/>
      <c r="N68" s="17"/>
      <c r="O68" s="16" t="s">
        <v>621</v>
      </c>
      <c r="P68" s="167"/>
      <c r="S68" s="193"/>
      <c r="T68" s="193"/>
      <c r="AP68" s="130">
        <v>0</v>
      </c>
      <c r="AS68" s="125" t="s">
        <v>948</v>
      </c>
      <c r="CA68" s="33"/>
    </row>
    <row r="69" spans="1:80" s="13" customFormat="1" ht="26.25" customHeight="1">
      <c r="B69" s="114">
        <f t="shared" ref="B69:B134" si="1">COUNTA(AO69:AW69)</f>
        <v>2</v>
      </c>
      <c r="C69" s="136" t="s">
        <v>2436</v>
      </c>
      <c r="D69" s="15"/>
      <c r="F69" s="42"/>
      <c r="H69" s="15"/>
      <c r="I69" s="15"/>
      <c r="J69" s="15"/>
      <c r="K69" s="15"/>
      <c r="L69" s="17"/>
      <c r="M69" s="17"/>
      <c r="N69" s="17"/>
      <c r="O69" s="16" t="s">
        <v>621</v>
      </c>
      <c r="P69" s="167"/>
      <c r="S69" s="193"/>
      <c r="T69" s="193"/>
      <c r="AP69" s="130">
        <v>0</v>
      </c>
      <c r="AS69" s="125" t="s">
        <v>948</v>
      </c>
      <c r="CA69" s="146">
        <v>44596.615405092591</v>
      </c>
    </row>
    <row r="70" spans="1:80" s="13" customFormat="1" ht="26.25" customHeight="1">
      <c r="B70" s="114">
        <f t="shared" si="1"/>
        <v>1</v>
      </c>
      <c r="C70" s="136" t="s">
        <v>2437</v>
      </c>
      <c r="D70" s="15"/>
      <c r="F70" s="42"/>
      <c r="H70" s="15"/>
      <c r="I70" s="15"/>
      <c r="J70" s="15"/>
      <c r="K70" s="15"/>
      <c r="L70" s="17"/>
      <c r="M70" s="17"/>
      <c r="N70" s="17"/>
      <c r="O70" s="16"/>
      <c r="P70" s="167"/>
      <c r="S70" s="193"/>
      <c r="T70" s="193"/>
      <c r="AP70" s="130">
        <v>0</v>
      </c>
      <c r="AS70" s="125"/>
      <c r="CA70" s="146">
        <v>44596.61614583333</v>
      </c>
    </row>
    <row r="71" spans="1:80" s="13" customFormat="1" ht="26.25" customHeight="1">
      <c r="B71" s="114">
        <f t="shared" si="1"/>
        <v>1</v>
      </c>
      <c r="C71" s="136" t="s">
        <v>2438</v>
      </c>
      <c r="D71" s="15"/>
      <c r="F71" s="42"/>
      <c r="H71" s="15"/>
      <c r="I71" s="15"/>
      <c r="J71" s="15"/>
      <c r="K71" s="15"/>
      <c r="L71" s="17"/>
      <c r="M71" s="17"/>
      <c r="N71" s="17"/>
      <c r="O71" s="16"/>
      <c r="P71" s="167"/>
      <c r="S71" s="193"/>
      <c r="T71" s="193"/>
      <c r="AP71" s="130">
        <v>0</v>
      </c>
      <c r="AS71" s="125"/>
      <c r="CA71" s="146">
        <v>44596.617118055554</v>
      </c>
    </row>
    <row r="72" spans="1:80" s="13" customFormat="1" ht="26.25" customHeight="1">
      <c r="B72" s="114">
        <f t="shared" si="1"/>
        <v>2</v>
      </c>
      <c r="C72" s="136" t="s">
        <v>1148</v>
      </c>
      <c r="D72" s="15" t="s">
        <v>2458</v>
      </c>
      <c r="F72" s="42"/>
      <c r="H72" s="228" t="s">
        <v>2495</v>
      </c>
      <c r="I72" s="15"/>
      <c r="J72" s="15"/>
      <c r="K72" s="15"/>
      <c r="L72" s="17"/>
      <c r="M72" s="17"/>
      <c r="N72" s="17"/>
      <c r="O72" s="16" t="s">
        <v>621</v>
      </c>
      <c r="P72" s="167"/>
      <c r="S72" s="193"/>
      <c r="T72" s="193"/>
      <c r="AA72" s="13" t="s">
        <v>2479</v>
      </c>
      <c r="AP72" s="130">
        <v>0</v>
      </c>
      <c r="AS72" s="125" t="s">
        <v>948</v>
      </c>
      <c r="BI72" s="116" t="str">
        <f>C72&amp;"(第"&amp;E72&amp;"版）"</f>
        <v>助推：如何作出有关健康，财富与幸福的最佳决策(第版）</v>
      </c>
      <c r="CA72" s="146">
        <v>44596.617928240739</v>
      </c>
    </row>
    <row r="73" spans="1:80" s="13" customFormat="1" ht="26.25" customHeight="1">
      <c r="B73" s="114">
        <f t="shared" ref="B73" si="2">COUNTA(AO73:AW73)</f>
        <v>1</v>
      </c>
      <c r="C73" s="136" t="s">
        <v>1333</v>
      </c>
      <c r="D73" s="15"/>
      <c r="F73" s="42"/>
      <c r="H73" s="15"/>
      <c r="I73" s="15"/>
      <c r="J73" s="15"/>
      <c r="K73" s="15"/>
      <c r="L73" s="17"/>
      <c r="M73" s="17"/>
      <c r="N73" s="17"/>
      <c r="O73" s="16"/>
      <c r="P73" s="167"/>
      <c r="S73" s="193"/>
      <c r="T73" s="193"/>
      <c r="AS73" s="125" t="s">
        <v>948</v>
      </c>
      <c r="CA73" s="33"/>
    </row>
    <row r="74" spans="1:80" s="13" customFormat="1" ht="26.25" customHeight="1">
      <c r="B74" s="114">
        <f t="shared" si="1"/>
        <v>2</v>
      </c>
      <c r="C74" s="136" t="s">
        <v>1197</v>
      </c>
      <c r="D74" s="15"/>
      <c r="F74" s="42"/>
      <c r="H74" s="15"/>
      <c r="I74" s="15"/>
      <c r="J74" s="15"/>
      <c r="K74" s="15"/>
      <c r="L74" s="17"/>
      <c r="M74" s="17"/>
      <c r="N74" s="17"/>
      <c r="O74" s="16"/>
      <c r="P74" s="167"/>
      <c r="S74" s="193"/>
      <c r="T74" s="193"/>
      <c r="AP74" s="130">
        <v>0</v>
      </c>
      <c r="AS74" s="125" t="s">
        <v>948</v>
      </c>
      <c r="CA74" s="33"/>
    </row>
    <row r="75" spans="1:80" s="13" customFormat="1" ht="26.25" customHeight="1">
      <c r="B75" s="114">
        <f t="shared" si="1"/>
        <v>1</v>
      </c>
      <c r="C75" s="136" t="s">
        <v>2441</v>
      </c>
      <c r="D75" s="15"/>
      <c r="F75" s="42"/>
      <c r="H75" s="15"/>
      <c r="I75" s="15"/>
      <c r="J75" s="15"/>
      <c r="K75" s="15"/>
      <c r="L75" s="17"/>
      <c r="M75" s="17"/>
      <c r="N75" s="17"/>
      <c r="O75" s="16"/>
      <c r="P75" s="167"/>
      <c r="S75" s="193"/>
      <c r="T75" s="193"/>
      <c r="AP75" s="130"/>
      <c r="AR75" s="130">
        <v>0</v>
      </c>
      <c r="AS75" s="125"/>
      <c r="CA75" s="146">
        <v>44596.627974537034</v>
      </c>
    </row>
    <row r="76" spans="1:80" s="83" customFormat="1" ht="16.5">
      <c r="B76" s="114">
        <f t="shared" si="1"/>
        <v>5</v>
      </c>
      <c r="C76" s="136" t="s">
        <v>1132</v>
      </c>
      <c r="F76" s="84"/>
      <c r="P76" s="169"/>
      <c r="S76" s="194"/>
      <c r="T76" s="194"/>
      <c r="U76" s="84"/>
      <c r="V76" s="84"/>
      <c r="W76" s="84"/>
      <c r="X76" s="84"/>
      <c r="Y76" s="84"/>
      <c r="AO76" s="130">
        <v>0</v>
      </c>
      <c r="AP76" s="130">
        <v>0</v>
      </c>
      <c r="AR76" s="130">
        <v>0</v>
      </c>
      <c r="AS76" s="130">
        <v>0</v>
      </c>
      <c r="AT76" s="130">
        <v>0</v>
      </c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CA76" s="159">
        <v>44596.613819444443</v>
      </c>
      <c r="CB76" s="223">
        <v>44604.633726851855</v>
      </c>
    </row>
    <row r="77" spans="1:80" s="13" customFormat="1" ht="26.25" customHeight="1">
      <c r="B77" s="114">
        <f t="shared" si="1"/>
        <v>2</v>
      </c>
      <c r="C77" s="136" t="s">
        <v>2337</v>
      </c>
      <c r="D77" s="15"/>
      <c r="F77" s="42"/>
      <c r="H77" s="15"/>
      <c r="I77" s="15"/>
      <c r="J77" s="15"/>
      <c r="K77" s="15"/>
      <c r="L77" s="17"/>
      <c r="M77" s="17"/>
      <c r="N77" s="17"/>
      <c r="O77" s="16"/>
      <c r="P77" s="167"/>
      <c r="S77" s="193"/>
      <c r="T77" s="193"/>
      <c r="AO77" s="130"/>
      <c r="AS77" s="130">
        <v>0</v>
      </c>
      <c r="AV77" s="130">
        <v>0</v>
      </c>
      <c r="CA77" s="146">
        <v>44604.633229166669</v>
      </c>
    </row>
    <row r="78" spans="1:80" s="13" customFormat="1" ht="26.25" customHeight="1">
      <c r="B78" s="114">
        <f t="shared" si="1"/>
        <v>2</v>
      </c>
      <c r="C78" s="136" t="s">
        <v>1130</v>
      </c>
      <c r="D78" s="15"/>
      <c r="F78" s="42"/>
      <c r="H78" s="15"/>
      <c r="I78" s="15"/>
      <c r="J78" s="15"/>
      <c r="K78" s="15"/>
      <c r="L78" s="17"/>
      <c r="M78" s="17"/>
      <c r="N78" s="17"/>
      <c r="O78" s="16"/>
      <c r="P78" s="167"/>
      <c r="S78" s="193"/>
      <c r="T78" s="193"/>
      <c r="AO78" s="130">
        <v>0</v>
      </c>
      <c r="AQ78" s="130">
        <v>0</v>
      </c>
      <c r="AS78" s="125"/>
      <c r="CA78" s="146">
        <v>44604.625914351855</v>
      </c>
    </row>
    <row r="79" spans="1:80" s="118" customFormat="1">
      <c r="A79" s="114"/>
      <c r="B79" s="114">
        <f t="shared" si="1"/>
        <v>3</v>
      </c>
      <c r="C79" s="136" t="s">
        <v>977</v>
      </c>
      <c r="D79" s="116"/>
      <c r="E79" s="116"/>
      <c r="F79" s="116"/>
      <c r="G79" s="115"/>
      <c r="H79" s="116"/>
      <c r="I79" s="116"/>
      <c r="J79" s="116"/>
      <c r="K79" s="116"/>
      <c r="L79" s="116"/>
      <c r="M79" s="116"/>
      <c r="N79" s="116"/>
      <c r="O79" s="116"/>
      <c r="P79" s="166"/>
      <c r="Q79" s="116"/>
      <c r="R79" s="116"/>
      <c r="S79" s="191"/>
      <c r="T79" s="191"/>
      <c r="U79" s="116"/>
      <c r="V79" s="116"/>
      <c r="W79" s="116"/>
      <c r="X79" s="117"/>
      <c r="Y79" s="116"/>
      <c r="Z79" s="114"/>
      <c r="AB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30">
        <v>0</v>
      </c>
      <c r="AR79" s="119"/>
      <c r="AS79" s="130">
        <v>0</v>
      </c>
      <c r="AT79" s="126"/>
      <c r="AU79" s="130">
        <v>0</v>
      </c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7"/>
      <c r="BK79" s="117"/>
      <c r="BL79" s="117"/>
      <c r="BN79" s="117"/>
      <c r="BO79" s="117"/>
      <c r="BP79" s="120"/>
      <c r="BR79" s="117"/>
      <c r="BS79" s="117"/>
      <c r="BZ79" s="117"/>
      <c r="CA79" s="145">
        <v>44596.640972222223</v>
      </c>
    </row>
    <row r="80" spans="1:80" s="13" customFormat="1" ht="26.25" customHeight="1">
      <c r="B80" s="114">
        <f t="shared" si="1"/>
        <v>0</v>
      </c>
      <c r="C80" s="136"/>
      <c r="D80" s="15"/>
      <c r="F80" s="42"/>
      <c r="H80" s="15"/>
      <c r="I80" s="15"/>
      <c r="J80" s="15"/>
      <c r="K80" s="15"/>
      <c r="L80" s="17"/>
      <c r="M80" s="17"/>
      <c r="N80" s="17"/>
      <c r="O80" s="16"/>
      <c r="P80" s="167"/>
      <c r="S80" s="193"/>
      <c r="T80" s="193"/>
      <c r="AO80" s="130"/>
      <c r="AS80" s="125"/>
      <c r="CA80" s="33"/>
    </row>
    <row r="81" spans="1:80" s="13" customFormat="1" ht="26.25" customHeight="1">
      <c r="B81" s="114">
        <f t="shared" si="1"/>
        <v>0</v>
      </c>
      <c r="C81" s="136"/>
      <c r="D81" s="15"/>
      <c r="F81" s="42"/>
      <c r="H81" s="15"/>
      <c r="I81" s="15"/>
      <c r="J81" s="15"/>
      <c r="K81" s="15"/>
      <c r="L81" s="17"/>
      <c r="M81" s="17"/>
      <c r="N81" s="17"/>
      <c r="O81" s="16"/>
      <c r="P81" s="167"/>
      <c r="S81" s="193"/>
      <c r="T81" s="193"/>
      <c r="AO81" s="130"/>
      <c r="AS81" s="125"/>
      <c r="CA81" s="33"/>
    </row>
    <row r="82" spans="1:80" s="13" customFormat="1" ht="26.25" customHeight="1">
      <c r="B82" s="114">
        <f t="shared" si="1"/>
        <v>1</v>
      </c>
      <c r="C82" s="136" t="s">
        <v>1305</v>
      </c>
      <c r="D82" s="15"/>
      <c r="F82" s="42"/>
      <c r="H82" s="15"/>
      <c r="I82" s="15"/>
      <c r="J82" s="15"/>
      <c r="K82" s="15"/>
      <c r="L82" s="17"/>
      <c r="M82" s="17"/>
      <c r="N82" s="17"/>
      <c r="O82" s="16"/>
      <c r="P82" s="167"/>
      <c r="S82" s="193"/>
      <c r="T82" s="193"/>
      <c r="AS82" s="130">
        <v>0</v>
      </c>
      <c r="CA82" s="146">
        <v>44596.655347222222</v>
      </c>
    </row>
    <row r="83" spans="1:80" s="13" customFormat="1" ht="26.25" customHeight="1">
      <c r="B83" s="114">
        <f t="shared" si="1"/>
        <v>1</v>
      </c>
      <c r="C83" s="136" t="s">
        <v>1306</v>
      </c>
      <c r="D83" s="15"/>
      <c r="F83" s="42"/>
      <c r="H83" s="15"/>
      <c r="I83" s="15"/>
      <c r="J83" s="15"/>
      <c r="K83" s="15"/>
      <c r="L83" s="17"/>
      <c r="M83" s="17"/>
      <c r="N83" s="17"/>
      <c r="O83" s="16"/>
      <c r="P83" s="167"/>
      <c r="S83" s="193"/>
      <c r="T83" s="193"/>
      <c r="AS83" s="125" t="s">
        <v>948</v>
      </c>
      <c r="CA83" s="33"/>
    </row>
    <row r="84" spans="1:80" s="118" customFormat="1">
      <c r="A84" s="114"/>
      <c r="B84" s="114">
        <f t="shared" si="1"/>
        <v>2</v>
      </c>
      <c r="C84" s="136" t="s">
        <v>983</v>
      </c>
      <c r="D84" s="116"/>
      <c r="E84" s="116"/>
      <c r="F84" s="116"/>
      <c r="G84" s="115"/>
      <c r="H84" s="116"/>
      <c r="I84" s="116"/>
      <c r="J84" s="116"/>
      <c r="K84" s="116"/>
      <c r="L84" s="116"/>
      <c r="M84" s="116"/>
      <c r="N84" s="116"/>
      <c r="O84" s="116"/>
      <c r="P84" s="166"/>
      <c r="Q84" s="116"/>
      <c r="R84" s="116"/>
      <c r="S84" s="191"/>
      <c r="T84" s="191"/>
      <c r="U84" s="116"/>
      <c r="V84" s="116"/>
      <c r="W84" s="116"/>
      <c r="X84" s="117"/>
      <c r="Y84" s="116"/>
      <c r="Z84" s="114"/>
      <c r="AB84" s="119"/>
      <c r="AD84" s="119"/>
      <c r="AE84" s="119"/>
      <c r="AF84" s="119"/>
      <c r="AG84" s="119"/>
      <c r="AH84" s="119"/>
      <c r="AI84" s="119"/>
      <c r="AJ84" s="119"/>
      <c r="AK84" s="119"/>
      <c r="AL84" s="119">
        <v>10</v>
      </c>
      <c r="AM84" s="119">
        <v>1</v>
      </c>
      <c r="AN84" s="119"/>
      <c r="AO84" s="119"/>
      <c r="AP84" s="119"/>
      <c r="AQ84" s="119"/>
      <c r="AR84" s="119"/>
      <c r="AS84" s="130">
        <v>0</v>
      </c>
      <c r="AT84" s="126"/>
      <c r="AU84" s="130">
        <v>0</v>
      </c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7"/>
      <c r="BK84" s="117"/>
      <c r="BL84" s="117"/>
      <c r="BN84" s="117"/>
      <c r="BO84" s="117"/>
      <c r="BP84" s="120"/>
      <c r="BR84" s="117"/>
      <c r="BS84" s="117"/>
      <c r="BZ84" s="117"/>
      <c r="CA84" s="144"/>
    </row>
    <row r="85" spans="1:80">
      <c r="B85" s="114">
        <f t="shared" si="1"/>
        <v>2</v>
      </c>
      <c r="C85" s="136" t="s">
        <v>2358</v>
      </c>
      <c r="AS85" s="130">
        <v>0</v>
      </c>
      <c r="AV85" s="130">
        <v>0</v>
      </c>
      <c r="CA85" s="157">
        <v>44596.65724537037</v>
      </c>
    </row>
    <row r="86" spans="1:80" s="118" customFormat="1">
      <c r="A86" s="114"/>
      <c r="B86" s="114">
        <f t="shared" si="1"/>
        <v>2</v>
      </c>
      <c r="C86" s="136" t="s">
        <v>1006</v>
      </c>
      <c r="D86" s="116"/>
      <c r="E86" s="116"/>
      <c r="F86" s="116"/>
      <c r="G86" s="115"/>
      <c r="H86" s="116"/>
      <c r="I86" s="116"/>
      <c r="J86" s="116"/>
      <c r="K86" s="116"/>
      <c r="L86" s="116"/>
      <c r="M86" s="116"/>
      <c r="N86" s="116"/>
      <c r="O86" s="116"/>
      <c r="P86" s="166"/>
      <c r="Q86" s="116"/>
      <c r="R86" s="116"/>
      <c r="S86" s="191"/>
      <c r="T86" s="191"/>
      <c r="U86" s="116"/>
      <c r="V86" s="116"/>
      <c r="W86" s="116"/>
      <c r="X86" s="117"/>
      <c r="Y86" s="116"/>
      <c r="Z86" s="114"/>
      <c r="AB86" s="119"/>
      <c r="AD86" s="119"/>
      <c r="AE86" s="119"/>
      <c r="AF86" s="119"/>
      <c r="AG86" s="119"/>
      <c r="AH86" s="119"/>
      <c r="AI86" s="119"/>
      <c r="AJ86" s="119"/>
      <c r="AK86" s="119">
        <v>6</v>
      </c>
      <c r="AL86" s="119"/>
      <c r="AM86" s="119"/>
      <c r="AN86" s="119"/>
      <c r="AO86" s="130">
        <v>0</v>
      </c>
      <c r="AP86" s="130">
        <v>0</v>
      </c>
      <c r="AQ86" s="119"/>
      <c r="AR86" s="119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7"/>
      <c r="BK86" s="117"/>
      <c r="BL86" s="117"/>
      <c r="BN86" s="117"/>
      <c r="BO86" s="117"/>
      <c r="BP86" s="120"/>
      <c r="BR86" s="117"/>
      <c r="BS86" s="117"/>
      <c r="BZ86" s="117"/>
      <c r="CA86" s="144"/>
    </row>
    <row r="87" spans="1:80" s="13" customFormat="1" ht="26.25" customHeight="1">
      <c r="B87" s="114">
        <f t="shared" si="1"/>
        <v>3</v>
      </c>
      <c r="C87" s="136" t="s">
        <v>1389</v>
      </c>
      <c r="D87" s="15"/>
      <c r="F87" s="42"/>
      <c r="H87" s="15"/>
      <c r="I87" s="15"/>
      <c r="J87" s="15"/>
      <c r="K87" s="15"/>
      <c r="L87" s="17"/>
      <c r="M87" s="17"/>
      <c r="N87" s="17"/>
      <c r="O87" s="16"/>
      <c r="P87" s="167"/>
      <c r="S87" s="193"/>
      <c r="T87" s="193"/>
      <c r="AR87" s="130">
        <v>0</v>
      </c>
      <c r="AS87" s="125" t="s">
        <v>948</v>
      </c>
      <c r="AW87" s="130">
        <v>0</v>
      </c>
      <c r="CA87" s="33"/>
    </row>
    <row r="88" spans="1:80" s="118" customFormat="1">
      <c r="A88" s="114"/>
      <c r="B88" s="114">
        <f t="shared" si="1"/>
        <v>6</v>
      </c>
      <c r="C88" s="136" t="s">
        <v>1019</v>
      </c>
      <c r="D88" s="116"/>
      <c r="E88" s="116"/>
      <c r="F88" s="116"/>
      <c r="G88" s="115"/>
      <c r="H88" s="116"/>
      <c r="I88" s="116"/>
      <c r="J88" s="116"/>
      <c r="K88" s="116"/>
      <c r="L88" s="116"/>
      <c r="M88" s="116"/>
      <c r="N88" s="116"/>
      <c r="O88" s="116"/>
      <c r="P88" s="166"/>
      <c r="Q88" s="116"/>
      <c r="R88" s="116"/>
      <c r="S88" s="191"/>
      <c r="T88" s="191"/>
      <c r="U88" s="116"/>
      <c r="V88" s="116"/>
      <c r="W88" s="116"/>
      <c r="X88" s="117"/>
      <c r="Y88" s="116"/>
      <c r="Z88" s="114"/>
      <c r="AB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30">
        <v>0</v>
      </c>
      <c r="AP88" s="130">
        <v>0</v>
      </c>
      <c r="AQ88" s="130">
        <v>0</v>
      </c>
      <c r="AR88" s="119"/>
      <c r="AS88" s="130">
        <v>0</v>
      </c>
      <c r="AT88" s="126"/>
      <c r="AU88" s="126"/>
      <c r="AV88" s="130">
        <v>0</v>
      </c>
      <c r="AW88" s="130">
        <v>0</v>
      </c>
      <c r="AX88" s="116"/>
      <c r="AY88" s="116"/>
      <c r="AZ88" s="116"/>
      <c r="BA88" s="116"/>
      <c r="BB88" s="116"/>
      <c r="BC88" s="116"/>
      <c r="BD88" s="116"/>
      <c r="BE88" s="116"/>
      <c r="BF88" s="116"/>
      <c r="BG88" s="116"/>
      <c r="BH88" s="116"/>
      <c r="BI88" s="116"/>
      <c r="BJ88" s="117"/>
      <c r="BK88" s="117"/>
      <c r="BL88" s="117"/>
      <c r="BN88" s="117"/>
      <c r="BO88" s="117"/>
      <c r="BP88" s="120"/>
      <c r="BR88" s="117"/>
      <c r="BS88" s="117"/>
      <c r="BZ88" s="117"/>
      <c r="CA88" s="145">
        <v>44596.592488425929</v>
      </c>
      <c r="CB88" s="162">
        <v>44604.593784722223</v>
      </c>
    </row>
    <row r="89" spans="1:80" s="118" customFormat="1" ht="19.5">
      <c r="A89" s="114"/>
      <c r="B89" s="114">
        <f t="shared" si="1"/>
        <v>3</v>
      </c>
      <c r="C89" s="136" t="s">
        <v>1386</v>
      </c>
      <c r="D89" s="116"/>
      <c r="E89" s="116"/>
      <c r="F89" s="116"/>
      <c r="G89" s="115"/>
      <c r="H89" s="116"/>
      <c r="I89" s="116"/>
      <c r="J89" s="116"/>
      <c r="K89" s="116"/>
      <c r="L89" s="116"/>
      <c r="M89" s="116"/>
      <c r="N89" s="116"/>
      <c r="O89" s="116"/>
      <c r="P89" s="166"/>
      <c r="Q89" s="116"/>
      <c r="R89" s="116"/>
      <c r="S89" s="191"/>
      <c r="T89" s="191"/>
      <c r="U89" s="116"/>
      <c r="V89" s="116"/>
      <c r="W89" s="116"/>
      <c r="X89" s="117"/>
      <c r="Y89" s="116"/>
      <c r="Z89" s="114"/>
      <c r="AB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30"/>
      <c r="AR89" s="119"/>
      <c r="AS89" s="125" t="s">
        <v>948</v>
      </c>
      <c r="AT89" s="130">
        <v>0</v>
      </c>
      <c r="AU89" s="126"/>
      <c r="AV89" s="116"/>
      <c r="AW89" s="130">
        <v>0</v>
      </c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7"/>
      <c r="BK89" s="117"/>
      <c r="BL89" s="117"/>
      <c r="BN89" s="117"/>
      <c r="BO89" s="117"/>
      <c r="BP89" s="120"/>
      <c r="BR89" s="117"/>
      <c r="BS89" s="117"/>
      <c r="BZ89" s="117"/>
      <c r="CA89" s="144"/>
    </row>
    <row r="90" spans="1:80" s="118" customFormat="1">
      <c r="A90" s="114"/>
      <c r="B90" s="114">
        <f t="shared" si="1"/>
        <v>0</v>
      </c>
      <c r="C90" s="136"/>
      <c r="D90" s="116"/>
      <c r="E90" s="116"/>
      <c r="F90" s="116"/>
      <c r="G90" s="115"/>
      <c r="H90" s="116"/>
      <c r="I90" s="116"/>
      <c r="J90" s="116"/>
      <c r="K90" s="116"/>
      <c r="L90" s="116"/>
      <c r="M90" s="116"/>
      <c r="N90" s="116"/>
      <c r="O90" s="116"/>
      <c r="P90" s="166"/>
      <c r="Q90" s="116"/>
      <c r="R90" s="116"/>
      <c r="S90" s="191"/>
      <c r="T90" s="191"/>
      <c r="U90" s="116"/>
      <c r="V90" s="116"/>
      <c r="W90" s="116"/>
      <c r="X90" s="117"/>
      <c r="Y90" s="116"/>
      <c r="Z90" s="114"/>
      <c r="AB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30"/>
      <c r="AR90" s="119"/>
      <c r="AS90" s="130"/>
      <c r="AT90" s="126"/>
      <c r="AU90" s="12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7"/>
      <c r="BK90" s="117"/>
      <c r="BL90" s="117"/>
      <c r="BN90" s="117"/>
      <c r="BO90" s="117"/>
      <c r="BP90" s="120"/>
      <c r="BR90" s="117"/>
      <c r="BS90" s="117"/>
      <c r="BZ90" s="117"/>
      <c r="CA90" s="144"/>
    </row>
    <row r="91" spans="1:80" s="118" customFormat="1">
      <c r="A91" s="114"/>
      <c r="B91" s="114">
        <f t="shared" si="1"/>
        <v>1</v>
      </c>
      <c r="C91" s="136" t="s">
        <v>2433</v>
      </c>
      <c r="D91" s="116"/>
      <c r="E91" s="116"/>
      <c r="F91" s="116"/>
      <c r="G91" s="115"/>
      <c r="H91" s="116"/>
      <c r="I91" s="116"/>
      <c r="J91" s="116"/>
      <c r="K91" s="116"/>
      <c r="L91" s="116"/>
      <c r="M91" s="116"/>
      <c r="N91" s="116"/>
      <c r="O91" s="116"/>
      <c r="P91" s="166"/>
      <c r="Q91" s="116"/>
      <c r="R91" s="116"/>
      <c r="S91" s="191"/>
      <c r="T91" s="191"/>
      <c r="U91" s="116"/>
      <c r="V91" s="116"/>
      <c r="W91" s="116"/>
      <c r="X91" s="117"/>
      <c r="Y91" s="116"/>
      <c r="Z91" s="114"/>
      <c r="AB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30">
        <v>0</v>
      </c>
      <c r="AP91" s="119"/>
      <c r="AQ91" s="130"/>
      <c r="AR91" s="119"/>
      <c r="AS91" s="130"/>
      <c r="AT91" s="126"/>
      <c r="AU91" s="126"/>
      <c r="AV91" s="116"/>
      <c r="AW91" s="116"/>
      <c r="AX91" s="116"/>
      <c r="AY91" s="116"/>
      <c r="AZ91" s="116"/>
      <c r="BA91" s="116"/>
      <c r="BB91" s="116"/>
      <c r="BC91" s="116"/>
      <c r="BD91" s="116"/>
      <c r="BE91" s="116"/>
      <c r="BF91" s="116"/>
      <c r="BG91" s="116"/>
      <c r="BH91" s="116"/>
      <c r="BI91" s="116"/>
      <c r="BJ91" s="117"/>
      <c r="BK91" s="117"/>
      <c r="BL91" s="117"/>
      <c r="BN91" s="117"/>
      <c r="BO91" s="117"/>
      <c r="BP91" s="120"/>
      <c r="BR91" s="117"/>
      <c r="BS91" s="117"/>
      <c r="BZ91" s="117"/>
      <c r="CA91" s="145">
        <v>44596.603622685187</v>
      </c>
    </row>
    <row r="92" spans="1:80" s="118" customFormat="1">
      <c r="A92" s="114"/>
      <c r="B92" s="114">
        <f t="shared" si="1"/>
        <v>0</v>
      </c>
      <c r="C92" s="136"/>
      <c r="D92" s="116"/>
      <c r="E92" s="116"/>
      <c r="F92" s="116"/>
      <c r="G92" s="115"/>
      <c r="H92" s="116"/>
      <c r="I92" s="116"/>
      <c r="J92" s="116"/>
      <c r="K92" s="116"/>
      <c r="L92" s="116"/>
      <c r="M92" s="116"/>
      <c r="N92" s="116"/>
      <c r="O92" s="116"/>
      <c r="P92" s="166"/>
      <c r="Q92" s="116"/>
      <c r="R92" s="116"/>
      <c r="S92" s="191"/>
      <c r="T92" s="191"/>
      <c r="U92" s="116"/>
      <c r="V92" s="116"/>
      <c r="W92" s="116"/>
      <c r="X92" s="117"/>
      <c r="Y92" s="116"/>
      <c r="Z92" s="114"/>
      <c r="AB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30"/>
      <c r="AP92" s="130"/>
      <c r="AQ92" s="119"/>
      <c r="AR92" s="119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7"/>
      <c r="BK92" s="117"/>
      <c r="BL92" s="117"/>
      <c r="BN92" s="117"/>
      <c r="BO92" s="117"/>
      <c r="BP92" s="120"/>
      <c r="BR92" s="117"/>
      <c r="BS92" s="117"/>
      <c r="BZ92" s="117"/>
      <c r="CA92" s="145">
        <v>44596.603298611109</v>
      </c>
    </row>
    <row r="93" spans="1:80" s="118" customFormat="1">
      <c r="A93" s="114"/>
      <c r="B93" s="114">
        <f t="shared" si="1"/>
        <v>4</v>
      </c>
      <c r="C93" s="136" t="s">
        <v>1031</v>
      </c>
      <c r="D93" s="116"/>
      <c r="E93" s="116"/>
      <c r="F93" s="116"/>
      <c r="G93" s="115"/>
      <c r="H93" s="116"/>
      <c r="I93" s="116"/>
      <c r="J93" s="116"/>
      <c r="K93" s="116"/>
      <c r="L93" s="116"/>
      <c r="M93" s="116"/>
      <c r="N93" s="116"/>
      <c r="O93" s="116"/>
      <c r="P93" s="166"/>
      <c r="Q93" s="116"/>
      <c r="R93" s="116"/>
      <c r="S93" s="191"/>
      <c r="T93" s="191"/>
      <c r="U93" s="116"/>
      <c r="V93" s="116"/>
      <c r="W93" s="116"/>
      <c r="X93" s="117"/>
      <c r="Y93" s="116"/>
      <c r="Z93" s="114"/>
      <c r="AB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30">
        <v>0</v>
      </c>
      <c r="AQ93" s="119"/>
      <c r="AR93" s="119"/>
      <c r="AS93" s="126"/>
      <c r="AT93" s="130">
        <v>0</v>
      </c>
      <c r="AU93" s="126"/>
      <c r="AV93" s="130">
        <v>0</v>
      </c>
      <c r="AW93" s="130">
        <v>0</v>
      </c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7"/>
      <c r="BK93" s="117"/>
      <c r="BL93" s="117"/>
      <c r="BN93" s="117"/>
      <c r="BO93" s="117"/>
      <c r="BP93" s="120"/>
      <c r="BR93" s="117"/>
      <c r="BS93" s="117"/>
      <c r="BZ93" s="117"/>
      <c r="CA93" s="145">
        <v>44596.663344907407</v>
      </c>
      <c r="CB93" s="162">
        <v>44604.605520833335</v>
      </c>
    </row>
    <row r="94" spans="1:80" s="118" customFormat="1">
      <c r="A94" s="114"/>
      <c r="B94" s="114">
        <f t="shared" si="1"/>
        <v>4</v>
      </c>
      <c r="C94" s="136" t="s">
        <v>1139</v>
      </c>
      <c r="D94" s="116"/>
      <c r="E94" s="116"/>
      <c r="F94" s="116"/>
      <c r="G94" s="115"/>
      <c r="H94" s="116"/>
      <c r="I94" s="116"/>
      <c r="J94" s="116"/>
      <c r="K94" s="116"/>
      <c r="L94" s="116"/>
      <c r="M94" s="116"/>
      <c r="N94" s="116"/>
      <c r="O94" s="116"/>
      <c r="P94" s="166"/>
      <c r="Q94" s="116"/>
      <c r="R94" s="116"/>
      <c r="S94" s="191"/>
      <c r="T94" s="191"/>
      <c r="U94" s="116"/>
      <c r="V94" s="116"/>
      <c r="W94" s="116"/>
      <c r="X94" s="117"/>
      <c r="Y94" s="116"/>
      <c r="Z94" s="114"/>
      <c r="AB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30">
        <v>0</v>
      </c>
      <c r="AQ94" s="130">
        <v>0</v>
      </c>
      <c r="AR94" s="130">
        <v>0</v>
      </c>
      <c r="AS94" s="130">
        <v>0</v>
      </c>
      <c r="AT94" s="126"/>
      <c r="AU94" s="126"/>
      <c r="AV94" s="130"/>
      <c r="AW94" s="130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7"/>
      <c r="BK94" s="117"/>
      <c r="BL94" s="117"/>
      <c r="BN94" s="117"/>
      <c r="BO94" s="117"/>
      <c r="BP94" s="120"/>
      <c r="BR94" s="117"/>
      <c r="BS94" s="117"/>
      <c r="BZ94" s="117"/>
      <c r="CA94" s="145">
        <v>44596.641909722224</v>
      </c>
      <c r="CB94" s="162">
        <v>44604.610381944447</v>
      </c>
    </row>
    <row r="95" spans="1:80" s="118" customFormat="1">
      <c r="A95" s="114"/>
      <c r="B95" s="114">
        <f t="shared" si="1"/>
        <v>7</v>
      </c>
      <c r="C95" s="136" t="s">
        <v>1035</v>
      </c>
      <c r="D95" s="116"/>
      <c r="E95" s="116"/>
      <c r="F95" s="116"/>
      <c r="G95" s="115"/>
      <c r="H95" s="116"/>
      <c r="I95" s="116"/>
      <c r="J95" s="116"/>
      <c r="K95" s="116"/>
      <c r="L95" s="116"/>
      <c r="M95" s="116"/>
      <c r="N95" s="116"/>
      <c r="O95" s="116"/>
      <c r="P95" s="166"/>
      <c r="Q95" s="116"/>
      <c r="R95" s="116"/>
      <c r="S95" s="191"/>
      <c r="T95" s="191"/>
      <c r="U95" s="116"/>
      <c r="V95" s="116"/>
      <c r="W95" s="116"/>
      <c r="X95" s="117"/>
      <c r="Y95" s="116"/>
      <c r="Z95" s="114"/>
      <c r="AB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30">
        <v>0</v>
      </c>
      <c r="AP95" s="130">
        <v>0</v>
      </c>
      <c r="AQ95" s="119"/>
      <c r="AR95" s="130">
        <v>0</v>
      </c>
      <c r="AS95" s="126"/>
      <c r="AT95" s="130">
        <v>0</v>
      </c>
      <c r="AU95" s="130">
        <v>0</v>
      </c>
      <c r="AV95" s="130">
        <v>0</v>
      </c>
      <c r="AW95" s="130">
        <v>0</v>
      </c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7"/>
      <c r="BK95" s="117"/>
      <c r="BL95" s="117"/>
      <c r="BN95" s="117"/>
      <c r="BO95" s="117"/>
      <c r="BP95" s="120"/>
      <c r="BR95" s="117"/>
      <c r="BS95" s="117"/>
      <c r="BZ95" s="117"/>
      <c r="CA95" s="145">
        <v>44596.592094907406</v>
      </c>
    </row>
    <row r="96" spans="1:80" s="118" customFormat="1">
      <c r="A96" s="114"/>
      <c r="B96" s="114">
        <f t="shared" si="1"/>
        <v>5</v>
      </c>
      <c r="C96" s="136" t="s">
        <v>978</v>
      </c>
      <c r="D96" s="116"/>
      <c r="E96" s="116"/>
      <c r="F96" s="116"/>
      <c r="G96" s="115"/>
      <c r="H96" s="116"/>
      <c r="I96" s="116"/>
      <c r="J96" s="116"/>
      <c r="K96" s="116"/>
      <c r="L96" s="116"/>
      <c r="M96" s="116"/>
      <c r="N96" s="116"/>
      <c r="O96" s="116"/>
      <c r="P96" s="166"/>
      <c r="Q96" s="116"/>
      <c r="R96" s="116"/>
      <c r="S96" s="191"/>
      <c r="T96" s="191"/>
      <c r="U96" s="116"/>
      <c r="V96" s="116"/>
      <c r="W96" s="116"/>
      <c r="X96" s="117"/>
      <c r="Y96" s="116"/>
      <c r="Z96" s="114"/>
      <c r="AB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30">
        <v>0</v>
      </c>
      <c r="AQ96" s="119"/>
      <c r="AR96" s="130">
        <v>0</v>
      </c>
      <c r="AS96" s="116"/>
      <c r="AT96" s="130">
        <v>0</v>
      </c>
      <c r="AU96" s="130">
        <v>0</v>
      </c>
      <c r="AV96" s="116"/>
      <c r="AW96" s="130">
        <v>0</v>
      </c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7"/>
      <c r="BK96" s="117"/>
      <c r="BL96" s="117"/>
      <c r="BN96" s="117"/>
      <c r="BO96" s="117"/>
      <c r="BP96" s="120"/>
      <c r="BR96" s="117"/>
      <c r="BS96" s="117"/>
      <c r="BZ96" s="117"/>
      <c r="CA96" s="145">
        <v>44596.609456018516</v>
      </c>
    </row>
    <row r="97" spans="1:79" s="13" customFormat="1" ht="26.25" customHeight="1">
      <c r="B97" s="114">
        <f t="shared" si="1"/>
        <v>1</v>
      </c>
      <c r="C97" s="136" t="s">
        <v>1296</v>
      </c>
      <c r="D97" s="15"/>
      <c r="F97" s="42"/>
      <c r="H97" s="15"/>
      <c r="I97" s="15"/>
      <c r="J97" s="15"/>
      <c r="K97" s="15"/>
      <c r="L97" s="17"/>
      <c r="M97" s="17"/>
      <c r="N97" s="17"/>
      <c r="O97" s="16"/>
      <c r="P97" s="167"/>
      <c r="S97" s="193"/>
      <c r="T97" s="193"/>
      <c r="AS97" s="130">
        <v>0</v>
      </c>
      <c r="CA97" s="33"/>
    </row>
    <row r="98" spans="1:79" s="118" customFormat="1">
      <c r="A98" s="114"/>
      <c r="B98" s="114">
        <f t="shared" si="1"/>
        <v>1</v>
      </c>
      <c r="C98" s="136" t="s">
        <v>2330</v>
      </c>
      <c r="D98" s="116"/>
      <c r="E98" s="116"/>
      <c r="F98" s="116"/>
      <c r="G98" s="115"/>
      <c r="H98" s="116"/>
      <c r="I98" s="116"/>
      <c r="J98" s="116"/>
      <c r="K98" s="116"/>
      <c r="L98" s="116"/>
      <c r="M98" s="116"/>
      <c r="N98" s="116"/>
      <c r="O98" s="116"/>
      <c r="P98" s="166"/>
      <c r="Q98" s="116"/>
      <c r="R98" s="116"/>
      <c r="S98" s="191"/>
      <c r="T98" s="191"/>
      <c r="U98" s="116"/>
      <c r="V98" s="116"/>
      <c r="W98" s="116"/>
      <c r="X98" s="117"/>
      <c r="Y98" s="116"/>
      <c r="Z98" s="114"/>
      <c r="AB98" s="119"/>
      <c r="AD98" s="119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30">
        <v>0</v>
      </c>
      <c r="AS98" s="116"/>
      <c r="AT98" s="126"/>
      <c r="AU98" s="130"/>
      <c r="AV98" s="116"/>
      <c r="AW98" s="130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7"/>
      <c r="BK98" s="117"/>
      <c r="BL98" s="117"/>
      <c r="BN98" s="117"/>
      <c r="BO98" s="117"/>
      <c r="BP98" s="120"/>
      <c r="BR98" s="117"/>
      <c r="BS98" s="117"/>
      <c r="BZ98" s="117"/>
      <c r="CA98" s="144"/>
    </row>
    <row r="99" spans="1:79" s="118" customFormat="1">
      <c r="A99" s="114"/>
      <c r="B99" s="114">
        <f t="shared" si="1"/>
        <v>1</v>
      </c>
      <c r="C99" s="136" t="s">
        <v>973</v>
      </c>
      <c r="D99" s="116"/>
      <c r="E99" s="116"/>
      <c r="F99" s="116"/>
      <c r="G99" s="115"/>
      <c r="H99" s="116"/>
      <c r="I99" s="116"/>
      <c r="J99" s="116"/>
      <c r="K99" s="116"/>
      <c r="L99" s="116"/>
      <c r="M99" s="116"/>
      <c r="N99" s="116"/>
      <c r="O99" s="116"/>
      <c r="P99" s="166"/>
      <c r="Q99" s="116"/>
      <c r="R99" s="116"/>
      <c r="S99" s="191"/>
      <c r="T99" s="191"/>
      <c r="U99" s="116"/>
      <c r="V99" s="116"/>
      <c r="W99" s="116"/>
      <c r="X99" s="117"/>
      <c r="Y99" s="116"/>
      <c r="Z99" s="114"/>
      <c r="AB99" s="119"/>
      <c r="AD99" s="119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6"/>
      <c r="AT99" s="126"/>
      <c r="AU99" s="130">
        <v>0</v>
      </c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7"/>
      <c r="BK99" s="117"/>
      <c r="BL99" s="117"/>
      <c r="BN99" s="117"/>
      <c r="BO99" s="117"/>
      <c r="BP99" s="120"/>
      <c r="BR99" s="117"/>
      <c r="BS99" s="117"/>
      <c r="BZ99" s="117"/>
      <c r="CA99" s="144"/>
    </row>
    <row r="100" spans="1:79" s="118" customFormat="1" ht="27">
      <c r="A100" s="114"/>
      <c r="B100" s="114">
        <f t="shared" si="1"/>
        <v>2</v>
      </c>
      <c r="C100" s="136" t="s">
        <v>2344</v>
      </c>
      <c r="D100" s="116"/>
      <c r="E100" s="116"/>
      <c r="F100" s="116"/>
      <c r="G100" s="115"/>
      <c r="H100" s="116"/>
      <c r="I100" s="116"/>
      <c r="J100" s="116"/>
      <c r="K100" s="116"/>
      <c r="L100" s="116"/>
      <c r="M100" s="116"/>
      <c r="N100" s="116"/>
      <c r="O100" s="116"/>
      <c r="P100" s="166"/>
      <c r="Q100" s="116"/>
      <c r="R100" s="116"/>
      <c r="S100" s="191"/>
      <c r="T100" s="191"/>
      <c r="U100" s="116"/>
      <c r="V100" s="116"/>
      <c r="W100" s="116"/>
      <c r="X100" s="117"/>
      <c r="Y100" s="116"/>
      <c r="Z100" s="114"/>
      <c r="AB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30">
        <v>0</v>
      </c>
      <c r="AR100" s="130"/>
      <c r="AS100" s="116"/>
      <c r="AT100" s="126"/>
      <c r="AU100" s="130">
        <v>0</v>
      </c>
      <c r="AV100" s="116"/>
      <c r="AW100" s="130"/>
      <c r="AX100" s="116"/>
      <c r="AY100" s="116"/>
      <c r="AZ100" s="116"/>
      <c r="BA100" s="116"/>
      <c r="BB100" s="116"/>
      <c r="BC100" s="116"/>
      <c r="BD100" s="116"/>
      <c r="BE100" s="116"/>
      <c r="BF100" s="116"/>
      <c r="BG100" s="116"/>
      <c r="BH100" s="116"/>
      <c r="BI100" s="116"/>
      <c r="BJ100" s="117"/>
      <c r="BK100" s="117"/>
      <c r="BL100" s="117"/>
      <c r="BN100" s="117"/>
      <c r="BO100" s="117"/>
      <c r="BP100" s="120"/>
      <c r="BR100" s="117"/>
      <c r="BS100" s="117"/>
      <c r="BZ100" s="117"/>
      <c r="CA100" s="145">
        <v>44596.6330787037</v>
      </c>
    </row>
    <row r="101" spans="1:79" s="118" customFormat="1">
      <c r="A101" s="114"/>
      <c r="B101" s="114">
        <f t="shared" si="1"/>
        <v>2</v>
      </c>
      <c r="C101" s="136" t="s">
        <v>1030</v>
      </c>
      <c r="D101" s="116"/>
      <c r="E101" s="116"/>
      <c r="F101" s="116"/>
      <c r="G101" s="115"/>
      <c r="H101" s="116"/>
      <c r="I101" s="116"/>
      <c r="J101" s="116"/>
      <c r="K101" s="116"/>
      <c r="L101" s="116"/>
      <c r="M101" s="116"/>
      <c r="N101" s="116"/>
      <c r="O101" s="116"/>
      <c r="P101" s="166"/>
      <c r="Q101" s="116"/>
      <c r="R101" s="116"/>
      <c r="S101" s="191"/>
      <c r="T101" s="191"/>
      <c r="U101" s="116"/>
      <c r="V101" s="116"/>
      <c r="W101" s="116"/>
      <c r="X101" s="117"/>
      <c r="Y101" s="116"/>
      <c r="Z101" s="114"/>
      <c r="AB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30">
        <v>0</v>
      </c>
      <c r="AR101" s="119"/>
      <c r="AS101" s="126"/>
      <c r="AT101" s="126"/>
      <c r="AU101" s="126"/>
      <c r="AV101" s="130">
        <v>0</v>
      </c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7"/>
      <c r="BK101" s="117"/>
      <c r="BL101" s="117"/>
      <c r="BN101" s="117"/>
      <c r="BO101" s="117"/>
      <c r="BP101" s="120"/>
      <c r="BR101" s="117"/>
      <c r="BS101" s="117"/>
      <c r="BZ101" s="117"/>
      <c r="CA101" s="144"/>
    </row>
    <row r="102" spans="1:79" s="118" customFormat="1">
      <c r="A102" s="114"/>
      <c r="B102" s="114">
        <f t="shared" si="1"/>
        <v>1</v>
      </c>
      <c r="C102" s="136" t="s">
        <v>2357</v>
      </c>
      <c r="D102" s="116"/>
      <c r="E102" s="116"/>
      <c r="F102" s="116"/>
      <c r="G102" s="115"/>
      <c r="H102" s="116"/>
      <c r="I102" s="116"/>
      <c r="J102" s="116"/>
      <c r="K102" s="116"/>
      <c r="L102" s="116"/>
      <c r="M102" s="116"/>
      <c r="N102" s="116"/>
      <c r="O102" s="116"/>
      <c r="P102" s="166"/>
      <c r="Q102" s="116"/>
      <c r="R102" s="116"/>
      <c r="S102" s="191"/>
      <c r="T102" s="191"/>
      <c r="U102" s="116"/>
      <c r="V102" s="116"/>
      <c r="W102" s="116"/>
      <c r="X102" s="117"/>
      <c r="Y102" s="116"/>
      <c r="Z102" s="114"/>
      <c r="AB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30">
        <v>0</v>
      </c>
      <c r="AR102" s="130"/>
      <c r="AS102" s="116"/>
      <c r="AT102" s="126"/>
      <c r="AU102" s="130"/>
      <c r="AV102" s="116"/>
      <c r="AW102" s="130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7"/>
      <c r="BK102" s="117"/>
      <c r="BL102" s="117"/>
      <c r="BN102" s="117"/>
      <c r="BO102" s="117"/>
      <c r="BP102" s="120"/>
      <c r="BR102" s="117"/>
      <c r="BS102" s="117"/>
      <c r="BZ102" s="117"/>
      <c r="CA102" s="144"/>
    </row>
    <row r="103" spans="1:79" s="118" customFormat="1">
      <c r="A103" s="114"/>
      <c r="B103" s="114">
        <f t="shared" si="1"/>
        <v>1</v>
      </c>
      <c r="C103" s="136" t="s">
        <v>2442</v>
      </c>
      <c r="D103" s="116"/>
      <c r="E103" s="116"/>
      <c r="F103" s="116"/>
      <c r="G103" s="115"/>
      <c r="H103" s="116"/>
      <c r="I103" s="116"/>
      <c r="J103" s="116"/>
      <c r="K103" s="116"/>
      <c r="L103" s="116"/>
      <c r="M103" s="116"/>
      <c r="N103" s="116"/>
      <c r="O103" s="116"/>
      <c r="P103" s="166"/>
      <c r="Q103" s="116"/>
      <c r="R103" s="116"/>
      <c r="S103" s="191"/>
      <c r="T103" s="191"/>
      <c r="U103" s="116"/>
      <c r="V103" s="116"/>
      <c r="W103" s="116"/>
      <c r="X103" s="117"/>
      <c r="Y103" s="116"/>
      <c r="Z103" s="114"/>
      <c r="AB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30">
        <v>0</v>
      </c>
      <c r="AR103" s="130"/>
      <c r="AS103" s="116"/>
      <c r="AT103" s="126"/>
      <c r="AU103" s="130"/>
      <c r="AV103" s="116"/>
      <c r="AW103" s="130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7"/>
      <c r="BK103" s="117"/>
      <c r="BL103" s="117"/>
      <c r="BN103" s="117"/>
      <c r="BO103" s="117"/>
      <c r="BP103" s="120"/>
      <c r="BR103" s="117"/>
      <c r="BS103" s="117"/>
      <c r="BZ103" s="117"/>
      <c r="CA103" s="145">
        <v>44596.633425925924</v>
      </c>
    </row>
    <row r="104" spans="1:79" s="13" customFormat="1" ht="26.25" customHeight="1">
      <c r="B104" s="114">
        <f t="shared" si="1"/>
        <v>1</v>
      </c>
      <c r="C104" s="136" t="s">
        <v>1143</v>
      </c>
      <c r="D104" s="15"/>
      <c r="F104" s="42"/>
      <c r="H104" s="15"/>
      <c r="I104" s="15"/>
      <c r="J104" s="15"/>
      <c r="K104" s="15"/>
      <c r="L104" s="17"/>
      <c r="M104" s="17"/>
      <c r="N104" s="17"/>
      <c r="O104" s="16"/>
      <c r="P104" s="167"/>
      <c r="S104" s="193"/>
      <c r="T104" s="193"/>
      <c r="AQ104" s="130">
        <v>0</v>
      </c>
      <c r="CA104" s="146">
        <v>44596.601493055554</v>
      </c>
    </row>
    <row r="105" spans="1:79" s="118" customFormat="1">
      <c r="A105" s="114"/>
      <c r="B105" s="114">
        <f t="shared" si="1"/>
        <v>0</v>
      </c>
      <c r="C105" s="136"/>
      <c r="D105" s="116"/>
      <c r="E105" s="116"/>
      <c r="F105" s="116"/>
      <c r="G105" s="115"/>
      <c r="H105" s="116"/>
      <c r="I105" s="116"/>
      <c r="J105" s="116"/>
      <c r="K105" s="116"/>
      <c r="L105" s="116"/>
      <c r="M105" s="116"/>
      <c r="N105" s="116"/>
      <c r="O105" s="116"/>
      <c r="P105" s="166"/>
      <c r="Q105" s="116"/>
      <c r="R105" s="116"/>
      <c r="S105" s="191"/>
      <c r="T105" s="191"/>
      <c r="U105" s="116"/>
      <c r="V105" s="116"/>
      <c r="W105" s="116"/>
      <c r="X105" s="117"/>
      <c r="Y105" s="116"/>
      <c r="Z105" s="114"/>
      <c r="AB105" s="119"/>
      <c r="AD105" s="119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30"/>
      <c r="AS105" s="116"/>
      <c r="AT105" s="126"/>
      <c r="AU105" s="130"/>
      <c r="AV105" s="116"/>
      <c r="AW105" s="130"/>
      <c r="AX105" s="116"/>
      <c r="AY105" s="116"/>
      <c r="AZ105" s="116"/>
      <c r="BA105" s="116"/>
      <c r="BB105" s="116"/>
      <c r="BC105" s="116"/>
      <c r="BD105" s="116"/>
      <c r="BE105" s="116"/>
      <c r="BF105" s="116"/>
      <c r="BG105" s="116"/>
      <c r="BH105" s="116"/>
      <c r="BI105" s="116"/>
      <c r="BJ105" s="117"/>
      <c r="BK105" s="117"/>
      <c r="BL105" s="117"/>
      <c r="BN105" s="117"/>
      <c r="BO105" s="117"/>
      <c r="BP105" s="120"/>
      <c r="BR105" s="117"/>
      <c r="BS105" s="117"/>
      <c r="BZ105" s="117"/>
      <c r="CA105" s="145">
        <v>44596.633506944447</v>
      </c>
    </row>
    <row r="106" spans="1:79" s="118" customFormat="1">
      <c r="A106" s="114"/>
      <c r="B106" s="114">
        <f t="shared" si="1"/>
        <v>0</v>
      </c>
      <c r="C106" s="136"/>
      <c r="D106" s="116"/>
      <c r="E106" s="116"/>
      <c r="F106" s="116"/>
      <c r="G106" s="115"/>
      <c r="H106" s="116"/>
      <c r="I106" s="116"/>
      <c r="J106" s="116"/>
      <c r="K106" s="116"/>
      <c r="L106" s="116"/>
      <c r="M106" s="116"/>
      <c r="N106" s="116"/>
      <c r="O106" s="116"/>
      <c r="P106" s="166"/>
      <c r="Q106" s="116"/>
      <c r="R106" s="116"/>
      <c r="S106" s="191"/>
      <c r="T106" s="191"/>
      <c r="U106" s="116"/>
      <c r="V106" s="116"/>
      <c r="W106" s="116"/>
      <c r="X106" s="117"/>
      <c r="Y106" s="116"/>
      <c r="Z106" s="114"/>
      <c r="AB106" s="119"/>
      <c r="AD106" s="119"/>
      <c r="AE106" s="119"/>
      <c r="AF106" s="119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30"/>
      <c r="AS106" s="116"/>
      <c r="AT106" s="126"/>
      <c r="AU106" s="130"/>
      <c r="AV106" s="116"/>
      <c r="AW106" s="130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7"/>
      <c r="BK106" s="117"/>
      <c r="BL106" s="117"/>
      <c r="BN106" s="117"/>
      <c r="BO106" s="117"/>
      <c r="BP106" s="120"/>
      <c r="BR106" s="117"/>
      <c r="BS106" s="117"/>
      <c r="BZ106" s="117"/>
      <c r="CA106" s="144"/>
    </row>
    <row r="107" spans="1:79" s="118" customFormat="1">
      <c r="A107" s="114"/>
      <c r="B107" s="114">
        <f t="shared" si="1"/>
        <v>6</v>
      </c>
      <c r="C107" s="136" t="s">
        <v>1138</v>
      </c>
      <c r="D107" s="116"/>
      <c r="E107" s="116">
        <v>5</v>
      </c>
      <c r="F107" s="116"/>
      <c r="G107" s="115"/>
      <c r="H107" s="116"/>
      <c r="I107" s="116"/>
      <c r="J107" s="116"/>
      <c r="K107" s="116"/>
      <c r="L107" s="116"/>
      <c r="M107" s="116"/>
      <c r="N107" s="116"/>
      <c r="O107" s="116"/>
      <c r="P107" s="166"/>
      <c r="Q107" s="116"/>
      <c r="R107" s="116"/>
      <c r="S107" s="191"/>
      <c r="T107" s="191"/>
      <c r="U107" s="116"/>
      <c r="V107" s="116"/>
      <c r="W107" s="116"/>
      <c r="X107" s="117"/>
      <c r="Y107" s="116"/>
      <c r="Z107" s="114"/>
      <c r="AB107" s="119"/>
      <c r="AD107" s="119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30">
        <v>0</v>
      </c>
      <c r="AQ107" s="130">
        <v>0</v>
      </c>
      <c r="AR107" s="130">
        <v>0</v>
      </c>
      <c r="AS107" s="130">
        <v>0</v>
      </c>
      <c r="AT107" s="126"/>
      <c r="AU107" s="130">
        <v>0</v>
      </c>
      <c r="AV107" s="130">
        <v>0</v>
      </c>
      <c r="AW107" s="130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7"/>
      <c r="BK107" s="117"/>
      <c r="BL107" s="117"/>
      <c r="BN107" s="117"/>
      <c r="BO107" s="117"/>
      <c r="BP107" s="120"/>
      <c r="BR107" s="117"/>
      <c r="BS107" s="117"/>
      <c r="BZ107" s="117"/>
      <c r="CA107" s="145">
        <v>44596.629814814813</v>
      </c>
    </row>
    <row r="108" spans="1:79" s="13" customFormat="1" ht="26.25" customHeight="1">
      <c r="B108" s="114">
        <f t="shared" si="1"/>
        <v>2</v>
      </c>
      <c r="C108" s="136" t="s">
        <v>1291</v>
      </c>
      <c r="D108" s="15"/>
      <c r="F108" s="42"/>
      <c r="H108" s="15"/>
      <c r="I108" s="15"/>
      <c r="J108" s="15"/>
      <c r="K108" s="15"/>
      <c r="L108" s="17"/>
      <c r="M108" s="17"/>
      <c r="N108" s="17"/>
      <c r="O108" s="16"/>
      <c r="P108" s="167"/>
      <c r="S108" s="193"/>
      <c r="T108" s="193"/>
      <c r="AS108" s="125" t="s">
        <v>948</v>
      </c>
      <c r="AW108" s="130">
        <v>0</v>
      </c>
      <c r="CA108" s="33"/>
    </row>
    <row r="109" spans="1:79" s="13" customFormat="1" ht="26.25" customHeight="1">
      <c r="B109" s="114">
        <f t="shared" si="1"/>
        <v>0</v>
      </c>
      <c r="C109" s="136"/>
      <c r="D109" s="15"/>
      <c r="F109" s="42"/>
      <c r="H109" s="15"/>
      <c r="I109" s="15"/>
      <c r="J109" s="15"/>
      <c r="K109" s="15"/>
      <c r="L109" s="17"/>
      <c r="M109" s="17"/>
      <c r="N109" s="17"/>
      <c r="O109" s="16"/>
      <c r="P109" s="167"/>
      <c r="S109" s="193"/>
      <c r="T109" s="193"/>
      <c r="AS109" s="125"/>
      <c r="AW109" s="130"/>
      <c r="CA109" s="33"/>
    </row>
    <row r="110" spans="1:79" s="13" customFormat="1" ht="26.25" customHeight="1">
      <c r="B110" s="114">
        <f t="shared" si="1"/>
        <v>1</v>
      </c>
      <c r="C110" s="136" t="s">
        <v>2435</v>
      </c>
      <c r="D110" s="15"/>
      <c r="F110" s="42"/>
      <c r="H110" s="15"/>
      <c r="I110" s="15"/>
      <c r="J110" s="15"/>
      <c r="K110" s="15"/>
      <c r="L110" s="17"/>
      <c r="M110" s="17"/>
      <c r="N110" s="17"/>
      <c r="O110" s="16"/>
      <c r="P110" s="167"/>
      <c r="S110" s="193"/>
      <c r="T110" s="193"/>
      <c r="AP110" s="130">
        <v>0</v>
      </c>
      <c r="AS110" s="125"/>
      <c r="AW110" s="130"/>
      <c r="CA110" s="146">
        <v>44596.611041666663</v>
      </c>
    </row>
    <row r="111" spans="1:79" s="13" customFormat="1" ht="26.25" customHeight="1">
      <c r="B111" s="114">
        <f t="shared" si="1"/>
        <v>1</v>
      </c>
      <c r="C111" s="136" t="s">
        <v>2451</v>
      </c>
      <c r="D111" s="15"/>
      <c r="F111" s="42"/>
      <c r="H111" s="15"/>
      <c r="I111" s="15"/>
      <c r="J111" s="15"/>
      <c r="K111" s="15"/>
      <c r="L111" s="17"/>
      <c r="M111" s="17"/>
      <c r="N111" s="17"/>
      <c r="O111" s="16"/>
      <c r="P111" s="167"/>
      <c r="S111" s="193"/>
      <c r="T111" s="193"/>
      <c r="AS111" s="125"/>
      <c r="AU111" s="130">
        <v>0</v>
      </c>
      <c r="AW111" s="130"/>
      <c r="CA111" s="146">
        <v>44596.610925925925</v>
      </c>
    </row>
    <row r="112" spans="1:79" s="13" customFormat="1" ht="26.25" customHeight="1">
      <c r="B112" s="114">
        <f t="shared" si="1"/>
        <v>1</v>
      </c>
      <c r="C112" s="136" t="s">
        <v>2450</v>
      </c>
      <c r="D112" s="15"/>
      <c r="F112" s="42"/>
      <c r="H112" s="15"/>
      <c r="I112" s="15"/>
      <c r="J112" s="15"/>
      <c r="K112" s="15"/>
      <c r="L112" s="17"/>
      <c r="M112" s="17"/>
      <c r="N112" s="17"/>
      <c r="O112" s="16"/>
      <c r="P112" s="167"/>
      <c r="S112" s="193"/>
      <c r="T112" s="193"/>
      <c r="AS112" s="125"/>
      <c r="AV112" s="130">
        <v>0</v>
      </c>
      <c r="AW112" s="130"/>
      <c r="CA112" s="146">
        <v>44596.670636574076</v>
      </c>
    </row>
    <row r="113" spans="1:80" s="13" customFormat="1" ht="26.25" customHeight="1">
      <c r="B113" s="114">
        <f t="shared" si="1"/>
        <v>0</v>
      </c>
      <c r="C113" s="136"/>
      <c r="D113" s="15"/>
      <c r="F113" s="42"/>
      <c r="H113" s="15"/>
      <c r="I113" s="15"/>
      <c r="J113" s="15"/>
      <c r="K113" s="15"/>
      <c r="L113" s="17"/>
      <c r="M113" s="17"/>
      <c r="N113" s="17"/>
      <c r="O113" s="16"/>
      <c r="P113" s="167"/>
      <c r="S113" s="193"/>
      <c r="T113" s="193"/>
      <c r="AS113" s="125"/>
      <c r="CA113" s="146">
        <v>44596.670520833337</v>
      </c>
    </row>
    <row r="114" spans="1:80" s="118" customFormat="1">
      <c r="A114" s="114"/>
      <c r="B114" s="114">
        <f t="shared" si="1"/>
        <v>5</v>
      </c>
      <c r="C114" s="136" t="s">
        <v>2351</v>
      </c>
      <c r="D114" s="116"/>
      <c r="E114" s="116"/>
      <c r="F114" s="116"/>
      <c r="G114" s="115"/>
      <c r="H114" s="116"/>
      <c r="I114" s="116"/>
      <c r="J114" s="116"/>
      <c r="K114" s="116"/>
      <c r="L114" s="116"/>
      <c r="M114" s="116"/>
      <c r="N114" s="116"/>
      <c r="O114" s="116"/>
      <c r="P114" s="166"/>
      <c r="Q114" s="116"/>
      <c r="R114" s="116"/>
      <c r="S114" s="191"/>
      <c r="T114" s="191"/>
      <c r="U114" s="116"/>
      <c r="V114" s="116"/>
      <c r="W114" s="116"/>
      <c r="X114" s="117"/>
      <c r="Y114" s="116"/>
      <c r="Z114" s="114"/>
      <c r="AB114" s="119"/>
      <c r="AD114" s="119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30">
        <v>0</v>
      </c>
      <c r="AQ114" s="130">
        <v>0</v>
      </c>
      <c r="AR114" s="130">
        <v>0</v>
      </c>
      <c r="AS114" s="130"/>
      <c r="AT114" s="130">
        <v>0</v>
      </c>
      <c r="AU114" s="130"/>
      <c r="AV114" s="130">
        <v>0</v>
      </c>
      <c r="AW114" s="130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7"/>
      <c r="BK114" s="117"/>
      <c r="BL114" s="117"/>
      <c r="BN114" s="117"/>
      <c r="BO114" s="117"/>
      <c r="BP114" s="120"/>
      <c r="BR114" s="117"/>
      <c r="BS114" s="117"/>
      <c r="BZ114" s="117"/>
      <c r="CA114" s="145">
        <v>44596.628761574073</v>
      </c>
      <c r="CB114" s="162">
        <v>44604.599780092591</v>
      </c>
    </row>
    <row r="115" spans="1:80" s="118" customFormat="1">
      <c r="A115" s="114"/>
      <c r="B115" s="114">
        <f t="shared" si="1"/>
        <v>2</v>
      </c>
      <c r="C115" s="136" t="s">
        <v>2444</v>
      </c>
      <c r="D115" s="116"/>
      <c r="E115" s="116"/>
      <c r="F115" s="116"/>
      <c r="G115" s="115"/>
      <c r="H115" s="116"/>
      <c r="I115" s="116"/>
      <c r="J115" s="116"/>
      <c r="K115" s="116"/>
      <c r="L115" s="116"/>
      <c r="M115" s="116"/>
      <c r="N115" s="116"/>
      <c r="O115" s="116"/>
      <c r="P115" s="166"/>
      <c r="Q115" s="116"/>
      <c r="R115" s="116"/>
      <c r="S115" s="191"/>
      <c r="T115" s="191"/>
      <c r="U115" s="116"/>
      <c r="V115" s="116"/>
      <c r="W115" s="116"/>
      <c r="X115" s="117"/>
      <c r="Y115" s="116"/>
      <c r="Z115" s="114"/>
      <c r="AB115" s="119"/>
      <c r="AD115" s="119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30"/>
      <c r="AQ115" s="130">
        <v>0</v>
      </c>
      <c r="AR115" s="130"/>
      <c r="AS115" s="130"/>
      <c r="AT115" s="130"/>
      <c r="AU115" s="130"/>
      <c r="AV115" s="116"/>
      <c r="AW115" s="130">
        <v>0</v>
      </c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7"/>
      <c r="BK115" s="117"/>
      <c r="BL115" s="117"/>
      <c r="BN115" s="117"/>
      <c r="BO115" s="117"/>
      <c r="BP115" s="120"/>
      <c r="BR115" s="117"/>
      <c r="BS115" s="117"/>
      <c r="BZ115" s="117"/>
      <c r="CA115" s="145">
        <v>44596.643680555557</v>
      </c>
      <c r="CB115" s="162">
        <v>44604.639699074076</v>
      </c>
    </row>
    <row r="116" spans="1:80" s="118" customFormat="1">
      <c r="A116" s="114"/>
      <c r="B116" s="114">
        <f t="shared" si="1"/>
        <v>0</v>
      </c>
      <c r="C116" s="136"/>
      <c r="D116" s="116"/>
      <c r="E116" s="116"/>
      <c r="F116" s="116"/>
      <c r="G116" s="115"/>
      <c r="H116" s="116"/>
      <c r="I116" s="116"/>
      <c r="J116" s="116"/>
      <c r="K116" s="116"/>
      <c r="L116" s="116"/>
      <c r="M116" s="116"/>
      <c r="N116" s="116"/>
      <c r="O116" s="116"/>
      <c r="P116" s="166"/>
      <c r="Q116" s="116"/>
      <c r="R116" s="116"/>
      <c r="S116" s="191"/>
      <c r="T116" s="191"/>
      <c r="U116" s="116"/>
      <c r="V116" s="116"/>
      <c r="W116" s="116"/>
      <c r="X116" s="117"/>
      <c r="Y116" s="116"/>
      <c r="Z116" s="114"/>
      <c r="AB116" s="119"/>
      <c r="AD116" s="119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30"/>
      <c r="AQ116" s="130"/>
      <c r="AR116" s="130"/>
      <c r="AS116" s="130"/>
      <c r="AT116" s="130"/>
      <c r="AU116" s="130"/>
      <c r="AV116" s="116"/>
      <c r="AW116" s="130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7"/>
      <c r="BK116" s="117"/>
      <c r="BL116" s="117"/>
      <c r="BN116" s="117"/>
      <c r="BO116" s="117"/>
      <c r="BP116" s="120"/>
      <c r="BR116" s="117"/>
      <c r="BS116" s="117"/>
      <c r="BZ116" s="117"/>
      <c r="CA116" s="145"/>
    </row>
    <row r="117" spans="1:80" s="118" customFormat="1" ht="27">
      <c r="A117" s="114"/>
      <c r="B117" s="114">
        <f t="shared" si="1"/>
        <v>5</v>
      </c>
      <c r="C117" s="136" t="s">
        <v>1137</v>
      </c>
      <c r="D117" s="116"/>
      <c r="E117" s="116"/>
      <c r="F117" s="116"/>
      <c r="G117" s="115"/>
      <c r="H117" s="116"/>
      <c r="I117" s="116"/>
      <c r="J117" s="116"/>
      <c r="K117" s="116"/>
      <c r="L117" s="116"/>
      <c r="M117" s="116"/>
      <c r="N117" s="116"/>
      <c r="O117" s="116"/>
      <c r="P117" s="166"/>
      <c r="Q117" s="116"/>
      <c r="R117" s="116"/>
      <c r="S117" s="191"/>
      <c r="T117" s="191"/>
      <c r="U117" s="116"/>
      <c r="V117" s="116"/>
      <c r="W117" s="116"/>
      <c r="X117" s="117"/>
      <c r="Y117" s="116"/>
      <c r="Z117" s="114"/>
      <c r="AB117" s="119"/>
      <c r="AD117" s="119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30">
        <v>0</v>
      </c>
      <c r="AQ117" s="130">
        <v>0</v>
      </c>
      <c r="AR117" s="119"/>
      <c r="AS117" s="116"/>
      <c r="AT117" s="126"/>
      <c r="AU117" s="130">
        <v>0</v>
      </c>
      <c r="AV117" s="130">
        <v>0</v>
      </c>
      <c r="AW117" s="130">
        <v>0</v>
      </c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7"/>
      <c r="BK117" s="117"/>
      <c r="BL117" s="117"/>
      <c r="BN117" s="117"/>
      <c r="BO117" s="117"/>
      <c r="BP117" s="120"/>
      <c r="BR117" s="117"/>
      <c r="BS117" s="117"/>
      <c r="BZ117" s="117"/>
      <c r="CA117" s="145">
        <v>44596.591747685183</v>
      </c>
    </row>
    <row r="118" spans="1:80" s="118" customFormat="1" ht="27">
      <c r="A118" s="114"/>
      <c r="B118" s="114">
        <f t="shared" si="1"/>
        <v>1</v>
      </c>
      <c r="C118" s="136" t="s">
        <v>1142</v>
      </c>
      <c r="D118" s="116"/>
      <c r="E118" s="116"/>
      <c r="F118" s="116"/>
      <c r="G118" s="115"/>
      <c r="H118" s="116"/>
      <c r="I118" s="116"/>
      <c r="J118" s="116"/>
      <c r="K118" s="116"/>
      <c r="L118" s="116"/>
      <c r="M118" s="116"/>
      <c r="N118" s="116"/>
      <c r="O118" s="116"/>
      <c r="P118" s="166"/>
      <c r="Q118" s="116"/>
      <c r="R118" s="116"/>
      <c r="S118" s="191"/>
      <c r="T118" s="191"/>
      <c r="U118" s="116"/>
      <c r="V118" s="116"/>
      <c r="W118" s="116"/>
      <c r="X118" s="117"/>
      <c r="Y118" s="116"/>
      <c r="Z118" s="114"/>
      <c r="AB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30"/>
      <c r="AQ118" s="130">
        <v>0</v>
      </c>
      <c r="AR118" s="119"/>
      <c r="AS118" s="116"/>
      <c r="AT118" s="126"/>
      <c r="AU118" s="130"/>
      <c r="AV118" s="116"/>
      <c r="AW118" s="130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7"/>
      <c r="BK118" s="117"/>
      <c r="BL118" s="117"/>
      <c r="BN118" s="117"/>
      <c r="BO118" s="117"/>
      <c r="BP118" s="120"/>
      <c r="BR118" s="117"/>
      <c r="BS118" s="117"/>
      <c r="BZ118" s="117"/>
      <c r="CA118" s="144"/>
    </row>
    <row r="119" spans="1:80" s="118" customFormat="1">
      <c r="A119" s="114"/>
      <c r="B119" s="114">
        <f t="shared" si="1"/>
        <v>3</v>
      </c>
      <c r="C119" s="136" t="s">
        <v>2342</v>
      </c>
      <c r="D119" s="116"/>
      <c r="E119" s="116"/>
      <c r="F119" s="116"/>
      <c r="G119" s="115"/>
      <c r="H119" s="116"/>
      <c r="I119" s="116"/>
      <c r="J119" s="116"/>
      <c r="K119" s="116"/>
      <c r="L119" s="116"/>
      <c r="M119" s="116"/>
      <c r="N119" s="116"/>
      <c r="O119" s="116"/>
      <c r="P119" s="166"/>
      <c r="Q119" s="116"/>
      <c r="R119" s="116"/>
      <c r="S119" s="191"/>
      <c r="T119" s="191"/>
      <c r="U119" s="116"/>
      <c r="V119" s="116"/>
      <c r="W119" s="116"/>
      <c r="X119" s="117"/>
      <c r="Y119" s="116"/>
      <c r="Z119" s="114"/>
      <c r="AB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30"/>
      <c r="AQ119" s="130"/>
      <c r="AR119" s="119"/>
      <c r="AS119" s="116"/>
      <c r="AT119" s="126"/>
      <c r="AU119" s="130">
        <v>0</v>
      </c>
      <c r="AV119" s="130">
        <v>0</v>
      </c>
      <c r="AW119" s="130">
        <v>0</v>
      </c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7"/>
      <c r="BK119" s="117"/>
      <c r="BL119" s="117"/>
      <c r="BN119" s="117"/>
      <c r="BO119" s="117"/>
      <c r="BP119" s="120"/>
      <c r="BR119" s="117"/>
      <c r="BS119" s="117"/>
      <c r="BZ119" s="117"/>
      <c r="CA119" s="145">
        <v>44596.590081018519</v>
      </c>
    </row>
    <row r="120" spans="1:80" s="118" customFormat="1">
      <c r="A120" s="114"/>
      <c r="B120" s="114">
        <f t="shared" si="1"/>
        <v>1</v>
      </c>
      <c r="C120" s="136" t="s">
        <v>2352</v>
      </c>
      <c r="D120" s="116"/>
      <c r="E120" s="116"/>
      <c r="F120" s="116"/>
      <c r="G120" s="115"/>
      <c r="H120" s="116"/>
      <c r="I120" s="116"/>
      <c r="J120" s="116"/>
      <c r="K120" s="116"/>
      <c r="L120" s="116"/>
      <c r="M120" s="116"/>
      <c r="N120" s="116"/>
      <c r="O120" s="116"/>
      <c r="P120" s="166"/>
      <c r="Q120" s="116"/>
      <c r="R120" s="116"/>
      <c r="S120" s="191"/>
      <c r="T120" s="191"/>
      <c r="U120" s="116"/>
      <c r="V120" s="116"/>
      <c r="W120" s="116"/>
      <c r="X120" s="117"/>
      <c r="Y120" s="116"/>
      <c r="Z120" s="114"/>
      <c r="AB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30"/>
      <c r="AQ120" s="130"/>
      <c r="AR120" s="119"/>
      <c r="AS120" s="116"/>
      <c r="AT120" s="130">
        <v>0</v>
      </c>
      <c r="AU120" s="130"/>
      <c r="AV120" s="116"/>
      <c r="AW120" s="130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7"/>
      <c r="BK120" s="117"/>
      <c r="BL120" s="117"/>
      <c r="BN120" s="117"/>
      <c r="BO120" s="117"/>
      <c r="BP120" s="120"/>
      <c r="BR120" s="117"/>
      <c r="BS120" s="117"/>
      <c r="BZ120" s="117"/>
      <c r="CA120" s="145">
        <v>44596.629502314812</v>
      </c>
    </row>
    <row r="121" spans="1:80" s="118" customFormat="1">
      <c r="A121" s="114"/>
      <c r="B121" s="114">
        <f t="shared" si="1"/>
        <v>1</v>
      </c>
      <c r="C121" s="136" t="s">
        <v>2329</v>
      </c>
      <c r="D121" s="116"/>
      <c r="E121" s="116"/>
      <c r="F121" s="116"/>
      <c r="G121" s="115"/>
      <c r="H121" s="116"/>
      <c r="I121" s="116"/>
      <c r="J121" s="116"/>
      <c r="K121" s="116"/>
      <c r="L121" s="116"/>
      <c r="M121" s="116"/>
      <c r="N121" s="116"/>
      <c r="O121" s="116"/>
      <c r="P121" s="166"/>
      <c r="Q121" s="116"/>
      <c r="R121" s="116"/>
      <c r="S121" s="191"/>
      <c r="T121" s="191"/>
      <c r="U121" s="116"/>
      <c r="V121" s="116"/>
      <c r="W121" s="116"/>
      <c r="X121" s="117"/>
      <c r="Y121" s="116"/>
      <c r="Z121" s="114"/>
      <c r="AB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30"/>
      <c r="AQ121" s="130"/>
      <c r="AR121" s="130">
        <v>0</v>
      </c>
      <c r="AS121" s="116"/>
      <c r="AT121" s="130"/>
      <c r="AU121" s="130"/>
      <c r="AV121" s="116"/>
      <c r="AW121" s="130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7"/>
      <c r="BK121" s="117"/>
      <c r="BL121" s="117"/>
      <c r="BN121" s="117"/>
      <c r="BO121" s="117"/>
      <c r="BP121" s="120"/>
      <c r="BR121" s="117"/>
      <c r="BS121" s="117"/>
      <c r="BZ121" s="117"/>
      <c r="CA121" s="145">
        <v>44596.629560185182</v>
      </c>
    </row>
    <row r="122" spans="1:80" s="118" customFormat="1">
      <c r="A122" s="114"/>
      <c r="B122" s="114">
        <f t="shared" si="1"/>
        <v>0</v>
      </c>
      <c r="C122" s="136"/>
      <c r="D122" s="116"/>
      <c r="E122" s="116"/>
      <c r="F122" s="116"/>
      <c r="G122" s="115"/>
      <c r="H122" s="116"/>
      <c r="I122" s="116"/>
      <c r="J122" s="116"/>
      <c r="K122" s="116"/>
      <c r="L122" s="116"/>
      <c r="M122" s="116"/>
      <c r="N122" s="116"/>
      <c r="O122" s="116"/>
      <c r="P122" s="166"/>
      <c r="Q122" s="116"/>
      <c r="R122" s="116"/>
      <c r="S122" s="191"/>
      <c r="T122" s="191"/>
      <c r="U122" s="116"/>
      <c r="V122" s="116"/>
      <c r="W122" s="116"/>
      <c r="X122" s="117"/>
      <c r="Y122" s="116"/>
      <c r="Z122" s="114"/>
      <c r="AB122" s="119"/>
      <c r="AD122" s="119"/>
      <c r="AE122" s="119"/>
      <c r="AF122" s="119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30"/>
      <c r="AQ122" s="130"/>
      <c r="AR122" s="119"/>
      <c r="AS122" s="116"/>
      <c r="AT122" s="130"/>
      <c r="AU122" s="130"/>
      <c r="AV122" s="116"/>
      <c r="AW122" s="130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7"/>
      <c r="BK122" s="117"/>
      <c r="BL122" s="117"/>
      <c r="BN122" s="117"/>
      <c r="BO122" s="117"/>
      <c r="BP122" s="120"/>
      <c r="BR122" s="117"/>
      <c r="BS122" s="117"/>
      <c r="BZ122" s="117"/>
      <c r="CA122" s="144"/>
    </row>
    <row r="123" spans="1:80" s="118" customFormat="1" ht="27">
      <c r="A123" s="114"/>
      <c r="B123" s="114">
        <f t="shared" si="1"/>
        <v>1</v>
      </c>
      <c r="C123" s="136" t="s">
        <v>2448</v>
      </c>
      <c r="D123" s="116"/>
      <c r="E123" s="116"/>
      <c r="F123" s="116"/>
      <c r="G123" s="115"/>
      <c r="H123" s="116"/>
      <c r="I123" s="116"/>
      <c r="J123" s="116"/>
      <c r="K123" s="116"/>
      <c r="L123" s="116"/>
      <c r="M123" s="116"/>
      <c r="N123" s="116"/>
      <c r="O123" s="116"/>
      <c r="P123" s="166"/>
      <c r="Q123" s="116"/>
      <c r="R123" s="116"/>
      <c r="S123" s="191"/>
      <c r="T123" s="191"/>
      <c r="U123" s="116"/>
      <c r="V123" s="116"/>
      <c r="W123" s="116"/>
      <c r="X123" s="117"/>
      <c r="Y123" s="116"/>
      <c r="Z123" s="114"/>
      <c r="AB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30"/>
      <c r="AQ123" s="130"/>
      <c r="AR123" s="119"/>
      <c r="AS123" s="130">
        <v>0</v>
      </c>
      <c r="AT123" s="130"/>
      <c r="AU123" s="130"/>
      <c r="AV123" s="116"/>
      <c r="AW123" s="130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7"/>
      <c r="BK123" s="117"/>
      <c r="BL123" s="117"/>
      <c r="BN123" s="117"/>
      <c r="BO123" s="117"/>
      <c r="BP123" s="120"/>
      <c r="BR123" s="117"/>
      <c r="BS123" s="117"/>
      <c r="BZ123" s="117"/>
      <c r="CA123" s="145">
        <v>44596.656712962962</v>
      </c>
    </row>
    <row r="124" spans="1:80" s="118" customFormat="1">
      <c r="A124" s="114"/>
      <c r="B124" s="114">
        <f t="shared" si="1"/>
        <v>3</v>
      </c>
      <c r="C124" s="136" t="s">
        <v>1157</v>
      </c>
      <c r="D124" s="116"/>
      <c r="E124" s="116">
        <v>2</v>
      </c>
      <c r="F124" s="116"/>
      <c r="G124" s="115"/>
      <c r="H124" s="116"/>
      <c r="I124" s="116"/>
      <c r="J124" s="116"/>
      <c r="K124" s="116"/>
      <c r="L124" s="116"/>
      <c r="M124" s="116"/>
      <c r="N124" s="116"/>
      <c r="O124" s="116"/>
      <c r="P124" s="166"/>
      <c r="Q124" s="116"/>
      <c r="R124" s="116"/>
      <c r="S124" s="191"/>
      <c r="T124" s="191"/>
      <c r="U124" s="116"/>
      <c r="V124" s="116"/>
      <c r="W124" s="116"/>
      <c r="X124" s="117"/>
      <c r="Y124" s="116"/>
      <c r="Z124" s="114"/>
      <c r="AB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30">
        <v>0</v>
      </c>
      <c r="AP124" s="119"/>
      <c r="AQ124" s="119"/>
      <c r="AR124" s="119"/>
      <c r="AS124" s="116" t="s">
        <v>828</v>
      </c>
      <c r="AT124" s="130">
        <v>0</v>
      </c>
      <c r="AU124" s="116"/>
      <c r="AV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 t="str">
        <f>C124&amp;"(第"&amp;E124&amp;"版）"</f>
        <v>关键对话：如何高效能对话(第2版）</v>
      </c>
      <c r="BJ124" s="117"/>
      <c r="BK124" s="117"/>
      <c r="BL124" s="117"/>
      <c r="BN124" s="117"/>
      <c r="BO124" s="117"/>
      <c r="BP124" s="120"/>
      <c r="BR124" s="117"/>
      <c r="BS124" s="117"/>
      <c r="BZ124" s="117"/>
      <c r="CA124" s="145">
        <v>44596.602650462963</v>
      </c>
    </row>
    <row r="125" spans="1:80" s="13" customFormat="1" ht="26.25" customHeight="1">
      <c r="B125" s="114">
        <f t="shared" si="1"/>
        <v>2</v>
      </c>
      <c r="C125" s="136" t="s">
        <v>1278</v>
      </c>
      <c r="D125" s="15"/>
      <c r="F125" s="42"/>
      <c r="H125" s="15"/>
      <c r="I125" s="15"/>
      <c r="J125" s="15"/>
      <c r="K125" s="15"/>
      <c r="L125" s="17"/>
      <c r="M125" s="17"/>
      <c r="N125" s="17"/>
      <c r="O125" s="16"/>
      <c r="P125" s="167"/>
      <c r="S125" s="193"/>
      <c r="T125" s="193"/>
      <c r="AS125" s="125" t="s">
        <v>948</v>
      </c>
      <c r="AU125" s="130">
        <v>0</v>
      </c>
      <c r="CA125" s="33"/>
    </row>
    <row r="126" spans="1:80" s="118" customFormat="1">
      <c r="A126" s="114"/>
      <c r="B126" s="114">
        <f t="shared" si="1"/>
        <v>3</v>
      </c>
      <c r="C126" s="136" t="s">
        <v>2331</v>
      </c>
      <c r="D126" s="116"/>
      <c r="E126" s="116"/>
      <c r="F126" s="116"/>
      <c r="G126" s="115"/>
      <c r="H126" s="116"/>
      <c r="I126" s="116"/>
      <c r="J126" s="116"/>
      <c r="K126" s="116"/>
      <c r="L126" s="116"/>
      <c r="M126" s="116"/>
      <c r="N126" s="116"/>
      <c r="O126" s="116"/>
      <c r="P126" s="166"/>
      <c r="Q126" s="116"/>
      <c r="R126" s="116"/>
      <c r="S126" s="191"/>
      <c r="T126" s="191"/>
      <c r="U126" s="116"/>
      <c r="V126" s="116"/>
      <c r="W126" s="116"/>
      <c r="X126" s="117"/>
      <c r="Y126" s="116"/>
      <c r="Z126" s="114"/>
      <c r="AB126" s="119"/>
      <c r="AD126" s="119"/>
      <c r="AE126" s="119"/>
      <c r="AF126" s="119"/>
      <c r="AG126" s="119"/>
      <c r="AH126" s="119"/>
      <c r="AI126" s="119"/>
      <c r="AJ126" s="119"/>
      <c r="AK126" s="119"/>
      <c r="AL126" s="119"/>
      <c r="AM126" s="119"/>
      <c r="AN126" s="119"/>
      <c r="AO126" s="119"/>
      <c r="AP126" s="130"/>
      <c r="AQ126" s="130"/>
      <c r="AR126" s="130">
        <v>0</v>
      </c>
      <c r="AS126" s="116"/>
      <c r="AT126" s="130">
        <v>0</v>
      </c>
      <c r="AU126" s="130"/>
      <c r="AV126" s="116"/>
      <c r="AW126" s="130">
        <v>0</v>
      </c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7"/>
      <c r="BK126" s="117"/>
      <c r="BL126" s="117"/>
      <c r="BN126" s="117"/>
      <c r="BO126" s="117"/>
      <c r="BP126" s="120"/>
      <c r="BR126" s="117"/>
      <c r="BS126" s="117"/>
      <c r="BZ126" s="117"/>
      <c r="CA126" s="144"/>
    </row>
    <row r="127" spans="1:80" s="118" customFormat="1">
      <c r="A127" s="114"/>
      <c r="B127" s="114">
        <f t="shared" si="1"/>
        <v>2</v>
      </c>
      <c r="C127" s="136" t="s">
        <v>957</v>
      </c>
      <c r="D127" s="116"/>
      <c r="E127" s="116"/>
      <c r="F127" s="116"/>
      <c r="G127" s="115"/>
      <c r="H127" s="116"/>
      <c r="I127" s="116"/>
      <c r="J127" s="116"/>
      <c r="K127" s="116"/>
      <c r="L127" s="116"/>
      <c r="M127" s="116"/>
      <c r="N127" s="116"/>
      <c r="O127" s="116"/>
      <c r="P127" s="166"/>
      <c r="Q127" s="116"/>
      <c r="R127" s="116"/>
      <c r="S127" s="191"/>
      <c r="T127" s="191"/>
      <c r="U127" s="116"/>
      <c r="V127" s="116"/>
      <c r="W127" s="116"/>
      <c r="X127" s="117"/>
      <c r="Y127" s="116"/>
      <c r="Z127" s="114"/>
      <c r="AB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T127" s="130">
        <v>0</v>
      </c>
      <c r="AU127" s="116"/>
      <c r="AV127" s="116"/>
      <c r="AW127" s="130">
        <v>0</v>
      </c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J127" s="117"/>
      <c r="BK127" s="117"/>
      <c r="BL127" s="117"/>
      <c r="BN127" s="117"/>
      <c r="BO127" s="117"/>
      <c r="BP127" s="120"/>
      <c r="BR127" s="117"/>
      <c r="BS127" s="117"/>
      <c r="BZ127" s="117"/>
      <c r="CA127" s="145">
        <v>44596.664201388892</v>
      </c>
    </row>
    <row r="128" spans="1:80" s="118" customFormat="1">
      <c r="A128" s="114"/>
      <c r="B128" s="114">
        <f t="shared" si="1"/>
        <v>1</v>
      </c>
      <c r="C128" s="136" t="s">
        <v>2449</v>
      </c>
      <c r="D128" s="116"/>
      <c r="E128" s="116"/>
      <c r="F128" s="116"/>
      <c r="G128" s="115"/>
      <c r="H128" s="116"/>
      <c r="I128" s="116"/>
      <c r="J128" s="116"/>
      <c r="K128" s="116"/>
      <c r="L128" s="116"/>
      <c r="M128" s="116"/>
      <c r="N128" s="116"/>
      <c r="O128" s="116"/>
      <c r="P128" s="166"/>
      <c r="Q128" s="116"/>
      <c r="R128" s="116"/>
      <c r="S128" s="191"/>
      <c r="T128" s="191"/>
      <c r="U128" s="116"/>
      <c r="V128" s="116"/>
      <c r="W128" s="116"/>
      <c r="X128" s="117"/>
      <c r="Y128" s="116"/>
      <c r="Z128" s="114"/>
      <c r="AB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30"/>
      <c r="AQ128" s="130"/>
      <c r="AR128" s="130"/>
      <c r="AS128" s="116"/>
      <c r="AT128" s="130">
        <v>0</v>
      </c>
      <c r="AU128" s="130"/>
      <c r="AV128" s="116"/>
      <c r="AW128" s="130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7"/>
      <c r="BK128" s="117"/>
      <c r="BL128" s="117"/>
      <c r="BN128" s="117"/>
      <c r="BO128" s="117"/>
      <c r="BP128" s="120"/>
      <c r="BR128" s="117"/>
      <c r="BS128" s="117"/>
      <c r="BZ128" s="117"/>
      <c r="CA128" s="144"/>
    </row>
    <row r="129" spans="1:80" s="118" customFormat="1">
      <c r="A129" s="114"/>
      <c r="B129" s="114">
        <f t="shared" si="1"/>
        <v>0</v>
      </c>
      <c r="C129" s="136"/>
      <c r="D129" s="116"/>
      <c r="E129" s="116"/>
      <c r="F129" s="116"/>
      <c r="G129" s="115"/>
      <c r="H129" s="116"/>
      <c r="I129" s="116"/>
      <c r="J129" s="116"/>
      <c r="K129" s="116"/>
      <c r="L129" s="116"/>
      <c r="M129" s="116"/>
      <c r="N129" s="116"/>
      <c r="O129" s="116"/>
      <c r="P129" s="166"/>
      <c r="Q129" s="116"/>
      <c r="R129" s="116"/>
      <c r="S129" s="191"/>
      <c r="T129" s="191"/>
      <c r="U129" s="116"/>
      <c r="V129" s="116"/>
      <c r="W129" s="116"/>
      <c r="X129" s="117"/>
      <c r="Y129" s="116"/>
      <c r="Z129" s="114"/>
      <c r="AB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30"/>
      <c r="AQ129" s="130"/>
      <c r="AR129" s="130"/>
      <c r="AS129" s="116"/>
      <c r="AT129" s="126"/>
      <c r="AU129" s="130"/>
      <c r="AV129" s="116"/>
      <c r="AW129" s="130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7"/>
      <c r="BK129" s="117"/>
      <c r="BL129" s="117"/>
      <c r="BN129" s="117"/>
      <c r="BO129" s="117"/>
      <c r="BP129" s="120"/>
      <c r="BR129" s="117"/>
      <c r="BS129" s="117"/>
      <c r="BZ129" s="117"/>
      <c r="CA129" s="145">
        <v>44596.664085648146</v>
      </c>
    </row>
    <row r="130" spans="1:80" s="118" customFormat="1" ht="27">
      <c r="A130" s="114"/>
      <c r="B130" s="114">
        <f t="shared" si="1"/>
        <v>1</v>
      </c>
      <c r="C130" s="136" t="s">
        <v>2332</v>
      </c>
      <c r="D130" s="116"/>
      <c r="E130" s="116"/>
      <c r="F130" s="116"/>
      <c r="G130" s="115"/>
      <c r="H130" s="116"/>
      <c r="I130" s="116"/>
      <c r="J130" s="116"/>
      <c r="K130" s="116"/>
      <c r="L130" s="116"/>
      <c r="M130" s="116"/>
      <c r="N130" s="116"/>
      <c r="O130" s="116"/>
      <c r="P130" s="166"/>
      <c r="Q130" s="116"/>
      <c r="R130" s="116"/>
      <c r="S130" s="191"/>
      <c r="T130" s="191"/>
      <c r="U130" s="116"/>
      <c r="V130" s="116"/>
      <c r="W130" s="116"/>
      <c r="X130" s="117"/>
      <c r="Y130" s="116"/>
      <c r="Z130" s="114"/>
      <c r="AB130" s="119"/>
      <c r="AD130" s="119"/>
      <c r="AE130" s="119"/>
      <c r="AF130" s="119"/>
      <c r="AG130" s="119"/>
      <c r="AH130" s="119"/>
      <c r="AI130" s="119"/>
      <c r="AJ130" s="119"/>
      <c r="AK130" s="119"/>
      <c r="AL130" s="119"/>
      <c r="AM130" s="119"/>
      <c r="AN130" s="119"/>
      <c r="AO130" s="119"/>
      <c r="AP130" s="130"/>
      <c r="AQ130" s="130"/>
      <c r="AR130" s="130">
        <v>0</v>
      </c>
      <c r="AS130" s="116"/>
      <c r="AT130" s="126"/>
      <c r="AU130" s="130"/>
      <c r="AV130" s="116"/>
      <c r="AW130" s="130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7"/>
      <c r="BK130" s="117"/>
      <c r="BL130" s="117"/>
      <c r="BN130" s="117"/>
      <c r="BO130" s="117"/>
      <c r="BP130" s="120"/>
      <c r="BR130" s="117"/>
      <c r="BS130" s="117"/>
      <c r="BZ130" s="117"/>
      <c r="CA130" s="144"/>
    </row>
    <row r="131" spans="1:80" s="118" customFormat="1">
      <c r="A131" s="114"/>
      <c r="B131" s="114">
        <f t="shared" si="1"/>
        <v>1</v>
      </c>
      <c r="C131" s="136" t="s">
        <v>2357</v>
      </c>
      <c r="D131" s="116"/>
      <c r="E131" s="116"/>
      <c r="F131" s="116"/>
      <c r="G131" s="115"/>
      <c r="H131" s="116"/>
      <c r="I131" s="116"/>
      <c r="J131" s="116"/>
      <c r="K131" s="116"/>
      <c r="L131" s="116"/>
      <c r="M131" s="116"/>
      <c r="N131" s="116"/>
      <c r="O131" s="116"/>
      <c r="P131" s="166"/>
      <c r="Q131" s="116"/>
      <c r="R131" s="116"/>
      <c r="S131" s="191"/>
      <c r="T131" s="191"/>
      <c r="U131" s="116"/>
      <c r="V131" s="116"/>
      <c r="W131" s="116"/>
      <c r="X131" s="117"/>
      <c r="Y131" s="116"/>
      <c r="Z131" s="114"/>
      <c r="AB131" s="119"/>
      <c r="AD131" s="119"/>
      <c r="AE131" s="119"/>
      <c r="AF131" s="119"/>
      <c r="AG131" s="119"/>
      <c r="AH131" s="119"/>
      <c r="AI131" s="119"/>
      <c r="AJ131" s="119"/>
      <c r="AK131" s="119"/>
      <c r="AL131" s="119"/>
      <c r="AM131" s="119"/>
      <c r="AN131" s="119"/>
      <c r="AO131" s="119"/>
      <c r="AP131" s="130"/>
      <c r="AQ131" s="130"/>
      <c r="AR131" s="130"/>
      <c r="AS131" s="116"/>
      <c r="AT131" s="126"/>
      <c r="AU131" s="130"/>
      <c r="AV131" s="130">
        <v>0</v>
      </c>
      <c r="AW131" s="130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7"/>
      <c r="BK131" s="117"/>
      <c r="BL131" s="117"/>
      <c r="BN131" s="117"/>
      <c r="BO131" s="117"/>
      <c r="BP131" s="120"/>
      <c r="BR131" s="117"/>
      <c r="BS131" s="117"/>
      <c r="BZ131" s="117"/>
      <c r="CA131" s="144"/>
    </row>
    <row r="132" spans="1:80" s="118" customFormat="1">
      <c r="A132" s="114"/>
      <c r="B132" s="114">
        <f t="shared" si="1"/>
        <v>5</v>
      </c>
      <c r="C132" s="136" t="s">
        <v>974</v>
      </c>
      <c r="D132" s="116"/>
      <c r="E132" s="116"/>
      <c r="F132" s="116"/>
      <c r="G132" s="115"/>
      <c r="H132" s="116"/>
      <c r="I132" s="116"/>
      <c r="J132" s="116"/>
      <c r="K132" s="116"/>
      <c r="L132" s="116"/>
      <c r="M132" s="116"/>
      <c r="N132" s="116"/>
      <c r="O132" s="116"/>
      <c r="P132" s="166"/>
      <c r="Q132" s="116"/>
      <c r="R132" s="116"/>
      <c r="S132" s="191"/>
      <c r="T132" s="191"/>
      <c r="U132" s="116"/>
      <c r="V132" s="116"/>
      <c r="W132" s="116"/>
      <c r="X132" s="117"/>
      <c r="Y132" s="116"/>
      <c r="Z132" s="114"/>
      <c r="AB132" s="119"/>
      <c r="AD132" s="119"/>
      <c r="AE132" s="119"/>
      <c r="AF132" s="119"/>
      <c r="AG132" s="119"/>
      <c r="AH132" s="119"/>
      <c r="AI132" s="119"/>
      <c r="AJ132" s="119"/>
      <c r="AK132" s="119"/>
      <c r="AL132" s="119"/>
      <c r="AM132" s="119"/>
      <c r="AN132" s="119"/>
      <c r="AO132" s="130">
        <v>0</v>
      </c>
      <c r="AP132" s="119"/>
      <c r="AQ132" s="130">
        <v>0</v>
      </c>
      <c r="AR132" s="130">
        <v>0</v>
      </c>
      <c r="AS132" s="130">
        <v>0</v>
      </c>
      <c r="AT132" s="126"/>
      <c r="AU132" s="130">
        <v>0</v>
      </c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7"/>
      <c r="BK132" s="117"/>
      <c r="BL132" s="117"/>
      <c r="BN132" s="117"/>
      <c r="BO132" s="117"/>
      <c r="BP132" s="120"/>
      <c r="BR132" s="117"/>
      <c r="BS132" s="117"/>
      <c r="BZ132" s="117"/>
      <c r="CA132" s="144"/>
    </row>
    <row r="133" spans="1:80" s="118" customFormat="1">
      <c r="A133" s="114"/>
      <c r="B133" s="114">
        <f t="shared" si="1"/>
        <v>1</v>
      </c>
      <c r="C133" s="136" t="s">
        <v>2356</v>
      </c>
      <c r="D133" s="116"/>
      <c r="E133" s="116"/>
      <c r="F133" s="116"/>
      <c r="G133" s="115"/>
      <c r="H133" s="116"/>
      <c r="I133" s="116"/>
      <c r="J133" s="116"/>
      <c r="K133" s="116"/>
      <c r="L133" s="116"/>
      <c r="M133" s="116"/>
      <c r="N133" s="116"/>
      <c r="O133" s="116"/>
      <c r="P133" s="166"/>
      <c r="Q133" s="116"/>
      <c r="R133" s="116"/>
      <c r="S133" s="191"/>
      <c r="T133" s="191"/>
      <c r="U133" s="116"/>
      <c r="V133" s="116"/>
      <c r="W133" s="116"/>
      <c r="X133" s="117"/>
      <c r="Y133" s="116"/>
      <c r="Z133" s="114"/>
      <c r="AB133" s="119"/>
      <c r="AD133" s="119"/>
      <c r="AE133" s="119"/>
      <c r="AF133" s="119"/>
      <c r="AG133" s="119"/>
      <c r="AH133" s="119"/>
      <c r="AI133" s="119"/>
      <c r="AJ133" s="119"/>
      <c r="AK133" s="119"/>
      <c r="AL133" s="119"/>
      <c r="AM133" s="119"/>
      <c r="AN133" s="119"/>
      <c r="AO133" s="130"/>
      <c r="AP133" s="119"/>
      <c r="AQ133" s="130"/>
      <c r="AR133" s="130"/>
      <c r="AS133" s="130"/>
      <c r="AT133" s="126"/>
      <c r="AU133" s="130"/>
      <c r="AV133" s="130">
        <v>0</v>
      </c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7"/>
      <c r="BK133" s="117"/>
      <c r="BL133" s="117"/>
      <c r="BN133" s="117"/>
      <c r="BO133" s="117"/>
      <c r="BP133" s="120"/>
      <c r="BR133" s="117"/>
      <c r="BS133" s="117"/>
      <c r="BZ133" s="117"/>
      <c r="CA133" s="144"/>
    </row>
    <row r="134" spans="1:80" s="13" customFormat="1" ht="25.5" customHeight="1">
      <c r="B134" s="114">
        <f t="shared" si="1"/>
        <v>1</v>
      </c>
      <c r="C134" s="136" t="s">
        <v>1277</v>
      </c>
      <c r="D134" s="15"/>
      <c r="F134" s="42"/>
      <c r="H134" s="15"/>
      <c r="I134" s="15"/>
      <c r="J134" s="15"/>
      <c r="K134" s="15"/>
      <c r="L134" s="17"/>
      <c r="M134" s="17"/>
      <c r="N134" s="17"/>
      <c r="O134" s="16"/>
      <c r="P134" s="167"/>
      <c r="S134" s="193"/>
      <c r="T134" s="193"/>
      <c r="AS134" s="125" t="s">
        <v>948</v>
      </c>
      <c r="CA134" s="33"/>
    </row>
    <row r="135" spans="1:80" s="13" customFormat="1" ht="26.25" customHeight="1">
      <c r="B135" s="114">
        <f t="shared" ref="B135" si="3">COUNTA(AO135:AW135)</f>
        <v>1</v>
      </c>
      <c r="C135" s="136" t="s">
        <v>2488</v>
      </c>
      <c r="D135" s="15"/>
      <c r="F135" s="42"/>
      <c r="H135" s="15"/>
      <c r="I135" s="15"/>
      <c r="J135" s="15"/>
      <c r="K135" s="15"/>
      <c r="L135" s="17"/>
      <c r="M135" s="17"/>
      <c r="N135" s="17"/>
      <c r="O135" s="16"/>
      <c r="P135" s="167"/>
      <c r="S135" s="193"/>
      <c r="T135" s="193"/>
      <c r="AQ135" s="130">
        <v>0</v>
      </c>
      <c r="AS135" s="125"/>
      <c r="CA135" s="146">
        <v>44604.627303240741</v>
      </c>
    </row>
    <row r="136" spans="1:80" s="118" customFormat="1">
      <c r="A136" s="114"/>
      <c r="B136" s="114">
        <f t="shared" ref="B136:B199" si="4">COUNTA(AO136:AW136)</f>
        <v>2</v>
      </c>
      <c r="C136" s="136" t="s">
        <v>959</v>
      </c>
      <c r="D136" s="116"/>
      <c r="E136" s="116"/>
      <c r="F136" s="116"/>
      <c r="G136" s="115"/>
      <c r="H136" s="116"/>
      <c r="I136" s="116"/>
      <c r="J136" s="116"/>
      <c r="K136" s="116"/>
      <c r="L136" s="116"/>
      <c r="M136" s="116"/>
      <c r="N136" s="116"/>
      <c r="O136" s="116"/>
      <c r="P136" s="166"/>
      <c r="Q136" s="116"/>
      <c r="R136" s="116"/>
      <c r="S136" s="191"/>
      <c r="T136" s="191"/>
      <c r="U136" s="116"/>
      <c r="V136" s="116"/>
      <c r="W136" s="116"/>
      <c r="X136" s="117"/>
      <c r="Y136" s="116"/>
      <c r="Z136" s="114"/>
      <c r="AB136" s="119"/>
      <c r="AD136" s="119"/>
      <c r="AE136" s="119"/>
      <c r="AF136" s="119"/>
      <c r="AG136" s="119"/>
      <c r="AH136" s="119"/>
      <c r="AI136" s="119"/>
      <c r="AJ136" s="119"/>
      <c r="AK136" s="119"/>
      <c r="AL136" s="119"/>
      <c r="AM136" s="119"/>
      <c r="AN136" s="119"/>
      <c r="AO136" s="119"/>
      <c r="AP136" s="119"/>
      <c r="AQ136" s="119"/>
      <c r="AR136" s="119"/>
      <c r="AS136" s="130">
        <v>0</v>
      </c>
      <c r="AT136" s="130">
        <v>0</v>
      </c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7"/>
      <c r="BK136" s="117"/>
      <c r="BL136" s="117"/>
      <c r="BN136" s="117"/>
      <c r="BO136" s="117"/>
      <c r="BP136" s="120"/>
      <c r="BR136" s="117"/>
      <c r="BS136" s="117"/>
      <c r="BZ136" s="117"/>
      <c r="CA136" s="144"/>
    </row>
    <row r="137" spans="1:80" s="118" customFormat="1">
      <c r="A137" s="114"/>
      <c r="B137" s="114">
        <f t="shared" si="4"/>
        <v>0</v>
      </c>
      <c r="C137" s="136"/>
      <c r="D137" s="116"/>
      <c r="E137" s="116"/>
      <c r="F137" s="116"/>
      <c r="G137" s="115"/>
      <c r="H137" s="116"/>
      <c r="I137" s="116"/>
      <c r="J137" s="116"/>
      <c r="K137" s="116"/>
      <c r="L137" s="116"/>
      <c r="M137" s="116"/>
      <c r="N137" s="116"/>
      <c r="O137" s="116"/>
      <c r="P137" s="166"/>
      <c r="Q137" s="116"/>
      <c r="R137" s="116"/>
      <c r="S137" s="191"/>
      <c r="T137" s="191"/>
      <c r="U137" s="116"/>
      <c r="V137" s="116"/>
      <c r="W137" s="116"/>
      <c r="X137" s="117"/>
      <c r="Y137" s="116"/>
      <c r="Z137" s="114"/>
      <c r="AB137" s="119"/>
      <c r="AD137" s="119"/>
      <c r="AE137" s="119"/>
      <c r="AF137" s="119"/>
      <c r="AG137" s="119"/>
      <c r="AH137" s="119"/>
      <c r="AI137" s="119"/>
      <c r="AJ137" s="119"/>
      <c r="AK137" s="119"/>
      <c r="AL137" s="119"/>
      <c r="AM137" s="119"/>
      <c r="AN137" s="119"/>
      <c r="AO137" s="130"/>
      <c r="AP137" s="119"/>
      <c r="AQ137" s="130"/>
      <c r="AR137" s="130"/>
      <c r="AS137" s="130"/>
      <c r="AT137" s="126"/>
      <c r="AU137" s="130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7"/>
      <c r="BK137" s="117"/>
      <c r="BL137" s="117"/>
      <c r="BN137" s="117"/>
      <c r="BO137" s="117"/>
      <c r="BP137" s="120"/>
      <c r="BR137" s="117"/>
      <c r="BS137" s="117"/>
      <c r="BZ137" s="117"/>
      <c r="CA137" s="144"/>
    </row>
    <row r="138" spans="1:80" s="118" customFormat="1">
      <c r="A138" s="114"/>
      <c r="B138" s="114">
        <f t="shared" si="4"/>
        <v>1</v>
      </c>
      <c r="C138" s="136" t="s">
        <v>2445</v>
      </c>
      <c r="D138" s="116"/>
      <c r="E138" s="116"/>
      <c r="F138" s="116"/>
      <c r="G138" s="115"/>
      <c r="H138" s="116"/>
      <c r="I138" s="116"/>
      <c r="J138" s="116"/>
      <c r="K138" s="116"/>
      <c r="L138" s="116"/>
      <c r="M138" s="116"/>
      <c r="N138" s="116"/>
      <c r="O138" s="116"/>
      <c r="P138" s="166"/>
      <c r="Q138" s="116"/>
      <c r="R138" s="116"/>
      <c r="S138" s="191"/>
      <c r="T138" s="191"/>
      <c r="U138" s="116"/>
      <c r="V138" s="116"/>
      <c r="W138" s="116"/>
      <c r="X138" s="117"/>
      <c r="Y138" s="116"/>
      <c r="Z138" s="114"/>
      <c r="AB138" s="119"/>
      <c r="AD138" s="119"/>
      <c r="AE138" s="119"/>
      <c r="AF138" s="119"/>
      <c r="AG138" s="119"/>
      <c r="AH138" s="119"/>
      <c r="AI138" s="119"/>
      <c r="AJ138" s="119"/>
      <c r="AK138" s="119"/>
      <c r="AL138" s="119"/>
      <c r="AM138" s="119"/>
      <c r="AN138" s="119"/>
      <c r="AO138" s="130"/>
      <c r="AP138" s="119"/>
      <c r="AQ138" s="130">
        <v>0</v>
      </c>
      <c r="AR138" s="130"/>
      <c r="AS138" s="130"/>
      <c r="AT138" s="126"/>
      <c r="AU138" s="130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7"/>
      <c r="BK138" s="117"/>
      <c r="BL138" s="117"/>
      <c r="BN138" s="117"/>
      <c r="BO138" s="117"/>
      <c r="BP138" s="120"/>
      <c r="BR138" s="117"/>
      <c r="BS138" s="117"/>
      <c r="BZ138" s="117"/>
      <c r="CA138" s="145">
        <v>44596.646516203706</v>
      </c>
    </row>
    <row r="139" spans="1:80" s="118" customFormat="1">
      <c r="A139" s="114"/>
      <c r="B139" s="114">
        <f t="shared" si="4"/>
        <v>0</v>
      </c>
      <c r="C139" s="136"/>
      <c r="D139" s="116"/>
      <c r="E139" s="116"/>
      <c r="F139" s="116"/>
      <c r="G139" s="115"/>
      <c r="H139" s="116"/>
      <c r="I139" s="116"/>
      <c r="J139" s="116"/>
      <c r="K139" s="116"/>
      <c r="L139" s="116"/>
      <c r="M139" s="116"/>
      <c r="N139" s="116"/>
      <c r="O139" s="116"/>
      <c r="P139" s="166"/>
      <c r="Q139" s="116"/>
      <c r="R139" s="116"/>
      <c r="S139" s="191"/>
      <c r="T139" s="191"/>
      <c r="U139" s="116"/>
      <c r="V139" s="116"/>
      <c r="W139" s="116"/>
      <c r="X139" s="117"/>
      <c r="Y139" s="116"/>
      <c r="Z139" s="114"/>
      <c r="AB139" s="119"/>
      <c r="AD139" s="119"/>
      <c r="AE139" s="119"/>
      <c r="AF139" s="119"/>
      <c r="AG139" s="119"/>
      <c r="AH139" s="119"/>
      <c r="AI139" s="119"/>
      <c r="AJ139" s="119"/>
      <c r="AK139" s="119"/>
      <c r="AL139" s="119"/>
      <c r="AM139" s="119"/>
      <c r="AN139" s="119"/>
      <c r="AO139" s="130"/>
      <c r="AP139" s="119"/>
      <c r="AQ139" s="130"/>
      <c r="AR139" s="130"/>
      <c r="AS139" s="130"/>
      <c r="AT139" s="126"/>
      <c r="AU139" s="130"/>
      <c r="AV139" s="116"/>
      <c r="AW139" s="116"/>
      <c r="AX139" s="116"/>
      <c r="AY139" s="116"/>
      <c r="AZ139" s="116"/>
      <c r="BA139" s="116"/>
      <c r="BB139" s="116"/>
      <c r="BC139" s="116"/>
      <c r="BD139" s="116"/>
      <c r="BE139" s="116"/>
      <c r="BF139" s="116"/>
      <c r="BG139" s="116"/>
      <c r="BH139" s="116"/>
      <c r="BI139" s="116"/>
      <c r="BJ139" s="117"/>
      <c r="BK139" s="117"/>
      <c r="BL139" s="117"/>
      <c r="BN139" s="117"/>
      <c r="BO139" s="117"/>
      <c r="BP139" s="120"/>
      <c r="BR139" s="117"/>
      <c r="BS139" s="117"/>
      <c r="BZ139" s="117"/>
      <c r="CA139" s="144"/>
    </row>
    <row r="140" spans="1:80" s="118" customFormat="1">
      <c r="A140" s="114"/>
      <c r="B140" s="114">
        <f t="shared" si="4"/>
        <v>2</v>
      </c>
      <c r="C140" s="136" t="s">
        <v>962</v>
      </c>
      <c r="D140" s="116"/>
      <c r="E140" s="116"/>
      <c r="F140" s="116"/>
      <c r="G140" s="115"/>
      <c r="H140" s="116"/>
      <c r="I140" s="116"/>
      <c r="J140" s="116"/>
      <c r="K140" s="116"/>
      <c r="L140" s="116"/>
      <c r="M140" s="116"/>
      <c r="N140" s="116"/>
      <c r="O140" s="116"/>
      <c r="P140" s="166"/>
      <c r="Q140" s="116"/>
      <c r="R140" s="116"/>
      <c r="S140" s="191"/>
      <c r="T140" s="191"/>
      <c r="U140" s="116"/>
      <c r="V140" s="116"/>
      <c r="W140" s="116"/>
      <c r="X140" s="117"/>
      <c r="Y140" s="116"/>
      <c r="Z140" s="114"/>
      <c r="AB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6"/>
      <c r="AT140" s="130">
        <v>0</v>
      </c>
      <c r="AU140" s="130">
        <v>0</v>
      </c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7"/>
      <c r="BK140" s="117"/>
      <c r="BL140" s="117"/>
      <c r="BN140" s="117"/>
      <c r="BO140" s="117"/>
      <c r="BP140" s="120"/>
      <c r="BR140" s="117"/>
      <c r="BS140" s="117"/>
      <c r="BZ140" s="117"/>
      <c r="CA140" s="144"/>
    </row>
    <row r="141" spans="1:80" s="118" customFormat="1">
      <c r="A141" s="114"/>
      <c r="B141" s="114">
        <f t="shared" si="4"/>
        <v>1</v>
      </c>
      <c r="C141" s="136" t="s">
        <v>2446</v>
      </c>
      <c r="D141" s="116"/>
      <c r="E141" s="116"/>
      <c r="F141" s="116"/>
      <c r="G141" s="115"/>
      <c r="H141" s="116"/>
      <c r="I141" s="116"/>
      <c r="J141" s="116"/>
      <c r="K141" s="116"/>
      <c r="L141" s="116"/>
      <c r="M141" s="116"/>
      <c r="N141" s="116"/>
      <c r="O141" s="116"/>
      <c r="P141" s="166"/>
      <c r="Q141" s="116"/>
      <c r="R141" s="116"/>
      <c r="S141" s="191"/>
      <c r="T141" s="191"/>
      <c r="U141" s="116"/>
      <c r="V141" s="116"/>
      <c r="W141" s="116"/>
      <c r="X141" s="117"/>
      <c r="Y141" s="116"/>
      <c r="Z141" s="114"/>
      <c r="AB141" s="119"/>
      <c r="AD141" s="119"/>
      <c r="AE141" s="119"/>
      <c r="AF141" s="119"/>
      <c r="AG141" s="119"/>
      <c r="AH141" s="119"/>
      <c r="AI141" s="119"/>
      <c r="AJ141" s="119"/>
      <c r="AK141" s="119"/>
      <c r="AL141" s="119"/>
      <c r="AM141" s="119"/>
      <c r="AN141" s="119"/>
      <c r="AO141" s="130"/>
      <c r="AP141" s="130">
        <v>0</v>
      </c>
      <c r="AQ141" s="119"/>
      <c r="AR141" s="119"/>
      <c r="AS141" s="126"/>
      <c r="AT141" s="126"/>
      <c r="AU141" s="126"/>
      <c r="AV141" s="116"/>
      <c r="AW141" s="130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7"/>
      <c r="BK141" s="117"/>
      <c r="BL141" s="117"/>
      <c r="BN141" s="117"/>
      <c r="BO141" s="117"/>
      <c r="BP141" s="120"/>
      <c r="BR141" s="117"/>
      <c r="BS141" s="117"/>
      <c r="BZ141" s="117"/>
      <c r="CA141" s="144"/>
    </row>
    <row r="142" spans="1:80" s="118" customFormat="1" ht="28.5" customHeight="1">
      <c r="A142" s="114"/>
      <c r="B142" s="114">
        <f t="shared" si="4"/>
        <v>3</v>
      </c>
      <c r="C142" s="136" t="s">
        <v>1134</v>
      </c>
      <c r="D142" s="116"/>
      <c r="E142" s="116"/>
      <c r="F142" s="116"/>
      <c r="G142" s="115"/>
      <c r="H142" s="116"/>
      <c r="I142" s="116"/>
      <c r="J142" s="116"/>
      <c r="K142" s="116"/>
      <c r="L142" s="116"/>
      <c r="M142" s="116"/>
      <c r="N142" s="116"/>
      <c r="O142" s="116"/>
      <c r="P142" s="166"/>
      <c r="Q142" s="116"/>
      <c r="R142" s="116"/>
      <c r="S142" s="191"/>
      <c r="T142" s="191"/>
      <c r="U142" s="116"/>
      <c r="V142" s="116"/>
      <c r="W142" s="116"/>
      <c r="X142" s="117"/>
      <c r="Y142" s="116"/>
      <c r="Z142" s="114"/>
      <c r="AB142" s="119"/>
      <c r="AD142" s="119"/>
      <c r="AE142" s="119"/>
      <c r="AF142" s="119"/>
      <c r="AG142" s="119"/>
      <c r="AH142" s="119"/>
      <c r="AI142" s="119"/>
      <c r="AJ142" s="119"/>
      <c r="AK142" s="119"/>
      <c r="AL142" s="119"/>
      <c r="AM142" s="119"/>
      <c r="AN142" s="119"/>
      <c r="AO142" s="130">
        <v>0</v>
      </c>
      <c r="AP142" s="119"/>
      <c r="AQ142" s="130"/>
      <c r="AR142" s="119"/>
      <c r="AS142" s="130">
        <v>0</v>
      </c>
      <c r="AT142" s="126"/>
      <c r="AU142" s="130">
        <v>0</v>
      </c>
      <c r="AV142" s="116"/>
      <c r="AW142" s="116"/>
      <c r="AX142" s="116"/>
      <c r="AY142" s="116"/>
      <c r="AZ142" s="116"/>
      <c r="BA142" s="116"/>
      <c r="BB142" s="116"/>
      <c r="BC142" s="116"/>
      <c r="BD142" s="116"/>
      <c r="BE142" s="116"/>
      <c r="BF142" s="116"/>
      <c r="BG142" s="116"/>
      <c r="BH142" s="116"/>
      <c r="BI142" s="116"/>
      <c r="BJ142" s="117"/>
      <c r="BK142" s="117"/>
      <c r="BL142" s="117"/>
      <c r="BN142" s="117"/>
      <c r="BO142" s="117"/>
      <c r="BP142" s="120"/>
      <c r="BR142" s="117"/>
      <c r="BS142" s="117"/>
      <c r="BZ142" s="117"/>
      <c r="CA142" s="145">
        <v>44596.653171296297</v>
      </c>
    </row>
    <row r="143" spans="1:80" s="118" customFormat="1">
      <c r="A143" s="114"/>
      <c r="B143" s="114">
        <f t="shared" si="4"/>
        <v>6</v>
      </c>
      <c r="C143" s="136" t="s">
        <v>1002</v>
      </c>
      <c r="D143" s="116"/>
      <c r="E143" s="116"/>
      <c r="F143" s="116"/>
      <c r="G143" s="115"/>
      <c r="H143" s="116"/>
      <c r="I143" s="116"/>
      <c r="J143" s="116"/>
      <c r="K143" s="116"/>
      <c r="L143" s="116"/>
      <c r="M143" s="116"/>
      <c r="N143" s="116"/>
      <c r="O143" s="116"/>
      <c r="P143" s="166"/>
      <c r="Q143" s="116"/>
      <c r="R143" s="116"/>
      <c r="S143" s="191"/>
      <c r="T143" s="191"/>
      <c r="U143" s="116"/>
      <c r="V143" s="116"/>
      <c r="W143" s="116"/>
      <c r="X143" s="117"/>
      <c r="Y143" s="116"/>
      <c r="Z143" s="114"/>
      <c r="AB143" s="119"/>
      <c r="AD143" s="119"/>
      <c r="AE143" s="119"/>
      <c r="AF143" s="119"/>
      <c r="AG143" s="119"/>
      <c r="AH143" s="119"/>
      <c r="AI143" s="119"/>
      <c r="AJ143" s="119"/>
      <c r="AK143" s="119"/>
      <c r="AL143" s="119"/>
      <c r="AM143" s="119"/>
      <c r="AN143" s="119"/>
      <c r="AO143" s="116"/>
      <c r="AP143" s="130">
        <v>0</v>
      </c>
      <c r="AQ143" s="130">
        <v>0</v>
      </c>
      <c r="AR143" s="130">
        <v>0</v>
      </c>
      <c r="AS143" s="130">
        <v>0</v>
      </c>
      <c r="AT143" s="130">
        <v>0</v>
      </c>
      <c r="AU143" s="116"/>
      <c r="AV143" s="116"/>
      <c r="AW143" s="130">
        <v>0</v>
      </c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7"/>
      <c r="BK143" s="117"/>
      <c r="BL143" s="117"/>
      <c r="BN143" s="117"/>
      <c r="BO143" s="117"/>
      <c r="BP143" s="120"/>
      <c r="BR143" s="117"/>
      <c r="BS143" s="117"/>
      <c r="BZ143" s="117"/>
      <c r="CA143" s="145">
        <v>44596.591354166667</v>
      </c>
      <c r="CB143" s="162">
        <v>44604.627696759257</v>
      </c>
    </row>
    <row r="144" spans="1:80" s="118" customFormat="1">
      <c r="A144" s="114"/>
      <c r="B144" s="114">
        <f t="shared" si="4"/>
        <v>1</v>
      </c>
      <c r="C144" s="136" t="s">
        <v>2347</v>
      </c>
      <c r="D144" s="116"/>
      <c r="E144" s="116"/>
      <c r="F144" s="116"/>
      <c r="G144" s="115"/>
      <c r="H144" s="116"/>
      <c r="I144" s="116"/>
      <c r="J144" s="116"/>
      <c r="K144" s="116"/>
      <c r="L144" s="116"/>
      <c r="M144" s="116"/>
      <c r="N144" s="116"/>
      <c r="O144" s="116"/>
      <c r="P144" s="166"/>
      <c r="Q144" s="116"/>
      <c r="R144" s="116"/>
      <c r="S144" s="191"/>
      <c r="T144" s="191"/>
      <c r="U144" s="116"/>
      <c r="V144" s="116"/>
      <c r="W144" s="116"/>
      <c r="X144" s="117"/>
      <c r="Y144" s="116"/>
      <c r="Z144" s="114"/>
      <c r="AB144" s="119"/>
      <c r="AD144" s="119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6"/>
      <c r="AP144" s="130"/>
      <c r="AQ144" s="119"/>
      <c r="AR144" s="130"/>
      <c r="AS144" s="116"/>
      <c r="AT144" s="116"/>
      <c r="AU144" s="130">
        <v>0</v>
      </c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7"/>
      <c r="BK144" s="117"/>
      <c r="BL144" s="117"/>
      <c r="BN144" s="117"/>
      <c r="BO144" s="117"/>
      <c r="BP144" s="120"/>
      <c r="BR144" s="117"/>
      <c r="BS144" s="117"/>
      <c r="BZ144" s="117"/>
      <c r="CA144" s="144"/>
    </row>
    <row r="145" spans="1:80" s="118" customFormat="1" ht="15.75" customHeight="1">
      <c r="A145" s="114"/>
      <c r="B145" s="114">
        <f t="shared" si="4"/>
        <v>2</v>
      </c>
      <c r="C145" s="136" t="s">
        <v>998</v>
      </c>
      <c r="D145" s="116"/>
      <c r="E145" s="116"/>
      <c r="F145" s="116"/>
      <c r="G145" s="115"/>
      <c r="H145" s="116"/>
      <c r="I145" s="116"/>
      <c r="J145" s="116"/>
      <c r="K145" s="116"/>
      <c r="L145" s="116"/>
      <c r="M145" s="116"/>
      <c r="N145" s="116"/>
      <c r="O145" s="116"/>
      <c r="P145" s="166"/>
      <c r="Q145" s="116"/>
      <c r="R145" s="116"/>
      <c r="S145" s="191"/>
      <c r="T145" s="191"/>
      <c r="U145" s="116"/>
      <c r="V145" s="116"/>
      <c r="W145" s="116"/>
      <c r="X145" s="117"/>
      <c r="Y145" s="116"/>
      <c r="Z145" s="114"/>
      <c r="AB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6"/>
      <c r="AP145" s="130">
        <v>0</v>
      </c>
      <c r="AQ145" s="119"/>
      <c r="AR145" s="119"/>
      <c r="AS145" s="130">
        <v>0</v>
      </c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6"/>
      <c r="BG145" s="116"/>
      <c r="BH145" s="116"/>
      <c r="BI145" s="116"/>
      <c r="BJ145" s="117"/>
      <c r="BK145" s="117"/>
      <c r="BL145" s="117"/>
      <c r="BN145" s="117"/>
      <c r="BO145" s="117"/>
      <c r="BP145" s="120"/>
      <c r="BR145" s="117"/>
      <c r="BS145" s="117"/>
      <c r="BZ145" s="117"/>
      <c r="CA145" s="144"/>
    </row>
    <row r="146" spans="1:80" s="13" customFormat="1" ht="26.25" customHeight="1">
      <c r="B146" s="114">
        <f t="shared" si="4"/>
        <v>2</v>
      </c>
      <c r="C146" s="136" t="s">
        <v>1275</v>
      </c>
      <c r="D146" s="15"/>
      <c r="F146" s="42"/>
      <c r="H146" s="15"/>
      <c r="I146" s="15"/>
      <c r="J146" s="15"/>
      <c r="K146" s="15"/>
      <c r="L146" s="17"/>
      <c r="M146" s="17"/>
      <c r="N146" s="17"/>
      <c r="O146" s="16"/>
      <c r="P146" s="167"/>
      <c r="S146" s="193"/>
      <c r="T146" s="193"/>
      <c r="AS146" s="130">
        <v>0</v>
      </c>
      <c r="AV146" s="130">
        <v>0</v>
      </c>
      <c r="CA146" s="33"/>
    </row>
    <row r="147" spans="1:80" s="118" customFormat="1">
      <c r="A147" s="114"/>
      <c r="B147" s="114">
        <f t="shared" si="4"/>
        <v>3</v>
      </c>
      <c r="C147" s="136" t="s">
        <v>1003</v>
      </c>
      <c r="D147" s="116"/>
      <c r="E147" s="116"/>
      <c r="F147" s="116"/>
      <c r="G147" s="115"/>
      <c r="H147" s="116"/>
      <c r="I147" s="116"/>
      <c r="J147" s="116"/>
      <c r="K147" s="116"/>
      <c r="L147" s="116"/>
      <c r="M147" s="116"/>
      <c r="N147" s="116"/>
      <c r="O147" s="116"/>
      <c r="P147" s="166"/>
      <c r="Q147" s="116"/>
      <c r="R147" s="116"/>
      <c r="S147" s="191"/>
      <c r="T147" s="191"/>
      <c r="U147" s="116"/>
      <c r="V147" s="116"/>
      <c r="W147" s="116"/>
      <c r="X147" s="117"/>
      <c r="Y147" s="116"/>
      <c r="Z147" s="114"/>
      <c r="AB147" s="119"/>
      <c r="AD147" s="119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6"/>
      <c r="AP147" s="130">
        <v>0</v>
      </c>
      <c r="AQ147" s="119"/>
      <c r="AR147" s="119"/>
      <c r="AS147" s="130">
        <v>0</v>
      </c>
      <c r="AT147" s="116"/>
      <c r="AU147" s="116"/>
      <c r="AV147" s="116"/>
      <c r="AW147" s="130">
        <v>0</v>
      </c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7"/>
      <c r="BK147" s="117"/>
      <c r="BL147" s="117"/>
      <c r="BN147" s="117"/>
      <c r="BO147" s="117"/>
      <c r="BP147" s="120"/>
      <c r="BR147" s="117"/>
      <c r="BS147" s="117"/>
      <c r="BZ147" s="117"/>
      <c r="CA147" s="144"/>
    </row>
    <row r="148" spans="1:80" s="118" customFormat="1">
      <c r="A148" s="114"/>
      <c r="B148" s="114">
        <f t="shared" si="4"/>
        <v>0</v>
      </c>
      <c r="C148" s="136"/>
      <c r="D148" s="116"/>
      <c r="E148" s="116"/>
      <c r="F148" s="116"/>
      <c r="G148" s="115"/>
      <c r="H148" s="116"/>
      <c r="I148" s="116"/>
      <c r="J148" s="116"/>
      <c r="K148" s="116"/>
      <c r="L148" s="116"/>
      <c r="M148" s="116"/>
      <c r="N148" s="116"/>
      <c r="O148" s="116"/>
      <c r="P148" s="166"/>
      <c r="Q148" s="116"/>
      <c r="R148" s="116"/>
      <c r="S148" s="191"/>
      <c r="T148" s="191"/>
      <c r="U148" s="116"/>
      <c r="V148" s="116"/>
      <c r="W148" s="116"/>
      <c r="X148" s="117"/>
      <c r="Y148" s="116"/>
      <c r="Z148" s="114"/>
      <c r="AB148" s="119"/>
      <c r="AD148" s="119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6"/>
      <c r="AP148" s="130"/>
      <c r="AQ148" s="119"/>
      <c r="AR148" s="119"/>
      <c r="AS148" s="116"/>
      <c r="AT148" s="116"/>
      <c r="AU148" s="116"/>
      <c r="AV148" s="116"/>
      <c r="AW148" s="130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7"/>
      <c r="BK148" s="117"/>
      <c r="BL148" s="117"/>
      <c r="BN148" s="117"/>
      <c r="BO148" s="117"/>
      <c r="BP148" s="120"/>
      <c r="BR148" s="117"/>
      <c r="BS148" s="117"/>
      <c r="BZ148" s="117"/>
      <c r="CA148" s="145">
        <v>44596.590937499997</v>
      </c>
    </row>
    <row r="149" spans="1:80" s="118" customFormat="1">
      <c r="A149" s="114"/>
      <c r="B149" s="114">
        <f t="shared" si="4"/>
        <v>1</v>
      </c>
      <c r="C149" s="136" t="s">
        <v>2439</v>
      </c>
      <c r="D149" s="116"/>
      <c r="E149" s="116"/>
      <c r="F149" s="116"/>
      <c r="G149" s="115"/>
      <c r="H149" s="116"/>
      <c r="I149" s="116"/>
      <c r="J149" s="116"/>
      <c r="K149" s="116"/>
      <c r="L149" s="116"/>
      <c r="M149" s="116"/>
      <c r="N149" s="116"/>
      <c r="O149" s="116"/>
      <c r="P149" s="166"/>
      <c r="Q149" s="116"/>
      <c r="R149" s="116"/>
      <c r="S149" s="191"/>
      <c r="T149" s="191"/>
      <c r="U149" s="116"/>
      <c r="V149" s="116"/>
      <c r="W149" s="116"/>
      <c r="X149" s="117"/>
      <c r="Y149" s="116"/>
      <c r="Z149" s="114"/>
      <c r="AB149" s="119"/>
      <c r="AD149" s="119"/>
      <c r="AE149" s="119"/>
      <c r="AF149" s="119"/>
      <c r="AG149" s="119"/>
      <c r="AH149" s="119"/>
      <c r="AI149" s="119"/>
      <c r="AJ149" s="119"/>
      <c r="AK149" s="119"/>
      <c r="AL149" s="119"/>
      <c r="AM149" s="119"/>
      <c r="AN149" s="119"/>
      <c r="AO149" s="116"/>
      <c r="AP149" s="130">
        <v>0</v>
      </c>
      <c r="AQ149" s="119"/>
      <c r="AR149" s="119"/>
      <c r="AS149" s="116"/>
      <c r="AT149" s="116"/>
      <c r="AU149" s="116"/>
      <c r="AV149" s="116"/>
      <c r="AW149" s="130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7"/>
      <c r="BK149" s="117"/>
      <c r="BL149" s="117"/>
      <c r="BN149" s="117"/>
      <c r="BO149" s="117"/>
      <c r="BP149" s="120"/>
      <c r="BR149" s="117"/>
      <c r="BS149" s="117"/>
      <c r="BZ149" s="117"/>
      <c r="CA149" s="145">
        <v>44596.618958333333</v>
      </c>
    </row>
    <row r="150" spans="1:80" s="118" customFormat="1" ht="27">
      <c r="A150" s="114"/>
      <c r="B150" s="114">
        <f t="shared" si="4"/>
        <v>2</v>
      </c>
      <c r="C150" s="136" t="s">
        <v>2440</v>
      </c>
      <c r="D150" s="116"/>
      <c r="E150" s="116"/>
      <c r="F150" s="116"/>
      <c r="G150" s="115"/>
      <c r="H150" s="116"/>
      <c r="I150" s="116"/>
      <c r="J150" s="116"/>
      <c r="K150" s="116"/>
      <c r="L150" s="116"/>
      <c r="M150" s="116"/>
      <c r="N150" s="116"/>
      <c r="O150" s="116"/>
      <c r="P150" s="166"/>
      <c r="Q150" s="116"/>
      <c r="R150" s="116"/>
      <c r="S150" s="191"/>
      <c r="T150" s="191"/>
      <c r="U150" s="116"/>
      <c r="V150" s="116"/>
      <c r="W150" s="116"/>
      <c r="X150" s="117"/>
      <c r="Y150" s="116"/>
      <c r="Z150" s="114"/>
      <c r="AB150" s="119"/>
      <c r="AD150" s="119"/>
      <c r="AE150" s="119"/>
      <c r="AF150" s="119"/>
      <c r="AG150" s="119"/>
      <c r="AH150" s="119"/>
      <c r="AI150" s="119"/>
      <c r="AJ150" s="119"/>
      <c r="AK150" s="119"/>
      <c r="AL150" s="119"/>
      <c r="AM150" s="119"/>
      <c r="AN150" s="119"/>
      <c r="AO150" s="130">
        <v>0</v>
      </c>
      <c r="AP150" s="130">
        <v>0</v>
      </c>
      <c r="AQ150" s="119"/>
      <c r="AR150" s="119"/>
      <c r="AS150" s="116"/>
      <c r="AT150" s="116"/>
      <c r="AU150" s="116"/>
      <c r="AV150" s="116"/>
      <c r="AW150" s="130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7"/>
      <c r="BK150" s="117"/>
      <c r="BL150" s="117"/>
      <c r="BN150" s="117"/>
      <c r="BO150" s="117"/>
      <c r="BP150" s="120"/>
      <c r="BR150" s="117"/>
      <c r="BS150" s="117"/>
      <c r="BZ150" s="117"/>
      <c r="CA150" s="145">
        <v>44596.61886574074</v>
      </c>
      <c r="CB150" s="162">
        <v>44604.59233796296</v>
      </c>
    </row>
    <row r="151" spans="1:80" s="13" customFormat="1" ht="26.25" customHeight="1">
      <c r="B151" s="114">
        <f t="shared" si="4"/>
        <v>2</v>
      </c>
      <c r="C151" s="136" t="s">
        <v>1308</v>
      </c>
      <c r="D151" s="15"/>
      <c r="F151" s="42"/>
      <c r="H151" s="15"/>
      <c r="I151" s="15"/>
      <c r="J151" s="15"/>
      <c r="K151" s="15"/>
      <c r="L151" s="17"/>
      <c r="M151" s="17"/>
      <c r="N151" s="17"/>
      <c r="O151" s="16"/>
      <c r="P151" s="167"/>
      <c r="S151" s="193"/>
      <c r="T151" s="193"/>
      <c r="AS151" s="125" t="s">
        <v>948</v>
      </c>
      <c r="AW151" s="130">
        <v>0</v>
      </c>
      <c r="CA151" s="146">
        <v>44596.591053240743</v>
      </c>
    </row>
    <row r="152" spans="1:80" s="118" customFormat="1">
      <c r="A152" s="114"/>
      <c r="B152" s="114">
        <f t="shared" si="4"/>
        <v>3</v>
      </c>
      <c r="C152" s="136" t="s">
        <v>1140</v>
      </c>
      <c r="D152" s="116"/>
      <c r="E152" s="116"/>
      <c r="F152" s="116"/>
      <c r="G152" s="115"/>
      <c r="H152" s="116"/>
      <c r="I152" s="116"/>
      <c r="J152" s="116"/>
      <c r="K152" s="116"/>
      <c r="L152" s="116"/>
      <c r="M152" s="116"/>
      <c r="N152" s="116"/>
      <c r="O152" s="116"/>
      <c r="P152" s="166"/>
      <c r="Q152" s="116"/>
      <c r="R152" s="116"/>
      <c r="S152" s="191"/>
      <c r="T152" s="191"/>
      <c r="U152" s="116"/>
      <c r="V152" s="116"/>
      <c r="W152" s="116"/>
      <c r="X152" s="117"/>
      <c r="Y152" s="116"/>
      <c r="Z152" s="114"/>
      <c r="AB152" s="119"/>
      <c r="AD152" s="119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6"/>
      <c r="AP152" s="130">
        <v>0</v>
      </c>
      <c r="AQ152" s="130">
        <v>0</v>
      </c>
      <c r="AR152" s="119"/>
      <c r="AS152" s="116"/>
      <c r="AT152" s="116"/>
      <c r="AU152" s="130">
        <v>0</v>
      </c>
      <c r="AV152" s="116"/>
      <c r="AW152" s="130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7"/>
      <c r="BK152" s="117"/>
      <c r="BL152" s="117"/>
      <c r="BN152" s="117"/>
      <c r="BO152" s="117"/>
      <c r="BP152" s="120"/>
      <c r="BR152" s="117"/>
      <c r="BS152" s="117"/>
      <c r="BZ152" s="117"/>
      <c r="CA152" s="145">
        <v>44604.615115740744</v>
      </c>
    </row>
    <row r="153" spans="1:80">
      <c r="B153" s="114">
        <f t="shared" si="4"/>
        <v>2</v>
      </c>
      <c r="C153" s="136" t="s">
        <v>1984</v>
      </c>
      <c r="AQ153" s="130">
        <v>0</v>
      </c>
      <c r="AR153" s="130">
        <v>0</v>
      </c>
      <c r="CA153" s="157">
        <v>44596.647083333337</v>
      </c>
    </row>
    <row r="154" spans="1:80" s="118" customFormat="1">
      <c r="A154" s="114"/>
      <c r="B154" s="114">
        <f t="shared" si="4"/>
        <v>1</v>
      </c>
      <c r="C154" s="136" t="s">
        <v>2329</v>
      </c>
      <c r="D154" s="116"/>
      <c r="E154" s="116"/>
      <c r="F154" s="116"/>
      <c r="G154" s="115"/>
      <c r="H154" s="116"/>
      <c r="I154" s="116"/>
      <c r="J154" s="116"/>
      <c r="K154" s="116"/>
      <c r="L154" s="116"/>
      <c r="M154" s="116"/>
      <c r="N154" s="116"/>
      <c r="O154" s="116"/>
      <c r="P154" s="166"/>
      <c r="Q154" s="116"/>
      <c r="R154" s="116"/>
      <c r="S154" s="191"/>
      <c r="T154" s="191"/>
      <c r="U154" s="116"/>
      <c r="V154" s="116"/>
      <c r="W154" s="116"/>
      <c r="X154" s="117"/>
      <c r="Y154" s="116"/>
      <c r="Z154" s="114"/>
      <c r="AB154" s="119"/>
      <c r="AD154" s="119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6"/>
      <c r="AP154" s="130"/>
      <c r="AQ154" s="130"/>
      <c r="AR154" s="130">
        <v>0</v>
      </c>
      <c r="AS154" s="116"/>
      <c r="AT154" s="116"/>
      <c r="AU154" s="116"/>
      <c r="AV154" s="116"/>
      <c r="AW154" s="130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7"/>
      <c r="BK154" s="117"/>
      <c r="BL154" s="117"/>
      <c r="BN154" s="117"/>
      <c r="BO154" s="117"/>
      <c r="BP154" s="120"/>
      <c r="BR154" s="117"/>
      <c r="BS154" s="117"/>
      <c r="BZ154" s="117"/>
      <c r="CA154" s="144"/>
    </row>
    <row r="155" spans="1:80" s="118" customFormat="1">
      <c r="A155" s="114"/>
      <c r="B155" s="114">
        <f t="shared" si="4"/>
        <v>1</v>
      </c>
      <c r="C155" s="136" t="s">
        <v>2334</v>
      </c>
      <c r="D155" s="116"/>
      <c r="E155" s="116"/>
      <c r="F155" s="116"/>
      <c r="G155" s="115"/>
      <c r="H155" s="116"/>
      <c r="I155" s="116"/>
      <c r="J155" s="116"/>
      <c r="K155" s="116"/>
      <c r="L155" s="116"/>
      <c r="M155" s="116"/>
      <c r="N155" s="116"/>
      <c r="O155" s="116"/>
      <c r="P155" s="166"/>
      <c r="Q155" s="116"/>
      <c r="R155" s="116"/>
      <c r="S155" s="191"/>
      <c r="T155" s="191"/>
      <c r="U155" s="116"/>
      <c r="V155" s="116"/>
      <c r="W155" s="116"/>
      <c r="X155" s="117"/>
      <c r="Y155" s="116"/>
      <c r="Z155" s="114"/>
      <c r="AB155" s="119"/>
      <c r="AD155" s="119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6"/>
      <c r="AP155" s="130"/>
      <c r="AQ155" s="119"/>
      <c r="AR155" s="130">
        <v>0</v>
      </c>
      <c r="AS155" s="116"/>
      <c r="AT155" s="116"/>
      <c r="AU155" s="116"/>
      <c r="AV155" s="116"/>
      <c r="AW155" s="130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7"/>
      <c r="BK155" s="117"/>
      <c r="BL155" s="117"/>
      <c r="BN155" s="117"/>
      <c r="BO155" s="117"/>
      <c r="BP155" s="120"/>
      <c r="BR155" s="117"/>
      <c r="BS155" s="117"/>
      <c r="BZ155" s="117"/>
      <c r="CA155" s="144"/>
    </row>
    <row r="156" spans="1:80" s="118" customFormat="1">
      <c r="A156" s="114"/>
      <c r="B156" s="114">
        <f t="shared" si="4"/>
        <v>1</v>
      </c>
      <c r="C156" s="136" t="s">
        <v>2335</v>
      </c>
      <c r="D156" s="116"/>
      <c r="E156" s="116"/>
      <c r="F156" s="116"/>
      <c r="G156" s="115"/>
      <c r="H156" s="116"/>
      <c r="I156" s="116"/>
      <c r="J156" s="116"/>
      <c r="K156" s="116"/>
      <c r="L156" s="116"/>
      <c r="M156" s="116"/>
      <c r="N156" s="116"/>
      <c r="O156" s="116"/>
      <c r="P156" s="166"/>
      <c r="Q156" s="116"/>
      <c r="R156" s="116"/>
      <c r="S156" s="191"/>
      <c r="T156" s="191"/>
      <c r="U156" s="116"/>
      <c r="V156" s="116"/>
      <c r="W156" s="116"/>
      <c r="X156" s="117"/>
      <c r="Y156" s="116"/>
      <c r="Z156" s="114"/>
      <c r="AB156" s="119"/>
      <c r="AD156" s="119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6"/>
      <c r="AP156" s="130"/>
      <c r="AQ156" s="119"/>
      <c r="AR156" s="130">
        <v>0</v>
      </c>
      <c r="AS156" s="116"/>
      <c r="AT156" s="116"/>
      <c r="AU156" s="116"/>
      <c r="AV156" s="116"/>
      <c r="AW156" s="130"/>
      <c r="AX156" s="116"/>
      <c r="AY156" s="116"/>
      <c r="AZ156" s="116"/>
      <c r="BA156" s="116"/>
      <c r="BB156" s="116"/>
      <c r="BC156" s="116"/>
      <c r="BD156" s="116"/>
      <c r="BE156" s="116"/>
      <c r="BF156" s="116"/>
      <c r="BG156" s="116"/>
      <c r="BH156" s="116"/>
      <c r="BI156" s="116"/>
      <c r="BJ156" s="117"/>
      <c r="BK156" s="117"/>
      <c r="BL156" s="117"/>
      <c r="BN156" s="117"/>
      <c r="BO156" s="117"/>
      <c r="BP156" s="120"/>
      <c r="BR156" s="117"/>
      <c r="BS156" s="117"/>
      <c r="BZ156" s="117"/>
      <c r="CA156" s="144"/>
    </row>
    <row r="157" spans="1:80" s="118" customFormat="1">
      <c r="A157" s="114"/>
      <c r="B157" s="114">
        <f t="shared" si="4"/>
        <v>1</v>
      </c>
      <c r="C157" s="136" t="s">
        <v>2336</v>
      </c>
      <c r="D157" s="116"/>
      <c r="E157" s="116"/>
      <c r="F157" s="116"/>
      <c r="G157" s="115"/>
      <c r="H157" s="116"/>
      <c r="I157" s="116"/>
      <c r="J157" s="116"/>
      <c r="K157" s="116"/>
      <c r="L157" s="116"/>
      <c r="M157" s="116"/>
      <c r="N157" s="116"/>
      <c r="O157" s="116"/>
      <c r="P157" s="166"/>
      <c r="Q157" s="116"/>
      <c r="R157" s="116"/>
      <c r="S157" s="191"/>
      <c r="T157" s="191"/>
      <c r="U157" s="116"/>
      <c r="V157" s="116"/>
      <c r="W157" s="116"/>
      <c r="X157" s="117"/>
      <c r="Y157" s="116"/>
      <c r="Z157" s="114"/>
      <c r="AB157" s="119"/>
      <c r="AD157" s="119"/>
      <c r="AE157" s="119"/>
      <c r="AF157" s="119"/>
      <c r="AG157" s="119"/>
      <c r="AH157" s="119"/>
      <c r="AI157" s="119"/>
      <c r="AJ157" s="119"/>
      <c r="AK157" s="119"/>
      <c r="AL157" s="119"/>
      <c r="AM157" s="119"/>
      <c r="AN157" s="119"/>
      <c r="AO157" s="116"/>
      <c r="AP157" s="130"/>
      <c r="AQ157" s="119"/>
      <c r="AR157" s="130">
        <v>0</v>
      </c>
      <c r="AS157" s="116"/>
      <c r="AT157" s="116"/>
      <c r="AU157" s="116"/>
      <c r="AV157" s="116"/>
      <c r="AW157" s="130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7"/>
      <c r="BK157" s="117"/>
      <c r="BL157" s="117"/>
      <c r="BN157" s="117"/>
      <c r="BO157" s="117"/>
      <c r="BP157" s="120"/>
      <c r="BR157" s="117"/>
      <c r="BS157" s="117"/>
      <c r="BZ157" s="117"/>
      <c r="CA157" s="144"/>
    </row>
    <row r="158" spans="1:80" s="13" customFormat="1" ht="26.25" customHeight="1">
      <c r="B158" s="114">
        <f t="shared" si="4"/>
        <v>2</v>
      </c>
      <c r="C158" s="136" t="s">
        <v>1202</v>
      </c>
      <c r="D158" s="15"/>
      <c r="F158" s="42"/>
      <c r="H158" s="15"/>
      <c r="I158" s="15"/>
      <c r="J158" s="15"/>
      <c r="K158" s="15"/>
      <c r="L158" s="17"/>
      <c r="M158" s="17"/>
      <c r="N158" s="17"/>
      <c r="O158" s="16"/>
      <c r="P158" s="167"/>
      <c r="S158" s="193"/>
      <c r="T158" s="193"/>
      <c r="AS158" s="125" t="s">
        <v>948</v>
      </c>
      <c r="AW158" s="130">
        <v>0</v>
      </c>
      <c r="CA158" s="33"/>
    </row>
    <row r="159" spans="1:80" s="118" customFormat="1">
      <c r="A159" s="114"/>
      <c r="B159" s="114">
        <f t="shared" si="4"/>
        <v>0</v>
      </c>
      <c r="C159" s="136"/>
      <c r="D159" s="116"/>
      <c r="E159" s="116"/>
      <c r="F159" s="116"/>
      <c r="G159" s="115"/>
      <c r="H159" s="116"/>
      <c r="I159" s="116"/>
      <c r="J159" s="116"/>
      <c r="K159" s="116"/>
      <c r="L159" s="116"/>
      <c r="M159" s="116"/>
      <c r="N159" s="116"/>
      <c r="O159" s="116"/>
      <c r="P159" s="166"/>
      <c r="Q159" s="116"/>
      <c r="R159" s="116"/>
      <c r="S159" s="191"/>
      <c r="T159" s="191"/>
      <c r="U159" s="116"/>
      <c r="V159" s="116"/>
      <c r="W159" s="116"/>
      <c r="X159" s="117"/>
      <c r="Y159" s="116"/>
      <c r="Z159" s="114"/>
      <c r="AB159" s="119"/>
      <c r="AD159" s="119"/>
      <c r="AE159" s="119"/>
      <c r="AF159" s="119"/>
      <c r="AG159" s="119"/>
      <c r="AH159" s="119"/>
      <c r="AI159" s="119"/>
      <c r="AJ159" s="119"/>
      <c r="AK159" s="119"/>
      <c r="AL159" s="119"/>
      <c r="AM159" s="119"/>
      <c r="AN159" s="119"/>
      <c r="AO159" s="116"/>
      <c r="AP159" s="130"/>
      <c r="AQ159" s="119"/>
      <c r="AR159" s="130"/>
      <c r="AS159" s="116"/>
      <c r="AT159" s="116"/>
      <c r="AU159" s="116"/>
      <c r="AV159" s="116"/>
      <c r="AW159" s="130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7"/>
      <c r="BK159" s="117"/>
      <c r="BL159" s="117"/>
      <c r="BN159" s="117"/>
      <c r="BO159" s="117"/>
      <c r="BP159" s="120"/>
      <c r="BR159" s="117"/>
      <c r="BS159" s="117"/>
      <c r="BZ159" s="117"/>
      <c r="CA159" s="144"/>
    </row>
    <row r="160" spans="1:80" s="118" customFormat="1">
      <c r="A160" s="114"/>
      <c r="B160" s="114">
        <f t="shared" si="4"/>
        <v>0</v>
      </c>
      <c r="C160" s="136"/>
      <c r="D160" s="116"/>
      <c r="E160" s="116"/>
      <c r="F160" s="116"/>
      <c r="G160" s="115"/>
      <c r="H160" s="116"/>
      <c r="I160" s="116"/>
      <c r="J160" s="116"/>
      <c r="K160" s="116"/>
      <c r="L160" s="116"/>
      <c r="M160" s="116"/>
      <c r="N160" s="116"/>
      <c r="O160" s="116"/>
      <c r="P160" s="166"/>
      <c r="Q160" s="116"/>
      <c r="R160" s="116"/>
      <c r="S160" s="191"/>
      <c r="T160" s="191"/>
      <c r="U160" s="116"/>
      <c r="V160" s="116"/>
      <c r="W160" s="116"/>
      <c r="X160" s="117"/>
      <c r="Y160" s="116"/>
      <c r="Z160" s="114"/>
      <c r="AB160" s="119"/>
      <c r="AD160" s="119"/>
      <c r="AE160" s="119"/>
      <c r="AF160" s="119"/>
      <c r="AG160" s="119"/>
      <c r="AH160" s="119"/>
      <c r="AI160" s="119"/>
      <c r="AJ160" s="119"/>
      <c r="AK160" s="119"/>
      <c r="AL160" s="119"/>
      <c r="AM160" s="119"/>
      <c r="AN160" s="119"/>
      <c r="AO160" s="116"/>
      <c r="AP160" s="130"/>
      <c r="AQ160" s="119"/>
      <c r="AR160" s="130"/>
      <c r="AS160" s="116"/>
      <c r="AT160" s="116"/>
      <c r="AU160" s="116"/>
      <c r="AV160" s="116"/>
      <c r="AW160" s="130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7"/>
      <c r="BK160" s="117"/>
      <c r="BL160" s="117"/>
      <c r="BN160" s="117"/>
      <c r="BO160" s="117"/>
      <c r="BP160" s="120"/>
      <c r="BR160" s="117"/>
      <c r="BS160" s="117"/>
      <c r="BZ160" s="117"/>
      <c r="CA160" s="144"/>
    </row>
    <row r="161" spans="1:80" s="118" customFormat="1">
      <c r="A161" s="114"/>
      <c r="B161" s="114">
        <f t="shared" si="4"/>
        <v>0</v>
      </c>
      <c r="C161" s="136"/>
      <c r="D161" s="116"/>
      <c r="E161" s="116"/>
      <c r="F161" s="116"/>
      <c r="G161" s="115"/>
      <c r="H161" s="116"/>
      <c r="I161" s="116"/>
      <c r="J161" s="116"/>
      <c r="K161" s="116"/>
      <c r="L161" s="116"/>
      <c r="M161" s="116"/>
      <c r="N161" s="116"/>
      <c r="O161" s="116"/>
      <c r="P161" s="166"/>
      <c r="Q161" s="116"/>
      <c r="R161" s="116"/>
      <c r="S161" s="191"/>
      <c r="T161" s="191"/>
      <c r="U161" s="116"/>
      <c r="V161" s="116"/>
      <c r="W161" s="116"/>
      <c r="X161" s="117"/>
      <c r="Y161" s="116"/>
      <c r="Z161" s="114"/>
      <c r="AB161" s="119"/>
      <c r="AD161" s="119"/>
      <c r="AE161" s="119"/>
      <c r="AF161" s="119"/>
      <c r="AG161" s="119"/>
      <c r="AH161" s="119"/>
      <c r="AI161" s="119"/>
      <c r="AJ161" s="119"/>
      <c r="AK161" s="119"/>
      <c r="AL161" s="119"/>
      <c r="AM161" s="119"/>
      <c r="AN161" s="119"/>
      <c r="AO161" s="116"/>
      <c r="AP161" s="130"/>
      <c r="AQ161" s="119"/>
      <c r="AR161" s="130"/>
      <c r="AS161" s="116"/>
      <c r="AT161" s="116"/>
      <c r="AU161" s="116"/>
      <c r="AV161" s="116"/>
      <c r="AW161" s="130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7"/>
      <c r="BK161" s="117"/>
      <c r="BL161" s="117"/>
      <c r="BN161" s="117"/>
      <c r="BO161" s="117"/>
      <c r="BP161" s="120"/>
      <c r="BR161" s="117"/>
      <c r="BS161" s="117"/>
      <c r="BZ161" s="117"/>
      <c r="CA161" s="144"/>
    </row>
    <row r="162" spans="1:80" s="118" customFormat="1">
      <c r="A162" s="114"/>
      <c r="B162" s="114">
        <f t="shared" si="4"/>
        <v>3</v>
      </c>
      <c r="C162" s="136" t="s">
        <v>861</v>
      </c>
      <c r="D162" s="116"/>
      <c r="E162" s="116"/>
      <c r="F162" s="116"/>
      <c r="G162" s="115"/>
      <c r="H162" s="116"/>
      <c r="I162" s="116"/>
      <c r="J162" s="116"/>
      <c r="K162" s="116"/>
      <c r="L162" s="116"/>
      <c r="M162" s="116"/>
      <c r="N162" s="116"/>
      <c r="O162" s="116"/>
      <c r="P162" s="166"/>
      <c r="Q162" s="116"/>
      <c r="R162" s="116"/>
      <c r="S162" s="191"/>
      <c r="T162" s="191"/>
      <c r="U162" s="116"/>
      <c r="V162" s="116"/>
      <c r="W162" s="116"/>
      <c r="X162" s="117"/>
      <c r="Y162" s="116"/>
      <c r="Z162" s="114"/>
      <c r="AB162" s="119"/>
      <c r="AD162" s="119"/>
      <c r="AE162" s="119"/>
      <c r="AF162" s="119"/>
      <c r="AG162" s="119"/>
      <c r="AH162" s="119"/>
      <c r="AI162" s="119"/>
      <c r="AJ162" s="119"/>
      <c r="AK162" s="119"/>
      <c r="AL162" s="119"/>
      <c r="AM162" s="119"/>
      <c r="AN162" s="119"/>
      <c r="AO162" s="119"/>
      <c r="AP162" s="119"/>
      <c r="AQ162" s="119"/>
      <c r="AR162" s="119"/>
      <c r="AS162" s="116" t="s">
        <v>828</v>
      </c>
      <c r="AT162" s="130">
        <v>0</v>
      </c>
      <c r="AU162" s="116"/>
      <c r="AV162" s="116"/>
      <c r="AW162" s="130">
        <v>0</v>
      </c>
      <c r="AX162" s="116"/>
      <c r="AY162" s="116"/>
      <c r="AZ162" s="116"/>
      <c r="BA162" s="116"/>
      <c r="BB162" s="116"/>
      <c r="BC162" s="116"/>
      <c r="BD162" s="116"/>
      <c r="BE162" s="116"/>
      <c r="BF162" s="116"/>
      <c r="BG162" s="116"/>
      <c r="BH162" s="116"/>
      <c r="BI162" s="116" t="str">
        <f>C162&amp;"(第"&amp;E162&amp;"版）"</f>
        <v>运动改造大脑(第版）</v>
      </c>
      <c r="BJ162" s="117"/>
      <c r="BK162" s="117"/>
      <c r="BL162" s="117"/>
      <c r="BN162" s="117"/>
      <c r="BO162" s="117"/>
      <c r="BP162" s="120"/>
      <c r="BR162" s="117"/>
      <c r="BS162" s="117"/>
      <c r="BZ162" s="117"/>
      <c r="CA162" s="145">
        <v>44596.589317129627</v>
      </c>
      <c r="CB162" s="162">
        <v>44604.608888888892</v>
      </c>
    </row>
    <row r="163" spans="1:80" s="118" customFormat="1">
      <c r="A163" s="114"/>
      <c r="B163" s="114">
        <f t="shared" si="4"/>
        <v>1</v>
      </c>
      <c r="C163" s="136" t="s">
        <v>2487</v>
      </c>
      <c r="D163" s="116"/>
      <c r="E163" s="116"/>
      <c r="F163" s="116"/>
      <c r="G163" s="115"/>
      <c r="H163" s="116"/>
      <c r="I163" s="116"/>
      <c r="J163" s="116"/>
      <c r="K163" s="116"/>
      <c r="L163" s="116"/>
      <c r="M163" s="116"/>
      <c r="N163" s="116"/>
      <c r="O163" s="116"/>
      <c r="P163" s="166"/>
      <c r="Q163" s="116"/>
      <c r="R163" s="116"/>
      <c r="S163" s="191"/>
      <c r="T163" s="191"/>
      <c r="U163" s="116"/>
      <c r="V163" s="116"/>
      <c r="W163" s="116"/>
      <c r="X163" s="117"/>
      <c r="Y163" s="116"/>
      <c r="Z163" s="114"/>
      <c r="AB163" s="119"/>
      <c r="AD163" s="119"/>
      <c r="AE163" s="119"/>
      <c r="AF163" s="119"/>
      <c r="AG163" s="119"/>
      <c r="AH163" s="119"/>
      <c r="AI163" s="119"/>
      <c r="AJ163" s="119"/>
      <c r="AK163" s="119"/>
      <c r="AL163" s="119"/>
      <c r="AM163" s="119"/>
      <c r="AN163" s="119"/>
      <c r="AO163" s="116"/>
      <c r="AP163" s="130"/>
      <c r="AQ163" s="119"/>
      <c r="AR163" s="130"/>
      <c r="AS163" s="116"/>
      <c r="AT163" s="116"/>
      <c r="AU163" s="130">
        <v>0</v>
      </c>
      <c r="AV163" s="116"/>
      <c r="AW163" s="130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7"/>
      <c r="BK163" s="117"/>
      <c r="BL163" s="117"/>
      <c r="BN163" s="117"/>
      <c r="BO163" s="117"/>
      <c r="BP163" s="120"/>
      <c r="BR163" s="117"/>
      <c r="BS163" s="117"/>
      <c r="BZ163" s="117"/>
      <c r="CA163" s="145">
        <v>44604.583414351851</v>
      </c>
    </row>
    <row r="164" spans="1:80" s="118" customFormat="1">
      <c r="A164" s="114"/>
      <c r="B164" s="114">
        <f t="shared" si="4"/>
        <v>0</v>
      </c>
      <c r="C164" s="136"/>
      <c r="D164" s="116"/>
      <c r="E164" s="116"/>
      <c r="F164" s="116"/>
      <c r="G164" s="115"/>
      <c r="H164" s="116"/>
      <c r="I164" s="116"/>
      <c r="J164" s="116"/>
      <c r="K164" s="116"/>
      <c r="L164" s="116"/>
      <c r="M164" s="116"/>
      <c r="N164" s="116"/>
      <c r="O164" s="116"/>
      <c r="P164" s="166"/>
      <c r="Q164" s="116"/>
      <c r="R164" s="116"/>
      <c r="S164" s="191"/>
      <c r="T164" s="191"/>
      <c r="U164" s="116"/>
      <c r="V164" s="116"/>
      <c r="W164" s="116"/>
      <c r="X164" s="117"/>
      <c r="Y164" s="116"/>
      <c r="Z164" s="114"/>
      <c r="AB164" s="119"/>
      <c r="AD164" s="119"/>
      <c r="AE164" s="119"/>
      <c r="AF164" s="119"/>
      <c r="AG164" s="119"/>
      <c r="AH164" s="119"/>
      <c r="AI164" s="119"/>
      <c r="AJ164" s="119"/>
      <c r="AK164" s="119"/>
      <c r="AL164" s="119"/>
      <c r="AM164" s="119"/>
      <c r="AN164" s="119"/>
      <c r="AO164" s="116"/>
      <c r="AP164" s="130"/>
      <c r="AQ164" s="119"/>
      <c r="AR164" s="130"/>
      <c r="AS164" s="116"/>
      <c r="AT164" s="116"/>
      <c r="AU164" s="116"/>
      <c r="AV164" s="116"/>
      <c r="AW164" s="130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7"/>
      <c r="BK164" s="117"/>
      <c r="BL164" s="117"/>
      <c r="BN164" s="117"/>
      <c r="BO164" s="117"/>
      <c r="BP164" s="120"/>
      <c r="BR164" s="117"/>
      <c r="BS164" s="117"/>
      <c r="BZ164" s="117"/>
      <c r="CA164" s="145">
        <v>44604.617824074077</v>
      </c>
    </row>
    <row r="165" spans="1:80" s="118" customFormat="1">
      <c r="A165" s="114"/>
      <c r="B165" s="114">
        <f t="shared" si="4"/>
        <v>0</v>
      </c>
      <c r="C165" s="136"/>
      <c r="D165" s="116"/>
      <c r="E165" s="116"/>
      <c r="F165" s="116"/>
      <c r="G165" s="115"/>
      <c r="H165" s="116"/>
      <c r="I165" s="116"/>
      <c r="J165" s="116"/>
      <c r="K165" s="116"/>
      <c r="L165" s="116"/>
      <c r="M165" s="116"/>
      <c r="N165" s="116"/>
      <c r="O165" s="116"/>
      <c r="P165" s="166"/>
      <c r="Q165" s="116"/>
      <c r="R165" s="116"/>
      <c r="S165" s="191"/>
      <c r="T165" s="191"/>
      <c r="U165" s="116"/>
      <c r="V165" s="116"/>
      <c r="W165" s="116"/>
      <c r="X165" s="117"/>
      <c r="Y165" s="116"/>
      <c r="Z165" s="114"/>
      <c r="AB165" s="119"/>
      <c r="AD165" s="119"/>
      <c r="AE165" s="119"/>
      <c r="AF165" s="119"/>
      <c r="AG165" s="119"/>
      <c r="AH165" s="119"/>
      <c r="AI165" s="119"/>
      <c r="AJ165" s="119"/>
      <c r="AK165" s="119"/>
      <c r="AL165" s="119"/>
      <c r="AM165" s="119"/>
      <c r="AN165" s="119"/>
      <c r="AO165" s="116"/>
      <c r="AP165" s="130"/>
      <c r="AQ165" s="119"/>
      <c r="AR165" s="130"/>
      <c r="AS165" s="116"/>
      <c r="AT165" s="116"/>
      <c r="AU165" s="116"/>
      <c r="AV165" s="116"/>
      <c r="AW165" s="130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7"/>
      <c r="BK165" s="117"/>
      <c r="BL165" s="117"/>
      <c r="BN165" s="117"/>
      <c r="BO165" s="117"/>
      <c r="BP165" s="120"/>
      <c r="BR165" s="117"/>
      <c r="BS165" s="117"/>
      <c r="BZ165" s="117"/>
      <c r="CA165" s="144"/>
    </row>
    <row r="166" spans="1:80" s="118" customFormat="1">
      <c r="A166" s="114"/>
      <c r="B166" s="114">
        <f t="shared" si="4"/>
        <v>0</v>
      </c>
      <c r="C166" s="136"/>
      <c r="D166" s="116"/>
      <c r="E166" s="116"/>
      <c r="F166" s="116"/>
      <c r="G166" s="115"/>
      <c r="H166" s="116"/>
      <c r="I166" s="116"/>
      <c r="J166" s="116"/>
      <c r="K166" s="116"/>
      <c r="L166" s="116"/>
      <c r="M166" s="116"/>
      <c r="N166" s="116"/>
      <c r="O166" s="116"/>
      <c r="P166" s="166"/>
      <c r="Q166" s="116"/>
      <c r="R166" s="116"/>
      <c r="S166" s="191"/>
      <c r="T166" s="191"/>
      <c r="U166" s="116"/>
      <c r="V166" s="116"/>
      <c r="W166" s="116"/>
      <c r="X166" s="117"/>
      <c r="Y166" s="116"/>
      <c r="Z166" s="114"/>
      <c r="AB166" s="119"/>
      <c r="AD166" s="119"/>
      <c r="AE166" s="119"/>
      <c r="AF166" s="119"/>
      <c r="AG166" s="119"/>
      <c r="AH166" s="119"/>
      <c r="AI166" s="119"/>
      <c r="AJ166" s="119"/>
      <c r="AK166" s="119"/>
      <c r="AL166" s="119"/>
      <c r="AM166" s="119"/>
      <c r="AN166" s="119"/>
      <c r="AO166" s="116"/>
      <c r="AP166" s="130"/>
      <c r="AQ166" s="119"/>
      <c r="AR166" s="130"/>
      <c r="AS166" s="116"/>
      <c r="AT166" s="116"/>
      <c r="AU166" s="116"/>
      <c r="AV166" s="116"/>
      <c r="AW166" s="130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7"/>
      <c r="BK166" s="117"/>
      <c r="BL166" s="117"/>
      <c r="BN166" s="117"/>
      <c r="BO166" s="117"/>
      <c r="BP166" s="120"/>
      <c r="BR166" s="117"/>
      <c r="BS166" s="117"/>
      <c r="BZ166" s="117"/>
      <c r="CA166" s="144"/>
    </row>
    <row r="167" spans="1:80" s="118" customFormat="1">
      <c r="A167" s="114"/>
      <c r="B167" s="114">
        <f t="shared" si="4"/>
        <v>0</v>
      </c>
      <c r="C167" s="136"/>
      <c r="D167" s="116"/>
      <c r="E167" s="116"/>
      <c r="F167" s="116"/>
      <c r="G167" s="115"/>
      <c r="H167" s="116"/>
      <c r="I167" s="116"/>
      <c r="J167" s="116"/>
      <c r="K167" s="116"/>
      <c r="L167" s="116"/>
      <c r="M167" s="116"/>
      <c r="N167" s="116"/>
      <c r="O167" s="116"/>
      <c r="P167" s="166"/>
      <c r="Q167" s="116"/>
      <c r="R167" s="116"/>
      <c r="S167" s="191"/>
      <c r="T167" s="191"/>
      <c r="U167" s="116"/>
      <c r="V167" s="116"/>
      <c r="W167" s="116"/>
      <c r="X167" s="117"/>
      <c r="Y167" s="116"/>
      <c r="Z167" s="114"/>
      <c r="AB167" s="119"/>
      <c r="AD167" s="119"/>
      <c r="AE167" s="119"/>
      <c r="AF167" s="119"/>
      <c r="AG167" s="119"/>
      <c r="AH167" s="119"/>
      <c r="AI167" s="119"/>
      <c r="AJ167" s="119"/>
      <c r="AK167" s="119"/>
      <c r="AL167" s="119"/>
      <c r="AM167" s="119"/>
      <c r="AN167" s="119"/>
      <c r="AO167" s="116"/>
      <c r="AP167" s="130"/>
      <c r="AQ167" s="119"/>
      <c r="AR167" s="130"/>
      <c r="AS167" s="116"/>
      <c r="AT167" s="116"/>
      <c r="AU167" s="116"/>
      <c r="AV167" s="116"/>
      <c r="AW167" s="130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7"/>
      <c r="BK167" s="117"/>
      <c r="BL167" s="117"/>
      <c r="BN167" s="117"/>
      <c r="BO167" s="117"/>
      <c r="BP167" s="120"/>
      <c r="BR167" s="117"/>
      <c r="BS167" s="117"/>
      <c r="BZ167" s="117"/>
      <c r="CA167" s="144"/>
    </row>
    <row r="168" spans="1:80" s="118" customFormat="1" ht="27">
      <c r="A168" s="114"/>
      <c r="B168" s="114">
        <f t="shared" si="4"/>
        <v>1</v>
      </c>
      <c r="C168" s="136" t="s">
        <v>2345</v>
      </c>
      <c r="D168" s="116"/>
      <c r="E168" s="116"/>
      <c r="F168" s="116"/>
      <c r="G168" s="115"/>
      <c r="H168" s="116"/>
      <c r="I168" s="116"/>
      <c r="J168" s="116"/>
      <c r="K168" s="116"/>
      <c r="L168" s="116"/>
      <c r="M168" s="116"/>
      <c r="N168" s="116"/>
      <c r="O168" s="116"/>
      <c r="P168" s="166"/>
      <c r="Q168" s="116"/>
      <c r="R168" s="116"/>
      <c r="S168" s="191"/>
      <c r="T168" s="191"/>
      <c r="U168" s="116"/>
      <c r="V168" s="116"/>
      <c r="W168" s="116"/>
      <c r="X168" s="117"/>
      <c r="Y168" s="116"/>
      <c r="Z168" s="114"/>
      <c r="AB168" s="119"/>
      <c r="AD168" s="119"/>
      <c r="AE168" s="119"/>
      <c r="AF168" s="119"/>
      <c r="AG168" s="119"/>
      <c r="AH168" s="119"/>
      <c r="AI168" s="119"/>
      <c r="AJ168" s="119"/>
      <c r="AK168" s="119"/>
      <c r="AL168" s="119"/>
      <c r="AM168" s="119"/>
      <c r="AN168" s="119"/>
      <c r="AO168" s="116"/>
      <c r="AP168" s="130"/>
      <c r="AQ168" s="119"/>
      <c r="AR168" s="130"/>
      <c r="AS168" s="116"/>
      <c r="AT168" s="116"/>
      <c r="AU168" s="130">
        <v>0</v>
      </c>
      <c r="AV168" s="116"/>
      <c r="AW168" s="130"/>
      <c r="AX168" s="116"/>
      <c r="AY168" s="116"/>
      <c r="AZ168" s="116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7"/>
      <c r="BK168" s="117"/>
      <c r="BL168" s="117"/>
      <c r="BN168" s="117"/>
      <c r="BO168" s="117"/>
      <c r="BP168" s="120"/>
      <c r="BR168" s="117"/>
      <c r="BS168" s="117"/>
      <c r="BZ168" s="117"/>
      <c r="CA168" s="144"/>
    </row>
    <row r="169" spans="1:80" s="118" customFormat="1">
      <c r="A169" s="114"/>
      <c r="B169" s="114">
        <f t="shared" si="4"/>
        <v>3</v>
      </c>
      <c r="C169" s="136" t="s">
        <v>1011</v>
      </c>
      <c r="D169" s="116"/>
      <c r="E169" s="116"/>
      <c r="F169" s="116"/>
      <c r="G169" s="115"/>
      <c r="H169" s="116"/>
      <c r="I169" s="116"/>
      <c r="J169" s="116"/>
      <c r="K169" s="116"/>
      <c r="L169" s="116"/>
      <c r="M169" s="116"/>
      <c r="N169" s="116"/>
      <c r="O169" s="116"/>
      <c r="P169" s="166"/>
      <c r="Q169" s="116"/>
      <c r="R169" s="116"/>
      <c r="S169" s="191"/>
      <c r="T169" s="191"/>
      <c r="U169" s="116"/>
      <c r="V169" s="116"/>
      <c r="W169" s="116"/>
      <c r="X169" s="117"/>
      <c r="Y169" s="116"/>
      <c r="Z169" s="114"/>
      <c r="AB169" s="119"/>
      <c r="AD169" s="119"/>
      <c r="AE169" s="119"/>
      <c r="AF169" s="119"/>
      <c r="AG169" s="119"/>
      <c r="AH169" s="119"/>
      <c r="AI169" s="119"/>
      <c r="AJ169" s="119"/>
      <c r="AK169" s="119"/>
      <c r="AL169" s="119"/>
      <c r="AM169" s="119"/>
      <c r="AN169" s="119"/>
      <c r="AO169" s="116"/>
      <c r="AP169" s="130">
        <v>0</v>
      </c>
      <c r="AQ169" s="130">
        <v>0</v>
      </c>
      <c r="AR169" s="119"/>
      <c r="AS169" s="116"/>
      <c r="AT169" s="116"/>
      <c r="AU169" s="130">
        <v>0</v>
      </c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7"/>
      <c r="BK169" s="117"/>
      <c r="BL169" s="117"/>
      <c r="BN169" s="117"/>
      <c r="BO169" s="117"/>
      <c r="BP169" s="120"/>
      <c r="BR169" s="117"/>
      <c r="BS169" s="117"/>
      <c r="BZ169" s="117"/>
      <c r="CA169" s="145">
        <v>44596.678182870368</v>
      </c>
    </row>
    <row r="170" spans="1:80" s="118" customFormat="1">
      <c r="A170" s="114"/>
      <c r="B170" s="114">
        <f t="shared" si="4"/>
        <v>1</v>
      </c>
      <c r="C170" s="136" t="s">
        <v>2333</v>
      </c>
      <c r="D170" s="116"/>
      <c r="E170" s="116"/>
      <c r="F170" s="116"/>
      <c r="G170" s="115"/>
      <c r="H170" s="116"/>
      <c r="I170" s="116"/>
      <c r="J170" s="116"/>
      <c r="K170" s="116"/>
      <c r="L170" s="116"/>
      <c r="M170" s="116"/>
      <c r="N170" s="116"/>
      <c r="O170" s="116"/>
      <c r="P170" s="166"/>
      <c r="Q170" s="116"/>
      <c r="R170" s="116"/>
      <c r="S170" s="191"/>
      <c r="T170" s="191"/>
      <c r="U170" s="116"/>
      <c r="V170" s="116"/>
      <c r="W170" s="116"/>
      <c r="X170" s="117"/>
      <c r="Y170" s="116"/>
      <c r="Z170" s="114"/>
      <c r="AB170" s="119"/>
      <c r="AD170" s="119"/>
      <c r="AE170" s="119"/>
      <c r="AF170" s="119"/>
      <c r="AG170" s="119"/>
      <c r="AH170" s="119"/>
      <c r="AI170" s="119"/>
      <c r="AJ170" s="119"/>
      <c r="AK170" s="119"/>
      <c r="AL170" s="119"/>
      <c r="AM170" s="119"/>
      <c r="AN170" s="119"/>
      <c r="AO170" s="116"/>
      <c r="AP170" s="130"/>
      <c r="AQ170" s="130">
        <v>0</v>
      </c>
      <c r="AR170" s="119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7"/>
      <c r="BK170" s="117"/>
      <c r="BL170" s="117"/>
      <c r="BN170" s="117"/>
      <c r="BO170" s="117"/>
      <c r="BP170" s="120"/>
      <c r="BR170" s="117"/>
      <c r="BS170" s="117"/>
      <c r="BZ170" s="117"/>
      <c r="CA170" s="144"/>
    </row>
    <row r="171" spans="1:80" s="118" customFormat="1">
      <c r="A171" s="114"/>
      <c r="B171" s="114">
        <f t="shared" si="4"/>
        <v>2</v>
      </c>
      <c r="C171" s="136" t="s">
        <v>1000</v>
      </c>
      <c r="D171" s="116"/>
      <c r="E171" s="116"/>
      <c r="F171" s="116"/>
      <c r="G171" s="115"/>
      <c r="H171" s="116"/>
      <c r="I171" s="116"/>
      <c r="J171" s="116"/>
      <c r="K171" s="116"/>
      <c r="L171" s="116"/>
      <c r="M171" s="116"/>
      <c r="N171" s="116"/>
      <c r="O171" s="116"/>
      <c r="P171" s="166"/>
      <c r="Q171" s="116"/>
      <c r="R171" s="116"/>
      <c r="S171" s="191"/>
      <c r="T171" s="191"/>
      <c r="U171" s="116"/>
      <c r="V171" s="116"/>
      <c r="W171" s="116"/>
      <c r="X171" s="117"/>
      <c r="Y171" s="116"/>
      <c r="Z171" s="114"/>
      <c r="AB171" s="119"/>
      <c r="AD171" s="119"/>
      <c r="AE171" s="119"/>
      <c r="AF171" s="119"/>
      <c r="AG171" s="119"/>
      <c r="AH171" s="119"/>
      <c r="AI171" s="119"/>
      <c r="AJ171" s="119"/>
      <c r="AK171" s="119"/>
      <c r="AL171" s="119"/>
      <c r="AM171" s="119"/>
      <c r="AN171" s="119"/>
      <c r="AO171" s="116"/>
      <c r="AP171" s="130">
        <v>0</v>
      </c>
      <c r="AQ171" s="119"/>
      <c r="AR171" s="119"/>
      <c r="AS171" s="130">
        <v>0</v>
      </c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7"/>
      <c r="BK171" s="117"/>
      <c r="BL171" s="117"/>
      <c r="BN171" s="117"/>
      <c r="BO171" s="117"/>
      <c r="BP171" s="120"/>
      <c r="BR171" s="117"/>
      <c r="BS171" s="117"/>
      <c r="BZ171" s="117"/>
      <c r="CA171" s="144"/>
    </row>
    <row r="172" spans="1:80" s="118" customFormat="1">
      <c r="A172" s="114"/>
      <c r="B172" s="114">
        <f t="shared" si="4"/>
        <v>1</v>
      </c>
      <c r="C172" s="136" t="s">
        <v>2348</v>
      </c>
      <c r="D172" s="116"/>
      <c r="E172" s="116">
        <v>2</v>
      </c>
      <c r="F172" s="116"/>
      <c r="G172" s="115"/>
      <c r="H172" s="116"/>
      <c r="I172" s="116"/>
      <c r="J172" s="116"/>
      <c r="K172" s="116"/>
      <c r="L172" s="116"/>
      <c r="M172" s="116"/>
      <c r="N172" s="116"/>
      <c r="O172" s="116"/>
      <c r="P172" s="166"/>
      <c r="Q172" s="116"/>
      <c r="R172" s="116"/>
      <c r="S172" s="191"/>
      <c r="T172" s="191"/>
      <c r="U172" s="116"/>
      <c r="V172" s="116"/>
      <c r="W172" s="116"/>
      <c r="X172" s="117"/>
      <c r="Y172" s="116"/>
      <c r="Z172" s="114"/>
      <c r="AB172" s="119"/>
      <c r="AD172" s="119"/>
      <c r="AE172" s="119"/>
      <c r="AF172" s="119"/>
      <c r="AG172" s="119"/>
      <c r="AH172" s="119"/>
      <c r="AI172" s="119"/>
      <c r="AJ172" s="119"/>
      <c r="AK172" s="119"/>
      <c r="AL172" s="119"/>
      <c r="AM172" s="119"/>
      <c r="AN172" s="119"/>
      <c r="AO172" s="116"/>
      <c r="AP172" s="130"/>
      <c r="AQ172" s="119"/>
      <c r="AR172" s="119"/>
      <c r="AS172" s="130"/>
      <c r="AT172" s="130">
        <v>0</v>
      </c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7"/>
      <c r="BK172" s="117"/>
      <c r="BL172" s="117"/>
      <c r="BN172" s="117"/>
      <c r="BO172" s="117"/>
      <c r="BP172" s="120"/>
      <c r="BR172" s="117"/>
      <c r="BS172" s="117"/>
      <c r="BZ172" s="117"/>
      <c r="CA172" s="144"/>
    </row>
    <row r="173" spans="1:80" s="118" customFormat="1">
      <c r="A173" s="114"/>
      <c r="B173" s="114">
        <f t="shared" si="4"/>
        <v>1</v>
      </c>
      <c r="C173" s="136" t="s">
        <v>1135</v>
      </c>
      <c r="D173" s="116"/>
      <c r="E173" s="116"/>
      <c r="F173" s="116"/>
      <c r="G173" s="115"/>
      <c r="H173" s="116"/>
      <c r="I173" s="116"/>
      <c r="J173" s="116"/>
      <c r="K173" s="116"/>
      <c r="L173" s="116"/>
      <c r="M173" s="116"/>
      <c r="N173" s="116"/>
      <c r="O173" s="116"/>
      <c r="P173" s="166"/>
      <c r="Q173" s="116"/>
      <c r="R173" s="116"/>
      <c r="S173" s="191"/>
      <c r="T173" s="191"/>
      <c r="U173" s="116"/>
      <c r="V173" s="116"/>
      <c r="W173" s="116"/>
      <c r="X173" s="117"/>
      <c r="Y173" s="116"/>
      <c r="Z173" s="114"/>
      <c r="AB173" s="119"/>
      <c r="AD173" s="119"/>
      <c r="AE173" s="119"/>
      <c r="AF173" s="119"/>
      <c r="AG173" s="119"/>
      <c r="AH173" s="119"/>
      <c r="AI173" s="119"/>
      <c r="AJ173" s="119"/>
      <c r="AK173" s="119"/>
      <c r="AL173" s="119"/>
      <c r="AM173" s="119"/>
      <c r="AN173" s="119"/>
      <c r="AO173" s="130">
        <v>0</v>
      </c>
      <c r="AP173" s="119"/>
      <c r="AQ173" s="119"/>
      <c r="AR173" s="119"/>
      <c r="AS173" s="116"/>
      <c r="AT173" s="116"/>
      <c r="AU173" s="116"/>
      <c r="AV173" s="116"/>
      <c r="AW173" s="116"/>
      <c r="AX173" s="116"/>
      <c r="AY173" s="116"/>
      <c r="AZ173" s="116"/>
      <c r="BA173" s="116"/>
      <c r="BB173" s="116"/>
      <c r="BC173" s="116"/>
      <c r="BD173" s="116"/>
      <c r="BE173" s="116"/>
      <c r="BF173" s="116"/>
      <c r="BG173" s="116"/>
      <c r="BH173" s="116"/>
      <c r="BI173" s="116"/>
      <c r="BJ173" s="117"/>
      <c r="BK173" s="117"/>
      <c r="BL173" s="117"/>
      <c r="BN173" s="117"/>
      <c r="BO173" s="117"/>
      <c r="BP173" s="120"/>
      <c r="BR173" s="117"/>
      <c r="BS173" s="117"/>
      <c r="BZ173" s="117"/>
      <c r="CA173" s="144"/>
    </row>
    <row r="174" spans="1:80" s="118" customFormat="1">
      <c r="A174" s="114"/>
      <c r="B174" s="114">
        <f t="shared" si="4"/>
        <v>2</v>
      </c>
      <c r="C174" s="136" t="s">
        <v>2338</v>
      </c>
      <c r="D174" s="116"/>
      <c r="E174" s="116"/>
      <c r="F174" s="116"/>
      <c r="G174" s="115"/>
      <c r="H174" s="116"/>
      <c r="I174" s="116"/>
      <c r="J174" s="116"/>
      <c r="K174" s="116"/>
      <c r="L174" s="116"/>
      <c r="M174" s="116"/>
      <c r="N174" s="116"/>
      <c r="O174" s="116"/>
      <c r="P174" s="166"/>
      <c r="Q174" s="116"/>
      <c r="R174" s="116"/>
      <c r="S174" s="191"/>
      <c r="T174" s="191"/>
      <c r="U174" s="116"/>
      <c r="V174" s="116"/>
      <c r="W174" s="116"/>
      <c r="X174" s="117"/>
      <c r="Y174" s="116"/>
      <c r="Z174" s="114"/>
      <c r="AB174" s="119"/>
      <c r="AD174" s="119"/>
      <c r="AE174" s="119"/>
      <c r="AF174" s="119"/>
      <c r="AG174" s="119"/>
      <c r="AH174" s="119"/>
      <c r="AI174" s="119"/>
      <c r="AJ174" s="119"/>
      <c r="AK174" s="119"/>
      <c r="AL174" s="119"/>
      <c r="AM174" s="119"/>
      <c r="AN174" s="119"/>
      <c r="AO174" s="130"/>
      <c r="AP174" s="119"/>
      <c r="AQ174" s="119"/>
      <c r="AR174" s="119"/>
      <c r="AS174" s="130">
        <v>0</v>
      </c>
      <c r="AT174" s="116"/>
      <c r="AU174" s="130">
        <v>0</v>
      </c>
      <c r="AV174" s="116"/>
      <c r="AW174" s="116"/>
      <c r="AX174" s="116"/>
      <c r="AY174" s="116"/>
      <c r="AZ174" s="116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7"/>
      <c r="BK174" s="117"/>
      <c r="BL174" s="117"/>
      <c r="BN174" s="117"/>
      <c r="BO174" s="117"/>
      <c r="BP174" s="120"/>
      <c r="BR174" s="117"/>
      <c r="BS174" s="117"/>
      <c r="BZ174" s="117"/>
      <c r="CA174" s="144"/>
    </row>
    <row r="175" spans="1:80" s="118" customFormat="1">
      <c r="A175" s="114"/>
      <c r="B175" s="114">
        <f t="shared" si="4"/>
        <v>3</v>
      </c>
      <c r="C175" s="136" t="s">
        <v>1068</v>
      </c>
      <c r="D175" s="116"/>
      <c r="E175" s="116"/>
      <c r="F175" s="116"/>
      <c r="G175" s="115"/>
      <c r="H175" s="116"/>
      <c r="I175" s="116"/>
      <c r="J175" s="116"/>
      <c r="K175" s="116"/>
      <c r="L175" s="116"/>
      <c r="M175" s="116"/>
      <c r="N175" s="116"/>
      <c r="O175" s="116"/>
      <c r="P175" s="166"/>
      <c r="Q175" s="116"/>
      <c r="R175" s="116"/>
      <c r="S175" s="191"/>
      <c r="T175" s="191"/>
      <c r="U175" s="116"/>
      <c r="V175" s="116"/>
      <c r="W175" s="116"/>
      <c r="X175" s="117"/>
      <c r="Y175" s="116"/>
      <c r="Z175" s="114"/>
      <c r="AB175" s="119"/>
      <c r="AD175" s="119"/>
      <c r="AE175" s="119"/>
      <c r="AF175" s="119"/>
      <c r="AG175" s="119"/>
      <c r="AH175" s="119"/>
      <c r="AI175" s="119"/>
      <c r="AJ175" s="119"/>
      <c r="AK175" s="119"/>
      <c r="AL175" s="119"/>
      <c r="AM175" s="119"/>
      <c r="AN175" s="119"/>
      <c r="AO175" s="130">
        <v>0</v>
      </c>
      <c r="AP175" s="119"/>
      <c r="AQ175" s="119"/>
      <c r="AR175" s="119"/>
      <c r="AS175" s="126"/>
      <c r="AT175" s="126"/>
      <c r="AU175" s="130">
        <v>0</v>
      </c>
      <c r="AV175" s="116"/>
      <c r="AW175" s="130">
        <v>0</v>
      </c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7"/>
      <c r="BK175" s="117"/>
      <c r="BL175" s="117"/>
      <c r="BN175" s="117"/>
      <c r="BO175" s="117"/>
      <c r="BP175" s="120"/>
      <c r="BR175" s="117"/>
      <c r="BS175" s="117"/>
      <c r="BZ175" s="117"/>
      <c r="CA175" s="145">
        <v>44596.677916666667</v>
      </c>
    </row>
    <row r="176" spans="1:80" s="118" customFormat="1">
      <c r="A176" s="114"/>
      <c r="B176" s="114">
        <f t="shared" si="4"/>
        <v>1</v>
      </c>
      <c r="C176" s="136" t="s">
        <v>2355</v>
      </c>
      <c r="D176" s="116"/>
      <c r="E176" s="116"/>
      <c r="F176" s="116"/>
      <c r="G176" s="115"/>
      <c r="H176" s="116"/>
      <c r="I176" s="116"/>
      <c r="J176" s="116"/>
      <c r="K176" s="116"/>
      <c r="L176" s="116"/>
      <c r="M176" s="116"/>
      <c r="N176" s="116"/>
      <c r="O176" s="116"/>
      <c r="P176" s="166"/>
      <c r="Q176" s="116"/>
      <c r="R176" s="116"/>
      <c r="S176" s="191"/>
      <c r="T176" s="191"/>
      <c r="U176" s="116"/>
      <c r="V176" s="116"/>
      <c r="W176" s="116"/>
      <c r="X176" s="117"/>
      <c r="Y176" s="116"/>
      <c r="Z176" s="114"/>
      <c r="AB176" s="119"/>
      <c r="AD176" s="119"/>
      <c r="AE176" s="119"/>
      <c r="AF176" s="119"/>
      <c r="AG176" s="119"/>
      <c r="AH176" s="119"/>
      <c r="AI176" s="119"/>
      <c r="AJ176" s="119"/>
      <c r="AK176" s="119"/>
      <c r="AL176" s="119"/>
      <c r="AM176" s="119"/>
      <c r="AN176" s="119"/>
      <c r="AO176" s="130"/>
      <c r="AP176" s="119"/>
      <c r="AQ176" s="119"/>
      <c r="AR176" s="119"/>
      <c r="AS176" s="126"/>
      <c r="AT176" s="126"/>
      <c r="AU176" s="126"/>
      <c r="AV176" s="130">
        <v>0</v>
      </c>
      <c r="AW176" s="130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7"/>
      <c r="BK176" s="117"/>
      <c r="BL176" s="117"/>
      <c r="BN176" s="117"/>
      <c r="BO176" s="117"/>
      <c r="BP176" s="120"/>
      <c r="BR176" s="117"/>
      <c r="BS176" s="117"/>
      <c r="BZ176" s="117"/>
      <c r="CA176" s="144"/>
    </row>
    <row r="177" spans="1:80" s="118" customFormat="1">
      <c r="A177" s="114"/>
      <c r="B177" s="114">
        <f t="shared" si="4"/>
        <v>2</v>
      </c>
      <c r="C177" s="136" t="s">
        <v>994</v>
      </c>
      <c r="D177" s="116"/>
      <c r="E177" s="116"/>
      <c r="F177" s="116"/>
      <c r="G177" s="115"/>
      <c r="H177" s="116"/>
      <c r="I177" s="116"/>
      <c r="J177" s="116"/>
      <c r="K177" s="116"/>
      <c r="L177" s="116"/>
      <c r="M177" s="116"/>
      <c r="N177" s="116"/>
      <c r="O177" s="116"/>
      <c r="P177" s="166"/>
      <c r="Q177" s="116"/>
      <c r="R177" s="116"/>
      <c r="S177" s="191"/>
      <c r="T177" s="191"/>
      <c r="U177" s="116"/>
      <c r="V177" s="116"/>
      <c r="W177" s="116"/>
      <c r="X177" s="117"/>
      <c r="Y177" s="116"/>
      <c r="Z177" s="114"/>
      <c r="AB177" s="119"/>
      <c r="AD177" s="119"/>
      <c r="AE177" s="119"/>
      <c r="AF177" s="119"/>
      <c r="AG177" s="119"/>
      <c r="AH177" s="119"/>
      <c r="AI177" s="119"/>
      <c r="AJ177" s="119"/>
      <c r="AK177" s="119"/>
      <c r="AL177" s="119"/>
      <c r="AM177" s="119"/>
      <c r="AN177" s="119"/>
      <c r="AO177" s="130">
        <v>0</v>
      </c>
      <c r="AP177" s="119"/>
      <c r="AQ177" s="119"/>
      <c r="AR177" s="119"/>
      <c r="AS177" s="130">
        <v>0</v>
      </c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7"/>
      <c r="BK177" s="117"/>
      <c r="BL177" s="117"/>
      <c r="BN177" s="117"/>
      <c r="BO177" s="117"/>
      <c r="BP177" s="120"/>
      <c r="BR177" s="117"/>
      <c r="BS177" s="117"/>
      <c r="BZ177" s="117"/>
      <c r="CA177" s="144"/>
    </row>
    <row r="178" spans="1:80" s="118" customFormat="1">
      <c r="A178" s="114"/>
      <c r="B178" s="114">
        <f t="shared" si="4"/>
        <v>0</v>
      </c>
      <c r="C178" s="136"/>
      <c r="D178" s="116"/>
      <c r="E178" s="116"/>
      <c r="F178" s="116"/>
      <c r="G178" s="115"/>
      <c r="H178" s="116"/>
      <c r="I178" s="116"/>
      <c r="J178" s="116"/>
      <c r="K178" s="116"/>
      <c r="L178" s="116"/>
      <c r="M178" s="116"/>
      <c r="N178" s="116"/>
      <c r="O178" s="116"/>
      <c r="P178" s="166"/>
      <c r="Q178" s="116"/>
      <c r="R178" s="116"/>
      <c r="S178" s="191"/>
      <c r="T178" s="191"/>
      <c r="U178" s="116"/>
      <c r="V178" s="116"/>
      <c r="W178" s="116"/>
      <c r="X178" s="117"/>
      <c r="Y178" s="116"/>
      <c r="Z178" s="114"/>
      <c r="AB178" s="119"/>
      <c r="AD178" s="119"/>
      <c r="AE178" s="119"/>
      <c r="AF178" s="119"/>
      <c r="AG178" s="119"/>
      <c r="AH178" s="119"/>
      <c r="AI178" s="119"/>
      <c r="AJ178" s="119"/>
      <c r="AK178" s="119"/>
      <c r="AL178" s="119"/>
      <c r="AM178" s="119"/>
      <c r="AN178" s="119"/>
      <c r="AO178" s="116"/>
      <c r="AP178" s="130"/>
      <c r="AQ178" s="119"/>
      <c r="AR178" s="119"/>
      <c r="AS178" s="116"/>
      <c r="AT178" s="116"/>
      <c r="AU178" s="116"/>
      <c r="AV178" s="116"/>
      <c r="AW178" s="130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7"/>
      <c r="BK178" s="117"/>
      <c r="BL178" s="117"/>
      <c r="BN178" s="117"/>
      <c r="BO178" s="117"/>
      <c r="BP178" s="120"/>
      <c r="BR178" s="117"/>
      <c r="BS178" s="117"/>
      <c r="BZ178" s="117"/>
      <c r="CA178" s="144"/>
    </row>
    <row r="179" spans="1:80" s="118" customFormat="1">
      <c r="A179" s="114"/>
      <c r="B179" s="114">
        <f t="shared" si="4"/>
        <v>1</v>
      </c>
      <c r="C179" s="136" t="s">
        <v>1136</v>
      </c>
      <c r="D179" s="116"/>
      <c r="E179" s="116"/>
      <c r="F179" s="116"/>
      <c r="G179" s="115"/>
      <c r="H179" s="116"/>
      <c r="I179" s="116"/>
      <c r="J179" s="116"/>
      <c r="K179" s="116"/>
      <c r="L179" s="116"/>
      <c r="M179" s="116"/>
      <c r="N179" s="116"/>
      <c r="O179" s="116"/>
      <c r="P179" s="166"/>
      <c r="Q179" s="116"/>
      <c r="R179" s="116"/>
      <c r="S179" s="191"/>
      <c r="T179" s="191"/>
      <c r="U179" s="116"/>
      <c r="V179" s="116"/>
      <c r="W179" s="116"/>
      <c r="X179" s="117"/>
      <c r="Y179" s="116"/>
      <c r="Z179" s="114"/>
      <c r="AB179" s="119"/>
      <c r="AD179" s="119"/>
      <c r="AE179" s="119"/>
      <c r="AF179" s="119"/>
      <c r="AG179" s="119"/>
      <c r="AH179" s="119"/>
      <c r="AI179" s="119"/>
      <c r="AJ179" s="119"/>
      <c r="AK179" s="119"/>
      <c r="AL179" s="119"/>
      <c r="AM179" s="119"/>
      <c r="AN179" s="119"/>
      <c r="AO179" s="119"/>
      <c r="AP179" s="130">
        <v>0</v>
      </c>
      <c r="AQ179" s="119"/>
      <c r="AR179" s="119"/>
      <c r="AS179" s="116"/>
      <c r="AT179" s="130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7"/>
      <c r="BK179" s="117"/>
      <c r="BL179" s="117"/>
      <c r="BN179" s="117"/>
      <c r="BO179" s="117"/>
      <c r="BP179" s="120"/>
      <c r="BR179" s="117"/>
      <c r="BS179" s="117"/>
      <c r="BZ179" s="117"/>
      <c r="CA179" s="144"/>
    </row>
    <row r="180" spans="1:80" s="118" customFormat="1">
      <c r="A180" s="114"/>
      <c r="B180" s="114">
        <f t="shared" si="4"/>
        <v>1</v>
      </c>
      <c r="C180" s="136" t="s">
        <v>2346</v>
      </c>
      <c r="D180" s="116"/>
      <c r="E180" s="116"/>
      <c r="F180" s="116"/>
      <c r="G180" s="115"/>
      <c r="H180" s="116"/>
      <c r="I180" s="116"/>
      <c r="J180" s="116"/>
      <c r="K180" s="116"/>
      <c r="L180" s="116"/>
      <c r="M180" s="116"/>
      <c r="N180" s="116"/>
      <c r="O180" s="116"/>
      <c r="P180" s="166"/>
      <c r="Q180" s="116"/>
      <c r="R180" s="116"/>
      <c r="S180" s="191"/>
      <c r="T180" s="191"/>
      <c r="U180" s="116"/>
      <c r="V180" s="116"/>
      <c r="W180" s="116"/>
      <c r="X180" s="117"/>
      <c r="Y180" s="116"/>
      <c r="Z180" s="114"/>
      <c r="AB180" s="119"/>
      <c r="AD180" s="119"/>
      <c r="AE180" s="119"/>
      <c r="AF180" s="119"/>
      <c r="AG180" s="119"/>
      <c r="AH180" s="119"/>
      <c r="AI180" s="119"/>
      <c r="AJ180" s="119"/>
      <c r="AK180" s="119"/>
      <c r="AL180" s="119"/>
      <c r="AM180" s="119"/>
      <c r="AN180" s="119"/>
      <c r="AO180" s="119"/>
      <c r="AP180" s="119"/>
      <c r="AQ180" s="119"/>
      <c r="AR180" s="119"/>
      <c r="AS180" s="116"/>
      <c r="AT180" s="130"/>
      <c r="AU180" s="130">
        <v>0</v>
      </c>
      <c r="AV180" s="116"/>
      <c r="AW180" s="116"/>
      <c r="AX180" s="116"/>
      <c r="AY180" s="116"/>
      <c r="AZ180" s="116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7"/>
      <c r="BK180" s="117"/>
      <c r="BL180" s="117"/>
      <c r="BN180" s="117"/>
      <c r="BO180" s="117"/>
      <c r="BP180" s="120"/>
      <c r="BR180" s="117"/>
      <c r="BS180" s="117"/>
      <c r="BZ180" s="117"/>
      <c r="CA180" s="144"/>
    </row>
    <row r="181" spans="1:80" s="118" customFormat="1">
      <c r="A181" s="114"/>
      <c r="B181" s="114">
        <f t="shared" si="4"/>
        <v>0</v>
      </c>
      <c r="C181" s="136"/>
      <c r="D181" s="116"/>
      <c r="E181" s="116"/>
      <c r="F181" s="116"/>
      <c r="G181" s="115"/>
      <c r="H181" s="116"/>
      <c r="I181" s="116"/>
      <c r="J181" s="116"/>
      <c r="K181" s="116"/>
      <c r="L181" s="116"/>
      <c r="M181" s="116"/>
      <c r="N181" s="116"/>
      <c r="O181" s="116"/>
      <c r="P181" s="166"/>
      <c r="Q181" s="116"/>
      <c r="R181" s="116"/>
      <c r="S181" s="191"/>
      <c r="T181" s="191"/>
      <c r="U181" s="116"/>
      <c r="V181" s="116"/>
      <c r="W181" s="116"/>
      <c r="X181" s="117"/>
      <c r="Y181" s="116"/>
      <c r="Z181" s="114"/>
      <c r="AB181" s="119"/>
      <c r="AD181" s="119"/>
      <c r="AE181" s="119"/>
      <c r="AF181" s="119"/>
      <c r="AG181" s="119"/>
      <c r="AH181" s="119"/>
      <c r="AI181" s="119"/>
      <c r="AJ181" s="119"/>
      <c r="AK181" s="119"/>
      <c r="AL181" s="119"/>
      <c r="AM181" s="119"/>
      <c r="AN181" s="119"/>
      <c r="AO181" s="119"/>
      <c r="AP181" s="119"/>
      <c r="AQ181" s="119"/>
      <c r="AR181" s="119"/>
      <c r="AS181" s="116"/>
      <c r="AT181" s="130"/>
      <c r="AU181" s="130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7"/>
      <c r="BK181" s="117"/>
      <c r="BL181" s="117"/>
      <c r="BN181" s="117"/>
      <c r="BO181" s="117"/>
      <c r="BP181" s="120"/>
      <c r="BR181" s="117"/>
      <c r="BS181" s="117"/>
      <c r="BZ181" s="117"/>
      <c r="CA181" s="144"/>
    </row>
    <row r="182" spans="1:80" s="118" customFormat="1">
      <c r="A182" s="114"/>
      <c r="B182" s="114">
        <f t="shared" si="4"/>
        <v>0</v>
      </c>
      <c r="C182" s="136"/>
      <c r="D182" s="116"/>
      <c r="E182" s="116"/>
      <c r="F182" s="116"/>
      <c r="G182" s="115"/>
      <c r="H182" s="116"/>
      <c r="I182" s="116"/>
      <c r="J182" s="116"/>
      <c r="K182" s="116"/>
      <c r="L182" s="116"/>
      <c r="M182" s="116"/>
      <c r="N182" s="116"/>
      <c r="O182" s="116"/>
      <c r="P182" s="166"/>
      <c r="Q182" s="116"/>
      <c r="R182" s="116"/>
      <c r="S182" s="191"/>
      <c r="T182" s="191"/>
      <c r="U182" s="116"/>
      <c r="V182" s="116"/>
      <c r="W182" s="116"/>
      <c r="X182" s="117"/>
      <c r="Y182" s="116"/>
      <c r="Z182" s="114"/>
      <c r="AB182" s="119"/>
      <c r="AD182" s="119"/>
      <c r="AE182" s="119"/>
      <c r="AF182" s="119"/>
      <c r="AG182" s="119"/>
      <c r="AH182" s="119"/>
      <c r="AI182" s="119"/>
      <c r="AJ182" s="119"/>
      <c r="AK182" s="119"/>
      <c r="AL182" s="119"/>
      <c r="AM182" s="119"/>
      <c r="AN182" s="119"/>
      <c r="AO182" s="119"/>
      <c r="AP182" s="119"/>
      <c r="AQ182" s="119"/>
      <c r="AR182" s="119"/>
      <c r="AS182" s="116"/>
      <c r="AT182" s="116"/>
      <c r="AU182" s="116"/>
      <c r="AV182" s="116"/>
      <c r="AW182" s="130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7"/>
      <c r="BK182" s="117"/>
      <c r="BL182" s="117"/>
      <c r="BN182" s="117"/>
      <c r="BO182" s="117"/>
      <c r="BP182" s="120"/>
      <c r="BR182" s="117"/>
      <c r="BS182" s="117"/>
      <c r="BZ182" s="117"/>
      <c r="CA182" s="145"/>
    </row>
    <row r="183" spans="1:80" s="118" customFormat="1">
      <c r="A183" s="114"/>
      <c r="B183" s="114">
        <f t="shared" si="4"/>
        <v>1</v>
      </c>
      <c r="C183" s="136" t="s">
        <v>2484</v>
      </c>
      <c r="D183" s="116"/>
      <c r="E183" s="116"/>
      <c r="F183" s="116"/>
      <c r="G183" s="115"/>
      <c r="H183" s="116"/>
      <c r="I183" s="116"/>
      <c r="J183" s="116"/>
      <c r="K183" s="116"/>
      <c r="L183" s="116"/>
      <c r="M183" s="116"/>
      <c r="N183" s="116"/>
      <c r="O183" s="116"/>
      <c r="P183" s="166"/>
      <c r="Q183" s="116"/>
      <c r="R183" s="116"/>
      <c r="S183" s="191"/>
      <c r="T183" s="191"/>
      <c r="U183" s="116"/>
      <c r="V183" s="116"/>
      <c r="W183" s="116"/>
      <c r="X183" s="117"/>
      <c r="Y183" s="116"/>
      <c r="Z183" s="114"/>
      <c r="AB183" s="119"/>
      <c r="AD183" s="119"/>
      <c r="AE183" s="119"/>
      <c r="AF183" s="119"/>
      <c r="AG183" s="119"/>
      <c r="AH183" s="119"/>
      <c r="AI183" s="119"/>
      <c r="AJ183" s="119"/>
      <c r="AK183" s="119"/>
      <c r="AL183" s="119"/>
      <c r="AM183" s="119"/>
      <c r="AN183" s="119"/>
      <c r="AO183" s="119"/>
      <c r="AP183" s="130">
        <v>0</v>
      </c>
      <c r="AR183" s="119"/>
      <c r="AS183" s="116"/>
      <c r="AT183" s="116"/>
      <c r="AU183" s="116"/>
      <c r="AV183" s="116"/>
      <c r="AW183" s="130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7"/>
      <c r="BK183" s="117"/>
      <c r="BL183" s="117"/>
      <c r="BN183" s="117"/>
      <c r="BO183" s="117"/>
      <c r="BP183" s="120"/>
      <c r="BR183" s="117"/>
      <c r="BS183" s="117"/>
      <c r="BZ183" s="117"/>
      <c r="CA183" s="145">
        <v>44604.603854166664</v>
      </c>
    </row>
    <row r="184" spans="1:80" s="13" customFormat="1" ht="26.25" customHeight="1">
      <c r="B184" s="114">
        <f t="shared" si="4"/>
        <v>5</v>
      </c>
      <c r="C184" s="136" t="s">
        <v>1411</v>
      </c>
      <c r="D184" s="15"/>
      <c r="F184" s="42"/>
      <c r="H184" s="15"/>
      <c r="I184" s="15"/>
      <c r="J184" s="15"/>
      <c r="K184" s="15"/>
      <c r="L184" s="17"/>
      <c r="M184" s="17"/>
      <c r="N184" s="17"/>
      <c r="O184" s="16" t="s">
        <v>621</v>
      </c>
      <c r="P184" s="167"/>
      <c r="S184" s="193"/>
      <c r="T184" s="193"/>
      <c r="AP184" s="130">
        <v>0</v>
      </c>
      <c r="AQ184" s="130">
        <v>0</v>
      </c>
      <c r="AR184" s="130">
        <v>0</v>
      </c>
      <c r="AS184" s="125" t="s">
        <v>948</v>
      </c>
      <c r="AW184" s="130">
        <v>0</v>
      </c>
      <c r="CA184" s="146">
        <v>44596.611712962964</v>
      </c>
      <c r="CB184" s="221">
        <v>44604.635740740741</v>
      </c>
    </row>
    <row r="185" spans="1:80" s="118" customFormat="1">
      <c r="A185" s="114"/>
      <c r="B185" s="114">
        <f t="shared" si="4"/>
        <v>0</v>
      </c>
      <c r="C185" s="136"/>
      <c r="D185" s="116"/>
      <c r="E185" s="116"/>
      <c r="F185" s="116"/>
      <c r="G185" s="115"/>
      <c r="H185" s="116"/>
      <c r="I185" s="116"/>
      <c r="J185" s="116"/>
      <c r="K185" s="116"/>
      <c r="L185" s="116"/>
      <c r="M185" s="116"/>
      <c r="N185" s="116"/>
      <c r="O185" s="116"/>
      <c r="P185" s="166"/>
      <c r="Q185" s="116"/>
      <c r="R185" s="116"/>
      <c r="S185" s="191"/>
      <c r="T185" s="191"/>
      <c r="U185" s="116"/>
      <c r="V185" s="116"/>
      <c r="W185" s="116"/>
      <c r="X185" s="117"/>
      <c r="Y185" s="116"/>
      <c r="Z185" s="114"/>
      <c r="AB185" s="119"/>
      <c r="AD185" s="119"/>
      <c r="AE185" s="119"/>
      <c r="AF185" s="119"/>
      <c r="AG185" s="119"/>
      <c r="AH185" s="119"/>
      <c r="AI185" s="119"/>
      <c r="AJ185" s="119"/>
      <c r="AK185" s="119"/>
      <c r="AL185" s="119"/>
      <c r="AM185" s="119"/>
      <c r="AN185" s="119"/>
      <c r="AO185" s="119"/>
      <c r="AP185" s="119"/>
      <c r="AQ185" s="119"/>
      <c r="AR185" s="119"/>
      <c r="AS185" s="116"/>
      <c r="AT185" s="130"/>
      <c r="AU185" s="116"/>
      <c r="AV185" s="116"/>
      <c r="AW185" s="116"/>
      <c r="AX185" s="116"/>
      <c r="AY185" s="116"/>
      <c r="AZ185" s="116"/>
      <c r="BA185" s="116"/>
      <c r="BB185" s="116"/>
      <c r="BC185" s="116"/>
      <c r="BD185" s="116"/>
      <c r="BE185" s="116"/>
      <c r="BF185" s="116"/>
      <c r="BG185" s="116"/>
      <c r="BH185" s="116"/>
      <c r="BI185" s="116"/>
      <c r="BJ185" s="117"/>
      <c r="BK185" s="117"/>
      <c r="BL185" s="117"/>
      <c r="BN185" s="117"/>
      <c r="BO185" s="117"/>
      <c r="BP185" s="120"/>
      <c r="BR185" s="117"/>
      <c r="BS185" s="117"/>
      <c r="BZ185" s="117"/>
      <c r="CA185" s="144"/>
    </row>
    <row r="186" spans="1:80" s="118" customFormat="1" ht="27">
      <c r="A186" s="114"/>
      <c r="B186" s="114">
        <f t="shared" si="4"/>
        <v>1</v>
      </c>
      <c r="C186" s="136" t="s">
        <v>2485</v>
      </c>
      <c r="D186" s="116"/>
      <c r="E186" s="116"/>
      <c r="F186" s="116"/>
      <c r="G186" s="115"/>
      <c r="H186" s="116"/>
      <c r="I186" s="116"/>
      <c r="J186" s="116"/>
      <c r="K186" s="116"/>
      <c r="L186" s="116"/>
      <c r="M186" s="116"/>
      <c r="N186" s="116"/>
      <c r="O186" s="116"/>
      <c r="P186" s="166"/>
      <c r="Q186" s="116"/>
      <c r="R186" s="116"/>
      <c r="S186" s="191"/>
      <c r="T186" s="191"/>
      <c r="U186" s="116"/>
      <c r="V186" s="116"/>
      <c r="W186" s="116"/>
      <c r="X186" s="117"/>
      <c r="Y186" s="116"/>
      <c r="Z186" s="114"/>
      <c r="AB186" s="119"/>
      <c r="AD186" s="119"/>
      <c r="AE186" s="119"/>
      <c r="AF186" s="119"/>
      <c r="AG186" s="119"/>
      <c r="AH186" s="119"/>
      <c r="AI186" s="119"/>
      <c r="AJ186" s="119"/>
      <c r="AK186" s="119"/>
      <c r="AL186" s="119"/>
      <c r="AM186" s="119"/>
      <c r="AN186" s="119"/>
      <c r="AO186" s="119"/>
      <c r="AP186" s="130">
        <v>0</v>
      </c>
      <c r="AQ186" s="119"/>
      <c r="AR186" s="119"/>
      <c r="AS186" s="116"/>
      <c r="AT186" s="130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7"/>
      <c r="BK186" s="117"/>
      <c r="BL186" s="117"/>
      <c r="BN186" s="117"/>
      <c r="BO186" s="117"/>
      <c r="BP186" s="120"/>
      <c r="BR186" s="117"/>
      <c r="BS186" s="117"/>
      <c r="BZ186" s="117"/>
      <c r="CA186" s="145">
        <v>44604.604953703703</v>
      </c>
    </row>
    <row r="187" spans="1:80" s="118" customFormat="1">
      <c r="A187" s="114"/>
      <c r="B187" s="114">
        <f t="shared" si="4"/>
        <v>0</v>
      </c>
      <c r="C187" s="136"/>
      <c r="D187" s="116"/>
      <c r="E187" s="116"/>
      <c r="F187" s="116"/>
      <c r="G187" s="115"/>
      <c r="H187" s="116"/>
      <c r="I187" s="116"/>
      <c r="J187" s="116"/>
      <c r="K187" s="116"/>
      <c r="L187" s="116"/>
      <c r="M187" s="116"/>
      <c r="N187" s="116"/>
      <c r="O187" s="116"/>
      <c r="P187" s="166"/>
      <c r="Q187" s="116"/>
      <c r="R187" s="116"/>
      <c r="S187" s="191"/>
      <c r="T187" s="191"/>
      <c r="U187" s="116"/>
      <c r="V187" s="116"/>
      <c r="W187" s="116"/>
      <c r="X187" s="117"/>
      <c r="Y187" s="116"/>
      <c r="Z187" s="114"/>
      <c r="AB187" s="119"/>
      <c r="AD187" s="119"/>
      <c r="AE187" s="119"/>
      <c r="AF187" s="119"/>
      <c r="AG187" s="119"/>
      <c r="AH187" s="119"/>
      <c r="AI187" s="119"/>
      <c r="AJ187" s="119"/>
      <c r="AK187" s="119"/>
      <c r="AL187" s="119"/>
      <c r="AM187" s="119"/>
      <c r="AN187" s="119"/>
      <c r="AO187" s="119"/>
      <c r="AP187" s="119"/>
      <c r="AQ187" s="119"/>
      <c r="AR187" s="119"/>
      <c r="AS187" s="116"/>
      <c r="AT187" s="130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7"/>
      <c r="BK187" s="117"/>
      <c r="BL187" s="117"/>
      <c r="BN187" s="117"/>
      <c r="BO187" s="117"/>
      <c r="BP187" s="120"/>
      <c r="BR187" s="117"/>
      <c r="BS187" s="117"/>
      <c r="BZ187" s="117"/>
      <c r="CA187" s="145">
        <v>44604.604756944442</v>
      </c>
    </row>
    <row r="188" spans="1:80" s="118" customFormat="1">
      <c r="A188" s="114"/>
      <c r="B188" s="114">
        <f t="shared" si="4"/>
        <v>2</v>
      </c>
      <c r="C188" s="136" t="s">
        <v>999</v>
      </c>
      <c r="D188" s="116"/>
      <c r="E188" s="116"/>
      <c r="F188" s="116"/>
      <c r="G188" s="115"/>
      <c r="H188" s="116"/>
      <c r="I188" s="116"/>
      <c r="J188" s="116"/>
      <c r="K188" s="116"/>
      <c r="L188" s="116"/>
      <c r="M188" s="116"/>
      <c r="N188" s="116"/>
      <c r="O188" s="116"/>
      <c r="P188" s="166"/>
      <c r="Q188" s="116"/>
      <c r="R188" s="116"/>
      <c r="S188" s="191"/>
      <c r="T188" s="191"/>
      <c r="U188" s="116"/>
      <c r="V188" s="116"/>
      <c r="W188" s="116"/>
      <c r="X188" s="117"/>
      <c r="Y188" s="116"/>
      <c r="Z188" s="114"/>
      <c r="AB188" s="119"/>
      <c r="AD188" s="119"/>
      <c r="AE188" s="119"/>
      <c r="AF188" s="119"/>
      <c r="AG188" s="119"/>
      <c r="AH188" s="119"/>
      <c r="AI188" s="119"/>
      <c r="AJ188" s="119"/>
      <c r="AK188" s="119"/>
      <c r="AL188" s="119"/>
      <c r="AM188" s="119"/>
      <c r="AN188" s="119"/>
      <c r="AO188" s="116"/>
      <c r="AP188" s="130">
        <v>0</v>
      </c>
      <c r="AQ188" s="130">
        <v>0</v>
      </c>
      <c r="AR188" s="119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7"/>
      <c r="BK188" s="117"/>
      <c r="BL188" s="117"/>
      <c r="BN188" s="117"/>
      <c r="BO188" s="117"/>
      <c r="BP188" s="120"/>
      <c r="BR188" s="117"/>
      <c r="BS188" s="117"/>
      <c r="BZ188" s="117"/>
      <c r="CA188" s="144"/>
    </row>
    <row r="189" spans="1:80" s="118" customFormat="1">
      <c r="A189" s="114"/>
      <c r="B189" s="114">
        <f t="shared" si="4"/>
        <v>2</v>
      </c>
      <c r="C189" s="136" t="s">
        <v>975</v>
      </c>
      <c r="D189" s="116"/>
      <c r="E189" s="116"/>
      <c r="F189" s="116"/>
      <c r="G189" s="115"/>
      <c r="H189" s="116"/>
      <c r="I189" s="116"/>
      <c r="J189" s="116"/>
      <c r="K189" s="116"/>
      <c r="L189" s="116"/>
      <c r="M189" s="116"/>
      <c r="N189" s="116"/>
      <c r="O189" s="116"/>
      <c r="P189" s="166"/>
      <c r="Q189" s="116"/>
      <c r="R189" s="116"/>
      <c r="S189" s="191"/>
      <c r="T189" s="191"/>
      <c r="U189" s="116"/>
      <c r="V189" s="116"/>
      <c r="W189" s="116"/>
      <c r="X189" s="117"/>
      <c r="Y189" s="116"/>
      <c r="Z189" s="114"/>
      <c r="AB189" s="119"/>
      <c r="AD189" s="119"/>
      <c r="AE189" s="119"/>
      <c r="AF189" s="119"/>
      <c r="AG189" s="119"/>
      <c r="AH189" s="119"/>
      <c r="AI189" s="119"/>
      <c r="AJ189" s="119"/>
      <c r="AK189" s="119"/>
      <c r="AL189" s="119"/>
      <c r="AM189" s="119"/>
      <c r="AN189" s="119"/>
      <c r="AO189" s="119"/>
      <c r="AP189" s="119"/>
      <c r="AQ189" s="130">
        <v>0</v>
      </c>
      <c r="AR189" s="119"/>
      <c r="AS189" s="116"/>
      <c r="AT189" s="126"/>
      <c r="AU189" s="130">
        <v>0</v>
      </c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7"/>
      <c r="BK189" s="117"/>
      <c r="BL189" s="117"/>
      <c r="BN189" s="117"/>
      <c r="BO189" s="117"/>
      <c r="BP189" s="120"/>
      <c r="BR189" s="117"/>
      <c r="BS189" s="117"/>
      <c r="BZ189" s="117"/>
      <c r="CA189" s="144"/>
    </row>
    <row r="190" spans="1:80" s="118" customFormat="1">
      <c r="A190" s="114"/>
      <c r="B190" s="114">
        <f t="shared" si="4"/>
        <v>2</v>
      </c>
      <c r="C190" s="136" t="s">
        <v>1131</v>
      </c>
      <c r="D190" s="116"/>
      <c r="E190" s="116"/>
      <c r="F190" s="116"/>
      <c r="G190" s="115"/>
      <c r="H190" s="116"/>
      <c r="I190" s="116"/>
      <c r="J190" s="116"/>
      <c r="K190" s="116"/>
      <c r="L190" s="116"/>
      <c r="M190" s="116"/>
      <c r="N190" s="116"/>
      <c r="O190" s="116"/>
      <c r="P190" s="166"/>
      <c r="Q190" s="116"/>
      <c r="R190" s="116"/>
      <c r="S190" s="191"/>
      <c r="T190" s="191"/>
      <c r="U190" s="116"/>
      <c r="V190" s="116"/>
      <c r="W190" s="116"/>
      <c r="X190" s="117"/>
      <c r="Y190" s="116"/>
      <c r="Z190" s="114"/>
      <c r="AB190" s="119"/>
      <c r="AD190" s="119"/>
      <c r="AE190" s="119"/>
      <c r="AF190" s="119"/>
      <c r="AG190" s="119"/>
      <c r="AH190" s="119"/>
      <c r="AI190" s="119"/>
      <c r="AJ190" s="119"/>
      <c r="AK190" s="119"/>
      <c r="AL190" s="119"/>
      <c r="AM190" s="119"/>
      <c r="AN190" s="119"/>
      <c r="AO190" s="130">
        <v>0</v>
      </c>
      <c r="AP190" s="119"/>
      <c r="AQ190" s="130">
        <v>0</v>
      </c>
      <c r="AR190" s="119"/>
      <c r="AS190" s="116"/>
      <c r="AT190" s="126"/>
      <c r="AU190" s="130"/>
      <c r="AV190" s="116"/>
      <c r="AW190" s="116"/>
      <c r="AX190" s="116"/>
      <c r="AY190" s="116"/>
      <c r="AZ190" s="116"/>
      <c r="BA190" s="116"/>
      <c r="BB190" s="116"/>
      <c r="BC190" s="116"/>
      <c r="BD190" s="116"/>
      <c r="BE190" s="116"/>
      <c r="BF190" s="116"/>
      <c r="BG190" s="116"/>
      <c r="BH190" s="116"/>
      <c r="BI190" s="116"/>
      <c r="BJ190" s="117"/>
      <c r="BK190" s="117"/>
      <c r="BL190" s="117"/>
      <c r="BN190" s="117"/>
      <c r="BO190" s="117"/>
      <c r="BP190" s="120"/>
      <c r="BR190" s="117"/>
      <c r="BS190" s="117"/>
      <c r="BZ190" s="117"/>
      <c r="CA190" s="144"/>
    </row>
    <row r="191" spans="1:80" s="118" customFormat="1">
      <c r="A191" s="114"/>
      <c r="B191" s="114">
        <f t="shared" si="4"/>
        <v>2</v>
      </c>
      <c r="C191" s="136" t="s">
        <v>1093</v>
      </c>
      <c r="D191" s="116"/>
      <c r="E191" s="116"/>
      <c r="F191" s="116"/>
      <c r="G191" s="115"/>
      <c r="H191" s="116"/>
      <c r="I191" s="116"/>
      <c r="J191" s="116"/>
      <c r="K191" s="116"/>
      <c r="L191" s="116"/>
      <c r="M191" s="116"/>
      <c r="N191" s="116"/>
      <c r="O191" s="116"/>
      <c r="P191" s="166"/>
      <c r="Q191" s="116"/>
      <c r="R191" s="116"/>
      <c r="S191" s="191"/>
      <c r="T191" s="191"/>
      <c r="U191" s="116"/>
      <c r="V191" s="116"/>
      <c r="W191" s="116"/>
      <c r="X191" s="117"/>
      <c r="Y191" s="116"/>
      <c r="Z191" s="114"/>
      <c r="AB191" s="119"/>
      <c r="AD191" s="119"/>
      <c r="AE191" s="119"/>
      <c r="AF191" s="119"/>
      <c r="AG191" s="119"/>
      <c r="AH191" s="119"/>
      <c r="AI191" s="119"/>
      <c r="AJ191" s="119"/>
      <c r="AK191" s="119"/>
      <c r="AL191" s="119"/>
      <c r="AM191" s="119">
        <v>1</v>
      </c>
      <c r="AN191" s="119"/>
      <c r="AO191" s="119"/>
      <c r="AP191" s="130">
        <v>0</v>
      </c>
      <c r="AQ191" s="130">
        <v>0</v>
      </c>
      <c r="AR191" s="119"/>
      <c r="AS191" s="116"/>
      <c r="AT191" s="116"/>
      <c r="AU191" s="116"/>
      <c r="AV191" s="116"/>
      <c r="AW191" s="116"/>
      <c r="AX191" s="116"/>
      <c r="AY191" s="116"/>
      <c r="AZ191" s="116"/>
      <c r="BA191" s="116"/>
      <c r="BB191" s="116"/>
      <c r="BC191" s="116"/>
      <c r="BD191" s="116"/>
      <c r="BE191" s="116"/>
      <c r="BF191" s="116"/>
      <c r="BG191" s="116"/>
      <c r="BH191" s="116"/>
      <c r="BI191" s="116"/>
      <c r="BJ191" s="117"/>
      <c r="BK191" s="117"/>
      <c r="BL191" s="117"/>
      <c r="BN191" s="117"/>
      <c r="BO191" s="117"/>
      <c r="BP191" s="120"/>
      <c r="BR191" s="117"/>
      <c r="BS191" s="117"/>
      <c r="BZ191" s="117"/>
      <c r="CA191" s="144"/>
    </row>
    <row r="192" spans="1:80" s="13" customFormat="1" ht="26.25" customHeight="1">
      <c r="B192" s="114">
        <f t="shared" si="4"/>
        <v>1</v>
      </c>
      <c r="C192" s="136" t="s">
        <v>1355</v>
      </c>
      <c r="D192" s="15"/>
      <c r="F192" s="42"/>
      <c r="H192" s="15"/>
      <c r="I192" s="15"/>
      <c r="J192" s="15"/>
      <c r="K192" s="15"/>
      <c r="L192" s="17"/>
      <c r="M192" s="17"/>
      <c r="N192" s="17"/>
      <c r="O192" s="16"/>
      <c r="P192" s="167"/>
      <c r="S192" s="193"/>
      <c r="T192" s="193"/>
      <c r="AS192" s="130">
        <v>0</v>
      </c>
      <c r="CA192" s="33"/>
    </row>
    <row r="193" spans="1:79" s="118" customFormat="1" ht="27">
      <c r="A193" s="114"/>
      <c r="B193" s="114">
        <f t="shared" si="4"/>
        <v>3</v>
      </c>
      <c r="C193" s="136" t="s">
        <v>1063</v>
      </c>
      <c r="D193" s="116"/>
      <c r="E193" s="116"/>
      <c r="F193" s="116"/>
      <c r="G193" s="115"/>
      <c r="H193" s="116"/>
      <c r="I193" s="116"/>
      <c r="J193" s="116"/>
      <c r="K193" s="116"/>
      <c r="L193" s="116"/>
      <c r="M193" s="116"/>
      <c r="N193" s="116"/>
      <c r="O193" s="116"/>
      <c r="P193" s="166"/>
      <c r="Q193" s="116"/>
      <c r="R193" s="116"/>
      <c r="S193" s="191"/>
      <c r="T193" s="191"/>
      <c r="U193" s="116"/>
      <c r="V193" s="116"/>
      <c r="W193" s="116"/>
      <c r="X193" s="117"/>
      <c r="Y193" s="116"/>
      <c r="Z193" s="114"/>
      <c r="AB193" s="119"/>
      <c r="AD193" s="119"/>
      <c r="AE193" s="119"/>
      <c r="AF193" s="119"/>
      <c r="AG193" s="119"/>
      <c r="AH193" s="119"/>
      <c r="AI193" s="119"/>
      <c r="AJ193" s="119"/>
      <c r="AK193" s="119"/>
      <c r="AL193" s="119"/>
      <c r="AM193" s="119"/>
      <c r="AN193" s="119"/>
      <c r="AO193" s="119"/>
      <c r="AP193" s="119"/>
      <c r="AQ193" s="119"/>
      <c r="AR193" s="130">
        <v>0</v>
      </c>
      <c r="AS193" s="126"/>
      <c r="AT193" s="130">
        <v>0</v>
      </c>
      <c r="AU193" s="126"/>
      <c r="AV193" s="116"/>
      <c r="AW193" s="130">
        <v>0</v>
      </c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7"/>
      <c r="BK193" s="117"/>
      <c r="BL193" s="117"/>
      <c r="BN193" s="117"/>
      <c r="BO193" s="117"/>
      <c r="BP193" s="120"/>
      <c r="BR193" s="117"/>
      <c r="BS193" s="117"/>
      <c r="BZ193" s="117"/>
      <c r="CA193" s="145">
        <v>44604.6325</v>
      </c>
    </row>
    <row r="194" spans="1:79" s="118" customFormat="1" ht="27">
      <c r="A194" s="114"/>
      <c r="B194" s="114">
        <f t="shared" si="4"/>
        <v>1</v>
      </c>
      <c r="C194" s="136" t="s">
        <v>2354</v>
      </c>
      <c r="D194" s="116"/>
      <c r="E194" s="116"/>
      <c r="F194" s="116"/>
      <c r="G194" s="115"/>
      <c r="H194" s="116"/>
      <c r="I194" s="116"/>
      <c r="J194" s="116"/>
      <c r="K194" s="116"/>
      <c r="L194" s="116"/>
      <c r="M194" s="116"/>
      <c r="N194" s="116"/>
      <c r="O194" s="116"/>
      <c r="P194" s="166"/>
      <c r="Q194" s="116"/>
      <c r="R194" s="116"/>
      <c r="S194" s="191"/>
      <c r="T194" s="191"/>
      <c r="U194" s="116"/>
      <c r="V194" s="116"/>
      <c r="W194" s="116"/>
      <c r="X194" s="117"/>
      <c r="Y194" s="116"/>
      <c r="Z194" s="114"/>
      <c r="AB194" s="119"/>
      <c r="AD194" s="119"/>
      <c r="AE194" s="119"/>
      <c r="AF194" s="119"/>
      <c r="AG194" s="119"/>
      <c r="AH194" s="119"/>
      <c r="AI194" s="119"/>
      <c r="AJ194" s="119"/>
      <c r="AK194" s="119"/>
      <c r="AL194" s="119"/>
      <c r="AM194" s="119"/>
      <c r="AN194" s="119"/>
      <c r="AO194" s="130"/>
      <c r="AP194" s="119"/>
      <c r="AQ194" s="130"/>
      <c r="AR194" s="119"/>
      <c r="AS194" s="116"/>
      <c r="AT194" s="126"/>
      <c r="AU194" s="130"/>
      <c r="AV194" s="130">
        <v>0</v>
      </c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7"/>
      <c r="BK194" s="117"/>
      <c r="BL194" s="117"/>
      <c r="BN194" s="117"/>
      <c r="BO194" s="117"/>
      <c r="BP194" s="120"/>
      <c r="BR194" s="117"/>
      <c r="BS194" s="117"/>
      <c r="BZ194" s="117"/>
      <c r="CA194" s="144"/>
    </row>
    <row r="195" spans="1:79" s="118" customFormat="1" ht="27">
      <c r="A195" s="114"/>
      <c r="B195" s="114">
        <f t="shared" si="4"/>
        <v>1</v>
      </c>
      <c r="C195" s="136" t="s">
        <v>2486</v>
      </c>
      <c r="D195" s="116"/>
      <c r="E195" s="116"/>
      <c r="F195" s="116"/>
      <c r="G195" s="115"/>
      <c r="H195" s="116"/>
      <c r="I195" s="116"/>
      <c r="J195" s="116"/>
      <c r="K195" s="116"/>
      <c r="L195" s="116"/>
      <c r="M195" s="116"/>
      <c r="N195" s="116"/>
      <c r="O195" s="116"/>
      <c r="P195" s="166"/>
      <c r="Q195" s="116"/>
      <c r="R195" s="116"/>
      <c r="S195" s="191"/>
      <c r="T195" s="191"/>
      <c r="U195" s="116"/>
      <c r="V195" s="116"/>
      <c r="W195" s="116"/>
      <c r="X195" s="117"/>
      <c r="Y195" s="116"/>
      <c r="Z195" s="114"/>
      <c r="AB195" s="119"/>
      <c r="AD195" s="119"/>
      <c r="AE195" s="119"/>
      <c r="AF195" s="119"/>
      <c r="AG195" s="119"/>
      <c r="AH195" s="119"/>
      <c r="AI195" s="119"/>
      <c r="AJ195" s="119"/>
      <c r="AK195" s="119"/>
      <c r="AL195" s="119"/>
      <c r="AM195" s="119"/>
      <c r="AN195" s="119"/>
      <c r="AO195" s="130"/>
      <c r="AP195" s="119"/>
      <c r="AQ195" s="130"/>
      <c r="AR195" s="119"/>
      <c r="AS195" s="130">
        <v>0</v>
      </c>
      <c r="AT195" s="126"/>
      <c r="AU195" s="130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7"/>
      <c r="BK195" s="117"/>
      <c r="BL195" s="117"/>
      <c r="BN195" s="117"/>
      <c r="BO195" s="117"/>
      <c r="BP195" s="120"/>
      <c r="BR195" s="117"/>
      <c r="BS195" s="117"/>
      <c r="BZ195" s="117"/>
      <c r="CA195" s="145">
        <v>44604.610081018516</v>
      </c>
    </row>
    <row r="196" spans="1:79" s="118" customFormat="1">
      <c r="A196" s="114"/>
      <c r="B196" s="114">
        <f t="shared" si="4"/>
        <v>0</v>
      </c>
      <c r="C196" s="136"/>
      <c r="D196" s="116"/>
      <c r="E196" s="116"/>
      <c r="F196" s="116"/>
      <c r="G196" s="115"/>
      <c r="H196" s="116"/>
      <c r="I196" s="116"/>
      <c r="J196" s="116"/>
      <c r="K196" s="116"/>
      <c r="L196" s="116"/>
      <c r="M196" s="116"/>
      <c r="N196" s="116"/>
      <c r="O196" s="116"/>
      <c r="P196" s="166"/>
      <c r="Q196" s="116"/>
      <c r="R196" s="116"/>
      <c r="S196" s="191"/>
      <c r="T196" s="191"/>
      <c r="U196" s="116"/>
      <c r="V196" s="116"/>
      <c r="W196" s="116"/>
      <c r="X196" s="117"/>
      <c r="Y196" s="116"/>
      <c r="Z196" s="114"/>
      <c r="AB196" s="119"/>
      <c r="AD196" s="119"/>
      <c r="AE196" s="119"/>
      <c r="AF196" s="119"/>
      <c r="AG196" s="119"/>
      <c r="AH196" s="119"/>
      <c r="AI196" s="119"/>
      <c r="AJ196" s="119"/>
      <c r="AK196" s="119"/>
      <c r="AL196" s="119"/>
      <c r="AM196" s="119"/>
      <c r="AN196" s="119"/>
      <c r="AO196" s="130"/>
      <c r="AP196" s="119"/>
      <c r="AQ196" s="130"/>
      <c r="AR196" s="119"/>
      <c r="AS196" s="116"/>
      <c r="AT196" s="126"/>
      <c r="AU196" s="130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7"/>
      <c r="BK196" s="117"/>
      <c r="BL196" s="117"/>
      <c r="BN196" s="117"/>
      <c r="BO196" s="117"/>
      <c r="BP196" s="120"/>
      <c r="BR196" s="117"/>
      <c r="BS196" s="117"/>
      <c r="BZ196" s="117"/>
      <c r="CA196" s="145">
        <v>44604.609710648147</v>
      </c>
    </row>
    <row r="197" spans="1:79" s="118" customFormat="1">
      <c r="A197" s="114"/>
      <c r="B197" s="114">
        <f t="shared" si="4"/>
        <v>1</v>
      </c>
      <c r="C197" s="136" t="s">
        <v>1133</v>
      </c>
      <c r="D197" s="116"/>
      <c r="E197" s="116"/>
      <c r="F197" s="116"/>
      <c r="G197" s="115"/>
      <c r="H197" s="116"/>
      <c r="I197" s="116"/>
      <c r="J197" s="116"/>
      <c r="K197" s="116"/>
      <c r="L197" s="116"/>
      <c r="M197" s="116"/>
      <c r="N197" s="116"/>
      <c r="O197" s="116"/>
      <c r="P197" s="166"/>
      <c r="Q197" s="116"/>
      <c r="R197" s="116"/>
      <c r="S197" s="191"/>
      <c r="T197" s="191"/>
      <c r="U197" s="116"/>
      <c r="V197" s="116"/>
      <c r="W197" s="116"/>
      <c r="X197" s="117"/>
      <c r="Y197" s="116"/>
      <c r="Z197" s="114"/>
      <c r="AB197" s="119"/>
      <c r="AD197" s="119"/>
      <c r="AE197" s="119"/>
      <c r="AF197" s="119"/>
      <c r="AG197" s="119"/>
      <c r="AH197" s="119"/>
      <c r="AI197" s="119"/>
      <c r="AJ197" s="119"/>
      <c r="AK197" s="119"/>
      <c r="AL197" s="119"/>
      <c r="AM197" s="119"/>
      <c r="AN197" s="119"/>
      <c r="AO197" s="130">
        <v>0</v>
      </c>
      <c r="AP197" s="119"/>
      <c r="AQ197" s="130"/>
      <c r="AR197" s="119"/>
      <c r="AS197" s="116"/>
      <c r="AT197" s="126"/>
      <c r="AU197" s="130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7"/>
      <c r="BK197" s="117"/>
      <c r="BL197" s="117"/>
      <c r="BN197" s="117"/>
      <c r="BO197" s="117"/>
      <c r="BP197" s="120"/>
      <c r="BR197" s="117"/>
      <c r="BS197" s="117"/>
      <c r="BZ197" s="117"/>
      <c r="CA197" s="144"/>
    </row>
    <row r="198" spans="1:79" s="118" customFormat="1">
      <c r="A198" s="114"/>
      <c r="B198" s="114">
        <f t="shared" si="4"/>
        <v>0</v>
      </c>
      <c r="C198" s="136"/>
      <c r="D198" s="116"/>
      <c r="E198" s="116"/>
      <c r="F198" s="116"/>
      <c r="G198" s="115"/>
      <c r="H198" s="116"/>
      <c r="I198" s="116"/>
      <c r="J198" s="116"/>
      <c r="K198" s="116"/>
      <c r="L198" s="116"/>
      <c r="M198" s="116"/>
      <c r="N198" s="116"/>
      <c r="O198" s="116"/>
      <c r="P198" s="166"/>
      <c r="Q198" s="116"/>
      <c r="R198" s="116"/>
      <c r="S198" s="191"/>
      <c r="T198" s="191"/>
      <c r="U198" s="116"/>
      <c r="V198" s="116"/>
      <c r="W198" s="116"/>
      <c r="X198" s="117"/>
      <c r="Y198" s="116"/>
      <c r="Z198" s="114"/>
      <c r="AB198" s="119"/>
      <c r="AD198" s="119"/>
      <c r="AE198" s="119"/>
      <c r="AF198" s="119"/>
      <c r="AG198" s="119"/>
      <c r="AH198" s="119"/>
      <c r="AI198" s="119"/>
      <c r="AJ198" s="119"/>
      <c r="AK198" s="119"/>
      <c r="AL198" s="119"/>
      <c r="AM198" s="119"/>
      <c r="AN198" s="119"/>
      <c r="AO198" s="119"/>
      <c r="AP198" s="119"/>
      <c r="AQ198" s="119"/>
      <c r="AR198" s="119"/>
      <c r="AS198" s="116"/>
      <c r="AT198" s="130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7"/>
      <c r="BK198" s="117"/>
      <c r="BL198" s="117"/>
      <c r="BN198" s="117"/>
      <c r="BO198" s="117"/>
      <c r="BP198" s="120"/>
      <c r="BR198" s="117"/>
      <c r="BS198" s="117"/>
      <c r="BZ198" s="117"/>
      <c r="CA198" s="144"/>
    </row>
    <row r="199" spans="1:79" s="118" customFormat="1">
      <c r="A199" s="114"/>
      <c r="B199" s="114">
        <f t="shared" si="4"/>
        <v>0</v>
      </c>
      <c r="C199" s="136" t="s">
        <v>1073</v>
      </c>
      <c r="D199" s="116"/>
      <c r="E199" s="116"/>
      <c r="F199" s="116"/>
      <c r="G199" s="115"/>
      <c r="H199" s="116"/>
      <c r="I199" s="116"/>
      <c r="J199" s="116"/>
      <c r="K199" s="116"/>
      <c r="L199" s="116"/>
      <c r="M199" s="116"/>
      <c r="N199" s="116"/>
      <c r="O199" s="116"/>
      <c r="P199" s="166"/>
      <c r="Q199" s="116"/>
      <c r="R199" s="116"/>
      <c r="S199" s="191"/>
      <c r="T199" s="191"/>
      <c r="U199" s="116"/>
      <c r="V199" s="116"/>
      <c r="W199" s="116"/>
      <c r="X199" s="117"/>
      <c r="Y199" s="116"/>
      <c r="Z199" s="114"/>
      <c r="AB199" s="119"/>
      <c r="AD199" s="119"/>
      <c r="AE199" s="119"/>
      <c r="AF199" s="119"/>
      <c r="AG199" s="119"/>
      <c r="AH199" s="119"/>
      <c r="AI199" s="119"/>
      <c r="AJ199" s="119"/>
      <c r="AK199" s="119"/>
      <c r="AL199" s="119"/>
      <c r="AM199" s="119">
        <v>1</v>
      </c>
      <c r="AN199" s="119"/>
      <c r="AO199" s="119"/>
      <c r="AP199" s="119"/>
      <c r="AQ199" s="119"/>
      <c r="AR199" s="119"/>
      <c r="AS199" s="116"/>
      <c r="AT199" s="130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7"/>
      <c r="BK199" s="117"/>
      <c r="BL199" s="117"/>
      <c r="BN199" s="117"/>
      <c r="BO199" s="117"/>
      <c r="BP199" s="120"/>
      <c r="BR199" s="117"/>
      <c r="BS199" s="117"/>
      <c r="BZ199" s="117"/>
      <c r="CA199" s="144"/>
    </row>
    <row r="200" spans="1:79" s="118" customFormat="1">
      <c r="A200" s="114"/>
      <c r="B200" s="114">
        <f t="shared" ref="B200:B263" si="5">COUNTA(AO200:AW200)</f>
        <v>0</v>
      </c>
      <c r="C200" s="136" t="s">
        <v>1074</v>
      </c>
      <c r="D200" s="116"/>
      <c r="E200" s="116"/>
      <c r="F200" s="116"/>
      <c r="G200" s="115"/>
      <c r="H200" s="116"/>
      <c r="I200" s="116"/>
      <c r="J200" s="116"/>
      <c r="K200" s="116"/>
      <c r="L200" s="116"/>
      <c r="M200" s="116"/>
      <c r="N200" s="116"/>
      <c r="O200" s="116"/>
      <c r="P200" s="166"/>
      <c r="Q200" s="116"/>
      <c r="R200" s="116"/>
      <c r="S200" s="191"/>
      <c r="T200" s="191"/>
      <c r="U200" s="116"/>
      <c r="V200" s="116"/>
      <c r="W200" s="116"/>
      <c r="X200" s="117"/>
      <c r="Y200" s="116"/>
      <c r="Z200" s="114"/>
      <c r="AB200" s="119"/>
      <c r="AD200" s="119"/>
      <c r="AE200" s="119"/>
      <c r="AF200" s="119"/>
      <c r="AG200" s="119"/>
      <c r="AH200" s="119"/>
      <c r="AI200" s="119"/>
      <c r="AJ200" s="119"/>
      <c r="AK200" s="119"/>
      <c r="AL200" s="119"/>
      <c r="AM200" s="119">
        <v>1</v>
      </c>
      <c r="AN200" s="119"/>
      <c r="AO200" s="119"/>
      <c r="AP200" s="119"/>
      <c r="AQ200" s="119"/>
      <c r="AR200" s="119"/>
      <c r="AS200" s="116"/>
      <c r="AT200" s="130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7"/>
      <c r="BK200" s="117"/>
      <c r="BL200" s="117"/>
      <c r="BN200" s="117"/>
      <c r="BO200" s="117"/>
      <c r="BP200" s="120"/>
      <c r="BR200" s="117"/>
      <c r="BS200" s="117"/>
      <c r="BZ200" s="117"/>
      <c r="CA200" s="144"/>
    </row>
    <row r="201" spans="1:79" s="118" customFormat="1">
      <c r="A201" s="114"/>
      <c r="B201" s="114">
        <f t="shared" si="5"/>
        <v>0</v>
      </c>
      <c r="C201" s="136" t="s">
        <v>1075</v>
      </c>
      <c r="D201" s="116"/>
      <c r="E201" s="116"/>
      <c r="F201" s="116"/>
      <c r="G201" s="115"/>
      <c r="H201" s="116"/>
      <c r="I201" s="116"/>
      <c r="J201" s="116"/>
      <c r="K201" s="116"/>
      <c r="L201" s="116"/>
      <c r="M201" s="116"/>
      <c r="N201" s="116"/>
      <c r="O201" s="116"/>
      <c r="P201" s="166"/>
      <c r="Q201" s="116"/>
      <c r="R201" s="116"/>
      <c r="S201" s="191"/>
      <c r="T201" s="191"/>
      <c r="U201" s="116"/>
      <c r="V201" s="116"/>
      <c r="W201" s="116"/>
      <c r="X201" s="117"/>
      <c r="Y201" s="116"/>
      <c r="Z201" s="114"/>
      <c r="AB201" s="119"/>
      <c r="AD201" s="119"/>
      <c r="AE201" s="119"/>
      <c r="AF201" s="119"/>
      <c r="AG201" s="119"/>
      <c r="AH201" s="119"/>
      <c r="AI201" s="119"/>
      <c r="AJ201" s="119"/>
      <c r="AK201" s="119"/>
      <c r="AL201" s="119"/>
      <c r="AM201" s="119">
        <v>1</v>
      </c>
      <c r="AN201" s="119"/>
      <c r="AO201" s="119"/>
      <c r="AP201" s="119"/>
      <c r="AQ201" s="119"/>
      <c r="AR201" s="119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7"/>
      <c r="BK201" s="117"/>
      <c r="BL201" s="117"/>
      <c r="BN201" s="117"/>
      <c r="BO201" s="117"/>
      <c r="BP201" s="120"/>
      <c r="BR201" s="117"/>
      <c r="BS201" s="117"/>
      <c r="BZ201" s="117"/>
      <c r="CA201" s="144"/>
    </row>
    <row r="202" spans="1:79" s="118" customFormat="1">
      <c r="A202" s="114"/>
      <c r="B202" s="114">
        <f t="shared" si="5"/>
        <v>1</v>
      </c>
      <c r="C202" s="136" t="s">
        <v>890</v>
      </c>
      <c r="D202" s="116"/>
      <c r="E202" s="116"/>
      <c r="F202" s="116"/>
      <c r="G202" s="115"/>
      <c r="H202" s="116"/>
      <c r="I202" s="116"/>
      <c r="J202" s="116"/>
      <c r="K202" s="116"/>
      <c r="L202" s="116"/>
      <c r="M202" s="116"/>
      <c r="N202" s="116"/>
      <c r="O202" s="116"/>
      <c r="P202" s="166"/>
      <c r="Q202" s="116"/>
      <c r="R202" s="116"/>
      <c r="S202" s="191"/>
      <c r="T202" s="191"/>
      <c r="U202" s="116"/>
      <c r="V202" s="116"/>
      <c r="W202" s="116"/>
      <c r="X202" s="117"/>
      <c r="Y202" s="116"/>
      <c r="Z202" s="114"/>
      <c r="AB202" s="119"/>
      <c r="AD202" s="119"/>
      <c r="AE202" s="119"/>
      <c r="AF202" s="119"/>
      <c r="AG202" s="119"/>
      <c r="AH202" s="119"/>
      <c r="AI202" s="119"/>
      <c r="AJ202" s="119"/>
      <c r="AK202" s="119"/>
      <c r="AL202" s="119"/>
      <c r="AM202" s="119">
        <v>1</v>
      </c>
      <c r="AN202" s="119"/>
      <c r="AO202" s="119"/>
      <c r="AP202" s="119"/>
      <c r="AQ202" s="119"/>
      <c r="AR202" s="119"/>
      <c r="AS202" s="116" t="s">
        <v>828</v>
      </c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116" t="str">
        <f>C202&amp;"(第"&amp;E202&amp;"版）"</f>
        <v>乌合之众(第版）</v>
      </c>
      <c r="BJ202" s="117"/>
      <c r="BK202" s="117"/>
      <c r="BL202" s="117"/>
      <c r="BN202" s="117"/>
      <c r="BO202" s="117"/>
      <c r="BP202" s="120"/>
      <c r="BR202" s="117"/>
      <c r="BS202" s="117"/>
      <c r="BZ202" s="117"/>
      <c r="CA202" s="144"/>
    </row>
    <row r="203" spans="1:79" s="118" customFormat="1">
      <c r="A203" s="114"/>
      <c r="B203" s="114">
        <f t="shared" si="5"/>
        <v>0</v>
      </c>
      <c r="C203" s="136" t="s">
        <v>1076</v>
      </c>
      <c r="D203" s="116"/>
      <c r="E203" s="116"/>
      <c r="F203" s="116"/>
      <c r="G203" s="115"/>
      <c r="H203" s="116"/>
      <c r="I203" s="116"/>
      <c r="J203" s="116"/>
      <c r="K203" s="116"/>
      <c r="L203" s="116"/>
      <c r="M203" s="116"/>
      <c r="N203" s="116"/>
      <c r="O203" s="116"/>
      <c r="P203" s="166"/>
      <c r="Q203" s="116"/>
      <c r="R203" s="116"/>
      <c r="S203" s="191"/>
      <c r="T203" s="191"/>
      <c r="U203" s="116"/>
      <c r="V203" s="116"/>
      <c r="W203" s="116"/>
      <c r="X203" s="117"/>
      <c r="Y203" s="116"/>
      <c r="Z203" s="114"/>
      <c r="AB203" s="119"/>
      <c r="AD203" s="119"/>
      <c r="AE203" s="119"/>
      <c r="AF203" s="119"/>
      <c r="AG203" s="119"/>
      <c r="AH203" s="119"/>
      <c r="AI203" s="119"/>
      <c r="AJ203" s="119"/>
      <c r="AK203" s="119"/>
      <c r="AL203" s="119"/>
      <c r="AM203" s="119">
        <v>1</v>
      </c>
      <c r="AN203" s="119"/>
      <c r="AO203" s="119"/>
      <c r="AP203" s="119"/>
      <c r="AQ203" s="119"/>
      <c r="AR203" s="119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7"/>
      <c r="BK203" s="117"/>
      <c r="BL203" s="117"/>
      <c r="BN203" s="117"/>
      <c r="BO203" s="117"/>
      <c r="BP203" s="120"/>
      <c r="BR203" s="117"/>
      <c r="BS203" s="117"/>
      <c r="BZ203" s="117"/>
      <c r="CA203" s="144"/>
    </row>
    <row r="204" spans="1:79" s="118" customFormat="1">
      <c r="A204" s="114"/>
      <c r="B204" s="114">
        <f t="shared" si="5"/>
        <v>0</v>
      </c>
      <c r="C204" s="136" t="s">
        <v>1077</v>
      </c>
      <c r="D204" s="116"/>
      <c r="E204" s="116"/>
      <c r="F204" s="116"/>
      <c r="G204" s="115"/>
      <c r="H204" s="116"/>
      <c r="I204" s="116"/>
      <c r="J204" s="116"/>
      <c r="K204" s="116"/>
      <c r="L204" s="116"/>
      <c r="M204" s="116"/>
      <c r="N204" s="116"/>
      <c r="O204" s="116"/>
      <c r="P204" s="166"/>
      <c r="Q204" s="116"/>
      <c r="R204" s="116"/>
      <c r="S204" s="191"/>
      <c r="T204" s="191"/>
      <c r="U204" s="116"/>
      <c r="V204" s="116"/>
      <c r="W204" s="116"/>
      <c r="X204" s="117"/>
      <c r="Y204" s="116"/>
      <c r="Z204" s="114"/>
      <c r="AB204" s="119"/>
      <c r="AD204" s="119"/>
      <c r="AE204" s="119"/>
      <c r="AF204" s="119"/>
      <c r="AG204" s="119"/>
      <c r="AH204" s="119"/>
      <c r="AI204" s="119"/>
      <c r="AJ204" s="119"/>
      <c r="AK204" s="119"/>
      <c r="AL204" s="119"/>
      <c r="AM204" s="119">
        <v>1</v>
      </c>
      <c r="AN204" s="119"/>
      <c r="AO204" s="119"/>
      <c r="AP204" s="119"/>
      <c r="AQ204" s="119"/>
      <c r="AR204" s="119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7"/>
      <c r="BK204" s="117"/>
      <c r="BL204" s="117"/>
      <c r="BN204" s="117"/>
      <c r="BO204" s="117"/>
      <c r="BP204" s="120"/>
      <c r="BR204" s="117"/>
      <c r="BS204" s="117"/>
      <c r="BZ204" s="117"/>
      <c r="CA204" s="144"/>
    </row>
    <row r="205" spans="1:79" s="118" customFormat="1">
      <c r="A205" s="114"/>
      <c r="B205" s="114">
        <f t="shared" si="5"/>
        <v>0</v>
      </c>
      <c r="C205" s="136" t="s">
        <v>1078</v>
      </c>
      <c r="D205" s="116"/>
      <c r="E205" s="116"/>
      <c r="F205" s="116"/>
      <c r="G205" s="115"/>
      <c r="H205" s="116"/>
      <c r="I205" s="116"/>
      <c r="J205" s="116"/>
      <c r="K205" s="116"/>
      <c r="L205" s="116"/>
      <c r="M205" s="116"/>
      <c r="N205" s="116"/>
      <c r="O205" s="116"/>
      <c r="P205" s="166"/>
      <c r="Q205" s="116"/>
      <c r="R205" s="116"/>
      <c r="S205" s="191"/>
      <c r="T205" s="191"/>
      <c r="U205" s="116"/>
      <c r="V205" s="116"/>
      <c r="W205" s="116"/>
      <c r="X205" s="117"/>
      <c r="Y205" s="116"/>
      <c r="Z205" s="114"/>
      <c r="AB205" s="119"/>
      <c r="AD205" s="119"/>
      <c r="AE205" s="119"/>
      <c r="AF205" s="119"/>
      <c r="AG205" s="119"/>
      <c r="AH205" s="119"/>
      <c r="AI205" s="119"/>
      <c r="AJ205" s="119"/>
      <c r="AK205" s="119"/>
      <c r="AL205" s="119"/>
      <c r="AM205" s="119">
        <v>1</v>
      </c>
      <c r="AN205" s="119"/>
      <c r="AO205" s="119"/>
      <c r="AP205" s="119"/>
      <c r="AQ205" s="119"/>
      <c r="AR205" s="119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7"/>
      <c r="BK205" s="117"/>
      <c r="BL205" s="117"/>
      <c r="BN205" s="117"/>
      <c r="BO205" s="117"/>
      <c r="BP205" s="120"/>
      <c r="BR205" s="117"/>
      <c r="BS205" s="117"/>
      <c r="BZ205" s="117"/>
      <c r="CA205" s="144"/>
    </row>
    <row r="206" spans="1:79" s="118" customFormat="1">
      <c r="A206" s="114"/>
      <c r="B206" s="114">
        <f t="shared" si="5"/>
        <v>0</v>
      </c>
      <c r="C206" s="136" t="s">
        <v>1080</v>
      </c>
      <c r="D206" s="116"/>
      <c r="E206" s="116"/>
      <c r="F206" s="116"/>
      <c r="G206" s="115"/>
      <c r="H206" s="116"/>
      <c r="I206" s="116"/>
      <c r="J206" s="116"/>
      <c r="K206" s="116"/>
      <c r="L206" s="116"/>
      <c r="M206" s="116"/>
      <c r="N206" s="116"/>
      <c r="O206" s="116"/>
      <c r="P206" s="166"/>
      <c r="Q206" s="116"/>
      <c r="R206" s="116"/>
      <c r="S206" s="191"/>
      <c r="T206" s="191"/>
      <c r="U206" s="116"/>
      <c r="V206" s="116"/>
      <c r="W206" s="116"/>
      <c r="X206" s="117"/>
      <c r="Y206" s="116"/>
      <c r="Z206" s="114"/>
      <c r="AB206" s="119"/>
      <c r="AD206" s="119"/>
      <c r="AE206" s="119"/>
      <c r="AF206" s="119"/>
      <c r="AG206" s="119"/>
      <c r="AH206" s="119"/>
      <c r="AI206" s="119"/>
      <c r="AJ206" s="119"/>
      <c r="AK206" s="119"/>
      <c r="AL206" s="119"/>
      <c r="AM206" s="119">
        <v>1</v>
      </c>
      <c r="AN206" s="119"/>
      <c r="AO206" s="119"/>
      <c r="AP206" s="119"/>
      <c r="AQ206" s="119"/>
      <c r="AR206" s="119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7"/>
      <c r="BK206" s="117"/>
      <c r="BL206" s="117"/>
      <c r="BN206" s="117"/>
      <c r="BO206" s="117"/>
      <c r="BP206" s="120"/>
      <c r="BR206" s="117"/>
      <c r="BS206" s="117"/>
      <c r="BZ206" s="117"/>
      <c r="CA206" s="144"/>
    </row>
    <row r="207" spans="1:79" s="118" customFormat="1">
      <c r="A207" s="114"/>
      <c r="B207" s="114">
        <f t="shared" si="5"/>
        <v>0</v>
      </c>
      <c r="C207" s="136" t="s">
        <v>1081</v>
      </c>
      <c r="D207" s="116"/>
      <c r="E207" s="116"/>
      <c r="F207" s="116"/>
      <c r="G207" s="115"/>
      <c r="H207" s="116"/>
      <c r="I207" s="116"/>
      <c r="J207" s="116"/>
      <c r="K207" s="116"/>
      <c r="L207" s="116"/>
      <c r="M207" s="116"/>
      <c r="N207" s="116"/>
      <c r="O207" s="116"/>
      <c r="P207" s="166"/>
      <c r="Q207" s="116"/>
      <c r="R207" s="116"/>
      <c r="S207" s="191"/>
      <c r="T207" s="191"/>
      <c r="U207" s="116"/>
      <c r="V207" s="116"/>
      <c r="W207" s="116"/>
      <c r="X207" s="117"/>
      <c r="Y207" s="116"/>
      <c r="Z207" s="114"/>
      <c r="AB207" s="119"/>
      <c r="AD207" s="119"/>
      <c r="AE207" s="119"/>
      <c r="AF207" s="119"/>
      <c r="AG207" s="119"/>
      <c r="AH207" s="119"/>
      <c r="AI207" s="119"/>
      <c r="AJ207" s="119"/>
      <c r="AK207" s="119"/>
      <c r="AL207" s="119"/>
      <c r="AM207" s="119">
        <v>1</v>
      </c>
      <c r="AN207" s="119"/>
      <c r="AO207" s="119"/>
      <c r="AP207" s="119"/>
      <c r="AQ207" s="119"/>
      <c r="AR207" s="119"/>
      <c r="AS207" s="116"/>
      <c r="AT207" s="116"/>
      <c r="AU207" s="116"/>
      <c r="AV207" s="116"/>
      <c r="AW207" s="116"/>
      <c r="AX207" s="116"/>
      <c r="AY207" s="116"/>
      <c r="AZ207" s="116"/>
      <c r="BA207" s="116"/>
      <c r="BB207" s="116"/>
      <c r="BC207" s="116"/>
      <c r="BD207" s="116"/>
      <c r="BE207" s="116"/>
      <c r="BF207" s="116"/>
      <c r="BG207" s="116"/>
      <c r="BH207" s="116"/>
      <c r="BI207" s="116"/>
      <c r="BJ207" s="117"/>
      <c r="BK207" s="117"/>
      <c r="BL207" s="117"/>
      <c r="BN207" s="117"/>
      <c r="BO207" s="117"/>
      <c r="BP207" s="120"/>
      <c r="BR207" s="117"/>
      <c r="BS207" s="117"/>
      <c r="BZ207" s="117"/>
      <c r="CA207" s="144"/>
    </row>
    <row r="208" spans="1:79" s="118" customFormat="1">
      <c r="A208" s="114"/>
      <c r="B208" s="114">
        <f t="shared" si="5"/>
        <v>1</v>
      </c>
      <c r="C208" s="136" t="s">
        <v>1082</v>
      </c>
      <c r="D208" s="116"/>
      <c r="E208" s="116"/>
      <c r="F208" s="116"/>
      <c r="G208" s="115"/>
      <c r="H208" s="116"/>
      <c r="I208" s="116"/>
      <c r="J208" s="116"/>
      <c r="K208" s="116"/>
      <c r="L208" s="116"/>
      <c r="M208" s="116"/>
      <c r="N208" s="116"/>
      <c r="O208" s="116"/>
      <c r="P208" s="166"/>
      <c r="Q208" s="116"/>
      <c r="R208" s="116"/>
      <c r="S208" s="191"/>
      <c r="T208" s="191"/>
      <c r="U208" s="116"/>
      <c r="V208" s="116"/>
      <c r="W208" s="116"/>
      <c r="X208" s="117"/>
      <c r="Y208" s="116"/>
      <c r="Z208" s="114"/>
      <c r="AB208" s="119"/>
      <c r="AD208" s="119"/>
      <c r="AE208" s="119"/>
      <c r="AF208" s="119"/>
      <c r="AG208" s="119"/>
      <c r="AH208" s="119"/>
      <c r="AI208" s="119"/>
      <c r="AJ208" s="119"/>
      <c r="AK208" s="119"/>
      <c r="AL208" s="119"/>
      <c r="AM208" s="119">
        <v>1</v>
      </c>
      <c r="AN208" s="119"/>
      <c r="AO208" s="130">
        <v>0</v>
      </c>
      <c r="AP208" s="119"/>
      <c r="AQ208" s="119"/>
      <c r="AR208" s="119"/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  <c r="BC208" s="116"/>
      <c r="BD208" s="116"/>
      <c r="BE208" s="116"/>
      <c r="BF208" s="116"/>
      <c r="BG208" s="116"/>
      <c r="BH208" s="116"/>
      <c r="BI208" s="116"/>
      <c r="BJ208" s="117"/>
      <c r="BK208" s="117"/>
      <c r="BL208" s="117"/>
      <c r="BN208" s="117"/>
      <c r="BO208" s="117"/>
      <c r="BP208" s="120"/>
      <c r="BR208" s="117"/>
      <c r="BS208" s="117"/>
      <c r="BZ208" s="117"/>
      <c r="CA208" s="145">
        <v>44604.59951388889</v>
      </c>
    </row>
    <row r="209" spans="1:79" s="118" customFormat="1">
      <c r="A209" s="114"/>
      <c r="B209" s="114">
        <f t="shared" si="5"/>
        <v>0</v>
      </c>
      <c r="C209" s="136" t="s">
        <v>1083</v>
      </c>
      <c r="D209" s="116"/>
      <c r="E209" s="116"/>
      <c r="F209" s="116"/>
      <c r="G209" s="115"/>
      <c r="H209" s="116"/>
      <c r="I209" s="116"/>
      <c r="J209" s="116"/>
      <c r="K209" s="116"/>
      <c r="L209" s="116"/>
      <c r="M209" s="116"/>
      <c r="N209" s="116"/>
      <c r="O209" s="116"/>
      <c r="P209" s="166"/>
      <c r="Q209" s="116"/>
      <c r="R209" s="116"/>
      <c r="S209" s="191"/>
      <c r="T209" s="191"/>
      <c r="U209" s="116"/>
      <c r="V209" s="116"/>
      <c r="W209" s="116"/>
      <c r="X209" s="117"/>
      <c r="Y209" s="116"/>
      <c r="Z209" s="114"/>
      <c r="AB209" s="119"/>
      <c r="AD209" s="119"/>
      <c r="AE209" s="119"/>
      <c r="AF209" s="119"/>
      <c r="AG209" s="119"/>
      <c r="AH209" s="119"/>
      <c r="AI209" s="119"/>
      <c r="AJ209" s="119"/>
      <c r="AK209" s="119"/>
      <c r="AL209" s="119"/>
      <c r="AM209" s="119">
        <v>1</v>
      </c>
      <c r="AN209" s="119"/>
      <c r="AO209" s="119"/>
      <c r="AP209" s="119"/>
      <c r="AQ209" s="119"/>
      <c r="AR209" s="119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7"/>
      <c r="BK209" s="117"/>
      <c r="BL209" s="117"/>
      <c r="BN209" s="117"/>
      <c r="BO209" s="117"/>
      <c r="BP209" s="120"/>
      <c r="BR209" s="117"/>
      <c r="BS209" s="117"/>
      <c r="BZ209" s="117"/>
      <c r="CA209" s="144"/>
    </row>
    <row r="210" spans="1:79" s="118" customFormat="1">
      <c r="A210" s="114"/>
      <c r="B210" s="114">
        <f t="shared" si="5"/>
        <v>0</v>
      </c>
      <c r="C210" s="136" t="s">
        <v>1084</v>
      </c>
      <c r="D210" s="116"/>
      <c r="E210" s="116"/>
      <c r="F210" s="116"/>
      <c r="G210" s="115"/>
      <c r="H210" s="116"/>
      <c r="I210" s="116"/>
      <c r="J210" s="116"/>
      <c r="K210" s="116"/>
      <c r="L210" s="116"/>
      <c r="M210" s="116"/>
      <c r="N210" s="116"/>
      <c r="O210" s="116"/>
      <c r="P210" s="166"/>
      <c r="Q210" s="116"/>
      <c r="R210" s="116"/>
      <c r="S210" s="191"/>
      <c r="T210" s="191"/>
      <c r="U210" s="116"/>
      <c r="V210" s="116"/>
      <c r="W210" s="116"/>
      <c r="X210" s="117"/>
      <c r="Y210" s="116"/>
      <c r="Z210" s="114"/>
      <c r="AB210" s="119"/>
      <c r="AD210" s="119"/>
      <c r="AE210" s="119"/>
      <c r="AF210" s="119"/>
      <c r="AG210" s="119"/>
      <c r="AH210" s="119"/>
      <c r="AI210" s="119"/>
      <c r="AJ210" s="119"/>
      <c r="AK210" s="119"/>
      <c r="AL210" s="119"/>
      <c r="AM210" s="119">
        <v>1</v>
      </c>
      <c r="AN210" s="119"/>
      <c r="AO210" s="119"/>
      <c r="AP210" s="119"/>
      <c r="AQ210" s="119"/>
      <c r="AR210" s="119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7"/>
      <c r="BK210" s="117"/>
      <c r="BL210" s="117"/>
      <c r="BN210" s="117"/>
      <c r="BO210" s="117"/>
      <c r="BP210" s="120"/>
      <c r="BR210" s="117"/>
      <c r="BS210" s="117"/>
      <c r="BZ210" s="117"/>
      <c r="CA210" s="144"/>
    </row>
    <row r="211" spans="1:79" s="118" customFormat="1">
      <c r="A211" s="114"/>
      <c r="B211" s="114">
        <f t="shared" si="5"/>
        <v>0</v>
      </c>
      <c r="C211" s="136" t="s">
        <v>1085</v>
      </c>
      <c r="D211" s="116"/>
      <c r="E211" s="116"/>
      <c r="F211" s="116"/>
      <c r="G211" s="115"/>
      <c r="H211" s="116"/>
      <c r="I211" s="116"/>
      <c r="J211" s="116"/>
      <c r="K211" s="116"/>
      <c r="L211" s="116"/>
      <c r="M211" s="116"/>
      <c r="N211" s="116"/>
      <c r="O211" s="116"/>
      <c r="P211" s="166"/>
      <c r="Q211" s="116"/>
      <c r="R211" s="116"/>
      <c r="S211" s="191"/>
      <c r="T211" s="191"/>
      <c r="U211" s="116"/>
      <c r="V211" s="116"/>
      <c r="W211" s="116"/>
      <c r="X211" s="117"/>
      <c r="Y211" s="116"/>
      <c r="Z211" s="114"/>
      <c r="AB211" s="119"/>
      <c r="AD211" s="119"/>
      <c r="AE211" s="119"/>
      <c r="AF211" s="119"/>
      <c r="AG211" s="119"/>
      <c r="AH211" s="119"/>
      <c r="AI211" s="119"/>
      <c r="AJ211" s="119"/>
      <c r="AK211" s="119"/>
      <c r="AL211" s="119"/>
      <c r="AM211" s="119">
        <v>1</v>
      </c>
      <c r="AN211" s="119"/>
      <c r="AO211" s="119"/>
      <c r="AP211" s="119"/>
      <c r="AQ211" s="119"/>
      <c r="AR211" s="119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7"/>
      <c r="BK211" s="117"/>
      <c r="BL211" s="117"/>
      <c r="BN211" s="117"/>
      <c r="BO211" s="117"/>
      <c r="BP211" s="120"/>
      <c r="BR211" s="117"/>
      <c r="BS211" s="117"/>
      <c r="BZ211" s="117"/>
      <c r="CA211" s="144"/>
    </row>
    <row r="212" spans="1:79" s="118" customFormat="1">
      <c r="A212" s="114"/>
      <c r="B212" s="114">
        <f t="shared" si="5"/>
        <v>0</v>
      </c>
      <c r="C212" s="136" t="s">
        <v>1086</v>
      </c>
      <c r="D212" s="116"/>
      <c r="E212" s="116"/>
      <c r="F212" s="116"/>
      <c r="G212" s="115"/>
      <c r="H212" s="116"/>
      <c r="I212" s="116"/>
      <c r="J212" s="116"/>
      <c r="K212" s="116"/>
      <c r="L212" s="116"/>
      <c r="M212" s="116"/>
      <c r="N212" s="116"/>
      <c r="O212" s="116"/>
      <c r="P212" s="166"/>
      <c r="Q212" s="116"/>
      <c r="R212" s="116"/>
      <c r="S212" s="191"/>
      <c r="T212" s="191"/>
      <c r="U212" s="116"/>
      <c r="V212" s="116"/>
      <c r="W212" s="116"/>
      <c r="X212" s="117"/>
      <c r="Y212" s="116"/>
      <c r="Z212" s="114"/>
      <c r="AB212" s="119"/>
      <c r="AD212" s="119"/>
      <c r="AE212" s="119"/>
      <c r="AF212" s="119"/>
      <c r="AG212" s="119"/>
      <c r="AH212" s="119"/>
      <c r="AI212" s="119"/>
      <c r="AJ212" s="119"/>
      <c r="AK212" s="119"/>
      <c r="AL212" s="119"/>
      <c r="AM212" s="119">
        <v>1</v>
      </c>
      <c r="AN212" s="119"/>
      <c r="AO212" s="119"/>
      <c r="AP212" s="119"/>
      <c r="AQ212" s="119"/>
      <c r="AR212" s="119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7"/>
      <c r="BK212" s="117"/>
      <c r="BL212" s="117"/>
      <c r="BN212" s="117"/>
      <c r="BO212" s="117"/>
      <c r="BP212" s="120"/>
      <c r="BR212" s="117"/>
      <c r="BS212" s="117"/>
      <c r="BZ212" s="117"/>
      <c r="CA212" s="144"/>
    </row>
    <row r="213" spans="1:79" s="118" customFormat="1">
      <c r="A213" s="114"/>
      <c r="B213" s="114">
        <f t="shared" si="5"/>
        <v>0</v>
      </c>
      <c r="C213" s="136" t="s">
        <v>888</v>
      </c>
      <c r="D213" s="116"/>
      <c r="E213" s="116"/>
      <c r="F213" s="116"/>
      <c r="G213" s="115"/>
      <c r="H213" s="116"/>
      <c r="I213" s="116"/>
      <c r="J213" s="116"/>
      <c r="K213" s="116"/>
      <c r="L213" s="116"/>
      <c r="M213" s="116"/>
      <c r="N213" s="116"/>
      <c r="O213" s="116"/>
      <c r="P213" s="166"/>
      <c r="Q213" s="116"/>
      <c r="R213" s="116"/>
      <c r="S213" s="191"/>
      <c r="T213" s="191"/>
      <c r="U213" s="116"/>
      <c r="V213" s="116"/>
      <c r="W213" s="116"/>
      <c r="X213" s="117"/>
      <c r="Y213" s="116"/>
      <c r="Z213" s="114"/>
      <c r="AB213" s="119"/>
      <c r="AD213" s="119"/>
      <c r="AE213" s="119"/>
      <c r="AF213" s="119"/>
      <c r="AG213" s="119"/>
      <c r="AH213" s="119"/>
      <c r="AI213" s="119"/>
      <c r="AJ213" s="119"/>
      <c r="AK213" s="119"/>
      <c r="AL213" s="119"/>
      <c r="AM213" s="119">
        <v>1</v>
      </c>
      <c r="AN213" s="119"/>
      <c r="AO213" s="119"/>
      <c r="AP213" s="119"/>
      <c r="AQ213" s="119"/>
      <c r="AR213" s="119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7"/>
      <c r="BK213" s="117"/>
      <c r="BL213" s="117"/>
      <c r="BN213" s="117"/>
      <c r="BO213" s="117"/>
      <c r="BP213" s="120"/>
      <c r="BR213" s="117"/>
      <c r="BS213" s="117"/>
      <c r="BZ213" s="117"/>
      <c r="CA213" s="144"/>
    </row>
    <row r="214" spans="1:79" s="118" customFormat="1" ht="17.25" customHeight="1">
      <c r="A214" s="114"/>
      <c r="B214" s="114">
        <f t="shared" si="5"/>
        <v>0</v>
      </c>
      <c r="C214" s="136" t="s">
        <v>1087</v>
      </c>
      <c r="D214" s="116"/>
      <c r="E214" s="116"/>
      <c r="F214" s="116"/>
      <c r="G214" s="115"/>
      <c r="H214" s="116"/>
      <c r="I214" s="116"/>
      <c r="J214" s="116"/>
      <c r="K214" s="116"/>
      <c r="L214" s="116"/>
      <c r="M214" s="116"/>
      <c r="N214" s="116"/>
      <c r="O214" s="116"/>
      <c r="P214" s="166"/>
      <c r="Q214" s="116"/>
      <c r="R214" s="116"/>
      <c r="S214" s="191"/>
      <c r="T214" s="191"/>
      <c r="U214" s="116"/>
      <c r="V214" s="116"/>
      <c r="W214" s="116"/>
      <c r="X214" s="117"/>
      <c r="Y214" s="116"/>
      <c r="Z214" s="114"/>
      <c r="AB214" s="119"/>
      <c r="AD214" s="119"/>
      <c r="AE214" s="119"/>
      <c r="AF214" s="119"/>
      <c r="AG214" s="119"/>
      <c r="AH214" s="119"/>
      <c r="AI214" s="119"/>
      <c r="AJ214" s="119"/>
      <c r="AK214" s="119"/>
      <c r="AL214" s="119"/>
      <c r="AM214" s="119">
        <v>1</v>
      </c>
      <c r="AN214" s="119"/>
      <c r="AO214" s="119"/>
      <c r="AP214" s="119"/>
      <c r="AQ214" s="119"/>
      <c r="AR214" s="119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7"/>
      <c r="BK214" s="117"/>
      <c r="BL214" s="117"/>
      <c r="BN214" s="117"/>
      <c r="BO214" s="117"/>
      <c r="BP214" s="120"/>
      <c r="BR214" s="117"/>
      <c r="BS214" s="117"/>
      <c r="BZ214" s="117"/>
      <c r="CA214" s="144"/>
    </row>
    <row r="215" spans="1:79" s="118" customFormat="1">
      <c r="A215" s="114"/>
      <c r="B215" s="114">
        <f t="shared" si="5"/>
        <v>0</v>
      </c>
      <c r="C215" s="136" t="s">
        <v>1088</v>
      </c>
      <c r="D215" s="116"/>
      <c r="E215" s="116"/>
      <c r="F215" s="116"/>
      <c r="G215" s="115"/>
      <c r="H215" s="116"/>
      <c r="I215" s="116"/>
      <c r="J215" s="116"/>
      <c r="K215" s="116"/>
      <c r="L215" s="116"/>
      <c r="M215" s="116"/>
      <c r="N215" s="116"/>
      <c r="O215" s="116"/>
      <c r="P215" s="166"/>
      <c r="Q215" s="116"/>
      <c r="R215" s="116"/>
      <c r="S215" s="191"/>
      <c r="T215" s="191"/>
      <c r="U215" s="116"/>
      <c r="V215" s="116"/>
      <c r="W215" s="116"/>
      <c r="X215" s="117"/>
      <c r="Y215" s="116"/>
      <c r="Z215" s="114"/>
      <c r="AB215" s="119"/>
      <c r="AD215" s="119"/>
      <c r="AE215" s="119"/>
      <c r="AF215" s="119"/>
      <c r="AG215" s="119"/>
      <c r="AH215" s="119"/>
      <c r="AI215" s="119"/>
      <c r="AJ215" s="119"/>
      <c r="AK215" s="119"/>
      <c r="AL215" s="119"/>
      <c r="AM215" s="119">
        <v>1</v>
      </c>
      <c r="AN215" s="119"/>
      <c r="AO215" s="119"/>
      <c r="AP215" s="119"/>
      <c r="AQ215" s="119"/>
      <c r="AR215" s="119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7"/>
      <c r="BK215" s="117"/>
      <c r="BL215" s="117"/>
      <c r="BN215" s="117"/>
      <c r="BO215" s="117"/>
      <c r="BP215" s="120"/>
      <c r="BR215" s="117"/>
      <c r="BS215" s="117"/>
      <c r="BZ215" s="117"/>
      <c r="CA215" s="144"/>
    </row>
    <row r="216" spans="1:79" s="118" customFormat="1">
      <c r="A216" s="114"/>
      <c r="B216" s="114">
        <f t="shared" si="5"/>
        <v>0</v>
      </c>
      <c r="C216" s="136" t="s">
        <v>1089</v>
      </c>
      <c r="D216" s="116"/>
      <c r="E216" s="116"/>
      <c r="F216" s="116"/>
      <c r="G216" s="115"/>
      <c r="H216" s="116"/>
      <c r="I216" s="116"/>
      <c r="J216" s="116"/>
      <c r="K216" s="116"/>
      <c r="L216" s="116"/>
      <c r="M216" s="116"/>
      <c r="N216" s="116"/>
      <c r="O216" s="116"/>
      <c r="P216" s="166"/>
      <c r="Q216" s="116"/>
      <c r="R216" s="116"/>
      <c r="S216" s="191"/>
      <c r="T216" s="191"/>
      <c r="U216" s="116"/>
      <c r="V216" s="116"/>
      <c r="W216" s="116"/>
      <c r="X216" s="117"/>
      <c r="Y216" s="116"/>
      <c r="Z216" s="114"/>
      <c r="AB216" s="119"/>
      <c r="AD216" s="119"/>
      <c r="AE216" s="119"/>
      <c r="AF216" s="119"/>
      <c r="AG216" s="119"/>
      <c r="AH216" s="119"/>
      <c r="AI216" s="119"/>
      <c r="AJ216" s="119"/>
      <c r="AK216" s="119"/>
      <c r="AL216" s="119"/>
      <c r="AM216" s="119">
        <v>1</v>
      </c>
      <c r="AN216" s="119"/>
      <c r="AO216" s="119"/>
      <c r="AP216" s="119"/>
      <c r="AQ216" s="119"/>
      <c r="AR216" s="119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7"/>
      <c r="BK216" s="117"/>
      <c r="BL216" s="117"/>
      <c r="BN216" s="117"/>
      <c r="BO216" s="117"/>
      <c r="BP216" s="120"/>
      <c r="BR216" s="117"/>
      <c r="BS216" s="117"/>
      <c r="BZ216" s="117"/>
      <c r="CA216" s="144"/>
    </row>
    <row r="217" spans="1:79" s="118" customFormat="1">
      <c r="A217" s="114"/>
      <c r="B217" s="114">
        <f t="shared" si="5"/>
        <v>0</v>
      </c>
      <c r="C217" s="136" t="s">
        <v>1090</v>
      </c>
      <c r="D217" s="116"/>
      <c r="E217" s="116"/>
      <c r="F217" s="116"/>
      <c r="G217" s="115"/>
      <c r="H217" s="116"/>
      <c r="I217" s="116"/>
      <c r="J217" s="116"/>
      <c r="K217" s="116"/>
      <c r="L217" s="116"/>
      <c r="M217" s="116"/>
      <c r="N217" s="116"/>
      <c r="O217" s="116"/>
      <c r="P217" s="166"/>
      <c r="Q217" s="116"/>
      <c r="R217" s="116"/>
      <c r="S217" s="191"/>
      <c r="T217" s="191"/>
      <c r="U217" s="116"/>
      <c r="V217" s="116"/>
      <c r="W217" s="116"/>
      <c r="X217" s="117"/>
      <c r="Y217" s="116"/>
      <c r="Z217" s="114"/>
      <c r="AB217" s="119"/>
      <c r="AD217" s="119"/>
      <c r="AE217" s="119"/>
      <c r="AF217" s="119"/>
      <c r="AG217" s="119"/>
      <c r="AH217" s="119"/>
      <c r="AI217" s="119"/>
      <c r="AJ217" s="119"/>
      <c r="AK217" s="119"/>
      <c r="AL217" s="119"/>
      <c r="AM217" s="119">
        <v>1</v>
      </c>
      <c r="AN217" s="119"/>
      <c r="AO217" s="119"/>
      <c r="AP217" s="119"/>
      <c r="AQ217" s="119"/>
      <c r="AR217" s="119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7"/>
      <c r="BK217" s="117"/>
      <c r="BL217" s="117"/>
      <c r="BN217" s="117"/>
      <c r="BO217" s="117"/>
      <c r="BP217" s="120"/>
      <c r="BR217" s="117"/>
      <c r="BS217" s="117"/>
      <c r="BZ217" s="117"/>
      <c r="CA217" s="144"/>
    </row>
    <row r="218" spans="1:79" s="118" customFormat="1">
      <c r="A218" s="114"/>
      <c r="B218" s="114">
        <f t="shared" si="5"/>
        <v>0</v>
      </c>
      <c r="C218" s="136" t="s">
        <v>1091</v>
      </c>
      <c r="D218" s="116"/>
      <c r="E218" s="116"/>
      <c r="F218" s="116"/>
      <c r="G218" s="115"/>
      <c r="H218" s="116"/>
      <c r="I218" s="116"/>
      <c r="J218" s="116"/>
      <c r="K218" s="116"/>
      <c r="L218" s="116"/>
      <c r="M218" s="116"/>
      <c r="N218" s="116"/>
      <c r="O218" s="116"/>
      <c r="P218" s="166"/>
      <c r="Q218" s="116"/>
      <c r="R218" s="116"/>
      <c r="S218" s="191"/>
      <c r="T218" s="191"/>
      <c r="U218" s="116"/>
      <c r="V218" s="116"/>
      <c r="W218" s="116"/>
      <c r="X218" s="117"/>
      <c r="Y218" s="116"/>
      <c r="Z218" s="114"/>
      <c r="AB218" s="119"/>
      <c r="AD218" s="119"/>
      <c r="AE218" s="119"/>
      <c r="AF218" s="119"/>
      <c r="AG218" s="119"/>
      <c r="AH218" s="119"/>
      <c r="AI218" s="119"/>
      <c r="AJ218" s="119"/>
      <c r="AK218" s="119"/>
      <c r="AL218" s="119"/>
      <c r="AM218" s="119">
        <v>1</v>
      </c>
      <c r="AN218" s="119"/>
      <c r="AO218" s="119"/>
      <c r="AP218" s="119"/>
      <c r="AQ218" s="119"/>
      <c r="AR218" s="119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7"/>
      <c r="BK218" s="117"/>
      <c r="BL218" s="117"/>
      <c r="BN218" s="117"/>
      <c r="BO218" s="117"/>
      <c r="BP218" s="120"/>
      <c r="BR218" s="117"/>
      <c r="BS218" s="117"/>
      <c r="BZ218" s="117"/>
      <c r="CA218" s="144"/>
    </row>
    <row r="219" spans="1:79" s="118" customFormat="1">
      <c r="A219" s="114"/>
      <c r="B219" s="114">
        <f t="shared" si="5"/>
        <v>0</v>
      </c>
      <c r="C219" s="136" t="s">
        <v>1092</v>
      </c>
      <c r="D219" s="116"/>
      <c r="E219" s="116"/>
      <c r="F219" s="116"/>
      <c r="G219" s="115"/>
      <c r="H219" s="116"/>
      <c r="I219" s="116"/>
      <c r="J219" s="116"/>
      <c r="K219" s="116"/>
      <c r="L219" s="116"/>
      <c r="M219" s="116"/>
      <c r="N219" s="116"/>
      <c r="O219" s="116"/>
      <c r="P219" s="166"/>
      <c r="Q219" s="116"/>
      <c r="R219" s="116"/>
      <c r="S219" s="191"/>
      <c r="T219" s="191"/>
      <c r="U219" s="116"/>
      <c r="V219" s="116"/>
      <c r="W219" s="116"/>
      <c r="X219" s="117"/>
      <c r="Y219" s="116"/>
      <c r="Z219" s="114"/>
      <c r="AB219" s="119"/>
      <c r="AD219" s="119"/>
      <c r="AE219" s="119"/>
      <c r="AF219" s="119"/>
      <c r="AG219" s="119"/>
      <c r="AH219" s="119"/>
      <c r="AI219" s="119"/>
      <c r="AJ219" s="119"/>
      <c r="AK219" s="119"/>
      <c r="AL219" s="119"/>
      <c r="AM219" s="119">
        <v>1</v>
      </c>
      <c r="AN219" s="119"/>
      <c r="AO219" s="119"/>
      <c r="AP219" s="119"/>
      <c r="AQ219" s="119"/>
      <c r="AR219" s="119"/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  <c r="BC219" s="116"/>
      <c r="BD219" s="116"/>
      <c r="BE219" s="116"/>
      <c r="BF219" s="116"/>
      <c r="BG219" s="116"/>
      <c r="BH219" s="116"/>
      <c r="BI219" s="116"/>
      <c r="BJ219" s="117"/>
      <c r="BK219" s="117"/>
      <c r="BL219" s="117"/>
      <c r="BN219" s="117"/>
      <c r="BO219" s="117"/>
      <c r="BP219" s="120"/>
      <c r="BR219" s="117"/>
      <c r="BS219" s="117"/>
      <c r="BZ219" s="117"/>
      <c r="CA219" s="144"/>
    </row>
    <row r="220" spans="1:79" s="118" customFormat="1">
      <c r="A220" s="114"/>
      <c r="B220" s="114">
        <f t="shared" si="5"/>
        <v>0</v>
      </c>
      <c r="C220" s="136" t="s">
        <v>1094</v>
      </c>
      <c r="D220" s="116"/>
      <c r="E220" s="116"/>
      <c r="F220" s="116"/>
      <c r="G220" s="115"/>
      <c r="H220" s="116"/>
      <c r="I220" s="116"/>
      <c r="J220" s="116"/>
      <c r="K220" s="116"/>
      <c r="L220" s="116"/>
      <c r="M220" s="116"/>
      <c r="N220" s="116"/>
      <c r="O220" s="116"/>
      <c r="P220" s="166"/>
      <c r="Q220" s="116"/>
      <c r="R220" s="116"/>
      <c r="S220" s="191"/>
      <c r="T220" s="191"/>
      <c r="U220" s="116"/>
      <c r="V220" s="116"/>
      <c r="W220" s="116"/>
      <c r="X220" s="117"/>
      <c r="Y220" s="116"/>
      <c r="Z220" s="114"/>
      <c r="AB220" s="119"/>
      <c r="AD220" s="119"/>
      <c r="AE220" s="119"/>
      <c r="AF220" s="119"/>
      <c r="AG220" s="119"/>
      <c r="AH220" s="119"/>
      <c r="AI220" s="119"/>
      <c r="AJ220" s="119"/>
      <c r="AK220" s="119"/>
      <c r="AL220" s="119"/>
      <c r="AM220" s="119">
        <v>1</v>
      </c>
      <c r="AN220" s="119"/>
      <c r="AO220" s="119"/>
      <c r="AP220" s="119"/>
      <c r="AQ220" s="119"/>
      <c r="AR220" s="119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7"/>
      <c r="BK220" s="117"/>
      <c r="BL220" s="117"/>
      <c r="BN220" s="117"/>
      <c r="BO220" s="117"/>
      <c r="BP220" s="120"/>
      <c r="BR220" s="117"/>
      <c r="BS220" s="117"/>
      <c r="BZ220" s="117"/>
      <c r="CA220" s="144"/>
    </row>
    <row r="221" spans="1:79" s="118" customFormat="1">
      <c r="A221" s="114"/>
      <c r="B221" s="114">
        <f t="shared" si="5"/>
        <v>0</v>
      </c>
      <c r="C221" s="136" t="s">
        <v>1096</v>
      </c>
      <c r="D221" s="116"/>
      <c r="E221" s="116"/>
      <c r="F221" s="116"/>
      <c r="G221" s="115"/>
      <c r="H221" s="116"/>
      <c r="I221" s="116"/>
      <c r="J221" s="116"/>
      <c r="K221" s="116"/>
      <c r="L221" s="116"/>
      <c r="M221" s="116"/>
      <c r="N221" s="116"/>
      <c r="O221" s="116"/>
      <c r="P221" s="166"/>
      <c r="Q221" s="116"/>
      <c r="R221" s="116"/>
      <c r="S221" s="191"/>
      <c r="T221" s="191"/>
      <c r="U221" s="116"/>
      <c r="V221" s="116"/>
      <c r="W221" s="116"/>
      <c r="X221" s="117"/>
      <c r="Y221" s="116"/>
      <c r="Z221" s="114"/>
      <c r="AB221" s="119"/>
      <c r="AD221" s="119"/>
      <c r="AE221" s="119"/>
      <c r="AF221" s="119"/>
      <c r="AG221" s="119"/>
      <c r="AH221" s="119"/>
      <c r="AI221" s="119"/>
      <c r="AJ221" s="119"/>
      <c r="AK221" s="119"/>
      <c r="AL221" s="119"/>
      <c r="AM221" s="119">
        <v>1</v>
      </c>
      <c r="AN221" s="119"/>
      <c r="AO221" s="119"/>
      <c r="AP221" s="119"/>
      <c r="AQ221" s="119"/>
      <c r="AR221" s="119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7"/>
      <c r="BK221" s="117"/>
      <c r="BL221" s="117"/>
      <c r="BN221" s="117"/>
      <c r="BO221" s="117"/>
      <c r="BP221" s="120"/>
      <c r="BR221" s="117"/>
      <c r="BS221" s="117"/>
      <c r="BZ221" s="117"/>
      <c r="CA221" s="144"/>
    </row>
    <row r="222" spans="1:79" s="118" customFormat="1">
      <c r="A222" s="114"/>
      <c r="B222" s="114">
        <f t="shared" si="5"/>
        <v>0</v>
      </c>
      <c r="C222" s="136" t="s">
        <v>1097</v>
      </c>
      <c r="D222" s="116"/>
      <c r="E222" s="116"/>
      <c r="F222" s="116"/>
      <c r="G222" s="115"/>
      <c r="H222" s="116"/>
      <c r="I222" s="116"/>
      <c r="J222" s="116"/>
      <c r="K222" s="116"/>
      <c r="L222" s="116"/>
      <c r="M222" s="116"/>
      <c r="N222" s="116"/>
      <c r="O222" s="116"/>
      <c r="P222" s="166"/>
      <c r="Q222" s="116"/>
      <c r="R222" s="116"/>
      <c r="S222" s="191"/>
      <c r="T222" s="191"/>
      <c r="U222" s="116"/>
      <c r="V222" s="116"/>
      <c r="W222" s="116"/>
      <c r="X222" s="117"/>
      <c r="Y222" s="116"/>
      <c r="Z222" s="114"/>
      <c r="AB222" s="119"/>
      <c r="AD222" s="119"/>
      <c r="AE222" s="119"/>
      <c r="AF222" s="119"/>
      <c r="AG222" s="119"/>
      <c r="AH222" s="119"/>
      <c r="AI222" s="119"/>
      <c r="AJ222" s="119"/>
      <c r="AK222" s="119"/>
      <c r="AL222" s="119"/>
      <c r="AM222" s="119">
        <v>1</v>
      </c>
      <c r="AN222" s="119"/>
      <c r="AO222" s="119"/>
      <c r="AP222" s="119"/>
      <c r="AQ222" s="119"/>
      <c r="AR222" s="119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7"/>
      <c r="BK222" s="117"/>
      <c r="BL222" s="117"/>
      <c r="BN222" s="117"/>
      <c r="BO222" s="117"/>
      <c r="BP222" s="120"/>
      <c r="BR222" s="117"/>
      <c r="BS222" s="117"/>
      <c r="BZ222" s="117"/>
      <c r="CA222" s="144"/>
    </row>
    <row r="223" spans="1:79" s="118" customFormat="1">
      <c r="A223" s="114"/>
      <c r="B223" s="114">
        <f t="shared" si="5"/>
        <v>0</v>
      </c>
      <c r="C223" s="136" t="s">
        <v>1098</v>
      </c>
      <c r="D223" s="116"/>
      <c r="E223" s="116"/>
      <c r="F223" s="116"/>
      <c r="G223" s="115"/>
      <c r="H223" s="116"/>
      <c r="I223" s="116"/>
      <c r="J223" s="116"/>
      <c r="K223" s="116"/>
      <c r="L223" s="116"/>
      <c r="M223" s="116"/>
      <c r="N223" s="116"/>
      <c r="O223" s="116"/>
      <c r="P223" s="166"/>
      <c r="Q223" s="116"/>
      <c r="R223" s="116"/>
      <c r="S223" s="191"/>
      <c r="T223" s="191"/>
      <c r="U223" s="116"/>
      <c r="V223" s="116"/>
      <c r="W223" s="116"/>
      <c r="X223" s="117"/>
      <c r="Y223" s="116"/>
      <c r="Z223" s="114"/>
      <c r="AB223" s="119"/>
      <c r="AD223" s="119"/>
      <c r="AE223" s="119"/>
      <c r="AF223" s="119"/>
      <c r="AG223" s="119"/>
      <c r="AH223" s="119"/>
      <c r="AI223" s="119"/>
      <c r="AJ223" s="119"/>
      <c r="AK223" s="119"/>
      <c r="AL223" s="119"/>
      <c r="AM223" s="119">
        <v>1</v>
      </c>
      <c r="AN223" s="119"/>
      <c r="AO223" s="119"/>
      <c r="AP223" s="119"/>
      <c r="AQ223" s="119"/>
      <c r="AR223" s="119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7"/>
      <c r="BK223" s="117"/>
      <c r="BL223" s="117"/>
      <c r="BN223" s="117"/>
      <c r="BO223" s="117"/>
      <c r="BP223" s="120"/>
      <c r="BR223" s="117"/>
      <c r="BS223" s="117"/>
      <c r="BZ223" s="117"/>
      <c r="CA223" s="144"/>
    </row>
    <row r="224" spans="1:79" s="118" customFormat="1">
      <c r="A224" s="114"/>
      <c r="B224" s="114">
        <f t="shared" si="5"/>
        <v>0</v>
      </c>
      <c r="C224" s="136" t="s">
        <v>1099</v>
      </c>
      <c r="D224" s="116"/>
      <c r="E224" s="116"/>
      <c r="F224" s="116"/>
      <c r="G224" s="115"/>
      <c r="H224" s="116"/>
      <c r="I224" s="116"/>
      <c r="J224" s="116"/>
      <c r="K224" s="116"/>
      <c r="L224" s="116"/>
      <c r="M224" s="116"/>
      <c r="N224" s="116"/>
      <c r="O224" s="116"/>
      <c r="P224" s="166"/>
      <c r="Q224" s="116"/>
      <c r="R224" s="116"/>
      <c r="S224" s="191"/>
      <c r="T224" s="191"/>
      <c r="U224" s="116"/>
      <c r="V224" s="116"/>
      <c r="W224" s="116"/>
      <c r="X224" s="117"/>
      <c r="Y224" s="116"/>
      <c r="Z224" s="114"/>
      <c r="AB224" s="119"/>
      <c r="AD224" s="119"/>
      <c r="AE224" s="119"/>
      <c r="AF224" s="119"/>
      <c r="AG224" s="119"/>
      <c r="AH224" s="119"/>
      <c r="AI224" s="119"/>
      <c r="AJ224" s="119"/>
      <c r="AK224" s="119"/>
      <c r="AL224" s="119"/>
      <c r="AM224" s="119">
        <v>1</v>
      </c>
      <c r="AN224" s="119"/>
      <c r="AO224" s="119"/>
      <c r="AP224" s="119"/>
      <c r="AQ224" s="119"/>
      <c r="AR224" s="119"/>
      <c r="AS224" s="116"/>
      <c r="AT224" s="116"/>
      <c r="AU224" s="116"/>
      <c r="AV224" s="116"/>
      <c r="AW224" s="116"/>
      <c r="AX224" s="116"/>
      <c r="AY224" s="116"/>
      <c r="AZ224" s="116"/>
      <c r="BA224" s="116"/>
      <c r="BB224" s="116"/>
      <c r="BC224" s="116"/>
      <c r="BD224" s="116"/>
      <c r="BE224" s="116"/>
      <c r="BF224" s="116"/>
      <c r="BG224" s="116"/>
      <c r="BH224" s="116"/>
      <c r="BI224" s="116"/>
      <c r="BJ224" s="117"/>
      <c r="BK224" s="117"/>
      <c r="BL224" s="117"/>
      <c r="BN224" s="117"/>
      <c r="BO224" s="117"/>
      <c r="BP224" s="120"/>
      <c r="BR224" s="117"/>
      <c r="BS224" s="117"/>
      <c r="BZ224" s="117"/>
      <c r="CA224" s="144"/>
    </row>
    <row r="225" spans="1:79" s="118" customFormat="1">
      <c r="A225" s="114"/>
      <c r="B225" s="114">
        <f t="shared" si="5"/>
        <v>1</v>
      </c>
      <c r="C225" s="136" t="s">
        <v>2477</v>
      </c>
      <c r="D225" s="116"/>
      <c r="E225" s="116"/>
      <c r="F225" s="116"/>
      <c r="G225" s="115"/>
      <c r="H225" s="116"/>
      <c r="I225" s="116" t="s">
        <v>2478</v>
      </c>
      <c r="J225" s="116"/>
      <c r="K225" s="116"/>
      <c r="L225" s="116"/>
      <c r="M225" s="116"/>
      <c r="N225" s="116"/>
      <c r="O225" s="116"/>
      <c r="P225" s="166"/>
      <c r="Q225" s="116"/>
      <c r="R225" s="116"/>
      <c r="S225" s="191"/>
      <c r="T225" s="191"/>
      <c r="U225" s="116"/>
      <c r="V225" s="116"/>
      <c r="W225" s="116"/>
      <c r="X225" s="117"/>
      <c r="Y225" s="116"/>
      <c r="Z225" s="114"/>
      <c r="AA225" s="118" t="s">
        <v>2479</v>
      </c>
      <c r="AB225" s="119"/>
      <c r="AD225" s="119"/>
      <c r="AE225" s="119"/>
      <c r="AF225" s="119"/>
      <c r="AG225" s="119"/>
      <c r="AH225" s="119"/>
      <c r="AI225" s="119"/>
      <c r="AJ225" s="119"/>
      <c r="AK225" s="119"/>
      <c r="AL225" s="119"/>
      <c r="AM225" s="119">
        <v>1</v>
      </c>
      <c r="AN225" s="119"/>
      <c r="AO225" s="130">
        <v>0</v>
      </c>
      <c r="AP225" s="119"/>
      <c r="AQ225" s="119"/>
      <c r="AR225" s="119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7"/>
      <c r="BK225" s="117"/>
      <c r="BL225" s="117"/>
      <c r="BN225" s="117"/>
      <c r="BO225" s="117"/>
      <c r="BP225" s="120"/>
      <c r="BR225" s="117"/>
      <c r="BS225" s="117"/>
      <c r="BZ225" s="117"/>
      <c r="CA225" s="145">
        <v>44604.594375000001</v>
      </c>
    </row>
    <row r="226" spans="1:79" s="118" customFormat="1">
      <c r="A226" s="114"/>
      <c r="B226" s="114">
        <f t="shared" si="5"/>
        <v>0</v>
      </c>
      <c r="C226" s="136" t="s">
        <v>1100</v>
      </c>
      <c r="D226" s="116"/>
      <c r="E226" s="116"/>
      <c r="F226" s="116"/>
      <c r="G226" s="115"/>
      <c r="H226" s="116"/>
      <c r="I226" s="116"/>
      <c r="J226" s="116"/>
      <c r="K226" s="116"/>
      <c r="L226" s="116"/>
      <c r="M226" s="116"/>
      <c r="N226" s="116"/>
      <c r="O226" s="116"/>
      <c r="P226" s="166"/>
      <c r="Q226" s="116"/>
      <c r="R226" s="116"/>
      <c r="S226" s="191"/>
      <c r="T226" s="191"/>
      <c r="U226" s="116"/>
      <c r="V226" s="116"/>
      <c r="W226" s="116"/>
      <c r="X226" s="117"/>
      <c r="Y226" s="116"/>
      <c r="Z226" s="114"/>
      <c r="AB226" s="119"/>
      <c r="AD226" s="119"/>
      <c r="AE226" s="119"/>
      <c r="AF226" s="119"/>
      <c r="AG226" s="119"/>
      <c r="AH226" s="119"/>
      <c r="AI226" s="119"/>
      <c r="AJ226" s="119"/>
      <c r="AK226" s="119"/>
      <c r="AL226" s="119"/>
      <c r="AM226" s="119">
        <v>1</v>
      </c>
      <c r="AN226" s="119"/>
      <c r="AO226" s="119"/>
      <c r="AP226" s="119"/>
      <c r="AQ226" s="119"/>
      <c r="AR226" s="119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7"/>
      <c r="BK226" s="117"/>
      <c r="BL226" s="117"/>
      <c r="BN226" s="117"/>
      <c r="BO226" s="117"/>
      <c r="BP226" s="120"/>
      <c r="BR226" s="117"/>
      <c r="BS226" s="117"/>
      <c r="BZ226" s="117"/>
      <c r="CA226" s="145">
        <v>44604.59412037037</v>
      </c>
    </row>
    <row r="227" spans="1:79" s="118" customFormat="1">
      <c r="A227" s="114"/>
      <c r="B227" s="114">
        <f t="shared" si="5"/>
        <v>0</v>
      </c>
      <c r="C227" s="136" t="s">
        <v>1101</v>
      </c>
      <c r="D227" s="116"/>
      <c r="E227" s="116"/>
      <c r="F227" s="116"/>
      <c r="G227" s="115"/>
      <c r="H227" s="116"/>
      <c r="I227" s="116"/>
      <c r="J227" s="116"/>
      <c r="K227" s="116"/>
      <c r="L227" s="116"/>
      <c r="M227" s="116"/>
      <c r="N227" s="116"/>
      <c r="O227" s="116"/>
      <c r="P227" s="166"/>
      <c r="Q227" s="116"/>
      <c r="R227" s="116"/>
      <c r="S227" s="191"/>
      <c r="T227" s="191"/>
      <c r="U227" s="116"/>
      <c r="V227" s="116"/>
      <c r="W227" s="116"/>
      <c r="X227" s="117"/>
      <c r="Y227" s="116"/>
      <c r="Z227" s="114"/>
      <c r="AB227" s="119"/>
      <c r="AD227" s="119"/>
      <c r="AE227" s="119"/>
      <c r="AF227" s="119"/>
      <c r="AG227" s="119"/>
      <c r="AH227" s="119"/>
      <c r="AI227" s="119"/>
      <c r="AJ227" s="119"/>
      <c r="AK227" s="119"/>
      <c r="AL227" s="119"/>
      <c r="AM227" s="119">
        <v>1</v>
      </c>
      <c r="AN227" s="119"/>
      <c r="AO227" s="119"/>
      <c r="AP227" s="119"/>
      <c r="AQ227" s="119"/>
      <c r="AR227" s="119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7"/>
      <c r="BK227" s="117"/>
      <c r="BL227" s="117"/>
      <c r="BN227" s="117"/>
      <c r="BO227" s="117"/>
      <c r="BP227" s="120"/>
      <c r="BR227" s="117"/>
      <c r="BS227" s="117"/>
      <c r="BZ227" s="117"/>
      <c r="CA227" s="144"/>
    </row>
    <row r="228" spans="1:79" s="118" customFormat="1">
      <c r="A228" s="114"/>
      <c r="B228" s="114">
        <f t="shared" si="5"/>
        <v>0</v>
      </c>
      <c r="C228" s="136" t="s">
        <v>1102</v>
      </c>
      <c r="D228" s="116"/>
      <c r="E228" s="116"/>
      <c r="F228" s="116"/>
      <c r="G228" s="115"/>
      <c r="H228" s="116"/>
      <c r="I228" s="116"/>
      <c r="J228" s="116"/>
      <c r="K228" s="116"/>
      <c r="L228" s="116"/>
      <c r="M228" s="116"/>
      <c r="N228" s="116"/>
      <c r="O228" s="116"/>
      <c r="P228" s="166"/>
      <c r="Q228" s="116"/>
      <c r="R228" s="116"/>
      <c r="S228" s="191"/>
      <c r="T228" s="191"/>
      <c r="U228" s="116"/>
      <c r="V228" s="116"/>
      <c r="W228" s="116"/>
      <c r="X228" s="117"/>
      <c r="Y228" s="116"/>
      <c r="Z228" s="114"/>
      <c r="AB228" s="119"/>
      <c r="AD228" s="119"/>
      <c r="AE228" s="119"/>
      <c r="AF228" s="119"/>
      <c r="AG228" s="119"/>
      <c r="AH228" s="119"/>
      <c r="AI228" s="119"/>
      <c r="AJ228" s="119"/>
      <c r="AK228" s="119"/>
      <c r="AL228" s="119"/>
      <c r="AM228" s="119">
        <v>1</v>
      </c>
      <c r="AN228" s="119"/>
      <c r="AO228" s="119"/>
      <c r="AP228" s="119"/>
      <c r="AQ228" s="119"/>
      <c r="AR228" s="119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7"/>
      <c r="BK228" s="117"/>
      <c r="BL228" s="117"/>
      <c r="BN228" s="117"/>
      <c r="BO228" s="117"/>
      <c r="BP228" s="120"/>
      <c r="BR228" s="117"/>
      <c r="BS228" s="117"/>
      <c r="BZ228" s="117"/>
      <c r="CA228" s="144"/>
    </row>
    <row r="229" spans="1:79" s="118" customFormat="1">
      <c r="A229" s="114"/>
      <c r="B229" s="114">
        <f t="shared" si="5"/>
        <v>0</v>
      </c>
      <c r="C229" s="136" t="s">
        <v>1103</v>
      </c>
      <c r="D229" s="116"/>
      <c r="E229" s="116"/>
      <c r="F229" s="116"/>
      <c r="G229" s="115"/>
      <c r="H229" s="116"/>
      <c r="I229" s="116"/>
      <c r="J229" s="116"/>
      <c r="K229" s="116"/>
      <c r="L229" s="116"/>
      <c r="M229" s="116"/>
      <c r="N229" s="116"/>
      <c r="O229" s="116"/>
      <c r="P229" s="166"/>
      <c r="Q229" s="116"/>
      <c r="R229" s="116"/>
      <c r="S229" s="191"/>
      <c r="T229" s="191"/>
      <c r="U229" s="116"/>
      <c r="V229" s="116"/>
      <c r="W229" s="116"/>
      <c r="X229" s="117"/>
      <c r="Y229" s="116"/>
      <c r="Z229" s="114"/>
      <c r="AB229" s="119"/>
      <c r="AD229" s="119"/>
      <c r="AE229" s="119"/>
      <c r="AF229" s="119"/>
      <c r="AG229" s="119"/>
      <c r="AH229" s="119"/>
      <c r="AI229" s="119"/>
      <c r="AJ229" s="119"/>
      <c r="AK229" s="119"/>
      <c r="AL229" s="119"/>
      <c r="AM229" s="119">
        <v>1</v>
      </c>
      <c r="AN229" s="119"/>
      <c r="AO229" s="119"/>
      <c r="AP229" s="119"/>
      <c r="AQ229" s="119"/>
      <c r="AR229" s="119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7"/>
      <c r="BK229" s="117"/>
      <c r="BL229" s="117"/>
      <c r="BN229" s="117"/>
      <c r="BO229" s="117"/>
      <c r="BP229" s="120"/>
      <c r="BR229" s="117"/>
      <c r="BS229" s="117"/>
      <c r="BZ229" s="117"/>
      <c r="CA229" s="144"/>
    </row>
    <row r="230" spans="1:79" s="118" customFormat="1">
      <c r="A230" s="114"/>
      <c r="B230" s="114">
        <f t="shared" si="5"/>
        <v>0</v>
      </c>
      <c r="C230" s="136" t="s">
        <v>1027</v>
      </c>
      <c r="D230" s="116"/>
      <c r="E230" s="116"/>
      <c r="F230" s="116"/>
      <c r="G230" s="115"/>
      <c r="H230" s="116"/>
      <c r="I230" s="116"/>
      <c r="J230" s="116"/>
      <c r="K230" s="116"/>
      <c r="L230" s="116"/>
      <c r="M230" s="116"/>
      <c r="N230" s="116"/>
      <c r="O230" s="116"/>
      <c r="P230" s="166"/>
      <c r="Q230" s="116"/>
      <c r="R230" s="116"/>
      <c r="S230" s="191"/>
      <c r="T230" s="191"/>
      <c r="U230" s="116"/>
      <c r="V230" s="116"/>
      <c r="W230" s="116"/>
      <c r="X230" s="117"/>
      <c r="Y230" s="116"/>
      <c r="Z230" s="114"/>
      <c r="AB230" s="119"/>
      <c r="AD230" s="119"/>
      <c r="AE230" s="119"/>
      <c r="AF230" s="119"/>
      <c r="AG230" s="119"/>
      <c r="AH230" s="119"/>
      <c r="AI230" s="119"/>
      <c r="AJ230" s="119"/>
      <c r="AK230" s="119"/>
      <c r="AL230" s="119"/>
      <c r="AM230" s="119">
        <v>1</v>
      </c>
      <c r="AN230" s="119"/>
      <c r="AO230" s="119"/>
      <c r="AP230" s="119"/>
      <c r="AQ230" s="119"/>
      <c r="AR230" s="119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7"/>
      <c r="BK230" s="117"/>
      <c r="BL230" s="117"/>
      <c r="BN230" s="117"/>
      <c r="BO230" s="117"/>
      <c r="BP230" s="120"/>
      <c r="BR230" s="117"/>
      <c r="BS230" s="117"/>
      <c r="BZ230" s="117"/>
      <c r="CA230" s="144"/>
    </row>
    <row r="231" spans="1:79" s="118" customFormat="1">
      <c r="A231" s="114"/>
      <c r="B231" s="114">
        <f t="shared" si="5"/>
        <v>1</v>
      </c>
      <c r="C231" s="136" t="s">
        <v>1104</v>
      </c>
      <c r="D231" s="116"/>
      <c r="E231" s="116"/>
      <c r="F231" s="116"/>
      <c r="G231" s="115"/>
      <c r="H231" s="116"/>
      <c r="I231" s="116"/>
      <c r="J231" s="116"/>
      <c r="K231" s="116"/>
      <c r="L231" s="116"/>
      <c r="M231" s="116"/>
      <c r="N231" s="116"/>
      <c r="O231" s="116"/>
      <c r="P231" s="166"/>
      <c r="Q231" s="116"/>
      <c r="R231" s="116"/>
      <c r="S231" s="191"/>
      <c r="T231" s="191"/>
      <c r="U231" s="116"/>
      <c r="V231" s="116"/>
      <c r="W231" s="116"/>
      <c r="X231" s="117"/>
      <c r="Y231" s="116"/>
      <c r="Z231" s="114"/>
      <c r="AB231" s="119"/>
      <c r="AD231" s="119"/>
      <c r="AE231" s="119"/>
      <c r="AF231" s="119"/>
      <c r="AG231" s="119"/>
      <c r="AH231" s="119"/>
      <c r="AI231" s="119"/>
      <c r="AJ231" s="119"/>
      <c r="AK231" s="119"/>
      <c r="AL231" s="119"/>
      <c r="AM231" s="119">
        <v>1</v>
      </c>
      <c r="AN231" s="119"/>
      <c r="AO231" s="119"/>
      <c r="AP231" s="119"/>
      <c r="AQ231" s="119"/>
      <c r="AR231" s="119"/>
      <c r="AS231" s="116"/>
      <c r="AT231" s="130">
        <v>0</v>
      </c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7"/>
      <c r="BK231" s="117"/>
      <c r="BL231" s="117"/>
      <c r="BN231" s="117"/>
      <c r="BO231" s="117"/>
      <c r="BP231" s="120"/>
      <c r="BR231" s="117"/>
      <c r="BS231" s="117"/>
      <c r="BZ231" s="117"/>
      <c r="CA231" s="145">
        <v>44596.665185185186</v>
      </c>
    </row>
    <row r="232" spans="1:79" s="118" customFormat="1">
      <c r="A232" s="114"/>
      <c r="B232" s="114">
        <f t="shared" si="5"/>
        <v>0</v>
      </c>
      <c r="C232" s="136" t="s">
        <v>1105</v>
      </c>
      <c r="D232" s="116"/>
      <c r="E232" s="116"/>
      <c r="F232" s="116"/>
      <c r="G232" s="115"/>
      <c r="H232" s="116"/>
      <c r="I232" s="116"/>
      <c r="J232" s="116"/>
      <c r="K232" s="116"/>
      <c r="L232" s="116"/>
      <c r="M232" s="116"/>
      <c r="N232" s="116"/>
      <c r="O232" s="116"/>
      <c r="P232" s="166"/>
      <c r="Q232" s="116"/>
      <c r="R232" s="116"/>
      <c r="S232" s="191"/>
      <c r="T232" s="191"/>
      <c r="U232" s="116"/>
      <c r="V232" s="116"/>
      <c r="W232" s="116"/>
      <c r="X232" s="117"/>
      <c r="Y232" s="116"/>
      <c r="Z232" s="114"/>
      <c r="AB232" s="119"/>
      <c r="AD232" s="119"/>
      <c r="AE232" s="119"/>
      <c r="AF232" s="119"/>
      <c r="AG232" s="119"/>
      <c r="AH232" s="119"/>
      <c r="AI232" s="119"/>
      <c r="AJ232" s="119"/>
      <c r="AK232" s="119"/>
      <c r="AL232" s="119"/>
      <c r="AM232" s="119">
        <v>1</v>
      </c>
      <c r="AN232" s="119"/>
      <c r="AO232" s="119"/>
      <c r="AP232" s="119"/>
      <c r="AQ232" s="119"/>
      <c r="AR232" s="119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7"/>
      <c r="BK232" s="117"/>
      <c r="BL232" s="117"/>
      <c r="BN232" s="117"/>
      <c r="BO232" s="117"/>
      <c r="BP232" s="120"/>
      <c r="BR232" s="117"/>
      <c r="BS232" s="117"/>
      <c r="BZ232" s="117"/>
      <c r="CA232" s="144"/>
    </row>
    <row r="233" spans="1:79" s="13" customFormat="1" ht="26.25" customHeight="1">
      <c r="B233" s="114">
        <f t="shared" si="5"/>
        <v>5</v>
      </c>
      <c r="C233" s="136" t="s">
        <v>2489</v>
      </c>
      <c r="D233" s="15"/>
      <c r="E233" s="116">
        <v>4</v>
      </c>
      <c r="F233" s="42"/>
      <c r="H233" s="15"/>
      <c r="I233" s="15"/>
      <c r="J233" s="15"/>
      <c r="K233" s="15"/>
      <c r="L233" s="17"/>
      <c r="M233" s="17"/>
      <c r="N233" s="17"/>
      <c r="O233" s="16"/>
      <c r="P233" s="167"/>
      <c r="S233" s="193"/>
      <c r="T233" s="193"/>
      <c r="AM233" s="119">
        <v>1</v>
      </c>
      <c r="AQ233" s="130">
        <v>0</v>
      </c>
      <c r="AR233" s="130">
        <v>0</v>
      </c>
      <c r="AS233" s="123" t="s">
        <v>949</v>
      </c>
      <c r="AT233" s="130">
        <v>0</v>
      </c>
      <c r="AU233" s="130">
        <v>0</v>
      </c>
      <c r="CA233" s="146">
        <v>44596.626192129632</v>
      </c>
    </row>
    <row r="234" spans="1:79" s="118" customFormat="1">
      <c r="A234" s="114"/>
      <c r="B234" s="114">
        <f t="shared" si="5"/>
        <v>0</v>
      </c>
      <c r="C234" s="136" t="s">
        <v>1106</v>
      </c>
      <c r="D234" s="116"/>
      <c r="E234" s="116"/>
      <c r="F234" s="116"/>
      <c r="G234" s="115"/>
      <c r="H234" s="116"/>
      <c r="I234" s="116"/>
      <c r="J234" s="116"/>
      <c r="K234" s="116"/>
      <c r="L234" s="116"/>
      <c r="M234" s="116"/>
      <c r="N234" s="116"/>
      <c r="O234" s="116"/>
      <c r="P234" s="166"/>
      <c r="Q234" s="116"/>
      <c r="R234" s="116"/>
      <c r="S234" s="191"/>
      <c r="T234" s="191"/>
      <c r="U234" s="116"/>
      <c r="V234" s="116"/>
      <c r="W234" s="116"/>
      <c r="X234" s="117"/>
      <c r="Y234" s="116"/>
      <c r="Z234" s="114"/>
      <c r="AB234" s="119"/>
      <c r="AD234" s="119"/>
      <c r="AE234" s="119"/>
      <c r="AF234" s="119"/>
      <c r="AG234" s="119"/>
      <c r="AH234" s="119"/>
      <c r="AI234" s="119"/>
      <c r="AJ234" s="119"/>
      <c r="AK234" s="119"/>
      <c r="AL234" s="119"/>
      <c r="AM234" s="119">
        <v>1</v>
      </c>
      <c r="AN234" s="119"/>
      <c r="AO234" s="119"/>
      <c r="AP234" s="119"/>
      <c r="AQ234" s="119"/>
      <c r="AR234" s="119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7"/>
      <c r="BK234" s="117"/>
      <c r="BL234" s="117"/>
      <c r="BN234" s="117"/>
      <c r="BO234" s="117"/>
      <c r="BP234" s="120"/>
      <c r="BR234" s="117"/>
      <c r="BS234" s="117"/>
      <c r="BZ234" s="117"/>
      <c r="CA234" s="145">
        <v>44604.636354166665</v>
      </c>
    </row>
    <row r="235" spans="1:79" s="118" customFormat="1">
      <c r="A235" s="114"/>
      <c r="B235" s="114">
        <f t="shared" si="5"/>
        <v>0</v>
      </c>
      <c r="C235" s="136" t="s">
        <v>1107</v>
      </c>
      <c r="D235" s="116"/>
      <c r="E235" s="116"/>
      <c r="F235" s="116"/>
      <c r="G235" s="115"/>
      <c r="H235" s="116"/>
      <c r="I235" s="116"/>
      <c r="J235" s="116"/>
      <c r="K235" s="116"/>
      <c r="L235" s="116"/>
      <c r="M235" s="116"/>
      <c r="N235" s="116"/>
      <c r="O235" s="116"/>
      <c r="P235" s="166"/>
      <c r="Q235" s="116"/>
      <c r="R235" s="116"/>
      <c r="S235" s="191"/>
      <c r="T235" s="191"/>
      <c r="U235" s="116"/>
      <c r="V235" s="116"/>
      <c r="W235" s="116"/>
      <c r="X235" s="117"/>
      <c r="Y235" s="116"/>
      <c r="Z235" s="114"/>
      <c r="AB235" s="119"/>
      <c r="AD235" s="119"/>
      <c r="AE235" s="119"/>
      <c r="AF235" s="119"/>
      <c r="AG235" s="119"/>
      <c r="AH235" s="119"/>
      <c r="AI235" s="119"/>
      <c r="AJ235" s="119"/>
      <c r="AK235" s="119"/>
      <c r="AL235" s="119"/>
      <c r="AM235" s="119">
        <v>1</v>
      </c>
      <c r="AN235" s="119"/>
      <c r="AO235" s="119"/>
      <c r="AP235" s="119"/>
      <c r="AQ235" s="119"/>
      <c r="AR235" s="119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7"/>
      <c r="BK235" s="117"/>
      <c r="BL235" s="117"/>
      <c r="BN235" s="117"/>
      <c r="BO235" s="117"/>
      <c r="BP235" s="120"/>
      <c r="BR235" s="117"/>
      <c r="BS235" s="117"/>
      <c r="BZ235" s="117"/>
      <c r="CA235" s="144"/>
    </row>
    <row r="236" spans="1:79" s="118" customFormat="1">
      <c r="A236" s="114"/>
      <c r="B236" s="114">
        <f t="shared" si="5"/>
        <v>0</v>
      </c>
      <c r="C236" s="136" t="s">
        <v>1108</v>
      </c>
      <c r="D236" s="116"/>
      <c r="E236" s="116"/>
      <c r="F236" s="116"/>
      <c r="G236" s="115"/>
      <c r="H236" s="116"/>
      <c r="I236" s="116"/>
      <c r="J236" s="116"/>
      <c r="K236" s="116"/>
      <c r="L236" s="116"/>
      <c r="M236" s="116"/>
      <c r="N236" s="116"/>
      <c r="O236" s="116"/>
      <c r="P236" s="166"/>
      <c r="Q236" s="116"/>
      <c r="R236" s="116"/>
      <c r="S236" s="191"/>
      <c r="T236" s="191"/>
      <c r="U236" s="116"/>
      <c r="V236" s="116"/>
      <c r="W236" s="116"/>
      <c r="X236" s="117"/>
      <c r="Y236" s="116"/>
      <c r="Z236" s="114"/>
      <c r="AB236" s="119"/>
      <c r="AD236" s="119"/>
      <c r="AE236" s="119"/>
      <c r="AF236" s="119"/>
      <c r="AG236" s="119"/>
      <c r="AH236" s="119"/>
      <c r="AI236" s="119"/>
      <c r="AJ236" s="119"/>
      <c r="AK236" s="119"/>
      <c r="AL236" s="119"/>
      <c r="AM236" s="119">
        <v>1</v>
      </c>
      <c r="AN236" s="119"/>
      <c r="AO236" s="119"/>
      <c r="AP236" s="119"/>
      <c r="AQ236" s="119"/>
      <c r="AR236" s="119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7"/>
      <c r="BK236" s="117"/>
      <c r="BL236" s="117"/>
      <c r="BN236" s="117"/>
      <c r="BO236" s="117"/>
      <c r="BP236" s="120"/>
      <c r="BR236" s="117"/>
      <c r="BS236" s="117"/>
      <c r="BZ236" s="117"/>
      <c r="CA236" s="144"/>
    </row>
    <row r="237" spans="1:79" s="118" customFormat="1">
      <c r="A237" s="114"/>
      <c r="B237" s="114">
        <f t="shared" si="5"/>
        <v>0</v>
      </c>
      <c r="C237" s="136" t="s">
        <v>1109</v>
      </c>
      <c r="D237" s="116"/>
      <c r="E237" s="116"/>
      <c r="F237" s="116"/>
      <c r="G237" s="115"/>
      <c r="H237" s="116"/>
      <c r="I237" s="116"/>
      <c r="J237" s="116"/>
      <c r="K237" s="116"/>
      <c r="L237" s="116"/>
      <c r="M237" s="116"/>
      <c r="N237" s="116"/>
      <c r="O237" s="116"/>
      <c r="P237" s="166"/>
      <c r="Q237" s="116"/>
      <c r="R237" s="116"/>
      <c r="S237" s="191"/>
      <c r="T237" s="191"/>
      <c r="U237" s="116"/>
      <c r="V237" s="116"/>
      <c r="W237" s="116"/>
      <c r="X237" s="117"/>
      <c r="Y237" s="116"/>
      <c r="Z237" s="114"/>
      <c r="AB237" s="119"/>
      <c r="AD237" s="119"/>
      <c r="AE237" s="119"/>
      <c r="AF237" s="119"/>
      <c r="AG237" s="119"/>
      <c r="AH237" s="119"/>
      <c r="AI237" s="119"/>
      <c r="AJ237" s="119"/>
      <c r="AK237" s="119"/>
      <c r="AL237" s="119"/>
      <c r="AM237" s="119">
        <v>1</v>
      </c>
      <c r="AN237" s="119"/>
      <c r="AO237" s="119"/>
      <c r="AP237" s="119"/>
      <c r="AQ237" s="119"/>
      <c r="AR237" s="119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7"/>
      <c r="BK237" s="117"/>
      <c r="BL237" s="117"/>
      <c r="BN237" s="117"/>
      <c r="BO237" s="117"/>
      <c r="BP237" s="120"/>
      <c r="BR237" s="117"/>
      <c r="BS237" s="117"/>
      <c r="BZ237" s="117"/>
      <c r="CA237" s="144"/>
    </row>
    <row r="238" spans="1:79" s="118" customFormat="1">
      <c r="A238" s="114"/>
      <c r="B238" s="114">
        <f t="shared" si="5"/>
        <v>0</v>
      </c>
      <c r="C238" s="136" t="s">
        <v>1110</v>
      </c>
      <c r="D238" s="116"/>
      <c r="E238" s="116"/>
      <c r="F238" s="116"/>
      <c r="G238" s="115"/>
      <c r="H238" s="116"/>
      <c r="I238" s="116"/>
      <c r="J238" s="116"/>
      <c r="K238" s="116"/>
      <c r="L238" s="116"/>
      <c r="M238" s="116"/>
      <c r="N238" s="116"/>
      <c r="O238" s="116"/>
      <c r="P238" s="166"/>
      <c r="Q238" s="116"/>
      <c r="R238" s="116"/>
      <c r="S238" s="191"/>
      <c r="T238" s="191"/>
      <c r="U238" s="116"/>
      <c r="V238" s="116"/>
      <c r="W238" s="116"/>
      <c r="X238" s="117"/>
      <c r="Y238" s="116"/>
      <c r="Z238" s="114"/>
      <c r="AB238" s="119"/>
      <c r="AD238" s="119"/>
      <c r="AE238" s="119"/>
      <c r="AF238" s="119"/>
      <c r="AG238" s="119"/>
      <c r="AH238" s="119"/>
      <c r="AI238" s="119"/>
      <c r="AJ238" s="119"/>
      <c r="AK238" s="119"/>
      <c r="AL238" s="119"/>
      <c r="AM238" s="119">
        <v>1</v>
      </c>
      <c r="AN238" s="119"/>
      <c r="AO238" s="119"/>
      <c r="AP238" s="119"/>
      <c r="AQ238" s="119"/>
      <c r="AR238" s="119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7"/>
      <c r="BK238" s="117"/>
      <c r="BL238" s="117"/>
      <c r="BN238" s="117"/>
      <c r="BO238" s="117"/>
      <c r="BP238" s="120"/>
      <c r="BR238" s="117"/>
      <c r="BS238" s="117"/>
      <c r="BZ238" s="117"/>
      <c r="CA238" s="144"/>
    </row>
    <row r="239" spans="1:79" s="118" customFormat="1">
      <c r="A239" s="114"/>
      <c r="B239" s="114">
        <f t="shared" si="5"/>
        <v>0</v>
      </c>
      <c r="C239" s="136" t="s">
        <v>1111</v>
      </c>
      <c r="D239" s="116"/>
      <c r="E239" s="116"/>
      <c r="F239" s="116"/>
      <c r="G239" s="115"/>
      <c r="H239" s="116"/>
      <c r="I239" s="116"/>
      <c r="J239" s="116"/>
      <c r="K239" s="116"/>
      <c r="L239" s="116"/>
      <c r="M239" s="116"/>
      <c r="N239" s="116"/>
      <c r="O239" s="116"/>
      <c r="P239" s="166"/>
      <c r="Q239" s="116"/>
      <c r="R239" s="116"/>
      <c r="S239" s="191"/>
      <c r="T239" s="191"/>
      <c r="U239" s="116"/>
      <c r="V239" s="116"/>
      <c r="W239" s="116"/>
      <c r="X239" s="117"/>
      <c r="Y239" s="116"/>
      <c r="Z239" s="114"/>
      <c r="AB239" s="119"/>
      <c r="AD239" s="119"/>
      <c r="AE239" s="119"/>
      <c r="AF239" s="119"/>
      <c r="AG239" s="119"/>
      <c r="AH239" s="119"/>
      <c r="AI239" s="119"/>
      <c r="AJ239" s="119"/>
      <c r="AK239" s="119"/>
      <c r="AL239" s="119"/>
      <c r="AM239" s="119">
        <v>1</v>
      </c>
      <c r="AN239" s="119"/>
      <c r="AO239" s="119"/>
      <c r="AP239" s="119"/>
      <c r="AQ239" s="119"/>
      <c r="AR239" s="119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7"/>
      <c r="BK239" s="117"/>
      <c r="BL239" s="117"/>
      <c r="BN239" s="117"/>
      <c r="BO239" s="117"/>
      <c r="BP239" s="120"/>
      <c r="BR239" s="117"/>
      <c r="BS239" s="117"/>
      <c r="BZ239" s="117"/>
      <c r="CA239" s="144"/>
    </row>
    <row r="240" spans="1:79" s="118" customFormat="1">
      <c r="A240" s="114"/>
      <c r="B240" s="114">
        <f t="shared" si="5"/>
        <v>0</v>
      </c>
      <c r="C240" s="136" t="s">
        <v>1112</v>
      </c>
      <c r="D240" s="116"/>
      <c r="E240" s="116"/>
      <c r="F240" s="116"/>
      <c r="G240" s="115"/>
      <c r="H240" s="116"/>
      <c r="I240" s="116"/>
      <c r="J240" s="116"/>
      <c r="K240" s="116"/>
      <c r="L240" s="116"/>
      <c r="M240" s="116"/>
      <c r="N240" s="116"/>
      <c r="O240" s="116"/>
      <c r="P240" s="166"/>
      <c r="Q240" s="116"/>
      <c r="R240" s="116"/>
      <c r="S240" s="191"/>
      <c r="T240" s="191"/>
      <c r="U240" s="116"/>
      <c r="V240" s="116"/>
      <c r="W240" s="116"/>
      <c r="X240" s="117"/>
      <c r="Y240" s="116"/>
      <c r="Z240" s="114"/>
      <c r="AB240" s="119"/>
      <c r="AD240" s="119"/>
      <c r="AE240" s="119"/>
      <c r="AF240" s="119"/>
      <c r="AG240" s="119"/>
      <c r="AH240" s="119"/>
      <c r="AI240" s="119"/>
      <c r="AJ240" s="119"/>
      <c r="AK240" s="119"/>
      <c r="AL240" s="119"/>
      <c r="AM240" s="119">
        <v>1</v>
      </c>
      <c r="AN240" s="119"/>
      <c r="AO240" s="119"/>
      <c r="AP240" s="119"/>
      <c r="AQ240" s="119"/>
      <c r="AR240" s="119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7"/>
      <c r="BK240" s="117"/>
      <c r="BL240" s="117"/>
      <c r="BN240" s="117"/>
      <c r="BO240" s="117"/>
      <c r="BP240" s="120"/>
      <c r="BR240" s="117"/>
      <c r="BS240" s="117"/>
      <c r="BZ240" s="117"/>
      <c r="CA240" s="144"/>
    </row>
    <row r="241" spans="1:79" s="118" customFormat="1">
      <c r="A241" s="114"/>
      <c r="B241" s="114">
        <f t="shared" si="5"/>
        <v>0</v>
      </c>
      <c r="C241" s="136" t="s">
        <v>1113</v>
      </c>
      <c r="D241" s="116"/>
      <c r="E241" s="116"/>
      <c r="F241" s="116"/>
      <c r="G241" s="115"/>
      <c r="H241" s="116"/>
      <c r="I241" s="116"/>
      <c r="J241" s="116"/>
      <c r="K241" s="116"/>
      <c r="L241" s="116"/>
      <c r="M241" s="116"/>
      <c r="N241" s="116"/>
      <c r="O241" s="116"/>
      <c r="P241" s="166"/>
      <c r="Q241" s="116"/>
      <c r="R241" s="116"/>
      <c r="S241" s="191"/>
      <c r="T241" s="191"/>
      <c r="U241" s="116"/>
      <c r="V241" s="116"/>
      <c r="W241" s="116"/>
      <c r="X241" s="117"/>
      <c r="Y241" s="116"/>
      <c r="Z241" s="114"/>
      <c r="AB241" s="119"/>
      <c r="AD241" s="119"/>
      <c r="AE241" s="119"/>
      <c r="AF241" s="119"/>
      <c r="AG241" s="119"/>
      <c r="AH241" s="119"/>
      <c r="AI241" s="119"/>
      <c r="AJ241" s="119"/>
      <c r="AK241" s="119"/>
      <c r="AL241" s="119"/>
      <c r="AM241" s="119">
        <v>1</v>
      </c>
      <c r="AN241" s="119"/>
      <c r="AO241" s="119"/>
      <c r="AP241" s="119"/>
      <c r="AQ241" s="119"/>
      <c r="AR241" s="119"/>
      <c r="AS241" s="116"/>
      <c r="AT241" s="116"/>
      <c r="AU241" s="116"/>
      <c r="AV241" s="116"/>
      <c r="AW241" s="116"/>
      <c r="AX241" s="116"/>
      <c r="AY241" s="116"/>
      <c r="AZ241" s="116"/>
      <c r="BA241" s="116"/>
      <c r="BB241" s="116"/>
      <c r="BC241" s="116"/>
      <c r="BD241" s="116"/>
      <c r="BE241" s="116"/>
      <c r="BF241" s="116"/>
      <c r="BG241" s="116"/>
      <c r="BH241" s="116"/>
      <c r="BI241" s="116"/>
      <c r="BJ241" s="117"/>
      <c r="BK241" s="117"/>
      <c r="BL241" s="117"/>
      <c r="BN241" s="117"/>
      <c r="BO241" s="117"/>
      <c r="BP241" s="120"/>
      <c r="BR241" s="117"/>
      <c r="BS241" s="117"/>
      <c r="BZ241" s="117"/>
      <c r="CA241" s="144"/>
    </row>
    <row r="242" spans="1:79" s="118" customFormat="1">
      <c r="A242" s="114"/>
      <c r="B242" s="114">
        <f t="shared" si="5"/>
        <v>0</v>
      </c>
      <c r="C242" s="136" t="s">
        <v>1114</v>
      </c>
      <c r="D242" s="116"/>
      <c r="E242" s="116"/>
      <c r="F242" s="116"/>
      <c r="G242" s="115"/>
      <c r="H242" s="116"/>
      <c r="I242" s="116"/>
      <c r="J242" s="116"/>
      <c r="K242" s="116"/>
      <c r="L242" s="116"/>
      <c r="M242" s="116"/>
      <c r="N242" s="116"/>
      <c r="O242" s="116"/>
      <c r="P242" s="166"/>
      <c r="Q242" s="116"/>
      <c r="R242" s="116"/>
      <c r="S242" s="191"/>
      <c r="T242" s="191"/>
      <c r="U242" s="116"/>
      <c r="V242" s="116"/>
      <c r="W242" s="116"/>
      <c r="X242" s="117"/>
      <c r="Y242" s="116"/>
      <c r="Z242" s="114"/>
      <c r="AB242" s="119"/>
      <c r="AD242" s="119"/>
      <c r="AE242" s="119"/>
      <c r="AF242" s="119"/>
      <c r="AG242" s="119"/>
      <c r="AH242" s="119"/>
      <c r="AI242" s="119"/>
      <c r="AJ242" s="119"/>
      <c r="AK242" s="119"/>
      <c r="AL242" s="119"/>
      <c r="AM242" s="119">
        <v>1</v>
      </c>
      <c r="AN242" s="119"/>
      <c r="AO242" s="119"/>
      <c r="AP242" s="119"/>
      <c r="AQ242" s="119"/>
      <c r="AR242" s="119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7"/>
      <c r="BK242" s="117"/>
      <c r="BL242" s="117"/>
      <c r="BN242" s="117"/>
      <c r="BO242" s="117"/>
      <c r="BP242" s="120"/>
      <c r="BR242" s="117"/>
      <c r="BS242" s="117"/>
      <c r="BZ242" s="117"/>
      <c r="CA242" s="144"/>
    </row>
    <row r="243" spans="1:79" s="118" customFormat="1">
      <c r="A243" s="114"/>
      <c r="B243" s="114">
        <f t="shared" si="5"/>
        <v>0</v>
      </c>
      <c r="C243" s="136" t="s">
        <v>1115</v>
      </c>
      <c r="D243" s="116"/>
      <c r="E243" s="116"/>
      <c r="F243" s="116"/>
      <c r="G243" s="115"/>
      <c r="H243" s="116"/>
      <c r="I243" s="116"/>
      <c r="J243" s="116"/>
      <c r="K243" s="116"/>
      <c r="L243" s="116"/>
      <c r="M243" s="116"/>
      <c r="N243" s="116"/>
      <c r="O243" s="116"/>
      <c r="P243" s="166"/>
      <c r="Q243" s="116"/>
      <c r="R243" s="116"/>
      <c r="S243" s="191"/>
      <c r="T243" s="191"/>
      <c r="U243" s="116"/>
      <c r="V243" s="116"/>
      <c r="W243" s="116"/>
      <c r="X243" s="117"/>
      <c r="Y243" s="116"/>
      <c r="Z243" s="114"/>
      <c r="AB243" s="119"/>
      <c r="AD243" s="119"/>
      <c r="AE243" s="119"/>
      <c r="AF243" s="119"/>
      <c r="AG243" s="119"/>
      <c r="AH243" s="119"/>
      <c r="AI243" s="119"/>
      <c r="AJ243" s="119"/>
      <c r="AK243" s="119"/>
      <c r="AL243" s="119"/>
      <c r="AM243" s="119">
        <v>1</v>
      </c>
      <c r="AN243" s="119"/>
      <c r="AO243" s="119"/>
      <c r="AP243" s="119"/>
      <c r="AQ243" s="119"/>
      <c r="AR243" s="119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7"/>
      <c r="BK243" s="117"/>
      <c r="BL243" s="117"/>
      <c r="BN243" s="117"/>
      <c r="BO243" s="117"/>
      <c r="BP243" s="120"/>
      <c r="BR243" s="117"/>
      <c r="BS243" s="117"/>
      <c r="BZ243" s="117"/>
      <c r="CA243" s="144"/>
    </row>
    <row r="244" spans="1:79" s="118" customFormat="1">
      <c r="A244" s="114"/>
      <c r="B244" s="114">
        <f t="shared" si="5"/>
        <v>0</v>
      </c>
      <c r="C244" s="136"/>
      <c r="D244" s="116"/>
      <c r="E244" s="116"/>
      <c r="F244" s="116"/>
      <c r="G244" s="115"/>
      <c r="H244" s="116"/>
      <c r="I244" s="116"/>
      <c r="J244" s="116"/>
      <c r="K244" s="116"/>
      <c r="L244" s="116"/>
      <c r="M244" s="116"/>
      <c r="N244" s="116"/>
      <c r="O244" s="116"/>
      <c r="P244" s="166"/>
      <c r="Q244" s="116"/>
      <c r="R244" s="116"/>
      <c r="S244" s="191"/>
      <c r="T244" s="191"/>
      <c r="U244" s="116"/>
      <c r="V244" s="116"/>
      <c r="W244" s="116"/>
      <c r="X244" s="117"/>
      <c r="Y244" s="116"/>
      <c r="Z244" s="114"/>
      <c r="AB244" s="119"/>
      <c r="AD244" s="119"/>
      <c r="AE244" s="119"/>
      <c r="AF244" s="119"/>
      <c r="AG244" s="119"/>
      <c r="AH244" s="119"/>
      <c r="AI244" s="119"/>
      <c r="AJ244" s="119"/>
      <c r="AK244" s="119"/>
      <c r="AL244" s="119"/>
      <c r="AM244" s="119"/>
      <c r="AN244" s="119"/>
      <c r="AO244" s="119"/>
      <c r="AP244" s="119"/>
      <c r="AQ244" s="119"/>
      <c r="AR244" s="119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7"/>
      <c r="BK244" s="117"/>
      <c r="BL244" s="117"/>
      <c r="BN244" s="117"/>
      <c r="BO244" s="117"/>
      <c r="BP244" s="120"/>
      <c r="BR244" s="117"/>
      <c r="BS244" s="117"/>
      <c r="BZ244" s="117"/>
      <c r="CA244" s="144"/>
    </row>
    <row r="245" spans="1:79" s="118" customFormat="1">
      <c r="A245" s="114"/>
      <c r="B245" s="114">
        <f t="shared" si="5"/>
        <v>0</v>
      </c>
      <c r="C245" s="136"/>
      <c r="D245" s="116"/>
      <c r="E245" s="116"/>
      <c r="F245" s="116"/>
      <c r="G245" s="115"/>
      <c r="H245" s="116"/>
      <c r="I245" s="116"/>
      <c r="J245" s="116"/>
      <c r="K245" s="116"/>
      <c r="L245" s="116"/>
      <c r="M245" s="116"/>
      <c r="N245" s="116"/>
      <c r="O245" s="116"/>
      <c r="P245" s="166"/>
      <c r="Q245" s="116"/>
      <c r="R245" s="116"/>
      <c r="S245" s="191"/>
      <c r="T245" s="191"/>
      <c r="U245" s="116"/>
      <c r="V245" s="116"/>
      <c r="W245" s="116"/>
      <c r="X245" s="117"/>
      <c r="Y245" s="116"/>
      <c r="Z245" s="114"/>
      <c r="AB245" s="119"/>
      <c r="AD245" s="119"/>
      <c r="AE245" s="119"/>
      <c r="AF245" s="119"/>
      <c r="AG245" s="119"/>
      <c r="AH245" s="119"/>
      <c r="AI245" s="119"/>
      <c r="AJ245" s="119"/>
      <c r="AK245" s="119"/>
      <c r="AL245" s="119"/>
      <c r="AM245" s="119"/>
      <c r="AN245" s="119"/>
      <c r="AO245" s="119"/>
      <c r="AP245" s="119"/>
      <c r="AQ245" s="119"/>
      <c r="AR245" s="119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7"/>
      <c r="BK245" s="117"/>
      <c r="BL245" s="117"/>
      <c r="BN245" s="117"/>
      <c r="BO245" s="117"/>
      <c r="BP245" s="120"/>
      <c r="BR245" s="117"/>
      <c r="BS245" s="117"/>
      <c r="BZ245" s="117"/>
      <c r="CA245" s="144"/>
    </row>
    <row r="246" spans="1:79" s="118" customFormat="1">
      <c r="A246" s="114"/>
      <c r="B246" s="114">
        <f t="shared" si="5"/>
        <v>0</v>
      </c>
      <c r="C246" s="136"/>
      <c r="D246" s="116"/>
      <c r="E246" s="116"/>
      <c r="F246" s="116"/>
      <c r="G246" s="115"/>
      <c r="H246" s="116"/>
      <c r="I246" s="116"/>
      <c r="J246" s="116"/>
      <c r="K246" s="116"/>
      <c r="L246" s="116"/>
      <c r="M246" s="116"/>
      <c r="N246" s="116"/>
      <c r="O246" s="116"/>
      <c r="P246" s="166"/>
      <c r="Q246" s="116"/>
      <c r="R246" s="116"/>
      <c r="S246" s="191"/>
      <c r="T246" s="191"/>
      <c r="U246" s="116"/>
      <c r="V246" s="116"/>
      <c r="W246" s="116"/>
      <c r="X246" s="117"/>
      <c r="Y246" s="116"/>
      <c r="Z246" s="114"/>
      <c r="AB246" s="119"/>
      <c r="AD246" s="119"/>
      <c r="AE246" s="119"/>
      <c r="AF246" s="119"/>
      <c r="AG246" s="119"/>
      <c r="AH246" s="119"/>
      <c r="AI246" s="119"/>
      <c r="AJ246" s="119"/>
      <c r="AK246" s="119"/>
      <c r="AL246" s="119"/>
      <c r="AM246" s="119"/>
      <c r="AN246" s="119"/>
      <c r="AO246" s="119"/>
      <c r="AP246" s="119"/>
      <c r="AQ246" s="119"/>
      <c r="AR246" s="119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7"/>
      <c r="BK246" s="117"/>
      <c r="BL246" s="117"/>
      <c r="BN246" s="117"/>
      <c r="BO246" s="117"/>
      <c r="BP246" s="120"/>
      <c r="BR246" s="117"/>
      <c r="BS246" s="117"/>
      <c r="BZ246" s="117"/>
      <c r="CA246" s="144"/>
    </row>
    <row r="247" spans="1:79" s="118" customFormat="1">
      <c r="A247" s="114"/>
      <c r="B247" s="114">
        <f t="shared" si="5"/>
        <v>0</v>
      </c>
      <c r="C247" s="136"/>
      <c r="D247" s="116"/>
      <c r="E247" s="116"/>
      <c r="F247" s="116"/>
      <c r="G247" s="115"/>
      <c r="H247" s="116"/>
      <c r="I247" s="116"/>
      <c r="J247" s="116"/>
      <c r="K247" s="116"/>
      <c r="L247" s="116"/>
      <c r="M247" s="116"/>
      <c r="N247" s="116"/>
      <c r="O247" s="116"/>
      <c r="P247" s="166"/>
      <c r="Q247" s="116"/>
      <c r="R247" s="116"/>
      <c r="S247" s="191"/>
      <c r="T247" s="191"/>
      <c r="U247" s="116"/>
      <c r="V247" s="116"/>
      <c r="W247" s="116"/>
      <c r="X247" s="117"/>
      <c r="Y247" s="116"/>
      <c r="Z247" s="114"/>
      <c r="AB247" s="119"/>
      <c r="AD247" s="119"/>
      <c r="AE247" s="119"/>
      <c r="AF247" s="119"/>
      <c r="AG247" s="119"/>
      <c r="AH247" s="119"/>
      <c r="AI247" s="119"/>
      <c r="AJ247" s="119"/>
      <c r="AK247" s="119"/>
      <c r="AL247" s="119"/>
      <c r="AM247" s="119"/>
      <c r="AN247" s="119"/>
      <c r="AO247" s="119"/>
      <c r="AP247" s="119"/>
      <c r="AQ247" s="119"/>
      <c r="AR247" s="119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7"/>
      <c r="BK247" s="117"/>
      <c r="BL247" s="117"/>
      <c r="BN247" s="117"/>
      <c r="BO247" s="117"/>
      <c r="BP247" s="120"/>
      <c r="BR247" s="117"/>
      <c r="BS247" s="117"/>
      <c r="BZ247" s="117"/>
      <c r="CA247" s="144"/>
    </row>
    <row r="248" spans="1:79" s="118" customFormat="1">
      <c r="A248" s="114"/>
      <c r="B248" s="114">
        <f t="shared" si="5"/>
        <v>0</v>
      </c>
      <c r="C248" s="136"/>
      <c r="D248" s="116"/>
      <c r="E248" s="116"/>
      <c r="F248" s="116"/>
      <c r="G248" s="115"/>
      <c r="H248" s="116"/>
      <c r="I248" s="116"/>
      <c r="J248" s="116"/>
      <c r="K248" s="116"/>
      <c r="L248" s="116"/>
      <c r="M248" s="116"/>
      <c r="N248" s="116"/>
      <c r="O248" s="116"/>
      <c r="P248" s="166"/>
      <c r="Q248" s="116"/>
      <c r="R248" s="116"/>
      <c r="S248" s="191"/>
      <c r="T248" s="191"/>
      <c r="U248" s="116"/>
      <c r="V248" s="116"/>
      <c r="W248" s="116"/>
      <c r="X248" s="117"/>
      <c r="Y248" s="116"/>
      <c r="Z248" s="114"/>
      <c r="AB248" s="119"/>
      <c r="AD248" s="119"/>
      <c r="AE248" s="119"/>
      <c r="AF248" s="119"/>
      <c r="AG248" s="119"/>
      <c r="AH248" s="119"/>
      <c r="AI248" s="119"/>
      <c r="AJ248" s="119"/>
      <c r="AK248" s="119"/>
      <c r="AL248" s="119"/>
      <c r="AM248" s="119"/>
      <c r="AN248" s="119"/>
      <c r="AO248" s="119"/>
      <c r="AP248" s="119"/>
      <c r="AQ248" s="119"/>
      <c r="AR248" s="119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7"/>
      <c r="BK248" s="117"/>
      <c r="BL248" s="117"/>
      <c r="BN248" s="117"/>
      <c r="BO248" s="117"/>
      <c r="BP248" s="120"/>
      <c r="BR248" s="117"/>
      <c r="BS248" s="117"/>
      <c r="BZ248" s="117"/>
      <c r="CA248" s="144"/>
    </row>
    <row r="249" spans="1:79" s="118" customFormat="1">
      <c r="A249" s="114"/>
      <c r="B249" s="114">
        <f t="shared" si="5"/>
        <v>0</v>
      </c>
      <c r="C249" s="136"/>
      <c r="D249" s="116"/>
      <c r="E249" s="116"/>
      <c r="F249" s="116"/>
      <c r="G249" s="115"/>
      <c r="H249" s="116"/>
      <c r="I249" s="116"/>
      <c r="J249" s="116"/>
      <c r="K249" s="116"/>
      <c r="L249" s="116"/>
      <c r="M249" s="116"/>
      <c r="N249" s="116"/>
      <c r="O249" s="116"/>
      <c r="P249" s="166"/>
      <c r="Q249" s="116"/>
      <c r="R249" s="116"/>
      <c r="S249" s="191"/>
      <c r="T249" s="191"/>
      <c r="U249" s="116"/>
      <c r="V249" s="116"/>
      <c r="W249" s="116"/>
      <c r="X249" s="117"/>
      <c r="Y249" s="116"/>
      <c r="Z249" s="114"/>
      <c r="AB249" s="119"/>
      <c r="AD249" s="119"/>
      <c r="AE249" s="119"/>
      <c r="AF249" s="119"/>
      <c r="AG249" s="119"/>
      <c r="AH249" s="119"/>
      <c r="AI249" s="119"/>
      <c r="AJ249" s="119"/>
      <c r="AK249" s="119"/>
      <c r="AL249" s="119"/>
      <c r="AM249" s="119"/>
      <c r="AN249" s="119"/>
      <c r="AO249" s="119"/>
      <c r="AP249" s="119"/>
      <c r="AQ249" s="119"/>
      <c r="AR249" s="119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7"/>
      <c r="BK249" s="117"/>
      <c r="BL249" s="117"/>
      <c r="BN249" s="117"/>
      <c r="BO249" s="117"/>
      <c r="BP249" s="120"/>
      <c r="BR249" s="117"/>
      <c r="BS249" s="117"/>
      <c r="BZ249" s="117"/>
      <c r="CA249" s="144"/>
    </row>
    <row r="250" spans="1:79" s="118" customFormat="1">
      <c r="A250" s="114"/>
      <c r="B250" s="114">
        <f t="shared" si="5"/>
        <v>0</v>
      </c>
      <c r="C250" s="136"/>
      <c r="D250" s="116"/>
      <c r="E250" s="116"/>
      <c r="F250" s="116"/>
      <c r="G250" s="115"/>
      <c r="H250" s="116"/>
      <c r="I250" s="116"/>
      <c r="J250" s="116"/>
      <c r="K250" s="116"/>
      <c r="L250" s="116"/>
      <c r="M250" s="116"/>
      <c r="N250" s="116"/>
      <c r="O250" s="116"/>
      <c r="P250" s="166"/>
      <c r="Q250" s="116"/>
      <c r="R250" s="116"/>
      <c r="S250" s="191"/>
      <c r="T250" s="191"/>
      <c r="U250" s="116"/>
      <c r="V250" s="116"/>
      <c r="W250" s="116"/>
      <c r="X250" s="117"/>
      <c r="Y250" s="116"/>
      <c r="Z250" s="114"/>
      <c r="AB250" s="119"/>
      <c r="AD250" s="119"/>
      <c r="AE250" s="119"/>
      <c r="AF250" s="119"/>
      <c r="AG250" s="119"/>
      <c r="AH250" s="119"/>
      <c r="AI250" s="119"/>
      <c r="AJ250" s="119"/>
      <c r="AK250" s="119"/>
      <c r="AL250" s="119"/>
      <c r="AM250" s="119"/>
      <c r="AN250" s="119"/>
      <c r="AO250" s="119"/>
      <c r="AP250" s="119"/>
      <c r="AQ250" s="119"/>
      <c r="AR250" s="119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7"/>
      <c r="BK250" s="117"/>
      <c r="BL250" s="117"/>
      <c r="BN250" s="117"/>
      <c r="BO250" s="117"/>
      <c r="BP250" s="120"/>
      <c r="BR250" s="117"/>
      <c r="BS250" s="117"/>
      <c r="BZ250" s="117"/>
      <c r="CA250" s="144"/>
    </row>
    <row r="251" spans="1:79" s="118" customFormat="1">
      <c r="A251" s="114"/>
      <c r="B251" s="114">
        <f t="shared" si="5"/>
        <v>0</v>
      </c>
      <c r="C251" s="136"/>
      <c r="D251" s="116"/>
      <c r="E251" s="116"/>
      <c r="F251" s="116"/>
      <c r="G251" s="115"/>
      <c r="H251" s="116"/>
      <c r="I251" s="116"/>
      <c r="J251" s="116"/>
      <c r="K251" s="116"/>
      <c r="L251" s="116"/>
      <c r="M251" s="116"/>
      <c r="N251" s="116"/>
      <c r="O251" s="116"/>
      <c r="P251" s="166"/>
      <c r="Q251" s="116"/>
      <c r="R251" s="116"/>
      <c r="S251" s="191"/>
      <c r="T251" s="191"/>
      <c r="U251" s="116"/>
      <c r="V251" s="116"/>
      <c r="W251" s="116"/>
      <c r="X251" s="117"/>
      <c r="Y251" s="116"/>
      <c r="Z251" s="114"/>
      <c r="AB251" s="119"/>
      <c r="AD251" s="119"/>
      <c r="AE251" s="119"/>
      <c r="AF251" s="119"/>
      <c r="AG251" s="119"/>
      <c r="AH251" s="119"/>
      <c r="AI251" s="119"/>
      <c r="AJ251" s="119"/>
      <c r="AK251" s="119"/>
      <c r="AL251" s="119"/>
      <c r="AM251" s="119"/>
      <c r="AN251" s="119"/>
      <c r="AO251" s="119"/>
      <c r="AP251" s="119"/>
      <c r="AQ251" s="119"/>
      <c r="AR251" s="119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7"/>
      <c r="BK251" s="117"/>
      <c r="BL251" s="117"/>
      <c r="BN251" s="117"/>
      <c r="BO251" s="117"/>
      <c r="BP251" s="120"/>
      <c r="BR251" s="117"/>
      <c r="BS251" s="117"/>
      <c r="BZ251" s="117"/>
      <c r="CA251" s="144"/>
    </row>
    <row r="252" spans="1:79" s="118" customFormat="1">
      <c r="A252" s="114"/>
      <c r="B252" s="114">
        <f t="shared" si="5"/>
        <v>0</v>
      </c>
      <c r="C252" s="136"/>
      <c r="D252" s="116"/>
      <c r="E252" s="116"/>
      <c r="F252" s="116"/>
      <c r="G252" s="115"/>
      <c r="H252" s="116"/>
      <c r="I252" s="116"/>
      <c r="J252" s="116"/>
      <c r="K252" s="116"/>
      <c r="L252" s="116"/>
      <c r="M252" s="116"/>
      <c r="N252" s="116"/>
      <c r="O252" s="116"/>
      <c r="P252" s="166"/>
      <c r="Q252" s="116"/>
      <c r="R252" s="116"/>
      <c r="S252" s="191"/>
      <c r="T252" s="191"/>
      <c r="U252" s="116"/>
      <c r="V252" s="116"/>
      <c r="W252" s="116"/>
      <c r="X252" s="117"/>
      <c r="Y252" s="116"/>
      <c r="Z252" s="114"/>
      <c r="AB252" s="119"/>
      <c r="AD252" s="119"/>
      <c r="AE252" s="119"/>
      <c r="AF252" s="119"/>
      <c r="AG252" s="119"/>
      <c r="AH252" s="119"/>
      <c r="AI252" s="119"/>
      <c r="AJ252" s="119"/>
      <c r="AK252" s="119"/>
      <c r="AL252" s="119"/>
      <c r="AM252" s="119"/>
      <c r="AN252" s="119"/>
      <c r="AO252" s="119"/>
      <c r="AP252" s="119"/>
      <c r="AQ252" s="119"/>
      <c r="AR252" s="119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7"/>
      <c r="BK252" s="117"/>
      <c r="BL252" s="117"/>
      <c r="BN252" s="117"/>
      <c r="BO252" s="117"/>
      <c r="BP252" s="120"/>
      <c r="BR252" s="117"/>
      <c r="BS252" s="117"/>
      <c r="BZ252" s="117"/>
      <c r="CA252" s="144"/>
    </row>
    <row r="253" spans="1:79" s="118" customFormat="1">
      <c r="A253" s="114"/>
      <c r="B253" s="114">
        <f t="shared" si="5"/>
        <v>0</v>
      </c>
      <c r="C253" s="136"/>
      <c r="D253" s="116"/>
      <c r="E253" s="116"/>
      <c r="F253" s="116"/>
      <c r="G253" s="115"/>
      <c r="H253" s="116"/>
      <c r="I253" s="116"/>
      <c r="J253" s="116"/>
      <c r="K253" s="116"/>
      <c r="L253" s="116"/>
      <c r="M253" s="116"/>
      <c r="N253" s="116"/>
      <c r="O253" s="116"/>
      <c r="P253" s="166"/>
      <c r="Q253" s="116"/>
      <c r="R253" s="116"/>
      <c r="S253" s="191"/>
      <c r="T253" s="191"/>
      <c r="U253" s="116"/>
      <c r="V253" s="116"/>
      <c r="W253" s="116"/>
      <c r="X253" s="117"/>
      <c r="Y253" s="116"/>
      <c r="Z253" s="114"/>
      <c r="AB253" s="119"/>
      <c r="AD253" s="119"/>
      <c r="AE253" s="119"/>
      <c r="AF253" s="119"/>
      <c r="AG253" s="119"/>
      <c r="AH253" s="119"/>
      <c r="AI253" s="119"/>
      <c r="AJ253" s="119"/>
      <c r="AK253" s="119"/>
      <c r="AL253" s="119"/>
      <c r="AM253" s="119"/>
      <c r="AN253" s="119"/>
      <c r="AO253" s="119"/>
      <c r="AP253" s="119"/>
      <c r="AQ253" s="119"/>
      <c r="AR253" s="119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7"/>
      <c r="BK253" s="117"/>
      <c r="BL253" s="117"/>
      <c r="BN253" s="117"/>
      <c r="BO253" s="117"/>
      <c r="BP253" s="120"/>
      <c r="BR253" s="117"/>
      <c r="BS253" s="117"/>
      <c r="BZ253" s="117"/>
      <c r="CA253" s="144"/>
    </row>
    <row r="254" spans="1:79" s="118" customFormat="1">
      <c r="A254" s="114"/>
      <c r="B254" s="114">
        <f t="shared" si="5"/>
        <v>0</v>
      </c>
      <c r="C254" s="136"/>
      <c r="D254" s="116"/>
      <c r="E254" s="116"/>
      <c r="F254" s="116"/>
      <c r="G254" s="115"/>
      <c r="H254" s="116"/>
      <c r="I254" s="116"/>
      <c r="J254" s="116"/>
      <c r="K254" s="116"/>
      <c r="L254" s="116"/>
      <c r="M254" s="116"/>
      <c r="N254" s="116"/>
      <c r="O254" s="116"/>
      <c r="P254" s="166"/>
      <c r="Q254" s="116"/>
      <c r="R254" s="116"/>
      <c r="S254" s="191"/>
      <c r="T254" s="191"/>
      <c r="U254" s="116"/>
      <c r="V254" s="116"/>
      <c r="W254" s="116"/>
      <c r="X254" s="117"/>
      <c r="Y254" s="116"/>
      <c r="Z254" s="114"/>
      <c r="AB254" s="119"/>
      <c r="AD254" s="119"/>
      <c r="AE254" s="119"/>
      <c r="AF254" s="119"/>
      <c r="AG254" s="119"/>
      <c r="AH254" s="119"/>
      <c r="AI254" s="119"/>
      <c r="AJ254" s="119"/>
      <c r="AK254" s="119"/>
      <c r="AL254" s="119"/>
      <c r="AM254" s="119"/>
      <c r="AN254" s="119"/>
      <c r="AO254" s="119"/>
      <c r="AP254" s="119"/>
      <c r="AQ254" s="119"/>
      <c r="AR254" s="119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7"/>
      <c r="BK254" s="117"/>
      <c r="BL254" s="117"/>
      <c r="BN254" s="117"/>
      <c r="BO254" s="117"/>
      <c r="BP254" s="120"/>
      <c r="BR254" s="117"/>
      <c r="BS254" s="117"/>
      <c r="BZ254" s="117"/>
      <c r="CA254" s="144"/>
    </row>
    <row r="255" spans="1:79" s="118" customFormat="1">
      <c r="A255" s="114"/>
      <c r="B255" s="114">
        <f t="shared" si="5"/>
        <v>0</v>
      </c>
      <c r="C255" s="136"/>
      <c r="D255" s="116"/>
      <c r="E255" s="116"/>
      <c r="F255" s="116"/>
      <c r="G255" s="115"/>
      <c r="H255" s="116"/>
      <c r="I255" s="116"/>
      <c r="J255" s="116"/>
      <c r="K255" s="116"/>
      <c r="L255" s="116"/>
      <c r="M255" s="116"/>
      <c r="N255" s="116"/>
      <c r="O255" s="116"/>
      <c r="P255" s="166"/>
      <c r="Q255" s="116"/>
      <c r="R255" s="116"/>
      <c r="S255" s="191"/>
      <c r="T255" s="191"/>
      <c r="U255" s="116"/>
      <c r="V255" s="116"/>
      <c r="W255" s="116"/>
      <c r="X255" s="117"/>
      <c r="Y255" s="116"/>
      <c r="Z255" s="114"/>
      <c r="AB255" s="119"/>
      <c r="AD255" s="119"/>
      <c r="AE255" s="119"/>
      <c r="AF255" s="119"/>
      <c r="AG255" s="119"/>
      <c r="AH255" s="119"/>
      <c r="AI255" s="119"/>
      <c r="AJ255" s="119"/>
      <c r="AK255" s="119"/>
      <c r="AL255" s="119"/>
      <c r="AM255" s="119"/>
      <c r="AN255" s="119"/>
      <c r="AO255" s="119"/>
      <c r="AP255" s="119"/>
      <c r="AQ255" s="119"/>
      <c r="AR255" s="119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7"/>
      <c r="BK255" s="117"/>
      <c r="BL255" s="117"/>
      <c r="BN255" s="117"/>
      <c r="BO255" s="117"/>
      <c r="BP255" s="120"/>
      <c r="BR255" s="117"/>
      <c r="BS255" s="117"/>
      <c r="BZ255" s="117"/>
      <c r="CA255" s="144"/>
    </row>
    <row r="256" spans="1:79" s="118" customFormat="1">
      <c r="A256" s="114"/>
      <c r="B256" s="114">
        <f t="shared" si="5"/>
        <v>0</v>
      </c>
      <c r="C256" s="136"/>
      <c r="D256" s="116"/>
      <c r="E256" s="116"/>
      <c r="F256" s="116"/>
      <c r="G256" s="115"/>
      <c r="H256" s="116"/>
      <c r="I256" s="116"/>
      <c r="J256" s="116"/>
      <c r="K256" s="116"/>
      <c r="L256" s="116"/>
      <c r="M256" s="116"/>
      <c r="N256" s="116"/>
      <c r="O256" s="116"/>
      <c r="P256" s="166"/>
      <c r="Q256" s="116"/>
      <c r="R256" s="116"/>
      <c r="S256" s="191"/>
      <c r="T256" s="191"/>
      <c r="U256" s="116"/>
      <c r="V256" s="116"/>
      <c r="W256" s="116"/>
      <c r="X256" s="117"/>
      <c r="Y256" s="116"/>
      <c r="Z256" s="114"/>
      <c r="AB256" s="119"/>
      <c r="AD256" s="119"/>
      <c r="AE256" s="119"/>
      <c r="AF256" s="119"/>
      <c r="AG256" s="119"/>
      <c r="AH256" s="119"/>
      <c r="AI256" s="119"/>
      <c r="AJ256" s="119"/>
      <c r="AK256" s="119"/>
      <c r="AL256" s="119"/>
      <c r="AM256" s="119"/>
      <c r="AN256" s="119"/>
      <c r="AO256" s="119"/>
      <c r="AP256" s="119"/>
      <c r="AQ256" s="119"/>
      <c r="AR256" s="119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7"/>
      <c r="BK256" s="117"/>
      <c r="BL256" s="117"/>
      <c r="BN256" s="117"/>
      <c r="BO256" s="117"/>
      <c r="BP256" s="120"/>
      <c r="BR256" s="117"/>
      <c r="BS256" s="117"/>
      <c r="BZ256" s="117"/>
      <c r="CA256" s="144"/>
    </row>
    <row r="257" spans="1:79" s="118" customFormat="1">
      <c r="A257" s="114"/>
      <c r="B257" s="114">
        <f t="shared" si="5"/>
        <v>0</v>
      </c>
      <c r="C257" s="136"/>
      <c r="D257" s="116"/>
      <c r="E257" s="116"/>
      <c r="F257" s="116"/>
      <c r="G257" s="115"/>
      <c r="H257" s="116"/>
      <c r="I257" s="116"/>
      <c r="J257" s="116"/>
      <c r="K257" s="116"/>
      <c r="L257" s="116"/>
      <c r="M257" s="116"/>
      <c r="N257" s="116"/>
      <c r="O257" s="116"/>
      <c r="P257" s="166"/>
      <c r="Q257" s="116"/>
      <c r="R257" s="116"/>
      <c r="S257" s="191"/>
      <c r="T257" s="191"/>
      <c r="U257" s="116"/>
      <c r="V257" s="116"/>
      <c r="W257" s="116"/>
      <c r="X257" s="117"/>
      <c r="Y257" s="116"/>
      <c r="Z257" s="114"/>
      <c r="AB257" s="119"/>
      <c r="AD257" s="119"/>
      <c r="AE257" s="119"/>
      <c r="AF257" s="119"/>
      <c r="AG257" s="119"/>
      <c r="AH257" s="119"/>
      <c r="AI257" s="119"/>
      <c r="AJ257" s="119"/>
      <c r="AK257" s="119"/>
      <c r="AL257" s="119"/>
      <c r="AM257" s="119"/>
      <c r="AN257" s="119"/>
      <c r="AO257" s="119"/>
      <c r="AP257" s="119"/>
      <c r="AQ257" s="119"/>
      <c r="AR257" s="119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7"/>
      <c r="BK257" s="117"/>
      <c r="BL257" s="117"/>
      <c r="BN257" s="117"/>
      <c r="BO257" s="117"/>
      <c r="BP257" s="120"/>
      <c r="BR257" s="117"/>
      <c r="BS257" s="117"/>
      <c r="BZ257" s="117"/>
      <c r="CA257" s="144"/>
    </row>
    <row r="258" spans="1:79" s="118" customFormat="1">
      <c r="A258" s="114"/>
      <c r="B258" s="114">
        <f t="shared" si="5"/>
        <v>0</v>
      </c>
      <c r="C258" s="136"/>
      <c r="D258" s="116"/>
      <c r="E258" s="116"/>
      <c r="F258" s="116"/>
      <c r="G258" s="115"/>
      <c r="H258" s="116"/>
      <c r="I258" s="116"/>
      <c r="J258" s="116"/>
      <c r="K258" s="116"/>
      <c r="L258" s="116"/>
      <c r="M258" s="116"/>
      <c r="N258" s="116"/>
      <c r="O258" s="116"/>
      <c r="P258" s="166"/>
      <c r="Q258" s="116"/>
      <c r="R258" s="116"/>
      <c r="S258" s="191"/>
      <c r="T258" s="191"/>
      <c r="U258" s="116"/>
      <c r="V258" s="116"/>
      <c r="W258" s="116"/>
      <c r="X258" s="117"/>
      <c r="Y258" s="116"/>
      <c r="Z258" s="114"/>
      <c r="AB258" s="119"/>
      <c r="AD258" s="119"/>
      <c r="AE258" s="119"/>
      <c r="AF258" s="119"/>
      <c r="AG258" s="119"/>
      <c r="AH258" s="119"/>
      <c r="AI258" s="119"/>
      <c r="AJ258" s="119"/>
      <c r="AK258" s="119"/>
      <c r="AL258" s="119"/>
      <c r="AM258" s="119"/>
      <c r="AN258" s="119"/>
      <c r="AO258" s="119"/>
      <c r="AP258" s="119"/>
      <c r="AQ258" s="119"/>
      <c r="AR258" s="119"/>
      <c r="AS258" s="116"/>
      <c r="AT258" s="116"/>
      <c r="AU258" s="116"/>
      <c r="AV258" s="116"/>
      <c r="AW258" s="116"/>
      <c r="AX258" s="116"/>
      <c r="AY258" s="116"/>
      <c r="AZ258" s="116"/>
      <c r="BA258" s="116"/>
      <c r="BB258" s="116"/>
      <c r="BC258" s="116"/>
      <c r="BD258" s="116"/>
      <c r="BE258" s="116"/>
      <c r="BF258" s="116"/>
      <c r="BG258" s="116"/>
      <c r="BH258" s="116"/>
      <c r="BI258" s="116"/>
      <c r="BJ258" s="117"/>
      <c r="BK258" s="117"/>
      <c r="BL258" s="117"/>
      <c r="BN258" s="117"/>
      <c r="BO258" s="117"/>
      <c r="BP258" s="120"/>
      <c r="BR258" s="117"/>
      <c r="BS258" s="117"/>
      <c r="BZ258" s="117"/>
      <c r="CA258" s="144"/>
    </row>
    <row r="259" spans="1:79" s="118" customFormat="1" ht="27">
      <c r="A259" s="114"/>
      <c r="B259" s="114">
        <f t="shared" si="5"/>
        <v>2</v>
      </c>
      <c r="C259" s="136" t="s">
        <v>990</v>
      </c>
      <c r="D259" s="116"/>
      <c r="E259" s="116"/>
      <c r="F259" s="116"/>
      <c r="G259" s="115"/>
      <c r="H259" s="116"/>
      <c r="I259" s="116"/>
      <c r="J259" s="116"/>
      <c r="K259" s="116"/>
      <c r="L259" s="116"/>
      <c r="M259" s="116"/>
      <c r="N259" s="116"/>
      <c r="O259" s="116"/>
      <c r="P259" s="166"/>
      <c r="Q259" s="116"/>
      <c r="R259" s="116"/>
      <c r="S259" s="191"/>
      <c r="T259" s="191"/>
      <c r="U259" s="116"/>
      <c r="V259" s="116"/>
      <c r="W259" s="116"/>
      <c r="X259" s="117"/>
      <c r="Y259" s="116"/>
      <c r="Z259" s="114"/>
      <c r="AB259" s="119"/>
      <c r="AD259" s="119"/>
      <c r="AE259" s="119"/>
      <c r="AF259" s="119"/>
      <c r="AG259" s="119"/>
      <c r="AH259" s="119"/>
      <c r="AI259" s="119"/>
      <c r="AJ259" s="119"/>
      <c r="AK259" s="119"/>
      <c r="AL259" s="119"/>
      <c r="AM259" s="119"/>
      <c r="AN259" s="119"/>
      <c r="AO259" s="130">
        <v>0</v>
      </c>
      <c r="AP259" s="119"/>
      <c r="AQ259" s="119"/>
      <c r="AR259" s="119"/>
      <c r="AS259" s="125" t="s">
        <v>948</v>
      </c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7"/>
      <c r="BK259" s="117"/>
      <c r="BL259" s="117"/>
      <c r="BN259" s="117"/>
      <c r="BO259" s="117"/>
      <c r="BP259" s="120"/>
      <c r="BR259" s="117"/>
      <c r="BS259" s="117"/>
      <c r="BZ259" s="117"/>
      <c r="CA259" s="144"/>
    </row>
    <row r="260" spans="1:79" s="118" customFormat="1">
      <c r="A260" s="114"/>
      <c r="B260" s="114">
        <f t="shared" si="5"/>
        <v>2</v>
      </c>
      <c r="C260" s="136" t="s">
        <v>992</v>
      </c>
      <c r="D260" s="116"/>
      <c r="E260" s="116"/>
      <c r="F260" s="116"/>
      <c r="G260" s="115"/>
      <c r="H260" s="116"/>
      <c r="I260" s="116"/>
      <c r="J260" s="116"/>
      <c r="K260" s="116"/>
      <c r="L260" s="116"/>
      <c r="M260" s="116"/>
      <c r="N260" s="116"/>
      <c r="O260" s="116"/>
      <c r="P260" s="166"/>
      <c r="Q260" s="116"/>
      <c r="R260" s="116"/>
      <c r="S260" s="191"/>
      <c r="T260" s="191"/>
      <c r="U260" s="116"/>
      <c r="V260" s="116"/>
      <c r="W260" s="116"/>
      <c r="X260" s="117"/>
      <c r="Y260" s="116"/>
      <c r="Z260" s="114"/>
      <c r="AB260" s="119"/>
      <c r="AD260" s="119"/>
      <c r="AE260" s="119"/>
      <c r="AF260" s="119"/>
      <c r="AG260" s="119"/>
      <c r="AH260" s="119"/>
      <c r="AI260" s="119"/>
      <c r="AJ260" s="119"/>
      <c r="AK260" s="119">
        <v>10</v>
      </c>
      <c r="AL260" s="119"/>
      <c r="AM260" s="119"/>
      <c r="AN260" s="119"/>
      <c r="AO260" s="130">
        <v>0</v>
      </c>
      <c r="AP260" s="119"/>
      <c r="AQ260" s="130">
        <v>0</v>
      </c>
      <c r="AR260" s="119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7"/>
      <c r="BK260" s="117"/>
      <c r="BL260" s="117"/>
      <c r="BN260" s="117"/>
      <c r="BO260" s="117"/>
      <c r="BP260" s="120"/>
      <c r="BR260" s="117"/>
      <c r="BS260" s="117"/>
      <c r="BZ260" s="117"/>
      <c r="CA260" s="145">
        <v>44604.625173611108</v>
      </c>
    </row>
    <row r="261" spans="1:79" s="118" customFormat="1" ht="27">
      <c r="A261" s="114"/>
      <c r="B261" s="114">
        <f t="shared" si="5"/>
        <v>1</v>
      </c>
      <c r="C261" s="136" t="s">
        <v>993</v>
      </c>
      <c r="D261" s="116"/>
      <c r="E261" s="116"/>
      <c r="F261" s="116"/>
      <c r="G261" s="115"/>
      <c r="H261" s="116"/>
      <c r="I261" s="116"/>
      <c r="J261" s="116"/>
      <c r="K261" s="116"/>
      <c r="L261" s="116"/>
      <c r="M261" s="116"/>
      <c r="N261" s="116"/>
      <c r="O261" s="116"/>
      <c r="P261" s="166"/>
      <c r="Q261" s="116"/>
      <c r="R261" s="116"/>
      <c r="S261" s="191"/>
      <c r="T261" s="191"/>
      <c r="U261" s="116"/>
      <c r="V261" s="116"/>
      <c r="W261" s="116"/>
      <c r="X261" s="117"/>
      <c r="Y261" s="116"/>
      <c r="Z261" s="114"/>
      <c r="AB261" s="119"/>
      <c r="AD261" s="119"/>
      <c r="AE261" s="119"/>
      <c r="AF261" s="119"/>
      <c r="AG261" s="119"/>
      <c r="AH261" s="119"/>
      <c r="AI261" s="119"/>
      <c r="AJ261" s="119"/>
      <c r="AK261" s="119"/>
      <c r="AL261" s="119"/>
      <c r="AM261" s="119"/>
      <c r="AN261" s="119"/>
      <c r="AO261" s="130">
        <v>0</v>
      </c>
      <c r="AP261" s="119"/>
      <c r="AQ261" s="119"/>
      <c r="AR261" s="119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7"/>
      <c r="BK261" s="117"/>
      <c r="BL261" s="117"/>
      <c r="BN261" s="117"/>
      <c r="BO261" s="117"/>
      <c r="BP261" s="120"/>
      <c r="BR261" s="117"/>
      <c r="BS261" s="117"/>
      <c r="BZ261" s="117"/>
      <c r="CA261" s="144"/>
    </row>
    <row r="262" spans="1:79" s="118" customFormat="1">
      <c r="A262" s="114"/>
      <c r="B262" s="114">
        <f t="shared" si="5"/>
        <v>1</v>
      </c>
      <c r="C262" s="136" t="s">
        <v>995</v>
      </c>
      <c r="D262" s="116"/>
      <c r="E262" s="116"/>
      <c r="F262" s="116"/>
      <c r="G262" s="115"/>
      <c r="H262" s="116"/>
      <c r="I262" s="116"/>
      <c r="J262" s="116"/>
      <c r="K262" s="116"/>
      <c r="L262" s="116"/>
      <c r="M262" s="116"/>
      <c r="N262" s="116"/>
      <c r="O262" s="116"/>
      <c r="P262" s="166"/>
      <c r="Q262" s="116"/>
      <c r="R262" s="116"/>
      <c r="S262" s="191"/>
      <c r="T262" s="191"/>
      <c r="U262" s="116"/>
      <c r="V262" s="116"/>
      <c r="W262" s="116"/>
      <c r="X262" s="117"/>
      <c r="Y262" s="116"/>
      <c r="Z262" s="114"/>
      <c r="AB262" s="119"/>
      <c r="AD262" s="119"/>
      <c r="AE262" s="119"/>
      <c r="AF262" s="119"/>
      <c r="AG262" s="119"/>
      <c r="AH262" s="119"/>
      <c r="AI262" s="119"/>
      <c r="AJ262" s="119"/>
      <c r="AK262" s="119"/>
      <c r="AL262" s="119"/>
      <c r="AM262" s="119"/>
      <c r="AN262" s="119"/>
      <c r="AO262" s="130">
        <v>0</v>
      </c>
      <c r="AP262" s="119"/>
      <c r="AQ262" s="119"/>
      <c r="AR262" s="119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7"/>
      <c r="BK262" s="117"/>
      <c r="BL262" s="117"/>
      <c r="BN262" s="117"/>
      <c r="BO262" s="117"/>
      <c r="BP262" s="120"/>
      <c r="BR262" s="117"/>
      <c r="BS262" s="117"/>
      <c r="BZ262" s="117"/>
      <c r="CA262" s="144"/>
    </row>
    <row r="263" spans="1:79" s="118" customFormat="1">
      <c r="A263" s="114"/>
      <c r="B263" s="114">
        <f t="shared" si="5"/>
        <v>1</v>
      </c>
      <c r="C263" s="136" t="s">
        <v>996</v>
      </c>
      <c r="D263" s="116"/>
      <c r="E263" s="116"/>
      <c r="F263" s="116"/>
      <c r="G263" s="115"/>
      <c r="H263" s="116"/>
      <c r="I263" s="116"/>
      <c r="J263" s="116"/>
      <c r="K263" s="116"/>
      <c r="L263" s="116"/>
      <c r="M263" s="116"/>
      <c r="N263" s="116"/>
      <c r="O263" s="116"/>
      <c r="P263" s="166"/>
      <c r="Q263" s="116"/>
      <c r="R263" s="116"/>
      <c r="S263" s="191"/>
      <c r="T263" s="191"/>
      <c r="U263" s="116"/>
      <c r="V263" s="116"/>
      <c r="W263" s="116"/>
      <c r="X263" s="117"/>
      <c r="Y263" s="116"/>
      <c r="Z263" s="114"/>
      <c r="AB263" s="119"/>
      <c r="AD263" s="119"/>
      <c r="AE263" s="119"/>
      <c r="AF263" s="119"/>
      <c r="AG263" s="119"/>
      <c r="AH263" s="119"/>
      <c r="AI263" s="119"/>
      <c r="AJ263" s="119"/>
      <c r="AK263" s="119"/>
      <c r="AL263" s="119"/>
      <c r="AM263" s="119"/>
      <c r="AN263" s="119"/>
      <c r="AO263" s="130">
        <v>0</v>
      </c>
      <c r="AP263" s="119"/>
      <c r="AQ263" s="119"/>
      <c r="AR263" s="119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7"/>
      <c r="BK263" s="117"/>
      <c r="BL263" s="117"/>
      <c r="BN263" s="117"/>
      <c r="BO263" s="117"/>
      <c r="BP263" s="120"/>
      <c r="BR263" s="117"/>
      <c r="BS263" s="117"/>
      <c r="BZ263" s="117"/>
      <c r="CA263" s="144"/>
    </row>
    <row r="264" spans="1:79" s="118" customFormat="1">
      <c r="A264" s="114"/>
      <c r="B264" s="114">
        <f t="shared" ref="B264:B327" si="6">COUNTA(AO264:AW264)</f>
        <v>0</v>
      </c>
      <c r="C264" s="136" t="s">
        <v>997</v>
      </c>
      <c r="D264" s="116"/>
      <c r="E264" s="116"/>
      <c r="F264" s="116"/>
      <c r="G264" s="115"/>
      <c r="H264" s="116"/>
      <c r="I264" s="116"/>
      <c r="J264" s="116"/>
      <c r="K264" s="116"/>
      <c r="L264" s="116"/>
      <c r="M264" s="116"/>
      <c r="N264" s="116"/>
      <c r="O264" s="116"/>
      <c r="P264" s="166"/>
      <c r="Q264" s="116"/>
      <c r="R264" s="116"/>
      <c r="S264" s="191"/>
      <c r="T264" s="191"/>
      <c r="U264" s="116"/>
      <c r="V264" s="116"/>
      <c r="W264" s="116"/>
      <c r="X264" s="117"/>
      <c r="Y264" s="116"/>
      <c r="Z264" s="114"/>
      <c r="AB264" s="119"/>
      <c r="AD264" s="119"/>
      <c r="AE264" s="119"/>
      <c r="AF264" s="119"/>
      <c r="AG264" s="119"/>
      <c r="AH264" s="119"/>
      <c r="AI264" s="119"/>
      <c r="AJ264" s="119"/>
      <c r="AK264" s="119"/>
      <c r="AL264" s="119"/>
      <c r="AM264" s="119"/>
      <c r="AN264" s="119"/>
      <c r="AO264" s="116"/>
      <c r="AP264" s="119"/>
      <c r="AQ264" s="119"/>
      <c r="AR264" s="119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7"/>
      <c r="BK264" s="117"/>
      <c r="BL264" s="117"/>
      <c r="BN264" s="117"/>
      <c r="BO264" s="117"/>
      <c r="BP264" s="120"/>
      <c r="BR264" s="117"/>
      <c r="BS264" s="117"/>
      <c r="BZ264" s="117"/>
      <c r="CA264" s="144"/>
    </row>
    <row r="265" spans="1:79" s="118" customFormat="1">
      <c r="A265" s="114"/>
      <c r="B265" s="114">
        <f t="shared" si="6"/>
        <v>0</v>
      </c>
      <c r="C265" s="136"/>
      <c r="D265" s="116"/>
      <c r="E265" s="116"/>
      <c r="F265" s="116"/>
      <c r="G265" s="115"/>
      <c r="H265" s="116"/>
      <c r="I265" s="116"/>
      <c r="J265" s="116"/>
      <c r="K265" s="116"/>
      <c r="L265" s="116"/>
      <c r="M265" s="116"/>
      <c r="N265" s="116"/>
      <c r="O265" s="116"/>
      <c r="P265" s="166"/>
      <c r="Q265" s="116"/>
      <c r="R265" s="116"/>
      <c r="S265" s="191"/>
      <c r="T265" s="191"/>
      <c r="U265" s="116"/>
      <c r="V265" s="116"/>
      <c r="W265" s="116"/>
      <c r="X265" s="117"/>
      <c r="Y265" s="116"/>
      <c r="Z265" s="114"/>
      <c r="AB265" s="119"/>
      <c r="AD265" s="119"/>
      <c r="AE265" s="119"/>
      <c r="AF265" s="119"/>
      <c r="AG265" s="119"/>
      <c r="AH265" s="119"/>
      <c r="AI265" s="119"/>
      <c r="AJ265" s="119"/>
      <c r="AK265" s="119"/>
      <c r="AL265" s="119"/>
      <c r="AM265" s="119"/>
      <c r="AN265" s="119"/>
      <c r="AO265" s="116"/>
      <c r="AP265" s="119"/>
      <c r="AQ265" s="119"/>
      <c r="AR265" s="119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7"/>
      <c r="BK265" s="117"/>
      <c r="BL265" s="117"/>
      <c r="BN265" s="117"/>
      <c r="BO265" s="117"/>
      <c r="BP265" s="120"/>
      <c r="BR265" s="117"/>
      <c r="BS265" s="117"/>
      <c r="BZ265" s="117"/>
      <c r="CA265" s="144"/>
    </row>
    <row r="266" spans="1:79" s="118" customFormat="1">
      <c r="A266" s="114"/>
      <c r="B266" s="114">
        <f t="shared" si="6"/>
        <v>2</v>
      </c>
      <c r="C266" s="136" t="s">
        <v>1001</v>
      </c>
      <c r="D266" s="116"/>
      <c r="E266" s="116"/>
      <c r="F266" s="116"/>
      <c r="G266" s="115"/>
      <c r="H266" s="116"/>
      <c r="I266" s="116"/>
      <c r="J266" s="116"/>
      <c r="K266" s="116"/>
      <c r="L266" s="116"/>
      <c r="M266" s="116"/>
      <c r="N266" s="116"/>
      <c r="O266" s="116"/>
      <c r="P266" s="166"/>
      <c r="Q266" s="116"/>
      <c r="R266" s="116"/>
      <c r="S266" s="191"/>
      <c r="T266" s="191"/>
      <c r="U266" s="116"/>
      <c r="V266" s="116"/>
      <c r="W266" s="116"/>
      <c r="X266" s="117"/>
      <c r="Y266" s="116"/>
      <c r="Z266" s="114"/>
      <c r="AB266" s="119"/>
      <c r="AD266" s="119"/>
      <c r="AE266" s="119"/>
      <c r="AF266" s="119"/>
      <c r="AG266" s="119"/>
      <c r="AH266" s="119"/>
      <c r="AI266" s="119"/>
      <c r="AJ266" s="119"/>
      <c r="AK266" s="119"/>
      <c r="AL266" s="119"/>
      <c r="AM266" s="119"/>
      <c r="AN266" s="119"/>
      <c r="AO266" s="116"/>
      <c r="AP266" s="130">
        <v>0</v>
      </c>
      <c r="AQ266" s="130">
        <v>0</v>
      </c>
      <c r="AR266" s="119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7"/>
      <c r="BK266" s="117"/>
      <c r="BL266" s="117"/>
      <c r="BN266" s="117"/>
      <c r="BO266" s="117"/>
      <c r="BP266" s="120"/>
      <c r="BR266" s="117"/>
      <c r="BS266" s="117"/>
      <c r="BZ266" s="117"/>
      <c r="CA266" s="145">
        <v>44596.642962962964</v>
      </c>
    </row>
    <row r="267" spans="1:79" s="118" customFormat="1">
      <c r="A267" s="114"/>
      <c r="B267" s="114">
        <f t="shared" si="6"/>
        <v>1</v>
      </c>
      <c r="C267" s="136" t="s">
        <v>1004</v>
      </c>
      <c r="D267" s="116"/>
      <c r="E267" s="116"/>
      <c r="F267" s="116"/>
      <c r="G267" s="115"/>
      <c r="H267" s="116"/>
      <c r="I267" s="116"/>
      <c r="J267" s="116"/>
      <c r="K267" s="116"/>
      <c r="L267" s="116"/>
      <c r="M267" s="116"/>
      <c r="N267" s="116"/>
      <c r="O267" s="116"/>
      <c r="P267" s="166"/>
      <c r="Q267" s="116"/>
      <c r="R267" s="116"/>
      <c r="S267" s="191"/>
      <c r="T267" s="191"/>
      <c r="U267" s="116"/>
      <c r="V267" s="116"/>
      <c r="W267" s="116"/>
      <c r="X267" s="117"/>
      <c r="Y267" s="116"/>
      <c r="Z267" s="114"/>
      <c r="AB267" s="119"/>
      <c r="AD267" s="119"/>
      <c r="AE267" s="119"/>
      <c r="AF267" s="119"/>
      <c r="AG267" s="119"/>
      <c r="AH267" s="119"/>
      <c r="AI267" s="119"/>
      <c r="AJ267" s="119"/>
      <c r="AK267" s="119"/>
      <c r="AL267" s="119"/>
      <c r="AM267" s="119"/>
      <c r="AN267" s="119"/>
      <c r="AO267" s="116"/>
      <c r="AP267" s="130">
        <v>0</v>
      </c>
      <c r="AQ267" s="119"/>
      <c r="AR267" s="119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7"/>
      <c r="BK267" s="117"/>
      <c r="BL267" s="117"/>
      <c r="BN267" s="117"/>
      <c r="BO267" s="117"/>
      <c r="BP267" s="120"/>
      <c r="BR267" s="117"/>
      <c r="BS267" s="117"/>
      <c r="BZ267" s="117"/>
      <c r="CA267" s="144"/>
    </row>
    <row r="268" spans="1:79" s="118" customFormat="1">
      <c r="A268" s="114"/>
      <c r="B268" s="114">
        <f t="shared" si="6"/>
        <v>1</v>
      </c>
      <c r="C268" s="136" t="s">
        <v>1005</v>
      </c>
      <c r="D268" s="116"/>
      <c r="E268" s="116"/>
      <c r="F268" s="116"/>
      <c r="G268" s="115"/>
      <c r="H268" s="116"/>
      <c r="I268" s="116"/>
      <c r="J268" s="116"/>
      <c r="K268" s="116"/>
      <c r="L268" s="116"/>
      <c r="M268" s="116"/>
      <c r="N268" s="116"/>
      <c r="O268" s="116"/>
      <c r="P268" s="166"/>
      <c r="Q268" s="116"/>
      <c r="R268" s="116"/>
      <c r="S268" s="191"/>
      <c r="T268" s="191"/>
      <c r="U268" s="116"/>
      <c r="V268" s="116"/>
      <c r="W268" s="116"/>
      <c r="X268" s="117"/>
      <c r="Y268" s="116"/>
      <c r="Z268" s="114"/>
      <c r="AB268" s="119"/>
      <c r="AD268" s="119"/>
      <c r="AE268" s="119"/>
      <c r="AF268" s="119"/>
      <c r="AG268" s="119"/>
      <c r="AH268" s="119"/>
      <c r="AI268" s="119"/>
      <c r="AJ268" s="119"/>
      <c r="AK268" s="119"/>
      <c r="AL268" s="119"/>
      <c r="AM268" s="119"/>
      <c r="AN268" s="119"/>
      <c r="AO268" s="116"/>
      <c r="AP268" s="130">
        <v>0</v>
      </c>
      <c r="AQ268" s="119"/>
      <c r="AR268" s="119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7"/>
      <c r="BK268" s="117"/>
      <c r="BL268" s="117"/>
      <c r="BN268" s="117"/>
      <c r="BO268" s="117"/>
      <c r="BP268" s="120"/>
      <c r="BR268" s="117"/>
      <c r="BS268" s="117"/>
      <c r="BZ268" s="117"/>
      <c r="CA268" s="145">
        <v>44604.633553240739</v>
      </c>
    </row>
    <row r="269" spans="1:79" s="118" customFormat="1">
      <c r="A269" s="114"/>
      <c r="B269" s="114">
        <f t="shared" si="6"/>
        <v>1</v>
      </c>
      <c r="C269" s="136" t="s">
        <v>1007</v>
      </c>
      <c r="D269" s="116"/>
      <c r="E269" s="116"/>
      <c r="F269" s="116"/>
      <c r="G269" s="115"/>
      <c r="H269" s="116"/>
      <c r="I269" s="116"/>
      <c r="J269" s="116"/>
      <c r="K269" s="116"/>
      <c r="L269" s="116"/>
      <c r="M269" s="116"/>
      <c r="N269" s="116"/>
      <c r="O269" s="116"/>
      <c r="P269" s="166"/>
      <c r="Q269" s="116"/>
      <c r="R269" s="116"/>
      <c r="S269" s="191"/>
      <c r="T269" s="191"/>
      <c r="U269" s="116"/>
      <c r="V269" s="116"/>
      <c r="W269" s="116"/>
      <c r="X269" s="117"/>
      <c r="Y269" s="116"/>
      <c r="Z269" s="114"/>
      <c r="AB269" s="119"/>
      <c r="AD269" s="119"/>
      <c r="AE269" s="119"/>
      <c r="AF269" s="119"/>
      <c r="AG269" s="119"/>
      <c r="AH269" s="119"/>
      <c r="AI269" s="119"/>
      <c r="AJ269" s="119"/>
      <c r="AK269" s="119"/>
      <c r="AL269" s="119"/>
      <c r="AM269" s="119"/>
      <c r="AN269" s="119"/>
      <c r="AO269" s="116"/>
      <c r="AP269" s="130">
        <v>0</v>
      </c>
      <c r="AQ269" s="119"/>
      <c r="AR269" s="119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7"/>
      <c r="BK269" s="117"/>
      <c r="BL269" s="117"/>
      <c r="BN269" s="117"/>
      <c r="BO269" s="117"/>
      <c r="BP269" s="120"/>
      <c r="BR269" s="117"/>
      <c r="BS269" s="117"/>
      <c r="BZ269" s="117"/>
      <c r="CA269" s="144"/>
    </row>
    <row r="270" spans="1:79" s="118" customFormat="1">
      <c r="A270" s="114"/>
      <c r="B270" s="114">
        <f t="shared" si="6"/>
        <v>1</v>
      </c>
      <c r="C270" s="136" t="s">
        <v>1008</v>
      </c>
      <c r="D270" s="116"/>
      <c r="E270" s="116"/>
      <c r="F270" s="116"/>
      <c r="G270" s="115"/>
      <c r="H270" s="116"/>
      <c r="I270" s="116"/>
      <c r="J270" s="116"/>
      <c r="K270" s="116"/>
      <c r="L270" s="116"/>
      <c r="M270" s="116"/>
      <c r="N270" s="116"/>
      <c r="O270" s="116"/>
      <c r="P270" s="166"/>
      <c r="Q270" s="116"/>
      <c r="R270" s="116"/>
      <c r="S270" s="191"/>
      <c r="T270" s="191"/>
      <c r="U270" s="116"/>
      <c r="V270" s="116"/>
      <c r="W270" s="116"/>
      <c r="X270" s="117"/>
      <c r="Y270" s="116"/>
      <c r="Z270" s="114"/>
      <c r="AB270" s="119"/>
      <c r="AD270" s="119"/>
      <c r="AE270" s="119"/>
      <c r="AF270" s="119"/>
      <c r="AG270" s="119"/>
      <c r="AH270" s="119"/>
      <c r="AI270" s="119"/>
      <c r="AJ270" s="119"/>
      <c r="AK270" s="119"/>
      <c r="AL270" s="119">
        <v>10</v>
      </c>
      <c r="AM270" s="119"/>
      <c r="AN270" s="119"/>
      <c r="AO270" s="116"/>
      <c r="AP270" s="130">
        <v>0</v>
      </c>
      <c r="AQ270" s="119"/>
      <c r="AR270" s="119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7"/>
      <c r="BK270" s="117"/>
      <c r="BL270" s="117"/>
      <c r="BN270" s="117"/>
      <c r="BO270" s="117"/>
      <c r="BP270" s="120"/>
      <c r="BR270" s="117"/>
      <c r="BS270" s="117"/>
      <c r="BZ270" s="117"/>
      <c r="CA270" s="144"/>
    </row>
    <row r="271" spans="1:79" s="118" customFormat="1">
      <c r="A271" s="114"/>
      <c r="B271" s="114">
        <f t="shared" si="6"/>
        <v>0</v>
      </c>
      <c r="C271" s="136"/>
      <c r="D271" s="116"/>
      <c r="E271" s="116"/>
      <c r="F271" s="116"/>
      <c r="G271" s="115"/>
      <c r="H271" s="116"/>
      <c r="I271" s="116"/>
      <c r="J271" s="116"/>
      <c r="K271" s="116"/>
      <c r="L271" s="116"/>
      <c r="M271" s="116"/>
      <c r="N271" s="116"/>
      <c r="O271" s="116"/>
      <c r="P271" s="166"/>
      <c r="Q271" s="116"/>
      <c r="R271" s="116"/>
      <c r="S271" s="191"/>
      <c r="T271" s="191"/>
      <c r="U271" s="116"/>
      <c r="V271" s="116"/>
      <c r="W271" s="116"/>
      <c r="X271" s="117"/>
      <c r="Y271" s="116"/>
      <c r="Z271" s="114"/>
      <c r="AB271" s="119"/>
      <c r="AD271" s="119"/>
      <c r="AE271" s="119"/>
      <c r="AF271" s="119"/>
      <c r="AG271" s="119"/>
      <c r="AH271" s="119"/>
      <c r="AI271" s="119"/>
      <c r="AJ271" s="119"/>
      <c r="AK271" s="119"/>
      <c r="AL271" s="119"/>
      <c r="AM271" s="119"/>
      <c r="AN271" s="119"/>
      <c r="AO271" s="116"/>
      <c r="AP271" s="119"/>
      <c r="AQ271" s="119"/>
      <c r="AR271" s="119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7"/>
      <c r="BK271" s="117"/>
      <c r="BL271" s="117"/>
      <c r="BN271" s="117"/>
      <c r="BO271" s="117"/>
      <c r="BP271" s="120"/>
      <c r="BR271" s="117"/>
      <c r="BS271" s="117"/>
      <c r="BZ271" s="117"/>
      <c r="CA271" s="144"/>
    </row>
    <row r="272" spans="1:79" s="118" customFormat="1" ht="27">
      <c r="A272" s="114"/>
      <c r="B272" s="114">
        <f t="shared" si="6"/>
        <v>1</v>
      </c>
      <c r="C272" s="136" t="s">
        <v>1012</v>
      </c>
      <c r="D272" s="116"/>
      <c r="E272" s="116"/>
      <c r="F272" s="116"/>
      <c r="G272" s="115"/>
      <c r="H272" s="116"/>
      <c r="I272" s="116"/>
      <c r="J272" s="116"/>
      <c r="K272" s="116"/>
      <c r="L272" s="116"/>
      <c r="M272" s="116"/>
      <c r="N272" s="116"/>
      <c r="O272" s="116"/>
      <c r="P272" s="166"/>
      <c r="Q272" s="116"/>
      <c r="R272" s="116"/>
      <c r="S272" s="191"/>
      <c r="T272" s="191"/>
      <c r="U272" s="116"/>
      <c r="V272" s="116"/>
      <c r="W272" s="116"/>
      <c r="X272" s="117"/>
      <c r="Y272" s="116"/>
      <c r="Z272" s="114"/>
      <c r="AB272" s="119"/>
      <c r="AD272" s="119"/>
      <c r="AE272" s="119"/>
      <c r="AF272" s="119"/>
      <c r="AG272" s="119"/>
      <c r="AH272" s="119"/>
      <c r="AI272" s="119"/>
      <c r="AJ272" s="119"/>
      <c r="AK272" s="119"/>
      <c r="AL272" s="119"/>
      <c r="AM272" s="119"/>
      <c r="AN272" s="119"/>
      <c r="AO272" s="116"/>
      <c r="AP272" s="119"/>
      <c r="AQ272" s="130">
        <v>0</v>
      </c>
      <c r="AR272" s="119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7"/>
      <c r="BK272" s="117"/>
      <c r="BL272" s="117"/>
      <c r="BN272" s="117"/>
      <c r="BO272" s="117"/>
      <c r="BP272" s="120"/>
      <c r="BR272" s="117"/>
      <c r="BS272" s="117"/>
      <c r="BZ272" s="117"/>
      <c r="CA272" s="144"/>
    </row>
    <row r="273" spans="1:79" s="118" customFormat="1">
      <c r="A273" s="114"/>
      <c r="B273" s="114">
        <f t="shared" si="6"/>
        <v>2</v>
      </c>
      <c r="C273" s="136" t="s">
        <v>1013</v>
      </c>
      <c r="D273" s="116"/>
      <c r="E273" s="116"/>
      <c r="F273" s="116"/>
      <c r="G273" s="115"/>
      <c r="H273" s="116"/>
      <c r="I273" s="116"/>
      <c r="J273" s="116"/>
      <c r="K273" s="116"/>
      <c r="L273" s="116"/>
      <c r="M273" s="116"/>
      <c r="N273" s="116"/>
      <c r="O273" s="116"/>
      <c r="P273" s="166"/>
      <c r="Q273" s="116"/>
      <c r="R273" s="116"/>
      <c r="S273" s="191"/>
      <c r="T273" s="191"/>
      <c r="U273" s="116"/>
      <c r="V273" s="116"/>
      <c r="W273" s="116"/>
      <c r="X273" s="117"/>
      <c r="Y273" s="116"/>
      <c r="Z273" s="114"/>
      <c r="AB273" s="119"/>
      <c r="AD273" s="119"/>
      <c r="AE273" s="119"/>
      <c r="AF273" s="119"/>
      <c r="AG273" s="119"/>
      <c r="AH273" s="119"/>
      <c r="AI273" s="119"/>
      <c r="AJ273" s="119"/>
      <c r="AK273" s="119"/>
      <c r="AL273" s="119"/>
      <c r="AM273" s="119"/>
      <c r="AN273" s="119"/>
      <c r="AO273" s="116"/>
      <c r="AP273" s="119"/>
      <c r="AQ273" s="130">
        <v>0</v>
      </c>
      <c r="AR273" s="119"/>
      <c r="AS273" s="116"/>
      <c r="AT273" s="116"/>
      <c r="AU273" s="116"/>
      <c r="AV273" s="116"/>
      <c r="AW273" s="130">
        <v>0</v>
      </c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7"/>
      <c r="BK273" s="117"/>
      <c r="BL273" s="117"/>
      <c r="BN273" s="117"/>
      <c r="BO273" s="117"/>
      <c r="BP273" s="120"/>
      <c r="BR273" s="117"/>
      <c r="BS273" s="117"/>
      <c r="BZ273" s="117"/>
      <c r="CA273" s="145">
        <v>44604.639467592591</v>
      </c>
    </row>
    <row r="274" spans="1:79" s="118" customFormat="1">
      <c r="A274" s="114"/>
      <c r="B274" s="114">
        <f t="shared" si="6"/>
        <v>2</v>
      </c>
      <c r="C274" s="136" t="s">
        <v>1014</v>
      </c>
      <c r="D274" s="116"/>
      <c r="E274" s="116"/>
      <c r="F274" s="116"/>
      <c r="G274" s="115"/>
      <c r="H274" s="116"/>
      <c r="I274" s="116"/>
      <c r="J274" s="116"/>
      <c r="K274" s="116"/>
      <c r="L274" s="116"/>
      <c r="M274" s="116"/>
      <c r="N274" s="116"/>
      <c r="O274" s="116"/>
      <c r="P274" s="166"/>
      <c r="Q274" s="116"/>
      <c r="R274" s="116"/>
      <c r="S274" s="191"/>
      <c r="T274" s="191"/>
      <c r="U274" s="116"/>
      <c r="V274" s="116"/>
      <c r="W274" s="116"/>
      <c r="X274" s="117"/>
      <c r="Y274" s="116"/>
      <c r="Z274" s="114"/>
      <c r="AB274" s="119"/>
      <c r="AD274" s="119"/>
      <c r="AE274" s="119"/>
      <c r="AF274" s="119"/>
      <c r="AG274" s="119"/>
      <c r="AH274" s="119"/>
      <c r="AI274" s="119"/>
      <c r="AJ274" s="119"/>
      <c r="AK274" s="119"/>
      <c r="AL274" s="119"/>
      <c r="AM274" s="119"/>
      <c r="AN274" s="119"/>
      <c r="AO274" s="116"/>
      <c r="AP274" s="119"/>
      <c r="AQ274" s="130">
        <v>0</v>
      </c>
      <c r="AR274" s="130">
        <v>0</v>
      </c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7"/>
      <c r="BK274" s="117"/>
      <c r="BL274" s="117"/>
      <c r="BN274" s="117"/>
      <c r="BO274" s="117"/>
      <c r="BP274" s="120"/>
      <c r="BR274" s="117"/>
      <c r="BS274" s="117"/>
      <c r="BZ274" s="117"/>
      <c r="CA274" s="145">
        <v>44604.632777777777</v>
      </c>
    </row>
    <row r="275" spans="1:79" s="118" customFormat="1">
      <c r="A275" s="114"/>
      <c r="B275" s="114">
        <f t="shared" si="6"/>
        <v>0</v>
      </c>
      <c r="C275" s="136"/>
      <c r="D275" s="116"/>
      <c r="E275" s="116"/>
      <c r="F275" s="116"/>
      <c r="G275" s="115"/>
      <c r="H275" s="116"/>
      <c r="I275" s="116"/>
      <c r="J275" s="116"/>
      <c r="K275" s="116"/>
      <c r="L275" s="116"/>
      <c r="M275" s="116"/>
      <c r="N275" s="116"/>
      <c r="O275" s="116"/>
      <c r="P275" s="166"/>
      <c r="Q275" s="116"/>
      <c r="R275" s="116"/>
      <c r="S275" s="191"/>
      <c r="T275" s="191"/>
      <c r="U275" s="116"/>
      <c r="V275" s="116"/>
      <c r="W275" s="116"/>
      <c r="X275" s="117"/>
      <c r="Y275" s="116"/>
      <c r="Z275" s="114"/>
      <c r="AB275" s="119"/>
      <c r="AD275" s="119"/>
      <c r="AE275" s="119"/>
      <c r="AF275" s="119"/>
      <c r="AG275" s="119"/>
      <c r="AH275" s="119"/>
      <c r="AI275" s="119"/>
      <c r="AJ275" s="119"/>
      <c r="AK275" s="119"/>
      <c r="AL275" s="119"/>
      <c r="AM275" s="119"/>
      <c r="AN275" s="119"/>
      <c r="AO275" s="116"/>
      <c r="AP275" s="119"/>
      <c r="AQ275" s="119"/>
      <c r="AR275" s="119"/>
      <c r="AS275" s="116"/>
      <c r="AT275" s="116"/>
      <c r="AU275" s="116"/>
      <c r="AV275" s="116"/>
      <c r="AW275" s="116"/>
      <c r="AX275" s="116"/>
      <c r="AY275" s="116"/>
      <c r="AZ275" s="116"/>
      <c r="BA275" s="116"/>
      <c r="BB275" s="116"/>
      <c r="BC275" s="116"/>
      <c r="BD275" s="116"/>
      <c r="BE275" s="116"/>
      <c r="BF275" s="116"/>
      <c r="BG275" s="116"/>
      <c r="BH275" s="116"/>
      <c r="BI275" s="116"/>
      <c r="BJ275" s="117"/>
      <c r="BK275" s="117"/>
      <c r="BL275" s="117"/>
      <c r="BN275" s="117"/>
      <c r="BO275" s="117"/>
      <c r="BP275" s="120"/>
      <c r="BR275" s="117"/>
      <c r="BS275" s="117"/>
      <c r="BZ275" s="117"/>
      <c r="CA275" s="144"/>
    </row>
    <row r="276" spans="1:79" s="118" customFormat="1">
      <c r="A276" s="114"/>
      <c r="B276" s="114">
        <f t="shared" si="6"/>
        <v>0</v>
      </c>
      <c r="C276" s="136"/>
      <c r="D276" s="116"/>
      <c r="E276" s="116"/>
      <c r="F276" s="116"/>
      <c r="G276" s="115"/>
      <c r="H276" s="116"/>
      <c r="I276" s="116"/>
      <c r="J276" s="116"/>
      <c r="K276" s="116"/>
      <c r="L276" s="116"/>
      <c r="M276" s="116"/>
      <c r="N276" s="116"/>
      <c r="O276" s="116"/>
      <c r="P276" s="166"/>
      <c r="Q276" s="116"/>
      <c r="R276" s="116"/>
      <c r="S276" s="191"/>
      <c r="T276" s="191"/>
      <c r="U276" s="116"/>
      <c r="V276" s="116"/>
      <c r="W276" s="116"/>
      <c r="X276" s="117"/>
      <c r="Y276" s="116"/>
      <c r="Z276" s="114"/>
      <c r="AB276" s="119"/>
      <c r="AD276" s="119"/>
      <c r="AE276" s="119"/>
      <c r="AF276" s="119"/>
      <c r="AG276" s="119"/>
      <c r="AH276" s="119"/>
      <c r="AI276" s="119"/>
      <c r="AJ276" s="119"/>
      <c r="AK276" s="119"/>
      <c r="AL276" s="119"/>
      <c r="AM276" s="119"/>
      <c r="AN276" s="119"/>
      <c r="AO276" s="116"/>
      <c r="AP276" s="119"/>
      <c r="AQ276" s="119"/>
      <c r="AR276" s="119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7"/>
      <c r="BK276" s="117"/>
      <c r="BL276" s="117"/>
      <c r="BN276" s="117"/>
      <c r="BO276" s="117"/>
      <c r="BP276" s="120"/>
      <c r="BR276" s="117"/>
      <c r="BS276" s="117"/>
      <c r="BZ276" s="117"/>
      <c r="CA276" s="144"/>
    </row>
    <row r="277" spans="1:79" s="118" customFormat="1">
      <c r="A277" s="114"/>
      <c r="B277" s="114">
        <f t="shared" si="6"/>
        <v>0</v>
      </c>
      <c r="C277" s="136"/>
      <c r="D277" s="116"/>
      <c r="E277" s="116"/>
      <c r="F277" s="116"/>
      <c r="G277" s="115"/>
      <c r="H277" s="116"/>
      <c r="I277" s="116"/>
      <c r="J277" s="116"/>
      <c r="K277" s="116"/>
      <c r="L277" s="116"/>
      <c r="M277" s="116"/>
      <c r="N277" s="116"/>
      <c r="O277" s="116"/>
      <c r="P277" s="166"/>
      <c r="Q277" s="116"/>
      <c r="R277" s="116"/>
      <c r="S277" s="191"/>
      <c r="T277" s="191"/>
      <c r="U277" s="116"/>
      <c r="V277" s="116"/>
      <c r="W277" s="116"/>
      <c r="X277" s="117"/>
      <c r="Y277" s="116"/>
      <c r="Z277" s="114"/>
      <c r="AB277" s="119"/>
      <c r="AD277" s="119"/>
      <c r="AE277" s="119"/>
      <c r="AF277" s="119"/>
      <c r="AG277" s="119"/>
      <c r="AH277" s="119"/>
      <c r="AI277" s="119"/>
      <c r="AJ277" s="119"/>
      <c r="AK277" s="119"/>
      <c r="AL277" s="119"/>
      <c r="AM277" s="119"/>
      <c r="AN277" s="119"/>
      <c r="AO277" s="116"/>
      <c r="AP277" s="119"/>
      <c r="AQ277" s="119"/>
      <c r="AR277" s="119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7"/>
      <c r="BK277" s="117"/>
      <c r="BL277" s="117"/>
      <c r="BN277" s="117"/>
      <c r="BO277" s="117"/>
      <c r="BP277" s="120"/>
      <c r="BR277" s="117"/>
      <c r="BS277" s="117"/>
      <c r="BZ277" s="117"/>
      <c r="CA277" s="144"/>
    </row>
    <row r="278" spans="1:79" s="118" customFormat="1">
      <c r="A278" s="114"/>
      <c r="B278" s="114">
        <f t="shared" si="6"/>
        <v>0</v>
      </c>
      <c r="C278" s="136"/>
      <c r="D278" s="116"/>
      <c r="E278" s="116"/>
      <c r="F278" s="116"/>
      <c r="G278" s="115"/>
      <c r="H278" s="116"/>
      <c r="I278" s="116"/>
      <c r="J278" s="116"/>
      <c r="K278" s="116"/>
      <c r="L278" s="116"/>
      <c r="M278" s="116"/>
      <c r="N278" s="116"/>
      <c r="O278" s="116"/>
      <c r="P278" s="166"/>
      <c r="Q278" s="116"/>
      <c r="R278" s="116"/>
      <c r="S278" s="191"/>
      <c r="T278" s="191"/>
      <c r="U278" s="116"/>
      <c r="V278" s="116"/>
      <c r="W278" s="116"/>
      <c r="X278" s="117"/>
      <c r="Y278" s="116"/>
      <c r="Z278" s="114"/>
      <c r="AB278" s="119"/>
      <c r="AD278" s="119"/>
      <c r="AE278" s="119"/>
      <c r="AF278" s="119"/>
      <c r="AG278" s="119"/>
      <c r="AH278" s="119"/>
      <c r="AI278" s="119"/>
      <c r="AJ278" s="119"/>
      <c r="AK278" s="119"/>
      <c r="AL278" s="119"/>
      <c r="AM278" s="119"/>
      <c r="AN278" s="119"/>
      <c r="AO278" s="116"/>
      <c r="AP278" s="119"/>
      <c r="AQ278" s="119"/>
      <c r="AR278" s="119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7"/>
      <c r="BK278" s="117"/>
      <c r="BL278" s="117"/>
      <c r="BN278" s="117"/>
      <c r="BO278" s="117"/>
      <c r="BP278" s="120"/>
      <c r="BR278" s="117"/>
      <c r="BS278" s="117"/>
      <c r="BZ278" s="117"/>
      <c r="CA278" s="144"/>
    </row>
    <row r="279" spans="1:79" s="118" customFormat="1">
      <c r="A279" s="114"/>
      <c r="B279" s="114">
        <f t="shared" si="6"/>
        <v>0</v>
      </c>
      <c r="C279" s="136"/>
      <c r="D279" s="116"/>
      <c r="E279" s="116"/>
      <c r="F279" s="116"/>
      <c r="G279" s="115"/>
      <c r="H279" s="116"/>
      <c r="I279" s="116"/>
      <c r="J279" s="116"/>
      <c r="K279" s="116"/>
      <c r="L279" s="116"/>
      <c r="M279" s="116"/>
      <c r="N279" s="116"/>
      <c r="O279" s="116"/>
      <c r="P279" s="166"/>
      <c r="Q279" s="116"/>
      <c r="R279" s="116"/>
      <c r="S279" s="191"/>
      <c r="T279" s="191"/>
      <c r="U279" s="116"/>
      <c r="V279" s="116"/>
      <c r="W279" s="116"/>
      <c r="X279" s="117"/>
      <c r="Y279" s="116"/>
      <c r="Z279" s="114"/>
      <c r="AB279" s="119"/>
      <c r="AD279" s="119"/>
      <c r="AE279" s="119"/>
      <c r="AF279" s="119"/>
      <c r="AG279" s="119"/>
      <c r="AH279" s="119"/>
      <c r="AI279" s="119"/>
      <c r="AJ279" s="119"/>
      <c r="AK279" s="119"/>
      <c r="AL279" s="119"/>
      <c r="AM279" s="119"/>
      <c r="AN279" s="119"/>
      <c r="AO279" s="116"/>
      <c r="AP279" s="119"/>
      <c r="AQ279" s="119"/>
      <c r="AR279" s="119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7"/>
      <c r="BK279" s="117"/>
      <c r="BL279" s="117"/>
      <c r="BN279" s="117"/>
      <c r="BO279" s="117"/>
      <c r="BP279" s="120"/>
      <c r="BR279" s="117"/>
      <c r="BS279" s="117"/>
      <c r="BZ279" s="117"/>
      <c r="CA279" s="144"/>
    </row>
    <row r="280" spans="1:79" s="118" customFormat="1">
      <c r="A280" s="114"/>
      <c r="B280" s="114">
        <f t="shared" si="6"/>
        <v>0</v>
      </c>
      <c r="C280" s="136"/>
      <c r="D280" s="116"/>
      <c r="E280" s="116"/>
      <c r="F280" s="116"/>
      <c r="G280" s="115"/>
      <c r="H280" s="116"/>
      <c r="I280" s="116"/>
      <c r="J280" s="116"/>
      <c r="K280" s="116"/>
      <c r="L280" s="116"/>
      <c r="M280" s="116"/>
      <c r="N280" s="116"/>
      <c r="O280" s="116"/>
      <c r="P280" s="166"/>
      <c r="Q280" s="116"/>
      <c r="R280" s="116"/>
      <c r="S280" s="191"/>
      <c r="T280" s="191"/>
      <c r="U280" s="116"/>
      <c r="V280" s="116"/>
      <c r="W280" s="116"/>
      <c r="X280" s="117"/>
      <c r="Y280" s="116"/>
      <c r="Z280" s="114"/>
      <c r="AB280" s="119"/>
      <c r="AD280" s="119"/>
      <c r="AE280" s="119"/>
      <c r="AF280" s="119"/>
      <c r="AG280" s="119"/>
      <c r="AH280" s="119"/>
      <c r="AI280" s="119"/>
      <c r="AJ280" s="119"/>
      <c r="AK280" s="119"/>
      <c r="AL280" s="119"/>
      <c r="AM280" s="119"/>
      <c r="AN280" s="119"/>
      <c r="AO280" s="116"/>
      <c r="AP280" s="119"/>
      <c r="AQ280" s="119"/>
      <c r="AR280" s="119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7"/>
      <c r="BK280" s="117"/>
      <c r="BL280" s="117"/>
      <c r="BN280" s="117"/>
      <c r="BO280" s="117"/>
      <c r="BP280" s="120"/>
      <c r="BR280" s="117"/>
      <c r="BS280" s="117"/>
      <c r="BZ280" s="117"/>
      <c r="CA280" s="144"/>
    </row>
    <row r="281" spans="1:79" s="118" customFormat="1">
      <c r="A281" s="114"/>
      <c r="B281" s="114">
        <f t="shared" si="6"/>
        <v>0</v>
      </c>
      <c r="C281" s="136"/>
      <c r="D281" s="116"/>
      <c r="E281" s="116"/>
      <c r="F281" s="116"/>
      <c r="G281" s="115"/>
      <c r="H281" s="116"/>
      <c r="I281" s="116"/>
      <c r="J281" s="116"/>
      <c r="K281" s="116"/>
      <c r="L281" s="116"/>
      <c r="M281" s="116"/>
      <c r="N281" s="116"/>
      <c r="O281" s="116"/>
      <c r="P281" s="166"/>
      <c r="Q281" s="116"/>
      <c r="R281" s="116"/>
      <c r="S281" s="191"/>
      <c r="T281" s="191"/>
      <c r="U281" s="116"/>
      <c r="V281" s="116"/>
      <c r="W281" s="116"/>
      <c r="X281" s="117"/>
      <c r="Y281" s="116"/>
      <c r="Z281" s="114"/>
      <c r="AB281" s="119"/>
      <c r="AD281" s="119"/>
      <c r="AE281" s="119"/>
      <c r="AF281" s="119"/>
      <c r="AG281" s="119"/>
      <c r="AH281" s="119"/>
      <c r="AI281" s="119"/>
      <c r="AJ281" s="119"/>
      <c r="AK281" s="119"/>
      <c r="AL281" s="119"/>
      <c r="AM281" s="119"/>
      <c r="AN281" s="119"/>
      <c r="AO281" s="119"/>
      <c r="AP281" s="119"/>
      <c r="AQ281" s="119"/>
      <c r="AR281" s="119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7"/>
      <c r="BK281" s="117"/>
      <c r="BL281" s="117"/>
      <c r="BN281" s="117"/>
      <c r="BO281" s="117"/>
      <c r="BP281" s="120"/>
      <c r="BR281" s="117"/>
      <c r="BS281" s="117"/>
      <c r="BZ281" s="117"/>
      <c r="CA281" s="144"/>
    </row>
    <row r="282" spans="1:79" s="118" customFormat="1">
      <c r="A282" s="114"/>
      <c r="B282" s="114">
        <f t="shared" si="6"/>
        <v>2</v>
      </c>
      <c r="C282" s="136" t="s">
        <v>954</v>
      </c>
      <c r="D282" s="116"/>
      <c r="E282" s="116"/>
      <c r="F282" s="116"/>
      <c r="G282" s="115"/>
      <c r="H282" s="116"/>
      <c r="I282" s="116"/>
      <c r="J282" s="116"/>
      <c r="K282" s="116"/>
      <c r="L282" s="116"/>
      <c r="M282" s="116"/>
      <c r="N282" s="116"/>
      <c r="O282" s="116"/>
      <c r="P282" s="166"/>
      <c r="Q282" s="116"/>
      <c r="R282" s="116"/>
      <c r="S282" s="191"/>
      <c r="T282" s="191"/>
      <c r="U282" s="116"/>
      <c r="V282" s="116"/>
      <c r="W282" s="116"/>
      <c r="X282" s="117"/>
      <c r="Y282" s="116"/>
      <c r="Z282" s="114"/>
      <c r="AB282" s="119"/>
      <c r="AD282" s="119"/>
      <c r="AE282" s="119"/>
      <c r="AF282" s="119"/>
      <c r="AG282" s="119"/>
      <c r="AH282" s="119"/>
      <c r="AI282" s="119"/>
      <c r="AJ282" s="119"/>
      <c r="AK282" s="119"/>
      <c r="AL282" s="119"/>
      <c r="AM282" s="119"/>
      <c r="AN282" s="119"/>
      <c r="AO282" s="119"/>
      <c r="AP282" s="119"/>
      <c r="AQ282" s="119"/>
      <c r="AR282" s="119"/>
      <c r="AS282" s="116"/>
      <c r="AT282" s="130">
        <v>0</v>
      </c>
      <c r="AU282" s="130">
        <v>0</v>
      </c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7"/>
      <c r="BK282" s="117"/>
      <c r="BL282" s="117"/>
      <c r="BN282" s="117"/>
      <c r="BO282" s="117"/>
      <c r="BP282" s="120"/>
      <c r="BR282" s="117"/>
      <c r="BS282" s="117"/>
      <c r="BZ282" s="117"/>
      <c r="CA282" s="144"/>
    </row>
    <row r="283" spans="1:79" s="118" customFormat="1" ht="27">
      <c r="A283" s="114"/>
      <c r="B283" s="114">
        <f t="shared" si="6"/>
        <v>1</v>
      </c>
      <c r="C283" s="136" t="s">
        <v>955</v>
      </c>
      <c r="D283" s="116"/>
      <c r="E283" s="116"/>
      <c r="F283" s="116"/>
      <c r="G283" s="115"/>
      <c r="H283" s="116"/>
      <c r="I283" s="116"/>
      <c r="J283" s="116"/>
      <c r="K283" s="116"/>
      <c r="L283" s="116"/>
      <c r="M283" s="116"/>
      <c r="N283" s="116"/>
      <c r="O283" s="116"/>
      <c r="P283" s="166"/>
      <c r="Q283" s="116"/>
      <c r="R283" s="116"/>
      <c r="S283" s="191"/>
      <c r="T283" s="191"/>
      <c r="U283" s="116"/>
      <c r="V283" s="116"/>
      <c r="W283" s="116"/>
      <c r="X283" s="117"/>
      <c r="Y283" s="116"/>
      <c r="Z283" s="114"/>
      <c r="AB283" s="119"/>
      <c r="AD283" s="119"/>
      <c r="AE283" s="119"/>
      <c r="AF283" s="119"/>
      <c r="AG283" s="119"/>
      <c r="AH283" s="119"/>
      <c r="AI283" s="119"/>
      <c r="AJ283" s="119"/>
      <c r="AK283" s="119"/>
      <c r="AL283" s="119"/>
      <c r="AM283" s="119"/>
      <c r="AN283" s="119"/>
      <c r="AO283" s="119"/>
      <c r="AP283" s="119"/>
      <c r="AQ283" s="119"/>
      <c r="AR283" s="119"/>
      <c r="AS283" s="116"/>
      <c r="AT283" s="130">
        <v>0</v>
      </c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7"/>
      <c r="BK283" s="117"/>
      <c r="BL283" s="117"/>
      <c r="BN283" s="117"/>
      <c r="BO283" s="117"/>
      <c r="BP283" s="120"/>
      <c r="BR283" s="117"/>
      <c r="BS283" s="117"/>
      <c r="BZ283" s="117"/>
      <c r="CA283" s="144"/>
    </row>
    <row r="284" spans="1:79" s="118" customFormat="1">
      <c r="A284" s="114"/>
      <c r="B284" s="114">
        <f t="shared" si="6"/>
        <v>1</v>
      </c>
      <c r="C284" s="136" t="s">
        <v>956</v>
      </c>
      <c r="D284" s="116"/>
      <c r="E284" s="116"/>
      <c r="F284" s="116"/>
      <c r="G284" s="115"/>
      <c r="H284" s="116"/>
      <c r="I284" s="116"/>
      <c r="J284" s="116"/>
      <c r="K284" s="116"/>
      <c r="L284" s="116"/>
      <c r="M284" s="116"/>
      <c r="N284" s="116"/>
      <c r="O284" s="116"/>
      <c r="P284" s="166"/>
      <c r="Q284" s="116"/>
      <c r="R284" s="116"/>
      <c r="S284" s="191"/>
      <c r="T284" s="191"/>
      <c r="U284" s="116"/>
      <c r="V284" s="116"/>
      <c r="W284" s="116"/>
      <c r="X284" s="117"/>
      <c r="Y284" s="116"/>
      <c r="Z284" s="114"/>
      <c r="AB284" s="119"/>
      <c r="AD284" s="119"/>
      <c r="AE284" s="119"/>
      <c r="AF284" s="119"/>
      <c r="AG284" s="119"/>
      <c r="AH284" s="119"/>
      <c r="AI284" s="119"/>
      <c r="AJ284" s="119"/>
      <c r="AK284" s="119"/>
      <c r="AL284" s="119"/>
      <c r="AM284" s="119"/>
      <c r="AN284" s="119"/>
      <c r="AO284" s="119"/>
      <c r="AP284" s="119"/>
      <c r="AQ284" s="119"/>
      <c r="AR284" s="119"/>
      <c r="AS284" s="116"/>
      <c r="AT284" s="130">
        <v>0</v>
      </c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7"/>
      <c r="BK284" s="117"/>
      <c r="BL284" s="117"/>
      <c r="BN284" s="117"/>
      <c r="BO284" s="117"/>
      <c r="BP284" s="120"/>
      <c r="BR284" s="117"/>
      <c r="BS284" s="117"/>
      <c r="BZ284" s="117"/>
      <c r="CA284" s="144"/>
    </row>
    <row r="285" spans="1:79" s="118" customFormat="1">
      <c r="A285" s="114"/>
      <c r="B285" s="114">
        <f t="shared" si="6"/>
        <v>1</v>
      </c>
      <c r="C285" s="136" t="s">
        <v>961</v>
      </c>
      <c r="D285" s="116"/>
      <c r="E285" s="116"/>
      <c r="F285" s="116"/>
      <c r="G285" s="115"/>
      <c r="H285" s="116"/>
      <c r="I285" s="116"/>
      <c r="J285" s="116"/>
      <c r="K285" s="116"/>
      <c r="L285" s="116"/>
      <c r="M285" s="116"/>
      <c r="N285" s="116"/>
      <c r="O285" s="116"/>
      <c r="P285" s="166"/>
      <c r="Q285" s="116"/>
      <c r="R285" s="116"/>
      <c r="S285" s="191"/>
      <c r="T285" s="191"/>
      <c r="U285" s="116"/>
      <c r="V285" s="116"/>
      <c r="W285" s="116"/>
      <c r="X285" s="117"/>
      <c r="Y285" s="116"/>
      <c r="Z285" s="114"/>
      <c r="AB285" s="119"/>
      <c r="AD285" s="119"/>
      <c r="AE285" s="119"/>
      <c r="AF285" s="119"/>
      <c r="AG285" s="119"/>
      <c r="AH285" s="119"/>
      <c r="AI285" s="119"/>
      <c r="AJ285" s="119"/>
      <c r="AK285" s="119"/>
      <c r="AL285" s="119"/>
      <c r="AM285" s="119"/>
      <c r="AN285" s="119"/>
      <c r="AO285" s="119"/>
      <c r="AP285" s="119"/>
      <c r="AQ285" s="119"/>
      <c r="AR285" s="119"/>
      <c r="AS285" s="116"/>
      <c r="AT285" s="130">
        <v>0</v>
      </c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7"/>
      <c r="BK285" s="117"/>
      <c r="BL285" s="117"/>
      <c r="BN285" s="117"/>
      <c r="BO285" s="117"/>
      <c r="BP285" s="120"/>
      <c r="BR285" s="117"/>
      <c r="BS285" s="117"/>
      <c r="BZ285" s="117"/>
      <c r="CA285" s="144"/>
    </row>
    <row r="286" spans="1:79" s="118" customFormat="1">
      <c r="A286" s="114"/>
      <c r="B286" s="114">
        <f t="shared" si="6"/>
        <v>1</v>
      </c>
      <c r="C286" s="136" t="s">
        <v>963</v>
      </c>
      <c r="D286" s="116"/>
      <c r="E286" s="116"/>
      <c r="F286" s="116"/>
      <c r="G286" s="115"/>
      <c r="H286" s="116"/>
      <c r="I286" s="116"/>
      <c r="J286" s="116"/>
      <c r="K286" s="116"/>
      <c r="L286" s="116"/>
      <c r="M286" s="116"/>
      <c r="N286" s="116"/>
      <c r="O286" s="116"/>
      <c r="P286" s="166"/>
      <c r="Q286" s="116"/>
      <c r="R286" s="116"/>
      <c r="S286" s="191"/>
      <c r="T286" s="191"/>
      <c r="U286" s="116"/>
      <c r="V286" s="116"/>
      <c r="W286" s="116"/>
      <c r="X286" s="117"/>
      <c r="Y286" s="116"/>
      <c r="Z286" s="114"/>
      <c r="AB286" s="119"/>
      <c r="AD286" s="119"/>
      <c r="AE286" s="119"/>
      <c r="AF286" s="119"/>
      <c r="AG286" s="119"/>
      <c r="AH286" s="119"/>
      <c r="AI286" s="119"/>
      <c r="AJ286" s="119"/>
      <c r="AK286" s="119"/>
      <c r="AL286" s="119"/>
      <c r="AM286" s="119"/>
      <c r="AN286" s="119"/>
      <c r="AO286" s="119"/>
      <c r="AP286" s="119"/>
      <c r="AQ286" s="119"/>
      <c r="AR286" s="119"/>
      <c r="AS286" s="116"/>
      <c r="AT286" s="130">
        <v>0</v>
      </c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7"/>
      <c r="BK286" s="117"/>
      <c r="BL286" s="117"/>
      <c r="BN286" s="117"/>
      <c r="BO286" s="117"/>
      <c r="BP286" s="120"/>
      <c r="BR286" s="117"/>
      <c r="BS286" s="117"/>
      <c r="BZ286" s="117"/>
      <c r="CA286" s="144"/>
    </row>
    <row r="287" spans="1:79" s="118" customFormat="1">
      <c r="A287" s="114"/>
      <c r="B287" s="114">
        <f t="shared" si="6"/>
        <v>1</v>
      </c>
      <c r="C287" s="136" t="s">
        <v>964</v>
      </c>
      <c r="D287" s="116"/>
      <c r="E287" s="116"/>
      <c r="F287" s="116"/>
      <c r="G287" s="115"/>
      <c r="H287" s="116"/>
      <c r="I287" s="116"/>
      <c r="J287" s="116"/>
      <c r="K287" s="116"/>
      <c r="L287" s="116"/>
      <c r="M287" s="116"/>
      <c r="N287" s="116"/>
      <c r="O287" s="116"/>
      <c r="P287" s="166"/>
      <c r="Q287" s="116"/>
      <c r="R287" s="116"/>
      <c r="S287" s="191"/>
      <c r="T287" s="191"/>
      <c r="U287" s="116"/>
      <c r="V287" s="116"/>
      <c r="W287" s="116"/>
      <c r="X287" s="117"/>
      <c r="Y287" s="116"/>
      <c r="Z287" s="114"/>
      <c r="AB287" s="119"/>
      <c r="AD287" s="119"/>
      <c r="AE287" s="119"/>
      <c r="AF287" s="119"/>
      <c r="AG287" s="119"/>
      <c r="AH287" s="119"/>
      <c r="AI287" s="119"/>
      <c r="AJ287" s="119"/>
      <c r="AK287" s="119"/>
      <c r="AL287" s="119"/>
      <c r="AM287" s="119"/>
      <c r="AN287" s="119"/>
      <c r="AO287" s="119"/>
      <c r="AP287" s="119"/>
      <c r="AQ287" s="119"/>
      <c r="AR287" s="119"/>
      <c r="AS287" s="116"/>
      <c r="AT287" s="130">
        <v>0</v>
      </c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7"/>
      <c r="BK287" s="117"/>
      <c r="BL287" s="117"/>
      <c r="BN287" s="117"/>
      <c r="BO287" s="117"/>
      <c r="BP287" s="120"/>
      <c r="BR287" s="117"/>
      <c r="BS287" s="117"/>
      <c r="BZ287" s="117"/>
      <c r="CA287" s="144"/>
    </row>
    <row r="288" spans="1:79" s="118" customFormat="1">
      <c r="A288" s="114"/>
      <c r="B288" s="114">
        <f t="shared" si="6"/>
        <v>1</v>
      </c>
      <c r="C288" s="136" t="s">
        <v>965</v>
      </c>
      <c r="D288" s="116"/>
      <c r="E288" s="116"/>
      <c r="F288" s="116"/>
      <c r="G288" s="115"/>
      <c r="H288" s="116"/>
      <c r="I288" s="116"/>
      <c r="J288" s="116"/>
      <c r="K288" s="116"/>
      <c r="L288" s="116"/>
      <c r="M288" s="116"/>
      <c r="N288" s="116"/>
      <c r="O288" s="116"/>
      <c r="P288" s="166"/>
      <c r="Q288" s="116"/>
      <c r="R288" s="116"/>
      <c r="S288" s="191"/>
      <c r="T288" s="191"/>
      <c r="U288" s="116"/>
      <c r="V288" s="116"/>
      <c r="W288" s="116"/>
      <c r="X288" s="117"/>
      <c r="Y288" s="116"/>
      <c r="Z288" s="114"/>
      <c r="AB288" s="119"/>
      <c r="AD288" s="119"/>
      <c r="AE288" s="119"/>
      <c r="AF288" s="119"/>
      <c r="AG288" s="119"/>
      <c r="AH288" s="119"/>
      <c r="AI288" s="119"/>
      <c r="AJ288" s="119"/>
      <c r="AK288" s="119"/>
      <c r="AL288" s="119"/>
      <c r="AM288" s="119"/>
      <c r="AN288" s="119"/>
      <c r="AO288" s="119"/>
      <c r="AP288" s="119"/>
      <c r="AQ288" s="119"/>
      <c r="AR288" s="119"/>
      <c r="AS288" s="116"/>
      <c r="AT288" s="130">
        <v>0</v>
      </c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7"/>
      <c r="BK288" s="117"/>
      <c r="BL288" s="117"/>
      <c r="BN288" s="117"/>
      <c r="BO288" s="117"/>
      <c r="BP288" s="120"/>
      <c r="BR288" s="117"/>
      <c r="BS288" s="117"/>
      <c r="BZ288" s="117"/>
      <c r="CA288" s="144"/>
    </row>
    <row r="289" spans="1:79" s="118" customFormat="1" ht="27">
      <c r="A289" s="114"/>
      <c r="B289" s="114">
        <f t="shared" si="6"/>
        <v>1</v>
      </c>
      <c r="C289" s="136" t="s">
        <v>966</v>
      </c>
      <c r="D289" s="116"/>
      <c r="E289" s="116"/>
      <c r="F289" s="116"/>
      <c r="G289" s="115"/>
      <c r="H289" s="116"/>
      <c r="I289" s="116"/>
      <c r="J289" s="116"/>
      <c r="K289" s="116"/>
      <c r="L289" s="116"/>
      <c r="M289" s="116"/>
      <c r="N289" s="116"/>
      <c r="O289" s="116"/>
      <c r="P289" s="166"/>
      <c r="Q289" s="116"/>
      <c r="R289" s="116"/>
      <c r="S289" s="191"/>
      <c r="T289" s="191"/>
      <c r="U289" s="116"/>
      <c r="V289" s="116"/>
      <c r="W289" s="116"/>
      <c r="X289" s="117"/>
      <c r="Y289" s="116"/>
      <c r="Z289" s="114"/>
      <c r="AB289" s="119"/>
      <c r="AD289" s="119"/>
      <c r="AE289" s="119"/>
      <c r="AF289" s="119"/>
      <c r="AG289" s="119"/>
      <c r="AH289" s="119"/>
      <c r="AI289" s="119"/>
      <c r="AJ289" s="119"/>
      <c r="AK289" s="119"/>
      <c r="AL289" s="119"/>
      <c r="AM289" s="119"/>
      <c r="AN289" s="119"/>
      <c r="AO289" s="119"/>
      <c r="AP289" s="119"/>
      <c r="AQ289" s="119"/>
      <c r="AR289" s="119"/>
      <c r="AS289" s="116"/>
      <c r="AT289" s="130">
        <v>0</v>
      </c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7"/>
      <c r="BK289" s="117"/>
      <c r="BL289" s="117"/>
      <c r="BN289" s="117"/>
      <c r="BO289" s="117"/>
      <c r="BP289" s="120"/>
      <c r="BR289" s="117"/>
      <c r="BS289" s="117"/>
      <c r="BZ289" s="117"/>
      <c r="CA289" s="144"/>
    </row>
    <row r="290" spans="1:79" s="118" customFormat="1">
      <c r="A290" s="114"/>
      <c r="B290" s="114">
        <f t="shared" si="6"/>
        <v>1</v>
      </c>
      <c r="C290" s="136" t="s">
        <v>967</v>
      </c>
      <c r="D290" s="116"/>
      <c r="E290" s="116"/>
      <c r="F290" s="116"/>
      <c r="G290" s="115"/>
      <c r="H290" s="116"/>
      <c r="I290" s="116"/>
      <c r="J290" s="116"/>
      <c r="K290" s="116"/>
      <c r="L290" s="116"/>
      <c r="M290" s="116"/>
      <c r="N290" s="116"/>
      <c r="O290" s="116"/>
      <c r="P290" s="166"/>
      <c r="Q290" s="116"/>
      <c r="R290" s="116"/>
      <c r="S290" s="191"/>
      <c r="T290" s="191"/>
      <c r="U290" s="116"/>
      <c r="V290" s="116"/>
      <c r="W290" s="116"/>
      <c r="X290" s="117"/>
      <c r="Y290" s="116"/>
      <c r="Z290" s="114"/>
      <c r="AB290" s="119"/>
      <c r="AD290" s="119"/>
      <c r="AE290" s="119"/>
      <c r="AF290" s="119"/>
      <c r="AG290" s="119"/>
      <c r="AH290" s="119"/>
      <c r="AI290" s="119"/>
      <c r="AJ290" s="119"/>
      <c r="AK290" s="119"/>
      <c r="AL290" s="119"/>
      <c r="AM290" s="119"/>
      <c r="AN290" s="119"/>
      <c r="AO290" s="119"/>
      <c r="AP290" s="119"/>
      <c r="AQ290" s="119"/>
      <c r="AR290" s="119"/>
      <c r="AS290" s="116"/>
      <c r="AT290" s="130">
        <v>0</v>
      </c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7"/>
      <c r="BK290" s="117"/>
      <c r="BL290" s="117"/>
      <c r="BN290" s="117"/>
      <c r="BO290" s="117"/>
      <c r="BP290" s="120"/>
      <c r="BR290" s="117"/>
      <c r="BS290" s="117"/>
      <c r="BZ290" s="117"/>
      <c r="CA290" s="144"/>
    </row>
    <row r="291" spans="1:79" s="118" customFormat="1">
      <c r="A291" s="114"/>
      <c r="B291" s="114">
        <f t="shared" si="6"/>
        <v>1</v>
      </c>
      <c r="C291" s="136" t="s">
        <v>968</v>
      </c>
      <c r="D291" s="116"/>
      <c r="E291" s="116"/>
      <c r="F291" s="116"/>
      <c r="G291" s="115"/>
      <c r="H291" s="116"/>
      <c r="I291" s="116"/>
      <c r="J291" s="116"/>
      <c r="K291" s="116"/>
      <c r="L291" s="116"/>
      <c r="M291" s="116"/>
      <c r="N291" s="116"/>
      <c r="O291" s="116"/>
      <c r="P291" s="166"/>
      <c r="Q291" s="116"/>
      <c r="R291" s="116"/>
      <c r="S291" s="191"/>
      <c r="T291" s="191"/>
      <c r="U291" s="116"/>
      <c r="V291" s="116"/>
      <c r="W291" s="116"/>
      <c r="X291" s="117"/>
      <c r="Y291" s="116"/>
      <c r="Z291" s="114"/>
      <c r="AB291" s="119"/>
      <c r="AD291" s="119"/>
      <c r="AE291" s="119"/>
      <c r="AF291" s="119"/>
      <c r="AG291" s="119"/>
      <c r="AH291" s="119"/>
      <c r="AI291" s="119"/>
      <c r="AJ291" s="119"/>
      <c r="AK291" s="119"/>
      <c r="AL291" s="119"/>
      <c r="AM291" s="119"/>
      <c r="AN291" s="119"/>
      <c r="AO291" s="119"/>
      <c r="AP291" s="119"/>
      <c r="AQ291" s="119"/>
      <c r="AR291" s="119"/>
      <c r="AS291" s="116"/>
      <c r="AT291" s="130">
        <v>0</v>
      </c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7"/>
      <c r="BK291" s="117"/>
      <c r="BL291" s="117"/>
      <c r="BN291" s="117"/>
      <c r="BO291" s="117"/>
      <c r="BP291" s="120"/>
      <c r="BR291" s="117"/>
      <c r="BS291" s="117"/>
      <c r="BZ291" s="117"/>
      <c r="CA291" s="144"/>
    </row>
    <row r="292" spans="1:79" s="118" customFormat="1">
      <c r="A292" s="114"/>
      <c r="B292" s="114">
        <f t="shared" si="6"/>
        <v>1</v>
      </c>
      <c r="C292" s="136" t="s">
        <v>969</v>
      </c>
      <c r="D292" s="116"/>
      <c r="E292" s="116"/>
      <c r="F292" s="116"/>
      <c r="G292" s="115"/>
      <c r="H292" s="116"/>
      <c r="I292" s="116"/>
      <c r="J292" s="116"/>
      <c r="K292" s="116"/>
      <c r="L292" s="116"/>
      <c r="M292" s="116"/>
      <c r="N292" s="116"/>
      <c r="O292" s="116"/>
      <c r="P292" s="166"/>
      <c r="Q292" s="116"/>
      <c r="R292" s="116"/>
      <c r="S292" s="191"/>
      <c r="T292" s="191"/>
      <c r="U292" s="116"/>
      <c r="V292" s="116"/>
      <c r="W292" s="116"/>
      <c r="X292" s="117"/>
      <c r="Y292" s="116"/>
      <c r="Z292" s="114"/>
      <c r="AB292" s="119"/>
      <c r="AD292" s="119"/>
      <c r="AE292" s="119"/>
      <c r="AF292" s="119"/>
      <c r="AG292" s="119"/>
      <c r="AH292" s="119"/>
      <c r="AI292" s="119"/>
      <c r="AJ292" s="119"/>
      <c r="AK292" s="119"/>
      <c r="AL292" s="119"/>
      <c r="AM292" s="119"/>
      <c r="AN292" s="119"/>
      <c r="AO292" s="119"/>
      <c r="AP292" s="119"/>
      <c r="AQ292" s="119"/>
      <c r="AR292" s="119"/>
      <c r="AS292" s="116"/>
      <c r="AT292" s="130">
        <v>0</v>
      </c>
      <c r="AU292" s="116"/>
      <c r="AV292" s="116"/>
      <c r="AW292" s="116"/>
      <c r="AX292" s="116"/>
      <c r="AY292" s="116"/>
      <c r="AZ292" s="116"/>
      <c r="BA292" s="116"/>
      <c r="BB292" s="116"/>
      <c r="BC292" s="116"/>
      <c r="BD292" s="116"/>
      <c r="BE292" s="116"/>
      <c r="BF292" s="116"/>
      <c r="BG292" s="116"/>
      <c r="BH292" s="116"/>
      <c r="BI292" s="116"/>
      <c r="BJ292" s="117"/>
      <c r="BK292" s="117"/>
      <c r="BL292" s="117"/>
      <c r="BN292" s="117"/>
      <c r="BO292" s="117"/>
      <c r="BP292" s="120"/>
      <c r="BR292" s="117"/>
      <c r="BS292" s="117"/>
      <c r="BZ292" s="117"/>
      <c r="CA292" s="144"/>
    </row>
    <row r="293" spans="1:79" s="118" customFormat="1">
      <c r="A293" s="114"/>
      <c r="B293" s="114">
        <f t="shared" si="6"/>
        <v>1</v>
      </c>
      <c r="C293" s="136" t="s">
        <v>970</v>
      </c>
      <c r="D293" s="116"/>
      <c r="E293" s="116"/>
      <c r="F293" s="116"/>
      <c r="G293" s="115"/>
      <c r="H293" s="116"/>
      <c r="I293" s="116"/>
      <c r="J293" s="116"/>
      <c r="K293" s="116"/>
      <c r="L293" s="116"/>
      <c r="M293" s="116"/>
      <c r="N293" s="116"/>
      <c r="O293" s="116"/>
      <c r="P293" s="166"/>
      <c r="Q293" s="116"/>
      <c r="R293" s="116"/>
      <c r="S293" s="191"/>
      <c r="T293" s="191"/>
      <c r="U293" s="116"/>
      <c r="V293" s="116"/>
      <c r="W293" s="116"/>
      <c r="X293" s="117"/>
      <c r="Y293" s="116"/>
      <c r="Z293" s="114"/>
      <c r="AB293" s="119"/>
      <c r="AD293" s="119"/>
      <c r="AE293" s="119"/>
      <c r="AF293" s="119"/>
      <c r="AG293" s="119"/>
      <c r="AH293" s="119"/>
      <c r="AI293" s="119"/>
      <c r="AJ293" s="119"/>
      <c r="AK293" s="119"/>
      <c r="AL293" s="119"/>
      <c r="AM293" s="119"/>
      <c r="AN293" s="119"/>
      <c r="AO293" s="119"/>
      <c r="AP293" s="119"/>
      <c r="AQ293" s="119"/>
      <c r="AR293" s="119"/>
      <c r="AS293" s="116"/>
      <c r="AT293" s="130">
        <v>12.88</v>
      </c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7"/>
      <c r="BK293" s="117"/>
      <c r="BL293" s="117"/>
      <c r="BN293" s="117"/>
      <c r="BO293" s="117"/>
      <c r="BP293" s="120"/>
      <c r="BR293" s="117"/>
      <c r="BS293" s="117"/>
      <c r="BZ293" s="117"/>
      <c r="CA293" s="144"/>
    </row>
    <row r="294" spans="1:79" s="118" customFormat="1">
      <c r="A294" s="114"/>
      <c r="B294" s="114">
        <f t="shared" si="6"/>
        <v>1</v>
      </c>
      <c r="C294" s="136" t="s">
        <v>971</v>
      </c>
      <c r="D294" s="116"/>
      <c r="E294" s="116"/>
      <c r="F294" s="116"/>
      <c r="G294" s="115"/>
      <c r="H294" s="116"/>
      <c r="I294" s="116"/>
      <c r="J294" s="116"/>
      <c r="K294" s="116"/>
      <c r="L294" s="116"/>
      <c r="M294" s="116"/>
      <c r="N294" s="116"/>
      <c r="O294" s="116"/>
      <c r="P294" s="166"/>
      <c r="Q294" s="116"/>
      <c r="R294" s="116"/>
      <c r="S294" s="191"/>
      <c r="T294" s="191"/>
      <c r="U294" s="116"/>
      <c r="V294" s="116"/>
      <c r="W294" s="116"/>
      <c r="X294" s="117"/>
      <c r="Y294" s="116"/>
      <c r="Z294" s="114"/>
      <c r="AB294" s="119"/>
      <c r="AD294" s="119"/>
      <c r="AE294" s="119"/>
      <c r="AF294" s="119"/>
      <c r="AG294" s="119"/>
      <c r="AH294" s="119"/>
      <c r="AI294" s="119"/>
      <c r="AJ294" s="119"/>
      <c r="AK294" s="119"/>
      <c r="AL294" s="119"/>
      <c r="AM294" s="119"/>
      <c r="AN294" s="119"/>
      <c r="AO294" s="119"/>
      <c r="AP294" s="119"/>
      <c r="AQ294" s="119"/>
      <c r="AR294" s="119"/>
      <c r="AS294" s="116"/>
      <c r="AT294" s="130">
        <v>0</v>
      </c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7"/>
      <c r="BK294" s="117"/>
      <c r="BL294" s="117"/>
      <c r="BN294" s="117"/>
      <c r="BO294" s="117"/>
      <c r="BP294" s="120"/>
      <c r="BR294" s="117"/>
      <c r="BS294" s="117"/>
      <c r="BZ294" s="117"/>
      <c r="CA294" s="145">
        <v>44596.62605324074</v>
      </c>
    </row>
    <row r="295" spans="1:79" s="118" customFormat="1" ht="27">
      <c r="A295" s="114"/>
      <c r="B295" s="114">
        <f t="shared" si="6"/>
        <v>1</v>
      </c>
      <c r="C295" s="136" t="s">
        <v>972</v>
      </c>
      <c r="D295" s="116"/>
      <c r="E295" s="116"/>
      <c r="F295" s="116"/>
      <c r="G295" s="115"/>
      <c r="H295" s="116"/>
      <c r="I295" s="116"/>
      <c r="J295" s="116"/>
      <c r="K295" s="116"/>
      <c r="L295" s="116"/>
      <c r="M295" s="116"/>
      <c r="N295" s="116"/>
      <c r="O295" s="116"/>
      <c r="P295" s="166"/>
      <c r="Q295" s="116"/>
      <c r="R295" s="116"/>
      <c r="S295" s="191"/>
      <c r="T295" s="191"/>
      <c r="U295" s="116"/>
      <c r="V295" s="116"/>
      <c r="W295" s="116"/>
      <c r="X295" s="117"/>
      <c r="Y295" s="116"/>
      <c r="Z295" s="114"/>
      <c r="AB295" s="119"/>
      <c r="AD295" s="119"/>
      <c r="AE295" s="119"/>
      <c r="AF295" s="119"/>
      <c r="AG295" s="119"/>
      <c r="AH295" s="119"/>
      <c r="AI295" s="119"/>
      <c r="AJ295" s="119"/>
      <c r="AK295" s="119"/>
      <c r="AL295" s="119">
        <v>8</v>
      </c>
      <c r="AM295" s="119"/>
      <c r="AN295" s="119"/>
      <c r="AO295" s="119"/>
      <c r="AP295" s="119"/>
      <c r="AQ295" s="119"/>
      <c r="AR295" s="119"/>
      <c r="AS295" s="116"/>
      <c r="AT295" s="130">
        <v>0</v>
      </c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7"/>
      <c r="BK295" s="117"/>
      <c r="BL295" s="117"/>
      <c r="BN295" s="117"/>
      <c r="BO295" s="117"/>
      <c r="BP295" s="120"/>
      <c r="BR295" s="117"/>
      <c r="BS295" s="117"/>
      <c r="BZ295" s="117"/>
      <c r="CA295" s="144"/>
    </row>
    <row r="296" spans="1:79" s="118" customFormat="1">
      <c r="A296" s="114"/>
      <c r="B296" s="114">
        <f t="shared" si="6"/>
        <v>0</v>
      </c>
      <c r="C296" s="136"/>
      <c r="D296" s="116"/>
      <c r="E296" s="116"/>
      <c r="F296" s="116"/>
      <c r="G296" s="115"/>
      <c r="H296" s="116"/>
      <c r="I296" s="116"/>
      <c r="J296" s="116"/>
      <c r="K296" s="116"/>
      <c r="L296" s="116"/>
      <c r="M296" s="116"/>
      <c r="N296" s="116"/>
      <c r="O296" s="116"/>
      <c r="P296" s="166"/>
      <c r="Q296" s="116"/>
      <c r="R296" s="116"/>
      <c r="S296" s="191"/>
      <c r="T296" s="191"/>
      <c r="U296" s="116"/>
      <c r="V296" s="116"/>
      <c r="W296" s="116"/>
      <c r="X296" s="117"/>
      <c r="Y296" s="116"/>
      <c r="Z296" s="114"/>
      <c r="AB296" s="119"/>
      <c r="AD296" s="119"/>
      <c r="AE296" s="119"/>
      <c r="AF296" s="119"/>
      <c r="AG296" s="119"/>
      <c r="AH296" s="119"/>
      <c r="AI296" s="119"/>
      <c r="AJ296" s="119"/>
      <c r="AK296" s="119"/>
      <c r="AL296" s="119"/>
      <c r="AM296" s="119"/>
      <c r="AN296" s="119"/>
      <c r="AO296" s="119"/>
      <c r="AP296" s="119"/>
      <c r="AQ296" s="119"/>
      <c r="AR296" s="119"/>
      <c r="AS296" s="116"/>
      <c r="AT296" s="12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7"/>
      <c r="BK296" s="117"/>
      <c r="BL296" s="117"/>
      <c r="BN296" s="117"/>
      <c r="BO296" s="117"/>
      <c r="BP296" s="120"/>
      <c r="BR296" s="117"/>
      <c r="BS296" s="117"/>
      <c r="BZ296" s="117"/>
      <c r="CA296" s="144"/>
    </row>
    <row r="297" spans="1:79" s="118" customFormat="1">
      <c r="A297" s="114"/>
      <c r="B297" s="114">
        <f t="shared" si="6"/>
        <v>1</v>
      </c>
      <c r="C297" s="136" t="s">
        <v>976</v>
      </c>
      <c r="D297" s="116"/>
      <c r="E297" s="116"/>
      <c r="F297" s="116"/>
      <c r="G297" s="115"/>
      <c r="H297" s="116"/>
      <c r="I297" s="116"/>
      <c r="J297" s="116"/>
      <c r="K297" s="116"/>
      <c r="L297" s="116"/>
      <c r="M297" s="116"/>
      <c r="N297" s="116"/>
      <c r="O297" s="116"/>
      <c r="P297" s="166"/>
      <c r="Q297" s="116"/>
      <c r="R297" s="116"/>
      <c r="S297" s="191"/>
      <c r="T297" s="191"/>
      <c r="U297" s="116"/>
      <c r="V297" s="116"/>
      <c r="W297" s="116"/>
      <c r="X297" s="117"/>
      <c r="Y297" s="116"/>
      <c r="Z297" s="114"/>
      <c r="AB297" s="119"/>
      <c r="AD297" s="119"/>
      <c r="AE297" s="119"/>
      <c r="AF297" s="119"/>
      <c r="AG297" s="119"/>
      <c r="AH297" s="119"/>
      <c r="AI297" s="119"/>
      <c r="AJ297" s="119"/>
      <c r="AK297" s="119"/>
      <c r="AL297" s="119"/>
      <c r="AM297" s="119"/>
      <c r="AN297" s="119"/>
      <c r="AO297" s="119"/>
      <c r="AP297" s="119"/>
      <c r="AQ297" s="119"/>
      <c r="AR297" s="119"/>
      <c r="AS297" s="116"/>
      <c r="AT297" s="126"/>
      <c r="AU297" s="130">
        <v>0</v>
      </c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7"/>
      <c r="BK297" s="117"/>
      <c r="BL297" s="117"/>
      <c r="BN297" s="117"/>
      <c r="BO297" s="117"/>
      <c r="BP297" s="120"/>
      <c r="BR297" s="117"/>
      <c r="BS297" s="117"/>
      <c r="BZ297" s="117"/>
      <c r="CA297" s="144"/>
    </row>
    <row r="298" spans="1:79" s="118" customFormat="1">
      <c r="A298" s="114"/>
      <c r="B298" s="114">
        <f t="shared" si="6"/>
        <v>1</v>
      </c>
      <c r="C298" s="136" t="s">
        <v>2453</v>
      </c>
      <c r="D298" s="116"/>
      <c r="E298" s="116">
        <v>2</v>
      </c>
      <c r="F298" s="116"/>
      <c r="G298" s="115"/>
      <c r="H298" s="116"/>
      <c r="I298" s="116"/>
      <c r="J298" s="116"/>
      <c r="K298" s="116"/>
      <c r="L298" s="116"/>
      <c r="M298" s="116"/>
      <c r="N298" s="116"/>
      <c r="O298" s="116"/>
      <c r="P298" s="166"/>
      <c r="Q298" s="116"/>
      <c r="R298" s="116"/>
      <c r="S298" s="191"/>
      <c r="T298" s="191"/>
      <c r="U298" s="116"/>
      <c r="V298" s="116"/>
      <c r="W298" s="116"/>
      <c r="X298" s="117"/>
      <c r="Y298" s="116"/>
      <c r="Z298" s="114"/>
      <c r="AB298" s="119"/>
      <c r="AD298" s="119"/>
      <c r="AE298" s="119"/>
      <c r="AF298" s="119"/>
      <c r="AG298" s="119"/>
      <c r="AH298" s="119"/>
      <c r="AI298" s="119"/>
      <c r="AJ298" s="119"/>
      <c r="AK298" s="119"/>
      <c r="AL298" s="119"/>
      <c r="AM298" s="119"/>
      <c r="AN298" s="119"/>
      <c r="AO298" s="119"/>
      <c r="AP298" s="119"/>
      <c r="AQ298" s="119"/>
      <c r="AR298" s="119"/>
      <c r="AS298" s="116"/>
      <c r="AT298" s="126"/>
      <c r="AU298" s="130">
        <v>15.92</v>
      </c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7"/>
      <c r="BK298" s="117"/>
      <c r="BL298" s="117"/>
      <c r="BN298" s="117"/>
      <c r="BO298" s="117"/>
      <c r="BP298" s="120"/>
      <c r="BR298" s="117"/>
      <c r="BS298" s="117"/>
      <c r="BZ298" s="117"/>
      <c r="CA298" s="145">
        <v>44596.684942129628</v>
      </c>
    </row>
    <row r="299" spans="1:79" s="118" customFormat="1">
      <c r="A299" s="114"/>
      <c r="B299" s="114">
        <f t="shared" si="6"/>
        <v>1</v>
      </c>
      <c r="C299" s="136" t="s">
        <v>979</v>
      </c>
      <c r="D299" s="116"/>
      <c r="E299" s="116"/>
      <c r="F299" s="116"/>
      <c r="G299" s="115"/>
      <c r="H299" s="116"/>
      <c r="I299" s="116"/>
      <c r="J299" s="116"/>
      <c r="K299" s="116"/>
      <c r="L299" s="116"/>
      <c r="M299" s="116"/>
      <c r="N299" s="116"/>
      <c r="O299" s="116"/>
      <c r="P299" s="166"/>
      <c r="Q299" s="116"/>
      <c r="R299" s="116"/>
      <c r="S299" s="191"/>
      <c r="T299" s="191"/>
      <c r="U299" s="116"/>
      <c r="V299" s="116"/>
      <c r="W299" s="116"/>
      <c r="X299" s="117"/>
      <c r="Y299" s="116"/>
      <c r="Z299" s="114"/>
      <c r="AB299" s="119"/>
      <c r="AD299" s="119"/>
      <c r="AE299" s="119"/>
      <c r="AF299" s="119"/>
      <c r="AG299" s="119"/>
      <c r="AH299" s="119"/>
      <c r="AI299" s="119"/>
      <c r="AJ299" s="119"/>
      <c r="AK299" s="119"/>
      <c r="AL299" s="119"/>
      <c r="AM299" s="119"/>
      <c r="AN299" s="119"/>
      <c r="AO299" s="119"/>
      <c r="AP299" s="119"/>
      <c r="AQ299" s="119"/>
      <c r="AR299" s="119"/>
      <c r="AS299" s="116"/>
      <c r="AT299" s="126"/>
      <c r="AU299" s="130">
        <v>0</v>
      </c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7"/>
      <c r="BK299" s="117"/>
      <c r="BL299" s="117"/>
      <c r="BN299" s="117"/>
      <c r="BO299" s="117"/>
      <c r="BP299" s="120"/>
      <c r="BR299" s="117"/>
      <c r="BS299" s="117"/>
      <c r="BZ299" s="117"/>
      <c r="CA299" s="145">
        <v>44596.68509259259</v>
      </c>
    </row>
    <row r="300" spans="1:79" s="118" customFormat="1">
      <c r="A300" s="114"/>
      <c r="B300" s="114">
        <f t="shared" si="6"/>
        <v>1</v>
      </c>
      <c r="C300" s="136" t="s">
        <v>982</v>
      </c>
      <c r="D300" s="116"/>
      <c r="E300" s="116"/>
      <c r="F300" s="116"/>
      <c r="G300" s="115"/>
      <c r="H300" s="116"/>
      <c r="I300" s="116"/>
      <c r="J300" s="116"/>
      <c r="K300" s="116"/>
      <c r="L300" s="116"/>
      <c r="M300" s="116"/>
      <c r="N300" s="116"/>
      <c r="O300" s="116"/>
      <c r="P300" s="166"/>
      <c r="Q300" s="116"/>
      <c r="R300" s="116"/>
      <c r="S300" s="191"/>
      <c r="T300" s="191"/>
      <c r="U300" s="116"/>
      <c r="V300" s="116"/>
      <c r="W300" s="116"/>
      <c r="X300" s="117"/>
      <c r="Y300" s="116"/>
      <c r="Z300" s="114"/>
      <c r="AB300" s="119"/>
      <c r="AD300" s="119"/>
      <c r="AE300" s="119"/>
      <c r="AF300" s="119"/>
      <c r="AG300" s="119"/>
      <c r="AH300" s="119"/>
      <c r="AI300" s="119"/>
      <c r="AJ300" s="119"/>
      <c r="AK300" s="119"/>
      <c r="AL300" s="119"/>
      <c r="AM300" s="119"/>
      <c r="AN300" s="119"/>
      <c r="AO300" s="119"/>
      <c r="AP300" s="119"/>
      <c r="AQ300" s="119"/>
      <c r="AR300" s="119"/>
      <c r="AS300" s="116"/>
      <c r="AT300" s="126"/>
      <c r="AU300" s="130">
        <v>0</v>
      </c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7"/>
      <c r="BK300" s="117"/>
      <c r="BL300" s="117"/>
      <c r="BN300" s="117"/>
      <c r="BO300" s="117"/>
      <c r="BP300" s="120"/>
      <c r="BR300" s="117"/>
      <c r="BS300" s="117"/>
      <c r="BZ300" s="117"/>
      <c r="CA300" s="144"/>
    </row>
    <row r="301" spans="1:79" s="118" customFormat="1">
      <c r="A301" s="114"/>
      <c r="B301" s="114">
        <f t="shared" si="6"/>
        <v>0</v>
      </c>
      <c r="C301" s="136" t="s">
        <v>984</v>
      </c>
      <c r="D301" s="116"/>
      <c r="E301" s="116">
        <v>3</v>
      </c>
      <c r="F301" s="116"/>
      <c r="G301" s="115"/>
      <c r="H301" s="116"/>
      <c r="I301" s="116"/>
      <c r="J301" s="116"/>
      <c r="K301" s="116"/>
      <c r="L301" s="116"/>
      <c r="M301" s="116"/>
      <c r="N301" s="116"/>
      <c r="O301" s="116"/>
      <c r="P301" s="166"/>
      <c r="Q301" s="116"/>
      <c r="R301" s="116"/>
      <c r="S301" s="191"/>
      <c r="T301" s="191"/>
      <c r="U301" s="116"/>
      <c r="V301" s="116"/>
      <c r="W301" s="116"/>
      <c r="X301" s="117"/>
      <c r="Y301" s="116"/>
      <c r="Z301" s="114"/>
      <c r="AB301" s="119"/>
      <c r="AD301" s="119"/>
      <c r="AE301" s="119"/>
      <c r="AF301" s="119"/>
      <c r="AG301" s="119"/>
      <c r="AH301" s="119"/>
      <c r="AI301" s="119"/>
      <c r="AJ301" s="119"/>
      <c r="AK301" s="119"/>
      <c r="AL301" s="119"/>
      <c r="AM301" s="119"/>
      <c r="AN301" s="119"/>
      <c r="AO301" s="119"/>
      <c r="AP301" s="119"/>
      <c r="AQ301" s="119"/>
      <c r="AR301" s="119"/>
      <c r="AS301" s="116"/>
      <c r="AT301" s="126"/>
      <c r="AU301" s="130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7"/>
      <c r="BK301" s="117"/>
      <c r="BL301" s="117"/>
      <c r="BN301" s="117"/>
      <c r="BO301" s="117"/>
      <c r="BP301" s="120"/>
      <c r="BR301" s="117"/>
      <c r="BS301" s="117"/>
      <c r="BZ301" s="117"/>
      <c r="CA301" s="145">
        <v>44596.685393518521</v>
      </c>
    </row>
    <row r="302" spans="1:79" s="118" customFormat="1">
      <c r="A302" s="114"/>
      <c r="B302" s="114">
        <f t="shared" si="6"/>
        <v>1</v>
      </c>
      <c r="C302" s="136" t="s">
        <v>985</v>
      </c>
      <c r="D302" s="116"/>
      <c r="E302" s="116"/>
      <c r="F302" s="116"/>
      <c r="G302" s="115"/>
      <c r="H302" s="116"/>
      <c r="I302" s="116"/>
      <c r="J302" s="116"/>
      <c r="K302" s="116"/>
      <c r="L302" s="116"/>
      <c r="M302" s="116"/>
      <c r="N302" s="116"/>
      <c r="O302" s="116"/>
      <c r="P302" s="166"/>
      <c r="Q302" s="116"/>
      <c r="R302" s="116"/>
      <c r="S302" s="191"/>
      <c r="T302" s="191"/>
      <c r="U302" s="116"/>
      <c r="V302" s="116"/>
      <c r="W302" s="116"/>
      <c r="X302" s="117"/>
      <c r="Y302" s="116"/>
      <c r="Z302" s="114"/>
      <c r="AB302" s="119"/>
      <c r="AD302" s="119"/>
      <c r="AE302" s="119"/>
      <c r="AF302" s="119"/>
      <c r="AG302" s="119"/>
      <c r="AH302" s="119"/>
      <c r="AI302" s="119"/>
      <c r="AJ302" s="119"/>
      <c r="AK302" s="119"/>
      <c r="AL302" s="119"/>
      <c r="AM302" s="119"/>
      <c r="AN302" s="119"/>
      <c r="AO302" s="119"/>
      <c r="AP302" s="119"/>
      <c r="AQ302" s="119"/>
      <c r="AR302" s="119"/>
      <c r="AS302" s="116"/>
      <c r="AT302" s="126"/>
      <c r="AU302" s="130">
        <v>0</v>
      </c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7"/>
      <c r="BK302" s="117"/>
      <c r="BL302" s="117"/>
      <c r="BN302" s="117"/>
      <c r="BO302" s="117"/>
      <c r="BP302" s="120"/>
      <c r="BR302" s="117"/>
      <c r="BS302" s="117"/>
      <c r="BZ302" s="117"/>
      <c r="CA302" s="144"/>
    </row>
    <row r="303" spans="1:79" s="118" customFormat="1">
      <c r="A303" s="114"/>
      <c r="B303" s="114">
        <f t="shared" si="6"/>
        <v>1</v>
      </c>
      <c r="C303" s="136" t="s">
        <v>986</v>
      </c>
      <c r="D303" s="116"/>
      <c r="E303" s="116"/>
      <c r="F303" s="116"/>
      <c r="G303" s="115"/>
      <c r="H303" s="116"/>
      <c r="I303" s="116"/>
      <c r="J303" s="116"/>
      <c r="K303" s="116"/>
      <c r="L303" s="116"/>
      <c r="M303" s="116"/>
      <c r="N303" s="116"/>
      <c r="O303" s="116"/>
      <c r="P303" s="166"/>
      <c r="Q303" s="116"/>
      <c r="R303" s="116"/>
      <c r="S303" s="191"/>
      <c r="T303" s="191"/>
      <c r="U303" s="116"/>
      <c r="V303" s="116"/>
      <c r="W303" s="116"/>
      <c r="X303" s="117"/>
      <c r="Y303" s="116"/>
      <c r="Z303" s="114"/>
      <c r="AB303" s="119"/>
      <c r="AD303" s="119"/>
      <c r="AE303" s="119"/>
      <c r="AF303" s="119"/>
      <c r="AG303" s="119"/>
      <c r="AH303" s="119"/>
      <c r="AI303" s="119"/>
      <c r="AJ303" s="119"/>
      <c r="AK303" s="119"/>
      <c r="AL303" s="119"/>
      <c r="AM303" s="119"/>
      <c r="AN303" s="119"/>
      <c r="AO303" s="119"/>
      <c r="AP303" s="119"/>
      <c r="AQ303" s="119"/>
      <c r="AR303" s="119"/>
      <c r="AS303" s="116"/>
      <c r="AT303" s="126"/>
      <c r="AU303" s="130">
        <v>0</v>
      </c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7"/>
      <c r="BK303" s="117"/>
      <c r="BL303" s="117"/>
      <c r="BN303" s="117"/>
      <c r="BO303" s="117"/>
      <c r="BP303" s="120"/>
      <c r="BR303" s="117"/>
      <c r="BS303" s="117"/>
      <c r="BZ303" s="117"/>
      <c r="CA303" s="144"/>
    </row>
    <row r="304" spans="1:79" s="118" customFormat="1">
      <c r="A304" s="114"/>
      <c r="B304" s="114">
        <f t="shared" si="6"/>
        <v>1</v>
      </c>
      <c r="C304" s="136" t="s">
        <v>987</v>
      </c>
      <c r="D304" s="116"/>
      <c r="E304" s="116"/>
      <c r="F304" s="116"/>
      <c r="G304" s="115"/>
      <c r="H304" s="116"/>
      <c r="I304" s="116"/>
      <c r="J304" s="116"/>
      <c r="K304" s="116"/>
      <c r="L304" s="116"/>
      <c r="M304" s="116"/>
      <c r="N304" s="116"/>
      <c r="O304" s="116"/>
      <c r="P304" s="166"/>
      <c r="Q304" s="116"/>
      <c r="R304" s="116"/>
      <c r="S304" s="191"/>
      <c r="T304" s="191"/>
      <c r="U304" s="116"/>
      <c r="V304" s="116"/>
      <c r="W304" s="116"/>
      <c r="X304" s="117"/>
      <c r="Y304" s="116"/>
      <c r="Z304" s="114"/>
      <c r="AB304" s="119"/>
      <c r="AD304" s="119"/>
      <c r="AE304" s="119"/>
      <c r="AF304" s="119"/>
      <c r="AG304" s="119"/>
      <c r="AH304" s="119"/>
      <c r="AI304" s="119"/>
      <c r="AJ304" s="119"/>
      <c r="AK304" s="119"/>
      <c r="AL304" s="119"/>
      <c r="AM304" s="119"/>
      <c r="AN304" s="119"/>
      <c r="AO304" s="119"/>
      <c r="AP304" s="119"/>
      <c r="AQ304" s="119"/>
      <c r="AR304" s="119"/>
      <c r="AS304" s="116"/>
      <c r="AT304" s="126"/>
      <c r="AU304" s="130">
        <v>0</v>
      </c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7"/>
      <c r="BK304" s="117"/>
      <c r="BL304" s="117"/>
      <c r="BN304" s="117"/>
      <c r="BO304" s="117"/>
      <c r="BP304" s="120"/>
      <c r="BR304" s="117"/>
      <c r="BS304" s="117"/>
      <c r="BZ304" s="117"/>
      <c r="CA304" s="144"/>
    </row>
    <row r="305" spans="1:79" s="118" customFormat="1">
      <c r="A305" s="114"/>
      <c r="B305" s="114">
        <f t="shared" si="6"/>
        <v>0</v>
      </c>
      <c r="C305" s="136"/>
      <c r="D305" s="116"/>
      <c r="E305" s="116"/>
      <c r="F305" s="116"/>
      <c r="G305" s="115"/>
      <c r="H305" s="116"/>
      <c r="I305" s="116"/>
      <c r="J305" s="116"/>
      <c r="K305" s="116"/>
      <c r="L305" s="116"/>
      <c r="M305" s="116"/>
      <c r="N305" s="116"/>
      <c r="O305" s="116"/>
      <c r="P305" s="166"/>
      <c r="Q305" s="116"/>
      <c r="R305" s="116"/>
      <c r="S305" s="191"/>
      <c r="T305" s="191"/>
      <c r="U305" s="116"/>
      <c r="V305" s="116"/>
      <c r="W305" s="116"/>
      <c r="X305" s="117"/>
      <c r="Y305" s="116"/>
      <c r="Z305" s="114"/>
      <c r="AB305" s="119"/>
      <c r="AD305" s="119"/>
      <c r="AE305" s="119"/>
      <c r="AF305" s="119"/>
      <c r="AG305" s="119"/>
      <c r="AH305" s="119"/>
      <c r="AI305" s="119"/>
      <c r="AJ305" s="119"/>
      <c r="AK305" s="119"/>
      <c r="AL305" s="119"/>
      <c r="AM305" s="119"/>
      <c r="AN305" s="119"/>
      <c r="AO305" s="119"/>
      <c r="AP305" s="119"/>
      <c r="AQ305" s="119"/>
      <c r="AR305" s="119"/>
      <c r="AS305" s="116"/>
      <c r="AT305" s="126"/>
      <c r="AU305" s="12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7"/>
      <c r="BK305" s="117"/>
      <c r="BL305" s="117"/>
      <c r="BN305" s="117"/>
      <c r="BO305" s="117"/>
      <c r="BP305" s="120"/>
      <c r="BR305" s="117"/>
      <c r="BS305" s="117"/>
      <c r="BZ305" s="117"/>
      <c r="CA305" s="144"/>
    </row>
    <row r="306" spans="1:79" s="118" customFormat="1">
      <c r="A306" s="114"/>
      <c r="B306" s="114">
        <f t="shared" si="6"/>
        <v>1</v>
      </c>
      <c r="C306" s="136" t="s">
        <v>1015</v>
      </c>
      <c r="D306" s="116"/>
      <c r="E306" s="116"/>
      <c r="F306" s="116"/>
      <c r="G306" s="115"/>
      <c r="H306" s="116"/>
      <c r="I306" s="116"/>
      <c r="J306" s="116"/>
      <c r="K306" s="116"/>
      <c r="L306" s="116"/>
      <c r="M306" s="116"/>
      <c r="N306" s="116"/>
      <c r="O306" s="116"/>
      <c r="P306" s="166"/>
      <c r="Q306" s="116"/>
      <c r="R306" s="116"/>
      <c r="S306" s="191"/>
      <c r="T306" s="191"/>
      <c r="U306" s="116"/>
      <c r="V306" s="116"/>
      <c r="W306" s="116"/>
      <c r="X306" s="117"/>
      <c r="Y306" s="116"/>
      <c r="Z306" s="114"/>
      <c r="AB306" s="119"/>
      <c r="AD306" s="119"/>
      <c r="AE306" s="119"/>
      <c r="AF306" s="119"/>
      <c r="AG306" s="119"/>
      <c r="AH306" s="119"/>
      <c r="AI306" s="119"/>
      <c r="AJ306" s="119"/>
      <c r="AK306" s="119"/>
      <c r="AL306" s="119"/>
      <c r="AM306" s="119"/>
      <c r="AN306" s="119"/>
      <c r="AO306" s="119"/>
      <c r="AP306" s="119"/>
      <c r="AQ306" s="119"/>
      <c r="AR306" s="119"/>
      <c r="AS306" s="130">
        <v>0</v>
      </c>
      <c r="AT306" s="126"/>
      <c r="AU306" s="12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7"/>
      <c r="BK306" s="117"/>
      <c r="BL306" s="117"/>
      <c r="BN306" s="117"/>
      <c r="BO306" s="117"/>
      <c r="BP306" s="120"/>
      <c r="BR306" s="117"/>
      <c r="BS306" s="117"/>
      <c r="BZ306" s="117"/>
      <c r="CA306" s="144"/>
    </row>
    <row r="307" spans="1:79" s="118" customFormat="1" ht="27">
      <c r="A307" s="114"/>
      <c r="B307" s="114">
        <f t="shared" si="6"/>
        <v>1</v>
      </c>
      <c r="C307" s="136" t="s">
        <v>1016</v>
      </c>
      <c r="D307" s="116"/>
      <c r="E307" s="116"/>
      <c r="F307" s="116"/>
      <c r="G307" s="115"/>
      <c r="H307" s="116"/>
      <c r="I307" s="116"/>
      <c r="J307" s="116"/>
      <c r="K307" s="116"/>
      <c r="L307" s="116"/>
      <c r="M307" s="116"/>
      <c r="N307" s="116"/>
      <c r="O307" s="116"/>
      <c r="P307" s="166"/>
      <c r="Q307" s="116"/>
      <c r="R307" s="116"/>
      <c r="S307" s="191"/>
      <c r="T307" s="191"/>
      <c r="U307" s="116"/>
      <c r="V307" s="116"/>
      <c r="W307" s="116"/>
      <c r="X307" s="117"/>
      <c r="Y307" s="116"/>
      <c r="Z307" s="114"/>
      <c r="AB307" s="119"/>
      <c r="AD307" s="119"/>
      <c r="AE307" s="119"/>
      <c r="AF307" s="119"/>
      <c r="AG307" s="119"/>
      <c r="AH307" s="119"/>
      <c r="AI307" s="119"/>
      <c r="AJ307" s="119"/>
      <c r="AK307" s="119"/>
      <c r="AL307" s="119"/>
      <c r="AM307" s="119"/>
      <c r="AN307" s="119"/>
      <c r="AO307" s="119"/>
      <c r="AP307" s="119"/>
      <c r="AQ307" s="119"/>
      <c r="AR307" s="119"/>
      <c r="AS307" s="130">
        <v>0</v>
      </c>
      <c r="AT307" s="126"/>
      <c r="AU307" s="12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7"/>
      <c r="BK307" s="117"/>
      <c r="BL307" s="117"/>
      <c r="BN307" s="117"/>
      <c r="BO307" s="117"/>
      <c r="BP307" s="120"/>
      <c r="BR307" s="117"/>
      <c r="BS307" s="117"/>
      <c r="BZ307" s="117"/>
      <c r="CA307" s="144"/>
    </row>
    <row r="308" spans="1:79" s="118" customFormat="1">
      <c r="A308" s="114"/>
      <c r="B308" s="114">
        <f t="shared" si="6"/>
        <v>2</v>
      </c>
      <c r="C308" s="136" t="s">
        <v>1017</v>
      </c>
      <c r="D308" s="116"/>
      <c r="E308" s="116"/>
      <c r="F308" s="116"/>
      <c r="G308" s="115"/>
      <c r="H308" s="116"/>
      <c r="I308" s="116"/>
      <c r="J308" s="116"/>
      <c r="K308" s="116"/>
      <c r="L308" s="116"/>
      <c r="M308" s="116"/>
      <c r="N308" s="116"/>
      <c r="O308" s="116"/>
      <c r="P308" s="166"/>
      <c r="Q308" s="116"/>
      <c r="R308" s="116"/>
      <c r="S308" s="191"/>
      <c r="T308" s="191"/>
      <c r="U308" s="116"/>
      <c r="V308" s="116"/>
      <c r="W308" s="116"/>
      <c r="X308" s="117"/>
      <c r="Y308" s="116"/>
      <c r="Z308" s="114"/>
      <c r="AB308" s="119"/>
      <c r="AD308" s="119"/>
      <c r="AE308" s="119"/>
      <c r="AF308" s="119"/>
      <c r="AG308" s="119"/>
      <c r="AH308" s="119"/>
      <c r="AI308" s="119"/>
      <c r="AJ308" s="119"/>
      <c r="AK308" s="119"/>
      <c r="AL308" s="119"/>
      <c r="AM308" s="119"/>
      <c r="AN308" s="119"/>
      <c r="AO308" s="119"/>
      <c r="AP308" s="119"/>
      <c r="AQ308" s="130">
        <v>0</v>
      </c>
      <c r="AR308" s="119"/>
      <c r="AS308" s="130">
        <v>0</v>
      </c>
      <c r="AT308" s="126"/>
      <c r="AU308" s="12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7"/>
      <c r="BK308" s="117"/>
      <c r="BL308" s="117"/>
      <c r="BN308" s="117"/>
      <c r="BO308" s="117"/>
      <c r="BP308" s="120"/>
      <c r="BR308" s="117"/>
      <c r="BS308" s="117"/>
      <c r="BZ308" s="117"/>
      <c r="CA308" s="145">
        <v>44596.647696759261</v>
      </c>
    </row>
    <row r="309" spans="1:79" s="118" customFormat="1">
      <c r="A309" s="114"/>
      <c r="B309" s="114">
        <f t="shared" si="6"/>
        <v>3</v>
      </c>
      <c r="C309" s="136" t="s">
        <v>1018</v>
      </c>
      <c r="D309" s="116"/>
      <c r="E309" s="116"/>
      <c r="F309" s="116"/>
      <c r="G309" s="115"/>
      <c r="H309" s="116"/>
      <c r="I309" s="116"/>
      <c r="J309" s="116"/>
      <c r="K309" s="116"/>
      <c r="L309" s="116"/>
      <c r="M309" s="116"/>
      <c r="N309" s="116"/>
      <c r="O309" s="116"/>
      <c r="P309" s="166"/>
      <c r="Q309" s="116"/>
      <c r="R309" s="116"/>
      <c r="S309" s="191"/>
      <c r="T309" s="191"/>
      <c r="U309" s="116"/>
      <c r="V309" s="116"/>
      <c r="W309" s="116"/>
      <c r="X309" s="117"/>
      <c r="Y309" s="116"/>
      <c r="Z309" s="114"/>
      <c r="AB309" s="119"/>
      <c r="AD309" s="119"/>
      <c r="AE309" s="119"/>
      <c r="AF309" s="119"/>
      <c r="AG309" s="119"/>
      <c r="AH309" s="119"/>
      <c r="AI309" s="119"/>
      <c r="AJ309" s="119"/>
      <c r="AK309" s="119"/>
      <c r="AL309" s="119"/>
      <c r="AM309" s="119"/>
      <c r="AN309" s="119"/>
      <c r="AO309" s="119"/>
      <c r="AP309" s="119"/>
      <c r="AQ309" s="119"/>
      <c r="AR309" s="119"/>
      <c r="AS309" s="130">
        <v>0</v>
      </c>
      <c r="AT309" s="126"/>
      <c r="AU309" s="130">
        <v>0</v>
      </c>
      <c r="AV309" s="130">
        <v>0</v>
      </c>
      <c r="AW309" s="116"/>
      <c r="AX309" s="116"/>
      <c r="AY309" s="116"/>
      <c r="AZ309" s="116"/>
      <c r="BA309" s="116"/>
      <c r="BB309" s="116"/>
      <c r="BC309" s="116"/>
      <c r="BD309" s="116"/>
      <c r="BE309" s="116"/>
      <c r="BF309" s="116"/>
      <c r="BG309" s="116"/>
      <c r="BH309" s="116"/>
      <c r="BI309" s="116"/>
      <c r="BJ309" s="117"/>
      <c r="BK309" s="117"/>
      <c r="BL309" s="117"/>
      <c r="BN309" s="117"/>
      <c r="BO309" s="117"/>
      <c r="BP309" s="120"/>
      <c r="BR309" s="117"/>
      <c r="BS309" s="117"/>
      <c r="BZ309" s="117"/>
      <c r="CA309" s="145">
        <v>44604.615428240744</v>
      </c>
    </row>
    <row r="310" spans="1:79" s="118" customFormat="1">
      <c r="A310" s="114"/>
      <c r="B310" s="114">
        <f t="shared" si="6"/>
        <v>1</v>
      </c>
      <c r="C310" s="136" t="s">
        <v>1020</v>
      </c>
      <c r="D310" s="116"/>
      <c r="E310" s="116">
        <v>2</v>
      </c>
      <c r="F310" s="116"/>
      <c r="G310" s="115"/>
      <c r="H310" s="116"/>
      <c r="I310" s="116"/>
      <c r="J310" s="116"/>
      <c r="K310" s="116"/>
      <c r="L310" s="116"/>
      <c r="M310" s="116"/>
      <c r="N310" s="116"/>
      <c r="O310" s="116"/>
      <c r="P310" s="166"/>
      <c r="Q310" s="116"/>
      <c r="R310" s="116"/>
      <c r="S310" s="191"/>
      <c r="T310" s="191"/>
      <c r="U310" s="116"/>
      <c r="V310" s="116"/>
      <c r="W310" s="116"/>
      <c r="X310" s="117"/>
      <c r="Y310" s="116"/>
      <c r="Z310" s="114"/>
      <c r="AB310" s="119"/>
      <c r="AD310" s="119"/>
      <c r="AE310" s="119"/>
      <c r="AF310" s="119"/>
      <c r="AG310" s="119"/>
      <c r="AH310" s="119"/>
      <c r="AI310" s="119"/>
      <c r="AJ310" s="119"/>
      <c r="AK310" s="119"/>
      <c r="AL310" s="119"/>
      <c r="AM310" s="119"/>
      <c r="AN310" s="119"/>
      <c r="AO310" s="119"/>
      <c r="AP310" s="119"/>
      <c r="AQ310" s="119"/>
      <c r="AR310" s="119"/>
      <c r="AS310" s="130">
        <v>0</v>
      </c>
      <c r="AT310" s="126"/>
      <c r="AU310" s="12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7"/>
      <c r="BK310" s="117"/>
      <c r="BL310" s="117"/>
      <c r="BN310" s="117"/>
      <c r="BO310" s="117"/>
      <c r="BP310" s="120"/>
      <c r="BR310" s="117"/>
      <c r="BS310" s="117"/>
      <c r="BZ310" s="117"/>
      <c r="CA310" s="144"/>
    </row>
    <row r="311" spans="1:79" s="118" customFormat="1">
      <c r="A311" s="114"/>
      <c r="B311" s="114">
        <f t="shared" si="6"/>
        <v>1</v>
      </c>
      <c r="C311" s="136" t="s">
        <v>1021</v>
      </c>
      <c r="D311" s="116"/>
      <c r="E311" s="116"/>
      <c r="F311" s="116"/>
      <c r="G311" s="115"/>
      <c r="H311" s="116"/>
      <c r="I311" s="116"/>
      <c r="J311" s="116"/>
      <c r="K311" s="116"/>
      <c r="L311" s="116"/>
      <c r="M311" s="116"/>
      <c r="N311" s="116"/>
      <c r="O311" s="116"/>
      <c r="P311" s="166"/>
      <c r="Q311" s="116"/>
      <c r="R311" s="116"/>
      <c r="S311" s="191"/>
      <c r="T311" s="191"/>
      <c r="U311" s="116"/>
      <c r="V311" s="116"/>
      <c r="W311" s="116"/>
      <c r="X311" s="117"/>
      <c r="Y311" s="116"/>
      <c r="Z311" s="114"/>
      <c r="AB311" s="119"/>
      <c r="AD311" s="119"/>
      <c r="AE311" s="119"/>
      <c r="AF311" s="119"/>
      <c r="AG311" s="119"/>
      <c r="AH311" s="119"/>
      <c r="AI311" s="119"/>
      <c r="AJ311" s="119"/>
      <c r="AK311" s="119"/>
      <c r="AL311" s="119"/>
      <c r="AM311" s="119"/>
      <c r="AN311" s="119"/>
      <c r="AO311" s="119"/>
      <c r="AP311" s="119"/>
      <c r="AQ311" s="119"/>
      <c r="AR311" s="119"/>
      <c r="AS311" s="130">
        <v>0</v>
      </c>
      <c r="AT311" s="126"/>
      <c r="AU311" s="12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7"/>
      <c r="BK311" s="117"/>
      <c r="BL311" s="117"/>
      <c r="BN311" s="117"/>
      <c r="BO311" s="117"/>
      <c r="BP311" s="120"/>
      <c r="BR311" s="117"/>
      <c r="BS311" s="117"/>
      <c r="BZ311" s="117"/>
      <c r="CA311" s="144"/>
    </row>
    <row r="312" spans="1:79" s="118" customFormat="1">
      <c r="A312" s="114"/>
      <c r="B312" s="114">
        <f t="shared" si="6"/>
        <v>1</v>
      </c>
      <c r="C312" s="136" t="s">
        <v>1025</v>
      </c>
      <c r="D312" s="116"/>
      <c r="E312" s="116"/>
      <c r="F312" s="116"/>
      <c r="G312" s="115"/>
      <c r="H312" s="116"/>
      <c r="I312" s="116"/>
      <c r="J312" s="116"/>
      <c r="K312" s="116"/>
      <c r="L312" s="116"/>
      <c r="M312" s="116"/>
      <c r="N312" s="116"/>
      <c r="O312" s="116"/>
      <c r="P312" s="166"/>
      <c r="Q312" s="116"/>
      <c r="R312" s="116"/>
      <c r="S312" s="191"/>
      <c r="T312" s="191"/>
      <c r="U312" s="116"/>
      <c r="V312" s="116"/>
      <c r="W312" s="116"/>
      <c r="X312" s="117"/>
      <c r="Y312" s="116"/>
      <c r="Z312" s="114"/>
      <c r="AB312" s="119"/>
      <c r="AD312" s="119"/>
      <c r="AE312" s="119"/>
      <c r="AF312" s="119"/>
      <c r="AG312" s="119"/>
      <c r="AH312" s="119"/>
      <c r="AI312" s="119"/>
      <c r="AJ312" s="119"/>
      <c r="AK312" s="119"/>
      <c r="AL312" s="119"/>
      <c r="AM312" s="119"/>
      <c r="AN312" s="119"/>
      <c r="AO312" s="119"/>
      <c r="AP312" s="119"/>
      <c r="AQ312" s="119"/>
      <c r="AR312" s="119"/>
      <c r="AS312" s="130">
        <v>0</v>
      </c>
      <c r="AT312" s="126"/>
      <c r="AU312" s="12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7"/>
      <c r="BK312" s="117"/>
      <c r="BL312" s="117"/>
      <c r="BN312" s="117"/>
      <c r="BO312" s="117"/>
      <c r="BP312" s="120"/>
      <c r="BR312" s="117"/>
      <c r="BS312" s="117"/>
      <c r="BZ312" s="117"/>
      <c r="CA312" s="144"/>
    </row>
    <row r="313" spans="1:79" s="118" customFormat="1">
      <c r="A313" s="114"/>
      <c r="B313" s="114">
        <f t="shared" si="6"/>
        <v>1</v>
      </c>
      <c r="C313" s="136" t="s">
        <v>1026</v>
      </c>
      <c r="D313" s="116"/>
      <c r="E313" s="116"/>
      <c r="F313" s="116"/>
      <c r="G313" s="115"/>
      <c r="H313" s="116"/>
      <c r="I313" s="116"/>
      <c r="J313" s="116"/>
      <c r="K313" s="116"/>
      <c r="L313" s="116"/>
      <c r="M313" s="116"/>
      <c r="N313" s="116"/>
      <c r="O313" s="116"/>
      <c r="P313" s="166"/>
      <c r="Q313" s="116"/>
      <c r="R313" s="116"/>
      <c r="S313" s="191"/>
      <c r="T313" s="191"/>
      <c r="U313" s="116"/>
      <c r="V313" s="116"/>
      <c r="W313" s="116"/>
      <c r="X313" s="117"/>
      <c r="Y313" s="116"/>
      <c r="Z313" s="114"/>
      <c r="AB313" s="119"/>
      <c r="AD313" s="119"/>
      <c r="AE313" s="119"/>
      <c r="AF313" s="119"/>
      <c r="AG313" s="119"/>
      <c r="AH313" s="119"/>
      <c r="AI313" s="119"/>
      <c r="AJ313" s="119"/>
      <c r="AK313" s="119"/>
      <c r="AL313" s="119"/>
      <c r="AM313" s="119"/>
      <c r="AN313" s="119"/>
      <c r="AO313" s="119"/>
      <c r="AP313" s="119"/>
      <c r="AQ313" s="119"/>
      <c r="AR313" s="119"/>
      <c r="AS313" s="130">
        <v>0</v>
      </c>
      <c r="AT313" s="126"/>
      <c r="AU313" s="12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7"/>
      <c r="BK313" s="117"/>
      <c r="BL313" s="117"/>
      <c r="BN313" s="117"/>
      <c r="BO313" s="117"/>
      <c r="BP313" s="120"/>
      <c r="BR313" s="117"/>
      <c r="BS313" s="117"/>
      <c r="BZ313" s="117"/>
      <c r="CA313" s="144"/>
    </row>
    <row r="314" spans="1:79" s="118" customFormat="1">
      <c r="A314" s="114"/>
      <c r="B314" s="114">
        <f t="shared" si="6"/>
        <v>1</v>
      </c>
      <c r="C314" s="136" t="s">
        <v>1027</v>
      </c>
      <c r="D314" s="116"/>
      <c r="E314" s="116"/>
      <c r="F314" s="116"/>
      <c r="G314" s="115"/>
      <c r="H314" s="116"/>
      <c r="I314" s="116"/>
      <c r="J314" s="116"/>
      <c r="K314" s="116"/>
      <c r="L314" s="116"/>
      <c r="M314" s="116"/>
      <c r="N314" s="116"/>
      <c r="O314" s="116"/>
      <c r="P314" s="166"/>
      <c r="Q314" s="116"/>
      <c r="R314" s="116"/>
      <c r="S314" s="191"/>
      <c r="T314" s="191"/>
      <c r="U314" s="116"/>
      <c r="V314" s="116"/>
      <c r="W314" s="116"/>
      <c r="X314" s="117"/>
      <c r="Y314" s="116"/>
      <c r="Z314" s="114"/>
      <c r="AB314" s="119"/>
      <c r="AD314" s="119"/>
      <c r="AE314" s="119"/>
      <c r="AF314" s="119"/>
      <c r="AG314" s="119"/>
      <c r="AH314" s="119"/>
      <c r="AI314" s="119"/>
      <c r="AJ314" s="119"/>
      <c r="AK314" s="119"/>
      <c r="AL314" s="119"/>
      <c r="AM314" s="119"/>
      <c r="AN314" s="119"/>
      <c r="AO314" s="119"/>
      <c r="AP314" s="119"/>
      <c r="AQ314" s="119"/>
      <c r="AR314" s="119"/>
      <c r="AS314" s="130">
        <v>0</v>
      </c>
      <c r="AT314" s="126"/>
      <c r="AU314" s="12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7"/>
      <c r="BK314" s="117"/>
      <c r="BL314" s="117"/>
      <c r="BN314" s="117"/>
      <c r="BO314" s="117"/>
      <c r="BP314" s="120"/>
      <c r="BR314" s="117"/>
      <c r="BS314" s="117"/>
      <c r="BZ314" s="117"/>
      <c r="CA314" s="144"/>
    </row>
    <row r="315" spans="1:79" s="118" customFormat="1">
      <c r="A315" s="114"/>
      <c r="B315" s="114">
        <f t="shared" si="6"/>
        <v>1</v>
      </c>
      <c r="C315" s="136" t="s">
        <v>1028</v>
      </c>
      <c r="D315" s="116"/>
      <c r="E315" s="116"/>
      <c r="F315" s="116"/>
      <c r="G315" s="115"/>
      <c r="H315" s="116"/>
      <c r="I315" s="116"/>
      <c r="J315" s="116"/>
      <c r="K315" s="116"/>
      <c r="L315" s="116"/>
      <c r="M315" s="116"/>
      <c r="N315" s="116"/>
      <c r="O315" s="116"/>
      <c r="P315" s="166"/>
      <c r="Q315" s="116"/>
      <c r="R315" s="116"/>
      <c r="S315" s="191"/>
      <c r="T315" s="191"/>
      <c r="U315" s="116"/>
      <c r="V315" s="116"/>
      <c r="W315" s="116"/>
      <c r="X315" s="117"/>
      <c r="Y315" s="116"/>
      <c r="Z315" s="114"/>
      <c r="AB315" s="119"/>
      <c r="AD315" s="119"/>
      <c r="AE315" s="119"/>
      <c r="AF315" s="119"/>
      <c r="AG315" s="119"/>
      <c r="AH315" s="119"/>
      <c r="AI315" s="119"/>
      <c r="AJ315" s="119"/>
      <c r="AK315" s="119"/>
      <c r="AL315" s="119"/>
      <c r="AM315" s="119"/>
      <c r="AN315" s="119"/>
      <c r="AO315" s="119"/>
      <c r="AP315" s="119"/>
      <c r="AQ315" s="119"/>
      <c r="AR315" s="119"/>
      <c r="AS315" s="130">
        <v>0</v>
      </c>
      <c r="AT315" s="126"/>
      <c r="AU315" s="12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7"/>
      <c r="BK315" s="117"/>
      <c r="BL315" s="117"/>
      <c r="BN315" s="117"/>
      <c r="BO315" s="117"/>
      <c r="BP315" s="120"/>
      <c r="BR315" s="117"/>
      <c r="BS315" s="117"/>
      <c r="BZ315" s="117"/>
      <c r="CA315" s="144"/>
    </row>
    <row r="316" spans="1:79" s="118" customFormat="1">
      <c r="A316" s="114"/>
      <c r="B316" s="114">
        <f t="shared" si="6"/>
        <v>1</v>
      </c>
      <c r="C316" s="136" t="s">
        <v>1029</v>
      </c>
      <c r="D316" s="116"/>
      <c r="E316" s="116">
        <v>10</v>
      </c>
      <c r="F316" s="116"/>
      <c r="G316" s="115"/>
      <c r="H316" s="116"/>
      <c r="I316" s="116"/>
      <c r="J316" s="116"/>
      <c r="K316" s="116"/>
      <c r="L316" s="116"/>
      <c r="M316" s="116"/>
      <c r="N316" s="116"/>
      <c r="O316" s="116"/>
      <c r="P316" s="166"/>
      <c r="Q316" s="116"/>
      <c r="R316" s="116"/>
      <c r="S316" s="191"/>
      <c r="T316" s="191"/>
      <c r="U316" s="116"/>
      <c r="V316" s="116"/>
      <c r="W316" s="116"/>
      <c r="X316" s="117"/>
      <c r="Y316" s="116"/>
      <c r="Z316" s="114"/>
      <c r="AB316" s="119"/>
      <c r="AD316" s="119"/>
      <c r="AE316" s="119"/>
      <c r="AF316" s="119"/>
      <c r="AG316" s="119"/>
      <c r="AH316" s="119"/>
      <c r="AI316" s="119"/>
      <c r="AJ316" s="119"/>
      <c r="AK316" s="119"/>
      <c r="AL316" s="119"/>
      <c r="AM316" s="119"/>
      <c r="AN316" s="119"/>
      <c r="AO316" s="119"/>
      <c r="AP316" s="119"/>
      <c r="AQ316" s="119"/>
      <c r="AR316" s="119"/>
      <c r="AS316" s="130">
        <v>0</v>
      </c>
      <c r="AT316" s="126"/>
      <c r="AU316" s="12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7"/>
      <c r="BK316" s="117"/>
      <c r="BL316" s="117"/>
      <c r="BN316" s="117"/>
      <c r="BO316" s="117"/>
      <c r="BP316" s="120"/>
      <c r="BR316" s="117"/>
      <c r="BS316" s="117"/>
      <c r="BZ316" s="117"/>
      <c r="CA316" s="144"/>
    </row>
    <row r="317" spans="1:79" s="118" customFormat="1">
      <c r="A317" s="114"/>
      <c r="B317" s="114">
        <f t="shared" si="6"/>
        <v>0</v>
      </c>
      <c r="C317" s="136"/>
      <c r="D317" s="116"/>
      <c r="E317" s="116"/>
      <c r="F317" s="116"/>
      <c r="G317" s="115"/>
      <c r="H317" s="116"/>
      <c r="I317" s="116"/>
      <c r="J317" s="116"/>
      <c r="K317" s="116"/>
      <c r="L317" s="116"/>
      <c r="M317" s="116"/>
      <c r="N317" s="116"/>
      <c r="O317" s="116"/>
      <c r="P317" s="166"/>
      <c r="Q317" s="116"/>
      <c r="R317" s="116"/>
      <c r="S317" s="191"/>
      <c r="T317" s="191"/>
      <c r="U317" s="116"/>
      <c r="V317" s="116"/>
      <c r="W317" s="116"/>
      <c r="X317" s="117"/>
      <c r="Y317" s="116"/>
      <c r="Z317" s="114"/>
      <c r="AB317" s="119"/>
      <c r="AD317" s="119"/>
      <c r="AE317" s="119"/>
      <c r="AF317" s="119"/>
      <c r="AG317" s="119"/>
      <c r="AH317" s="119"/>
      <c r="AI317" s="119"/>
      <c r="AJ317" s="119"/>
      <c r="AK317" s="119"/>
      <c r="AL317" s="119"/>
      <c r="AM317" s="119"/>
      <c r="AN317" s="119"/>
      <c r="AO317" s="119"/>
      <c r="AP317" s="119"/>
      <c r="AQ317" s="119"/>
      <c r="AR317" s="119"/>
      <c r="AS317" s="126"/>
      <c r="AT317" s="126"/>
      <c r="AU317" s="12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7"/>
      <c r="BK317" s="117"/>
      <c r="BL317" s="117"/>
      <c r="BN317" s="117"/>
      <c r="BO317" s="117"/>
      <c r="BP317" s="120"/>
      <c r="BR317" s="117"/>
      <c r="BS317" s="117"/>
      <c r="BZ317" s="117"/>
      <c r="CA317" s="144"/>
    </row>
    <row r="318" spans="1:79" s="118" customFormat="1" ht="27">
      <c r="A318" s="114"/>
      <c r="B318" s="114">
        <f t="shared" si="6"/>
        <v>1</v>
      </c>
      <c r="C318" s="136" t="s">
        <v>1034</v>
      </c>
      <c r="D318" s="116"/>
      <c r="E318" s="116"/>
      <c r="F318" s="116"/>
      <c r="G318" s="115"/>
      <c r="H318" s="116"/>
      <c r="I318" s="116"/>
      <c r="J318" s="116"/>
      <c r="K318" s="116"/>
      <c r="L318" s="116"/>
      <c r="M318" s="116"/>
      <c r="N318" s="116"/>
      <c r="O318" s="116"/>
      <c r="P318" s="166"/>
      <c r="Q318" s="116"/>
      <c r="R318" s="116"/>
      <c r="S318" s="191"/>
      <c r="T318" s="191"/>
      <c r="U318" s="116"/>
      <c r="V318" s="116"/>
      <c r="W318" s="116"/>
      <c r="X318" s="117"/>
      <c r="Y318" s="116"/>
      <c r="Z318" s="114"/>
      <c r="AB318" s="119"/>
      <c r="AD318" s="119"/>
      <c r="AE318" s="119"/>
      <c r="AF318" s="119"/>
      <c r="AG318" s="119"/>
      <c r="AH318" s="119"/>
      <c r="AI318" s="119"/>
      <c r="AJ318" s="119"/>
      <c r="AK318" s="119"/>
      <c r="AL318" s="119"/>
      <c r="AM318" s="119"/>
      <c r="AN318" s="119"/>
      <c r="AO318" s="119"/>
      <c r="AP318" s="119"/>
      <c r="AQ318" s="119"/>
      <c r="AR318" s="119"/>
      <c r="AS318" s="126"/>
      <c r="AT318" s="126"/>
      <c r="AU318" s="126"/>
      <c r="AV318" s="130">
        <v>0</v>
      </c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7"/>
      <c r="BK318" s="117"/>
      <c r="BL318" s="117"/>
      <c r="BN318" s="117"/>
      <c r="BO318" s="117"/>
      <c r="BP318" s="120"/>
      <c r="BR318" s="117"/>
      <c r="BS318" s="117"/>
      <c r="BZ318" s="117"/>
      <c r="CA318" s="144"/>
    </row>
    <row r="319" spans="1:79" s="118" customFormat="1">
      <c r="A319" s="114"/>
      <c r="B319" s="114">
        <f t="shared" si="6"/>
        <v>1</v>
      </c>
      <c r="C319" s="136" t="s">
        <v>976</v>
      </c>
      <c r="D319" s="116"/>
      <c r="E319" s="116"/>
      <c r="F319" s="116"/>
      <c r="G319" s="115"/>
      <c r="H319" s="116"/>
      <c r="I319" s="116"/>
      <c r="J319" s="116"/>
      <c r="K319" s="116"/>
      <c r="L319" s="116"/>
      <c r="M319" s="116"/>
      <c r="N319" s="116"/>
      <c r="O319" s="116"/>
      <c r="P319" s="166"/>
      <c r="Q319" s="116"/>
      <c r="R319" s="116"/>
      <c r="S319" s="191"/>
      <c r="T319" s="191"/>
      <c r="U319" s="116"/>
      <c r="V319" s="116"/>
      <c r="W319" s="116"/>
      <c r="X319" s="117"/>
      <c r="Y319" s="116"/>
      <c r="Z319" s="114"/>
      <c r="AB319" s="119"/>
      <c r="AD319" s="119"/>
      <c r="AE319" s="119"/>
      <c r="AF319" s="119"/>
      <c r="AG319" s="119"/>
      <c r="AH319" s="119"/>
      <c r="AI319" s="119"/>
      <c r="AJ319" s="119"/>
      <c r="AK319" s="119"/>
      <c r="AL319" s="119"/>
      <c r="AM319" s="119"/>
      <c r="AN319" s="119"/>
      <c r="AO319" s="119"/>
      <c r="AP319" s="119"/>
      <c r="AQ319" s="119"/>
      <c r="AR319" s="119"/>
      <c r="AS319" s="126"/>
      <c r="AT319" s="126"/>
      <c r="AU319" s="126"/>
      <c r="AV319" s="130">
        <v>0</v>
      </c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7"/>
      <c r="BK319" s="117"/>
      <c r="BL319" s="117"/>
      <c r="BN319" s="117"/>
      <c r="BO319" s="117"/>
      <c r="BP319" s="120"/>
      <c r="BR319" s="117"/>
      <c r="BS319" s="117"/>
      <c r="BZ319" s="117"/>
      <c r="CA319" s="144"/>
    </row>
    <row r="320" spans="1:79" s="118" customFormat="1">
      <c r="A320" s="114"/>
      <c r="B320" s="114">
        <f t="shared" si="6"/>
        <v>1</v>
      </c>
      <c r="C320" s="136" t="s">
        <v>1036</v>
      </c>
      <c r="D320" s="116"/>
      <c r="E320" s="116"/>
      <c r="F320" s="116"/>
      <c r="G320" s="115"/>
      <c r="H320" s="116"/>
      <c r="I320" s="116"/>
      <c r="J320" s="116"/>
      <c r="K320" s="116"/>
      <c r="L320" s="116"/>
      <c r="M320" s="116"/>
      <c r="N320" s="116"/>
      <c r="O320" s="116"/>
      <c r="P320" s="166"/>
      <c r="Q320" s="116"/>
      <c r="R320" s="116"/>
      <c r="S320" s="191"/>
      <c r="T320" s="191"/>
      <c r="U320" s="116"/>
      <c r="V320" s="116"/>
      <c r="W320" s="116"/>
      <c r="X320" s="117"/>
      <c r="Y320" s="116"/>
      <c r="Z320" s="114"/>
      <c r="AB320" s="119"/>
      <c r="AD320" s="119"/>
      <c r="AE320" s="119"/>
      <c r="AF320" s="119"/>
      <c r="AG320" s="119"/>
      <c r="AH320" s="119"/>
      <c r="AI320" s="119"/>
      <c r="AJ320" s="119"/>
      <c r="AK320" s="119"/>
      <c r="AL320" s="119"/>
      <c r="AM320" s="119"/>
      <c r="AN320" s="119"/>
      <c r="AO320" s="119"/>
      <c r="AP320" s="119"/>
      <c r="AQ320" s="119"/>
      <c r="AR320" s="119"/>
      <c r="AS320" s="126"/>
      <c r="AT320" s="126"/>
      <c r="AU320" s="126"/>
      <c r="AV320" s="130">
        <v>0</v>
      </c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7"/>
      <c r="BK320" s="117"/>
      <c r="BL320" s="117"/>
      <c r="BN320" s="117"/>
      <c r="BO320" s="117"/>
      <c r="BP320" s="120"/>
      <c r="BR320" s="117"/>
      <c r="BS320" s="117"/>
      <c r="BZ320" s="117"/>
      <c r="CA320" s="144"/>
    </row>
    <row r="321" spans="1:79" s="118" customFormat="1">
      <c r="A321" s="114"/>
      <c r="B321" s="114">
        <f t="shared" si="6"/>
        <v>1</v>
      </c>
      <c r="C321" s="136" t="s">
        <v>1037</v>
      </c>
      <c r="D321" s="116"/>
      <c r="E321" s="116"/>
      <c r="F321" s="116"/>
      <c r="G321" s="115"/>
      <c r="H321" s="116"/>
      <c r="I321" s="116"/>
      <c r="J321" s="116"/>
      <c r="K321" s="116"/>
      <c r="L321" s="116"/>
      <c r="M321" s="116"/>
      <c r="N321" s="116"/>
      <c r="O321" s="116"/>
      <c r="P321" s="166"/>
      <c r="Q321" s="116"/>
      <c r="R321" s="116"/>
      <c r="S321" s="191"/>
      <c r="T321" s="191"/>
      <c r="U321" s="116"/>
      <c r="V321" s="116"/>
      <c r="W321" s="116"/>
      <c r="X321" s="117"/>
      <c r="Y321" s="116"/>
      <c r="Z321" s="114"/>
      <c r="AB321" s="119"/>
      <c r="AD321" s="119"/>
      <c r="AE321" s="119"/>
      <c r="AF321" s="119"/>
      <c r="AG321" s="119"/>
      <c r="AH321" s="119"/>
      <c r="AI321" s="119"/>
      <c r="AJ321" s="119"/>
      <c r="AK321" s="119"/>
      <c r="AL321" s="119"/>
      <c r="AM321" s="119"/>
      <c r="AN321" s="119"/>
      <c r="AO321" s="119"/>
      <c r="AP321" s="119"/>
      <c r="AQ321" s="119"/>
      <c r="AR321" s="119"/>
      <c r="AS321" s="126"/>
      <c r="AT321" s="126"/>
      <c r="AU321" s="126"/>
      <c r="AV321" s="130">
        <v>0</v>
      </c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7"/>
      <c r="BK321" s="117"/>
      <c r="BL321" s="117"/>
      <c r="BN321" s="117"/>
      <c r="BO321" s="117"/>
      <c r="BP321" s="120"/>
      <c r="BR321" s="117"/>
      <c r="BS321" s="117"/>
      <c r="BZ321" s="117"/>
      <c r="CA321" s="144"/>
    </row>
    <row r="322" spans="1:79" s="118" customFormat="1">
      <c r="A322" s="114"/>
      <c r="B322" s="114">
        <f t="shared" si="6"/>
        <v>1</v>
      </c>
      <c r="C322" s="136" t="s">
        <v>1038</v>
      </c>
      <c r="D322" s="116"/>
      <c r="E322" s="116"/>
      <c r="F322" s="116"/>
      <c r="G322" s="115"/>
      <c r="H322" s="116"/>
      <c r="I322" s="116"/>
      <c r="J322" s="116"/>
      <c r="K322" s="116"/>
      <c r="L322" s="116"/>
      <c r="M322" s="116"/>
      <c r="N322" s="116"/>
      <c r="O322" s="116"/>
      <c r="P322" s="166"/>
      <c r="Q322" s="116"/>
      <c r="R322" s="116"/>
      <c r="S322" s="191"/>
      <c r="T322" s="191"/>
      <c r="U322" s="116"/>
      <c r="V322" s="116"/>
      <c r="W322" s="116"/>
      <c r="X322" s="117"/>
      <c r="Y322" s="116"/>
      <c r="Z322" s="114"/>
      <c r="AB322" s="119"/>
      <c r="AD322" s="119"/>
      <c r="AE322" s="119"/>
      <c r="AF322" s="119"/>
      <c r="AG322" s="119"/>
      <c r="AH322" s="119"/>
      <c r="AI322" s="119"/>
      <c r="AJ322" s="119"/>
      <c r="AK322" s="119"/>
      <c r="AL322" s="119"/>
      <c r="AM322" s="119"/>
      <c r="AN322" s="119"/>
      <c r="AO322" s="119"/>
      <c r="AP322" s="119"/>
      <c r="AQ322" s="119"/>
      <c r="AR322" s="119"/>
      <c r="AS322" s="126"/>
      <c r="AT322" s="126"/>
      <c r="AU322" s="126"/>
      <c r="AV322" s="130">
        <v>0</v>
      </c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7"/>
      <c r="BK322" s="117"/>
      <c r="BL322" s="117"/>
      <c r="BN322" s="117"/>
      <c r="BO322" s="117"/>
      <c r="BP322" s="120"/>
      <c r="BR322" s="117"/>
      <c r="BS322" s="117"/>
      <c r="BZ322" s="117"/>
      <c r="CA322" s="144"/>
    </row>
    <row r="323" spans="1:79" s="118" customFormat="1">
      <c r="A323" s="114"/>
      <c r="B323" s="114">
        <f t="shared" si="6"/>
        <v>1</v>
      </c>
      <c r="C323" s="136" t="s">
        <v>1039</v>
      </c>
      <c r="D323" s="116"/>
      <c r="E323" s="116"/>
      <c r="F323" s="116" t="s">
        <v>1120</v>
      </c>
      <c r="G323" s="115"/>
      <c r="H323" s="116"/>
      <c r="I323" s="116"/>
      <c r="J323" s="116"/>
      <c r="K323" s="116"/>
      <c r="L323" s="116"/>
      <c r="M323" s="116"/>
      <c r="N323" s="116"/>
      <c r="O323" s="116"/>
      <c r="P323" s="166"/>
      <c r="Q323" s="116"/>
      <c r="R323" s="116"/>
      <c r="S323" s="191"/>
      <c r="T323" s="191"/>
      <c r="U323" s="116"/>
      <c r="V323" s="116"/>
      <c r="W323" s="116"/>
      <c r="X323" s="117"/>
      <c r="Y323" s="116"/>
      <c r="Z323" s="114"/>
      <c r="AB323" s="119"/>
      <c r="AD323" s="119"/>
      <c r="AE323" s="119"/>
      <c r="AF323" s="119"/>
      <c r="AG323" s="119"/>
      <c r="AH323" s="119"/>
      <c r="AI323" s="119"/>
      <c r="AJ323" s="119"/>
      <c r="AK323" s="119"/>
      <c r="AL323" s="119"/>
      <c r="AM323" s="119"/>
      <c r="AN323" s="119"/>
      <c r="AO323" s="119"/>
      <c r="AP323" s="119"/>
      <c r="AQ323" s="119"/>
      <c r="AR323" s="119"/>
      <c r="AS323" s="126"/>
      <c r="AT323" s="126"/>
      <c r="AU323" s="126"/>
      <c r="AV323" s="130">
        <v>0</v>
      </c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7"/>
      <c r="BK323" s="117"/>
      <c r="BL323" s="117"/>
      <c r="BN323" s="117"/>
      <c r="BO323" s="117"/>
      <c r="BP323" s="120"/>
      <c r="BR323" s="117"/>
      <c r="BS323" s="117"/>
      <c r="BZ323" s="117"/>
      <c r="CA323" s="144"/>
    </row>
    <row r="324" spans="1:79" s="118" customFormat="1">
      <c r="A324" s="114"/>
      <c r="B324" s="114">
        <f t="shared" si="6"/>
        <v>1</v>
      </c>
      <c r="C324" s="136" t="s">
        <v>1040</v>
      </c>
      <c r="D324" s="116"/>
      <c r="E324" s="116"/>
      <c r="F324" s="116" t="s">
        <v>1120</v>
      </c>
      <c r="G324" s="115"/>
      <c r="H324" s="116"/>
      <c r="I324" s="116"/>
      <c r="J324" s="116"/>
      <c r="K324" s="116"/>
      <c r="L324" s="116"/>
      <c r="M324" s="116"/>
      <c r="N324" s="116"/>
      <c r="O324" s="116"/>
      <c r="P324" s="166"/>
      <c r="Q324" s="116"/>
      <c r="R324" s="116"/>
      <c r="S324" s="191"/>
      <c r="T324" s="191"/>
      <c r="U324" s="116"/>
      <c r="V324" s="116"/>
      <c r="W324" s="116"/>
      <c r="X324" s="117"/>
      <c r="Y324" s="116"/>
      <c r="Z324" s="114"/>
      <c r="AB324" s="119"/>
      <c r="AD324" s="119"/>
      <c r="AE324" s="119"/>
      <c r="AF324" s="119"/>
      <c r="AG324" s="119"/>
      <c r="AH324" s="119"/>
      <c r="AI324" s="119"/>
      <c r="AJ324" s="119"/>
      <c r="AK324" s="119"/>
      <c r="AL324" s="119"/>
      <c r="AM324" s="119"/>
      <c r="AN324" s="119"/>
      <c r="AO324" s="119"/>
      <c r="AP324" s="119"/>
      <c r="AQ324" s="119"/>
      <c r="AR324" s="119"/>
      <c r="AS324" s="126"/>
      <c r="AT324" s="126"/>
      <c r="AU324" s="126"/>
      <c r="AV324" s="130">
        <v>0</v>
      </c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7"/>
      <c r="BK324" s="117"/>
      <c r="BL324" s="117"/>
      <c r="BN324" s="117"/>
      <c r="BO324" s="117"/>
      <c r="BP324" s="120"/>
      <c r="BR324" s="117"/>
      <c r="BS324" s="117"/>
      <c r="BZ324" s="117"/>
      <c r="CA324" s="144"/>
    </row>
    <row r="325" spans="1:79" s="118" customFormat="1" ht="27">
      <c r="A325" s="114"/>
      <c r="B325" s="114">
        <f t="shared" si="6"/>
        <v>1</v>
      </c>
      <c r="C325" s="136" t="s">
        <v>1041</v>
      </c>
      <c r="D325" s="116"/>
      <c r="E325" s="116"/>
      <c r="F325" s="116"/>
      <c r="G325" s="115"/>
      <c r="H325" s="116"/>
      <c r="I325" s="116"/>
      <c r="J325" s="116"/>
      <c r="K325" s="116"/>
      <c r="L325" s="116"/>
      <c r="M325" s="116"/>
      <c r="N325" s="116"/>
      <c r="O325" s="116"/>
      <c r="P325" s="166"/>
      <c r="Q325" s="116"/>
      <c r="R325" s="116"/>
      <c r="S325" s="191"/>
      <c r="T325" s="191"/>
      <c r="U325" s="116"/>
      <c r="V325" s="116"/>
      <c r="W325" s="116"/>
      <c r="X325" s="117"/>
      <c r="Y325" s="116"/>
      <c r="Z325" s="114"/>
      <c r="AB325" s="119"/>
      <c r="AD325" s="119"/>
      <c r="AE325" s="119"/>
      <c r="AF325" s="119"/>
      <c r="AG325" s="119"/>
      <c r="AH325" s="119"/>
      <c r="AI325" s="119"/>
      <c r="AJ325" s="119"/>
      <c r="AK325" s="119"/>
      <c r="AL325" s="119"/>
      <c r="AM325" s="119"/>
      <c r="AN325" s="119"/>
      <c r="AO325" s="119"/>
      <c r="AP325" s="119"/>
      <c r="AQ325" s="119"/>
      <c r="AR325" s="119"/>
      <c r="AS325" s="126"/>
      <c r="AT325" s="126"/>
      <c r="AU325" s="126"/>
      <c r="AV325" s="130">
        <v>0</v>
      </c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7"/>
      <c r="BK325" s="117"/>
      <c r="BL325" s="117"/>
      <c r="BN325" s="117"/>
      <c r="BO325" s="117"/>
      <c r="BP325" s="120"/>
      <c r="BR325" s="117"/>
      <c r="BS325" s="117"/>
      <c r="BZ325" s="117"/>
      <c r="CA325" s="144"/>
    </row>
    <row r="326" spans="1:79" s="118" customFormat="1">
      <c r="A326" s="114"/>
      <c r="B326" s="114">
        <f t="shared" si="6"/>
        <v>1</v>
      </c>
      <c r="C326" s="136" t="s">
        <v>1042</v>
      </c>
      <c r="D326" s="116"/>
      <c r="E326" s="116"/>
      <c r="F326" s="116"/>
      <c r="G326" s="115"/>
      <c r="H326" s="116"/>
      <c r="I326" s="116"/>
      <c r="J326" s="116"/>
      <c r="K326" s="116"/>
      <c r="L326" s="116"/>
      <c r="M326" s="116"/>
      <c r="N326" s="116"/>
      <c r="O326" s="116"/>
      <c r="P326" s="166"/>
      <c r="Q326" s="116"/>
      <c r="R326" s="116"/>
      <c r="S326" s="191"/>
      <c r="T326" s="191"/>
      <c r="U326" s="116"/>
      <c r="V326" s="116"/>
      <c r="W326" s="116"/>
      <c r="X326" s="117"/>
      <c r="Y326" s="116"/>
      <c r="Z326" s="114"/>
      <c r="AB326" s="119"/>
      <c r="AD326" s="119"/>
      <c r="AE326" s="119"/>
      <c r="AF326" s="119"/>
      <c r="AG326" s="119"/>
      <c r="AH326" s="119"/>
      <c r="AI326" s="119"/>
      <c r="AJ326" s="119"/>
      <c r="AK326" s="119"/>
      <c r="AL326" s="119"/>
      <c r="AM326" s="119"/>
      <c r="AN326" s="119"/>
      <c r="AO326" s="119"/>
      <c r="AP326" s="119"/>
      <c r="AQ326" s="119"/>
      <c r="AR326" s="119"/>
      <c r="AS326" s="126"/>
      <c r="AT326" s="126"/>
      <c r="AU326" s="126"/>
      <c r="AV326" s="130">
        <v>0</v>
      </c>
      <c r="AW326" s="116"/>
      <c r="AX326" s="116"/>
      <c r="AY326" s="116"/>
      <c r="AZ326" s="116"/>
      <c r="BA326" s="116"/>
      <c r="BB326" s="116"/>
      <c r="BC326" s="116"/>
      <c r="BD326" s="116"/>
      <c r="BE326" s="116"/>
      <c r="BF326" s="116"/>
      <c r="BG326" s="116"/>
      <c r="BH326" s="116"/>
      <c r="BI326" s="116"/>
      <c r="BJ326" s="117"/>
      <c r="BK326" s="117"/>
      <c r="BL326" s="117"/>
      <c r="BN326" s="117"/>
      <c r="BO326" s="117"/>
      <c r="BP326" s="120"/>
      <c r="BR326" s="117"/>
      <c r="BS326" s="117"/>
      <c r="BZ326" s="117"/>
      <c r="CA326" s="144"/>
    </row>
    <row r="327" spans="1:79" s="118" customFormat="1">
      <c r="A327" s="114"/>
      <c r="B327" s="114">
        <f t="shared" si="6"/>
        <v>1</v>
      </c>
      <c r="C327" s="136" t="s">
        <v>1043</v>
      </c>
      <c r="D327" s="116"/>
      <c r="E327" s="116"/>
      <c r="F327" s="116"/>
      <c r="G327" s="115"/>
      <c r="H327" s="116"/>
      <c r="I327" s="116"/>
      <c r="J327" s="116"/>
      <c r="K327" s="116"/>
      <c r="L327" s="116"/>
      <c r="M327" s="116"/>
      <c r="N327" s="116"/>
      <c r="O327" s="116"/>
      <c r="P327" s="166"/>
      <c r="Q327" s="116"/>
      <c r="R327" s="116"/>
      <c r="S327" s="191"/>
      <c r="T327" s="191"/>
      <c r="U327" s="116"/>
      <c r="V327" s="116"/>
      <c r="W327" s="116"/>
      <c r="X327" s="117"/>
      <c r="Y327" s="116"/>
      <c r="Z327" s="114"/>
      <c r="AB327" s="119"/>
      <c r="AD327" s="119"/>
      <c r="AE327" s="119"/>
      <c r="AF327" s="119"/>
      <c r="AG327" s="119"/>
      <c r="AH327" s="119"/>
      <c r="AI327" s="119"/>
      <c r="AJ327" s="119"/>
      <c r="AK327" s="119"/>
      <c r="AL327" s="119"/>
      <c r="AM327" s="119"/>
      <c r="AN327" s="119"/>
      <c r="AO327" s="119"/>
      <c r="AP327" s="119"/>
      <c r="AQ327" s="119"/>
      <c r="AR327" s="119"/>
      <c r="AS327" s="126"/>
      <c r="AT327" s="126"/>
      <c r="AU327" s="126"/>
      <c r="AV327" s="130">
        <v>0</v>
      </c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7"/>
      <c r="BK327" s="117"/>
      <c r="BL327" s="117"/>
      <c r="BN327" s="117"/>
      <c r="BO327" s="117"/>
      <c r="BP327" s="120"/>
      <c r="BR327" s="117"/>
      <c r="BS327" s="117"/>
      <c r="BZ327" s="117"/>
      <c r="CA327" s="144"/>
    </row>
    <row r="328" spans="1:79" s="118" customFormat="1">
      <c r="A328" s="114"/>
      <c r="B328" s="114">
        <f t="shared" ref="B328:B391" si="7">COUNTA(AO328:AW328)</f>
        <v>1</v>
      </c>
      <c r="C328" s="136" t="s">
        <v>1044</v>
      </c>
      <c r="D328" s="116"/>
      <c r="E328" s="116"/>
      <c r="F328" s="116"/>
      <c r="G328" s="115"/>
      <c r="H328" s="116"/>
      <c r="I328" s="116"/>
      <c r="J328" s="116"/>
      <c r="K328" s="116"/>
      <c r="L328" s="116"/>
      <c r="M328" s="116"/>
      <c r="N328" s="116"/>
      <c r="O328" s="116"/>
      <c r="P328" s="166"/>
      <c r="Q328" s="116"/>
      <c r="R328" s="116"/>
      <c r="S328" s="191"/>
      <c r="T328" s="191"/>
      <c r="U328" s="116"/>
      <c r="V328" s="116"/>
      <c r="W328" s="116"/>
      <c r="X328" s="117"/>
      <c r="Y328" s="116"/>
      <c r="Z328" s="114"/>
      <c r="AB328" s="119"/>
      <c r="AD328" s="119"/>
      <c r="AE328" s="119"/>
      <c r="AF328" s="119"/>
      <c r="AG328" s="119"/>
      <c r="AH328" s="119"/>
      <c r="AI328" s="119"/>
      <c r="AJ328" s="119"/>
      <c r="AK328" s="119"/>
      <c r="AL328" s="119"/>
      <c r="AM328" s="119"/>
      <c r="AN328" s="119"/>
      <c r="AO328" s="119"/>
      <c r="AP328" s="119"/>
      <c r="AQ328" s="119"/>
      <c r="AR328" s="119"/>
      <c r="AS328" s="126"/>
      <c r="AT328" s="126"/>
      <c r="AU328" s="126"/>
      <c r="AV328" s="130">
        <v>0</v>
      </c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7"/>
      <c r="BK328" s="117"/>
      <c r="BL328" s="117"/>
      <c r="BN328" s="117"/>
      <c r="BO328" s="117"/>
      <c r="BP328" s="120"/>
      <c r="BR328" s="117"/>
      <c r="BS328" s="117"/>
      <c r="BZ328" s="117"/>
      <c r="CA328" s="144"/>
    </row>
    <row r="329" spans="1:79" s="118" customFormat="1">
      <c r="A329" s="114"/>
      <c r="B329" s="114">
        <f t="shared" si="7"/>
        <v>1</v>
      </c>
      <c r="C329" s="136" t="s">
        <v>1045</v>
      </c>
      <c r="D329" s="116"/>
      <c r="E329" s="116"/>
      <c r="F329" s="116"/>
      <c r="G329" s="115"/>
      <c r="H329" s="116"/>
      <c r="I329" s="116"/>
      <c r="J329" s="116"/>
      <c r="K329" s="116"/>
      <c r="L329" s="116"/>
      <c r="M329" s="116"/>
      <c r="N329" s="116"/>
      <c r="O329" s="116"/>
      <c r="P329" s="166"/>
      <c r="Q329" s="116"/>
      <c r="R329" s="116"/>
      <c r="S329" s="191"/>
      <c r="T329" s="191"/>
      <c r="U329" s="116"/>
      <c r="V329" s="116"/>
      <c r="W329" s="116"/>
      <c r="X329" s="117"/>
      <c r="Y329" s="116"/>
      <c r="Z329" s="114"/>
      <c r="AB329" s="119"/>
      <c r="AD329" s="119"/>
      <c r="AE329" s="119"/>
      <c r="AF329" s="119"/>
      <c r="AG329" s="119"/>
      <c r="AH329" s="119"/>
      <c r="AI329" s="119"/>
      <c r="AJ329" s="119"/>
      <c r="AK329" s="119"/>
      <c r="AL329" s="119"/>
      <c r="AM329" s="119"/>
      <c r="AN329" s="119"/>
      <c r="AO329" s="119"/>
      <c r="AP329" s="119"/>
      <c r="AQ329" s="119"/>
      <c r="AR329" s="119"/>
      <c r="AS329" s="126"/>
      <c r="AT329" s="126"/>
      <c r="AU329" s="126"/>
      <c r="AV329" s="130">
        <v>0</v>
      </c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7"/>
      <c r="BK329" s="117"/>
      <c r="BL329" s="117"/>
      <c r="BN329" s="117"/>
      <c r="BO329" s="117"/>
      <c r="BP329" s="120"/>
      <c r="BR329" s="117"/>
      <c r="BS329" s="117"/>
      <c r="BZ329" s="117"/>
      <c r="CA329" s="144"/>
    </row>
    <row r="330" spans="1:79" s="118" customFormat="1">
      <c r="A330" s="114"/>
      <c r="B330" s="114">
        <f t="shared" si="7"/>
        <v>1</v>
      </c>
      <c r="C330" s="136" t="s">
        <v>1046</v>
      </c>
      <c r="D330" s="116"/>
      <c r="E330" s="116"/>
      <c r="F330" s="116"/>
      <c r="G330" s="115"/>
      <c r="H330" s="116"/>
      <c r="I330" s="116"/>
      <c r="J330" s="116"/>
      <c r="K330" s="116"/>
      <c r="L330" s="116"/>
      <c r="M330" s="116"/>
      <c r="N330" s="116"/>
      <c r="O330" s="116"/>
      <c r="P330" s="166"/>
      <c r="Q330" s="116"/>
      <c r="R330" s="116"/>
      <c r="S330" s="191"/>
      <c r="T330" s="191"/>
      <c r="U330" s="116"/>
      <c r="V330" s="116"/>
      <c r="W330" s="116"/>
      <c r="X330" s="117"/>
      <c r="Y330" s="116"/>
      <c r="Z330" s="114"/>
      <c r="AB330" s="119"/>
      <c r="AD330" s="119"/>
      <c r="AE330" s="119"/>
      <c r="AF330" s="119"/>
      <c r="AG330" s="119"/>
      <c r="AH330" s="119"/>
      <c r="AI330" s="119"/>
      <c r="AJ330" s="119"/>
      <c r="AK330" s="119"/>
      <c r="AL330" s="119"/>
      <c r="AM330" s="119"/>
      <c r="AN330" s="119"/>
      <c r="AO330" s="119"/>
      <c r="AP330" s="119"/>
      <c r="AQ330" s="119"/>
      <c r="AR330" s="119"/>
      <c r="AS330" s="126"/>
      <c r="AT330" s="126"/>
      <c r="AU330" s="126"/>
      <c r="AV330" s="130">
        <v>0</v>
      </c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7"/>
      <c r="BK330" s="117"/>
      <c r="BL330" s="117"/>
      <c r="BN330" s="117"/>
      <c r="BO330" s="117"/>
      <c r="BP330" s="120"/>
      <c r="BR330" s="117"/>
      <c r="BS330" s="117"/>
      <c r="BZ330" s="117"/>
      <c r="CA330" s="144"/>
    </row>
    <row r="331" spans="1:79" s="118" customFormat="1">
      <c r="A331" s="114"/>
      <c r="B331" s="114">
        <f t="shared" si="7"/>
        <v>1</v>
      </c>
      <c r="C331" s="136" t="s">
        <v>1047</v>
      </c>
      <c r="D331" s="116"/>
      <c r="E331" s="116"/>
      <c r="F331" s="116"/>
      <c r="G331" s="115"/>
      <c r="H331" s="116"/>
      <c r="I331" s="116"/>
      <c r="J331" s="116"/>
      <c r="K331" s="116"/>
      <c r="L331" s="116"/>
      <c r="M331" s="116"/>
      <c r="N331" s="116"/>
      <c r="O331" s="116"/>
      <c r="P331" s="166"/>
      <c r="Q331" s="116"/>
      <c r="R331" s="116"/>
      <c r="S331" s="191"/>
      <c r="T331" s="191"/>
      <c r="U331" s="116"/>
      <c r="V331" s="116"/>
      <c r="W331" s="116"/>
      <c r="X331" s="117"/>
      <c r="Y331" s="116"/>
      <c r="Z331" s="114"/>
      <c r="AB331" s="119"/>
      <c r="AD331" s="119"/>
      <c r="AE331" s="119"/>
      <c r="AF331" s="119"/>
      <c r="AG331" s="119"/>
      <c r="AH331" s="119"/>
      <c r="AI331" s="119"/>
      <c r="AJ331" s="119"/>
      <c r="AK331" s="119"/>
      <c r="AL331" s="119"/>
      <c r="AM331" s="119"/>
      <c r="AN331" s="119"/>
      <c r="AO331" s="119"/>
      <c r="AP331" s="119"/>
      <c r="AQ331" s="119"/>
      <c r="AR331" s="119"/>
      <c r="AS331" s="126"/>
      <c r="AT331" s="126"/>
      <c r="AU331" s="126"/>
      <c r="AV331" s="130">
        <v>0</v>
      </c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7"/>
      <c r="BK331" s="117"/>
      <c r="BL331" s="117"/>
      <c r="BN331" s="117"/>
      <c r="BO331" s="117"/>
      <c r="BP331" s="120"/>
      <c r="BR331" s="117"/>
      <c r="BS331" s="117"/>
      <c r="BZ331" s="117"/>
      <c r="CA331" s="144"/>
    </row>
    <row r="332" spans="1:79" s="118" customFormat="1">
      <c r="A332" s="114"/>
      <c r="B332" s="114">
        <f t="shared" si="7"/>
        <v>1</v>
      </c>
      <c r="C332" s="136" t="s">
        <v>1048</v>
      </c>
      <c r="D332" s="116"/>
      <c r="E332" s="116"/>
      <c r="F332" s="116"/>
      <c r="G332" s="115"/>
      <c r="H332" s="116"/>
      <c r="I332" s="116"/>
      <c r="J332" s="116"/>
      <c r="K332" s="116"/>
      <c r="L332" s="116"/>
      <c r="M332" s="116"/>
      <c r="N332" s="116"/>
      <c r="O332" s="116"/>
      <c r="P332" s="166"/>
      <c r="Q332" s="116"/>
      <c r="R332" s="116"/>
      <c r="S332" s="191"/>
      <c r="T332" s="191"/>
      <c r="U332" s="116"/>
      <c r="V332" s="116"/>
      <c r="W332" s="116"/>
      <c r="X332" s="117"/>
      <c r="Y332" s="116"/>
      <c r="Z332" s="114"/>
      <c r="AB332" s="119"/>
      <c r="AD332" s="119"/>
      <c r="AE332" s="119"/>
      <c r="AF332" s="119"/>
      <c r="AG332" s="119"/>
      <c r="AH332" s="119"/>
      <c r="AI332" s="119"/>
      <c r="AJ332" s="119"/>
      <c r="AK332" s="119"/>
      <c r="AL332" s="119"/>
      <c r="AM332" s="119"/>
      <c r="AN332" s="119"/>
      <c r="AO332" s="119"/>
      <c r="AP332" s="119"/>
      <c r="AQ332" s="119"/>
      <c r="AR332" s="119"/>
      <c r="AS332" s="126"/>
      <c r="AT332" s="126"/>
      <c r="AU332" s="126"/>
      <c r="AV332" s="130">
        <v>0</v>
      </c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7"/>
      <c r="BK332" s="117"/>
      <c r="BL332" s="117"/>
      <c r="BN332" s="117"/>
      <c r="BO332" s="117"/>
      <c r="BP332" s="120"/>
      <c r="BR332" s="117"/>
      <c r="BS332" s="117"/>
      <c r="BZ332" s="117"/>
      <c r="CA332" s="144"/>
    </row>
    <row r="333" spans="1:79" s="118" customFormat="1">
      <c r="A333" s="114"/>
      <c r="B333" s="114">
        <f t="shared" si="7"/>
        <v>1</v>
      </c>
      <c r="C333" s="136" t="s">
        <v>1049</v>
      </c>
      <c r="D333" s="116"/>
      <c r="E333" s="116"/>
      <c r="F333" s="116"/>
      <c r="G333" s="115"/>
      <c r="H333" s="116"/>
      <c r="I333" s="116"/>
      <c r="J333" s="116"/>
      <c r="K333" s="116"/>
      <c r="L333" s="116"/>
      <c r="M333" s="116"/>
      <c r="N333" s="116"/>
      <c r="O333" s="116"/>
      <c r="P333" s="166"/>
      <c r="Q333" s="116"/>
      <c r="R333" s="116"/>
      <c r="S333" s="191"/>
      <c r="T333" s="191"/>
      <c r="U333" s="116"/>
      <c r="V333" s="116"/>
      <c r="W333" s="116"/>
      <c r="X333" s="117"/>
      <c r="Y333" s="116"/>
      <c r="Z333" s="114"/>
      <c r="AB333" s="119"/>
      <c r="AD333" s="119"/>
      <c r="AE333" s="119"/>
      <c r="AF333" s="119"/>
      <c r="AG333" s="119"/>
      <c r="AH333" s="119"/>
      <c r="AI333" s="119"/>
      <c r="AJ333" s="119"/>
      <c r="AK333" s="119"/>
      <c r="AL333" s="119"/>
      <c r="AM333" s="119"/>
      <c r="AN333" s="119"/>
      <c r="AO333" s="119"/>
      <c r="AP333" s="119"/>
      <c r="AQ333" s="119"/>
      <c r="AR333" s="119"/>
      <c r="AS333" s="126"/>
      <c r="AT333" s="126"/>
      <c r="AU333" s="126"/>
      <c r="AV333" s="130">
        <v>0</v>
      </c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7"/>
      <c r="BK333" s="117"/>
      <c r="BL333" s="117"/>
      <c r="BN333" s="117"/>
      <c r="BO333" s="117"/>
      <c r="BP333" s="120"/>
      <c r="BR333" s="117"/>
      <c r="BS333" s="117"/>
      <c r="BZ333" s="117"/>
      <c r="CA333" s="144"/>
    </row>
    <row r="334" spans="1:79" s="118" customFormat="1" ht="27">
      <c r="A334" s="114"/>
      <c r="B334" s="114">
        <f t="shared" si="7"/>
        <v>1</v>
      </c>
      <c r="C334" s="136" t="s">
        <v>1050</v>
      </c>
      <c r="D334" s="116"/>
      <c r="E334" s="116"/>
      <c r="F334" s="116"/>
      <c r="G334" s="115"/>
      <c r="H334" s="116"/>
      <c r="I334" s="116"/>
      <c r="J334" s="116"/>
      <c r="K334" s="116"/>
      <c r="L334" s="116"/>
      <c r="M334" s="116"/>
      <c r="N334" s="116"/>
      <c r="O334" s="116"/>
      <c r="P334" s="166"/>
      <c r="Q334" s="116"/>
      <c r="R334" s="116"/>
      <c r="S334" s="191"/>
      <c r="T334" s="191"/>
      <c r="U334" s="116"/>
      <c r="V334" s="116"/>
      <c r="W334" s="116"/>
      <c r="X334" s="117"/>
      <c r="Y334" s="116"/>
      <c r="Z334" s="114"/>
      <c r="AB334" s="119"/>
      <c r="AD334" s="119"/>
      <c r="AE334" s="119"/>
      <c r="AF334" s="119"/>
      <c r="AG334" s="119"/>
      <c r="AH334" s="119"/>
      <c r="AI334" s="119"/>
      <c r="AJ334" s="119"/>
      <c r="AK334" s="119"/>
      <c r="AL334" s="119"/>
      <c r="AM334" s="119"/>
      <c r="AN334" s="119"/>
      <c r="AO334" s="119"/>
      <c r="AP334" s="119"/>
      <c r="AQ334" s="119"/>
      <c r="AR334" s="119"/>
      <c r="AS334" s="126"/>
      <c r="AT334" s="126"/>
      <c r="AU334" s="126"/>
      <c r="AV334" s="130">
        <v>0</v>
      </c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7"/>
      <c r="BK334" s="117"/>
      <c r="BL334" s="117"/>
      <c r="BN334" s="117"/>
      <c r="BO334" s="117"/>
      <c r="BP334" s="120"/>
      <c r="BR334" s="117"/>
      <c r="BS334" s="117"/>
      <c r="BZ334" s="117"/>
      <c r="CA334" s="144"/>
    </row>
    <row r="335" spans="1:79" s="118" customFormat="1">
      <c r="A335" s="114"/>
      <c r="B335" s="114">
        <f t="shared" si="7"/>
        <v>1</v>
      </c>
      <c r="C335" s="136" t="s">
        <v>1051</v>
      </c>
      <c r="D335" s="116"/>
      <c r="E335" s="116"/>
      <c r="F335" s="116"/>
      <c r="G335" s="115"/>
      <c r="H335" s="116"/>
      <c r="I335" s="116"/>
      <c r="J335" s="116"/>
      <c r="K335" s="116"/>
      <c r="L335" s="116"/>
      <c r="M335" s="116"/>
      <c r="N335" s="116"/>
      <c r="O335" s="116"/>
      <c r="P335" s="166"/>
      <c r="Q335" s="116"/>
      <c r="R335" s="116"/>
      <c r="S335" s="191"/>
      <c r="T335" s="191"/>
      <c r="U335" s="116"/>
      <c r="V335" s="116"/>
      <c r="W335" s="116"/>
      <c r="X335" s="117"/>
      <c r="Y335" s="116"/>
      <c r="Z335" s="114"/>
      <c r="AB335" s="119"/>
      <c r="AD335" s="119"/>
      <c r="AE335" s="119"/>
      <c r="AF335" s="119"/>
      <c r="AG335" s="119"/>
      <c r="AH335" s="119"/>
      <c r="AI335" s="119"/>
      <c r="AJ335" s="119"/>
      <c r="AK335" s="119"/>
      <c r="AL335" s="119"/>
      <c r="AM335" s="119"/>
      <c r="AN335" s="119"/>
      <c r="AO335" s="119"/>
      <c r="AP335" s="119"/>
      <c r="AQ335" s="119"/>
      <c r="AR335" s="119"/>
      <c r="AS335" s="126"/>
      <c r="AT335" s="126"/>
      <c r="AU335" s="126"/>
      <c r="AV335" s="130">
        <v>0</v>
      </c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7"/>
      <c r="BK335" s="117"/>
      <c r="BL335" s="117"/>
      <c r="BN335" s="117"/>
      <c r="BO335" s="117"/>
      <c r="BP335" s="120"/>
      <c r="BR335" s="117"/>
      <c r="BS335" s="117"/>
      <c r="BZ335" s="117"/>
      <c r="CA335" s="144"/>
    </row>
    <row r="336" spans="1:79" s="118" customFormat="1">
      <c r="A336" s="114"/>
      <c r="B336" s="114">
        <f t="shared" si="7"/>
        <v>1</v>
      </c>
      <c r="C336" s="136" t="s">
        <v>1052</v>
      </c>
      <c r="D336" s="116"/>
      <c r="E336" s="116"/>
      <c r="F336" s="116"/>
      <c r="G336" s="115"/>
      <c r="H336" s="116"/>
      <c r="I336" s="116"/>
      <c r="J336" s="116"/>
      <c r="K336" s="116"/>
      <c r="L336" s="116"/>
      <c r="M336" s="116"/>
      <c r="N336" s="116"/>
      <c r="O336" s="116"/>
      <c r="P336" s="166"/>
      <c r="Q336" s="116"/>
      <c r="R336" s="116"/>
      <c r="S336" s="191"/>
      <c r="T336" s="191"/>
      <c r="U336" s="116"/>
      <c r="V336" s="116"/>
      <c r="W336" s="116"/>
      <c r="X336" s="117"/>
      <c r="Y336" s="116"/>
      <c r="Z336" s="114"/>
      <c r="AB336" s="119"/>
      <c r="AD336" s="119"/>
      <c r="AE336" s="119"/>
      <c r="AF336" s="119"/>
      <c r="AG336" s="119"/>
      <c r="AH336" s="119"/>
      <c r="AI336" s="119"/>
      <c r="AJ336" s="119"/>
      <c r="AK336" s="119"/>
      <c r="AL336" s="119"/>
      <c r="AM336" s="119"/>
      <c r="AN336" s="119"/>
      <c r="AO336" s="119"/>
      <c r="AP336" s="119"/>
      <c r="AQ336" s="119"/>
      <c r="AR336" s="119"/>
      <c r="AS336" s="126"/>
      <c r="AT336" s="126"/>
      <c r="AU336" s="126"/>
      <c r="AV336" s="130">
        <v>0</v>
      </c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7"/>
      <c r="BK336" s="117"/>
      <c r="BL336" s="117"/>
      <c r="BN336" s="117"/>
      <c r="BO336" s="117"/>
      <c r="BP336" s="120"/>
      <c r="BR336" s="117"/>
      <c r="BS336" s="117"/>
      <c r="BZ336" s="117"/>
      <c r="CA336" s="144"/>
    </row>
    <row r="337" spans="1:79" s="118" customFormat="1">
      <c r="A337" s="114"/>
      <c r="B337" s="114">
        <f t="shared" si="7"/>
        <v>1</v>
      </c>
      <c r="C337" s="136" t="s">
        <v>1053</v>
      </c>
      <c r="D337" s="116"/>
      <c r="E337" s="116"/>
      <c r="F337" s="116"/>
      <c r="G337" s="115"/>
      <c r="H337" s="116"/>
      <c r="I337" s="116"/>
      <c r="J337" s="116"/>
      <c r="K337" s="116"/>
      <c r="L337" s="116"/>
      <c r="M337" s="116"/>
      <c r="N337" s="116"/>
      <c r="O337" s="116"/>
      <c r="P337" s="166"/>
      <c r="Q337" s="116"/>
      <c r="R337" s="116"/>
      <c r="S337" s="191"/>
      <c r="T337" s="191"/>
      <c r="U337" s="116"/>
      <c r="V337" s="116"/>
      <c r="W337" s="116"/>
      <c r="X337" s="117"/>
      <c r="Y337" s="116"/>
      <c r="Z337" s="114"/>
      <c r="AB337" s="119"/>
      <c r="AD337" s="119"/>
      <c r="AE337" s="119"/>
      <c r="AF337" s="119"/>
      <c r="AG337" s="119"/>
      <c r="AH337" s="119"/>
      <c r="AI337" s="119"/>
      <c r="AJ337" s="119"/>
      <c r="AK337" s="119"/>
      <c r="AL337" s="119"/>
      <c r="AM337" s="119"/>
      <c r="AN337" s="119"/>
      <c r="AO337" s="119"/>
      <c r="AP337" s="119"/>
      <c r="AQ337" s="119"/>
      <c r="AR337" s="119"/>
      <c r="AS337" s="126"/>
      <c r="AT337" s="126"/>
      <c r="AU337" s="126"/>
      <c r="AV337" s="130">
        <v>0</v>
      </c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7"/>
      <c r="BK337" s="117"/>
      <c r="BL337" s="117"/>
      <c r="BN337" s="117"/>
      <c r="BO337" s="117"/>
      <c r="BP337" s="120"/>
      <c r="BR337" s="117"/>
      <c r="BS337" s="117"/>
      <c r="BZ337" s="117"/>
      <c r="CA337" s="144"/>
    </row>
    <row r="338" spans="1:79" s="118" customFormat="1">
      <c r="A338" s="114"/>
      <c r="B338" s="114">
        <f t="shared" si="7"/>
        <v>1</v>
      </c>
      <c r="C338" s="136" t="s">
        <v>1054</v>
      </c>
      <c r="D338" s="116"/>
      <c r="E338" s="116"/>
      <c r="F338" s="116"/>
      <c r="G338" s="115"/>
      <c r="H338" s="116"/>
      <c r="I338" s="116"/>
      <c r="J338" s="116"/>
      <c r="K338" s="116"/>
      <c r="L338" s="116"/>
      <c r="M338" s="116"/>
      <c r="N338" s="116"/>
      <c r="O338" s="116"/>
      <c r="P338" s="166"/>
      <c r="Q338" s="116"/>
      <c r="R338" s="116"/>
      <c r="S338" s="191"/>
      <c r="T338" s="191"/>
      <c r="U338" s="116"/>
      <c r="V338" s="116"/>
      <c r="W338" s="116"/>
      <c r="X338" s="117"/>
      <c r="Y338" s="116"/>
      <c r="Z338" s="114"/>
      <c r="AB338" s="119"/>
      <c r="AD338" s="119"/>
      <c r="AE338" s="119"/>
      <c r="AF338" s="119"/>
      <c r="AG338" s="119"/>
      <c r="AH338" s="119"/>
      <c r="AI338" s="119"/>
      <c r="AJ338" s="119"/>
      <c r="AK338" s="119"/>
      <c r="AL338" s="119"/>
      <c r="AM338" s="119"/>
      <c r="AN338" s="119"/>
      <c r="AO338" s="119"/>
      <c r="AP338" s="119"/>
      <c r="AQ338" s="119"/>
      <c r="AR338" s="119"/>
      <c r="AS338" s="126"/>
      <c r="AT338" s="126"/>
      <c r="AU338" s="126"/>
      <c r="AV338" s="130">
        <v>0</v>
      </c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7"/>
      <c r="BK338" s="117"/>
      <c r="BL338" s="117"/>
      <c r="BN338" s="117"/>
      <c r="BO338" s="117"/>
      <c r="BP338" s="120"/>
      <c r="BR338" s="117"/>
      <c r="BS338" s="117"/>
      <c r="BZ338" s="117"/>
      <c r="CA338" s="144"/>
    </row>
    <row r="339" spans="1:79" s="118" customFormat="1">
      <c r="A339" s="114"/>
      <c r="B339" s="114">
        <f t="shared" si="7"/>
        <v>1</v>
      </c>
      <c r="C339" s="136" t="s">
        <v>1055</v>
      </c>
      <c r="D339" s="116"/>
      <c r="E339" s="116"/>
      <c r="F339" s="116" t="s">
        <v>1120</v>
      </c>
      <c r="G339" s="115"/>
      <c r="H339" s="116"/>
      <c r="I339" s="116"/>
      <c r="J339" s="116"/>
      <c r="K339" s="116"/>
      <c r="L339" s="116"/>
      <c r="M339" s="116"/>
      <c r="N339" s="116"/>
      <c r="O339" s="116"/>
      <c r="P339" s="166"/>
      <c r="Q339" s="116"/>
      <c r="R339" s="116"/>
      <c r="S339" s="191"/>
      <c r="T339" s="191"/>
      <c r="U339" s="116"/>
      <c r="V339" s="116"/>
      <c r="W339" s="116"/>
      <c r="X339" s="117"/>
      <c r="Y339" s="116"/>
      <c r="Z339" s="114"/>
      <c r="AB339" s="119"/>
      <c r="AD339" s="119"/>
      <c r="AE339" s="119"/>
      <c r="AF339" s="119"/>
      <c r="AG339" s="119"/>
      <c r="AH339" s="119"/>
      <c r="AI339" s="119"/>
      <c r="AJ339" s="119"/>
      <c r="AK339" s="119"/>
      <c r="AL339" s="119"/>
      <c r="AM339" s="119"/>
      <c r="AN339" s="119"/>
      <c r="AO339" s="119"/>
      <c r="AP339" s="119"/>
      <c r="AQ339" s="119"/>
      <c r="AR339" s="119"/>
      <c r="AS339" s="126"/>
      <c r="AT339" s="126"/>
      <c r="AU339" s="126"/>
      <c r="AV339" s="130">
        <v>0</v>
      </c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7"/>
      <c r="BK339" s="117"/>
      <c r="BL339" s="117"/>
      <c r="BN339" s="117"/>
      <c r="BO339" s="117"/>
      <c r="BP339" s="120"/>
      <c r="BR339" s="117"/>
      <c r="BS339" s="117"/>
      <c r="BZ339" s="117"/>
      <c r="CA339" s="144"/>
    </row>
    <row r="340" spans="1:79" s="118" customFormat="1">
      <c r="A340" s="114"/>
      <c r="B340" s="114">
        <f t="shared" si="7"/>
        <v>1</v>
      </c>
      <c r="C340" s="136" t="s">
        <v>1057</v>
      </c>
      <c r="D340" s="116"/>
      <c r="E340" s="116"/>
      <c r="F340" s="116" t="s">
        <v>1120</v>
      </c>
      <c r="G340" s="115" t="s">
        <v>1056</v>
      </c>
      <c r="H340" s="116"/>
      <c r="I340" s="116"/>
      <c r="J340" s="116"/>
      <c r="K340" s="116"/>
      <c r="L340" s="116"/>
      <c r="M340" s="116"/>
      <c r="N340" s="116"/>
      <c r="O340" s="116"/>
      <c r="P340" s="166"/>
      <c r="Q340" s="116"/>
      <c r="R340" s="116"/>
      <c r="S340" s="191"/>
      <c r="T340" s="191"/>
      <c r="U340" s="116"/>
      <c r="V340" s="116"/>
      <c r="W340" s="116"/>
      <c r="X340" s="117"/>
      <c r="Y340" s="116"/>
      <c r="Z340" s="114"/>
      <c r="AB340" s="119"/>
      <c r="AD340" s="119"/>
      <c r="AE340" s="119"/>
      <c r="AF340" s="119"/>
      <c r="AG340" s="119"/>
      <c r="AH340" s="119"/>
      <c r="AI340" s="119"/>
      <c r="AJ340" s="119"/>
      <c r="AK340" s="119"/>
      <c r="AL340" s="119"/>
      <c r="AM340" s="119"/>
      <c r="AN340" s="119"/>
      <c r="AO340" s="119"/>
      <c r="AP340" s="119"/>
      <c r="AQ340" s="119"/>
      <c r="AR340" s="119"/>
      <c r="AS340" s="126"/>
      <c r="AT340" s="126"/>
      <c r="AU340" s="126"/>
      <c r="AV340" s="130">
        <v>0</v>
      </c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7"/>
      <c r="BK340" s="117"/>
      <c r="BL340" s="117"/>
      <c r="BN340" s="117"/>
      <c r="BO340" s="117"/>
      <c r="BP340" s="120"/>
      <c r="BR340" s="117"/>
      <c r="BS340" s="117"/>
      <c r="BZ340" s="117"/>
      <c r="CA340" s="144"/>
    </row>
    <row r="341" spans="1:79" s="118" customFormat="1">
      <c r="A341" s="114"/>
      <c r="B341" s="114">
        <f t="shared" si="7"/>
        <v>1</v>
      </c>
      <c r="C341" s="136" t="s">
        <v>1058</v>
      </c>
      <c r="D341" s="116"/>
      <c r="E341" s="116"/>
      <c r="F341" s="116" t="s">
        <v>1120</v>
      </c>
      <c r="G341" s="115"/>
      <c r="H341" s="116"/>
      <c r="I341" s="116"/>
      <c r="J341" s="116"/>
      <c r="K341" s="116"/>
      <c r="L341" s="116"/>
      <c r="M341" s="116"/>
      <c r="N341" s="116"/>
      <c r="O341" s="116"/>
      <c r="P341" s="166"/>
      <c r="Q341" s="116"/>
      <c r="R341" s="116"/>
      <c r="S341" s="191"/>
      <c r="T341" s="191"/>
      <c r="U341" s="116"/>
      <c r="V341" s="116"/>
      <c r="W341" s="116"/>
      <c r="X341" s="117"/>
      <c r="Y341" s="116"/>
      <c r="Z341" s="114"/>
      <c r="AB341" s="119"/>
      <c r="AD341" s="119"/>
      <c r="AE341" s="119"/>
      <c r="AF341" s="119"/>
      <c r="AG341" s="119"/>
      <c r="AH341" s="119"/>
      <c r="AI341" s="119"/>
      <c r="AJ341" s="119"/>
      <c r="AK341" s="119"/>
      <c r="AL341" s="119"/>
      <c r="AM341" s="119"/>
      <c r="AN341" s="119"/>
      <c r="AO341" s="119"/>
      <c r="AP341" s="119"/>
      <c r="AQ341" s="119"/>
      <c r="AR341" s="119"/>
      <c r="AS341" s="126"/>
      <c r="AT341" s="126"/>
      <c r="AU341" s="126"/>
      <c r="AV341" s="130">
        <v>0</v>
      </c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7"/>
      <c r="BK341" s="117"/>
      <c r="BL341" s="117"/>
      <c r="BN341" s="117"/>
      <c r="BO341" s="117"/>
      <c r="BP341" s="120"/>
      <c r="BR341" s="117"/>
      <c r="BS341" s="117"/>
      <c r="BZ341" s="117"/>
      <c r="CA341" s="144"/>
    </row>
    <row r="342" spans="1:79" s="118" customFormat="1">
      <c r="A342" s="114"/>
      <c r="B342" s="114">
        <f t="shared" si="7"/>
        <v>1</v>
      </c>
      <c r="C342" s="136" t="s">
        <v>1059</v>
      </c>
      <c r="D342" s="116"/>
      <c r="E342" s="116"/>
      <c r="F342" s="116"/>
      <c r="G342" s="115"/>
      <c r="H342" s="116"/>
      <c r="I342" s="116"/>
      <c r="J342" s="116"/>
      <c r="K342" s="116"/>
      <c r="L342" s="116"/>
      <c r="M342" s="116"/>
      <c r="N342" s="116"/>
      <c r="O342" s="116"/>
      <c r="P342" s="166"/>
      <c r="Q342" s="116"/>
      <c r="R342" s="116"/>
      <c r="S342" s="191"/>
      <c r="T342" s="191"/>
      <c r="U342" s="116"/>
      <c r="V342" s="116"/>
      <c r="W342" s="116"/>
      <c r="X342" s="117"/>
      <c r="Y342" s="116"/>
      <c r="Z342" s="114"/>
      <c r="AB342" s="119"/>
      <c r="AD342" s="119"/>
      <c r="AE342" s="119"/>
      <c r="AF342" s="119"/>
      <c r="AG342" s="119"/>
      <c r="AH342" s="119"/>
      <c r="AI342" s="119"/>
      <c r="AJ342" s="119"/>
      <c r="AK342" s="119"/>
      <c r="AL342" s="119"/>
      <c r="AM342" s="119"/>
      <c r="AN342" s="119"/>
      <c r="AO342" s="119"/>
      <c r="AP342" s="119"/>
      <c r="AQ342" s="119"/>
      <c r="AR342" s="119"/>
      <c r="AS342" s="126"/>
      <c r="AT342" s="126"/>
      <c r="AU342" s="126"/>
      <c r="AV342" s="130">
        <v>0</v>
      </c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7"/>
      <c r="BK342" s="117"/>
      <c r="BL342" s="117"/>
      <c r="BN342" s="117"/>
      <c r="BO342" s="117"/>
      <c r="BP342" s="120"/>
      <c r="BR342" s="117"/>
      <c r="BS342" s="117"/>
      <c r="BZ342" s="117"/>
      <c r="CA342" s="144"/>
    </row>
    <row r="343" spans="1:79" s="118" customFormat="1">
      <c r="A343" s="114"/>
      <c r="B343" s="114">
        <f t="shared" si="7"/>
        <v>0</v>
      </c>
      <c r="C343" s="136"/>
      <c r="D343" s="116"/>
      <c r="E343" s="116"/>
      <c r="F343" s="116"/>
      <c r="G343" s="115"/>
      <c r="H343" s="116"/>
      <c r="I343" s="116"/>
      <c r="J343" s="116"/>
      <c r="K343" s="116"/>
      <c r="L343" s="116"/>
      <c r="M343" s="116"/>
      <c r="N343" s="116"/>
      <c r="O343" s="116"/>
      <c r="P343" s="166"/>
      <c r="Q343" s="116"/>
      <c r="R343" s="116"/>
      <c r="S343" s="191"/>
      <c r="T343" s="191"/>
      <c r="U343" s="116"/>
      <c r="V343" s="116"/>
      <c r="W343" s="116"/>
      <c r="X343" s="117"/>
      <c r="Y343" s="116"/>
      <c r="Z343" s="114"/>
      <c r="AB343" s="119"/>
      <c r="AD343" s="119"/>
      <c r="AE343" s="119"/>
      <c r="AF343" s="119"/>
      <c r="AG343" s="119"/>
      <c r="AH343" s="119"/>
      <c r="AI343" s="119"/>
      <c r="AJ343" s="119"/>
      <c r="AK343" s="119"/>
      <c r="AL343" s="119"/>
      <c r="AM343" s="119"/>
      <c r="AN343" s="119"/>
      <c r="AO343" s="119"/>
      <c r="AP343" s="119"/>
      <c r="AQ343" s="119"/>
      <c r="AR343" s="119"/>
      <c r="AS343" s="126"/>
      <c r="AT343" s="126"/>
      <c r="AU343" s="126"/>
      <c r="AV343" s="116"/>
      <c r="AW343" s="116"/>
      <c r="AX343" s="116"/>
      <c r="AY343" s="116"/>
      <c r="AZ343" s="116"/>
      <c r="BA343" s="116"/>
      <c r="BB343" s="116"/>
      <c r="BC343" s="116"/>
      <c r="BD343" s="116"/>
      <c r="BE343" s="116"/>
      <c r="BF343" s="116"/>
      <c r="BG343" s="116"/>
      <c r="BH343" s="116"/>
      <c r="BI343" s="116"/>
      <c r="BJ343" s="117"/>
      <c r="BK343" s="117"/>
      <c r="BL343" s="117"/>
      <c r="BN343" s="117"/>
      <c r="BO343" s="117"/>
      <c r="BP343" s="120"/>
      <c r="BR343" s="117"/>
      <c r="BS343" s="117"/>
      <c r="BZ343" s="117"/>
      <c r="CA343" s="144"/>
    </row>
    <row r="344" spans="1:79" s="118" customFormat="1">
      <c r="A344" s="114"/>
      <c r="B344" s="114">
        <f t="shared" si="7"/>
        <v>1</v>
      </c>
      <c r="C344" s="136" t="s">
        <v>1116</v>
      </c>
      <c r="D344" s="116"/>
      <c r="E344" s="116"/>
      <c r="F344" s="116" t="s">
        <v>951</v>
      </c>
      <c r="G344" s="115"/>
      <c r="H344" s="116" t="s">
        <v>1122</v>
      </c>
      <c r="I344" s="116"/>
      <c r="J344" s="116"/>
      <c r="K344" s="116"/>
      <c r="L344" s="116"/>
      <c r="M344" s="116"/>
      <c r="N344" s="116"/>
      <c r="O344" s="116" t="s">
        <v>1123</v>
      </c>
      <c r="P344" s="166">
        <v>44013</v>
      </c>
      <c r="Q344" s="116"/>
      <c r="R344" s="116"/>
      <c r="S344" s="191"/>
      <c r="T344" s="191"/>
      <c r="U344" s="116"/>
      <c r="V344" s="116"/>
      <c r="W344" s="116"/>
      <c r="X344" s="117"/>
      <c r="Y344" s="116"/>
      <c r="Z344" s="114"/>
      <c r="AB344" s="119"/>
      <c r="AD344" s="119"/>
      <c r="AE344" s="119"/>
      <c r="AF344" s="119"/>
      <c r="AG344" s="119"/>
      <c r="AH344" s="119"/>
      <c r="AI344" s="119"/>
      <c r="AJ344" s="119"/>
      <c r="AK344" s="119"/>
      <c r="AL344" s="119"/>
      <c r="AM344" s="119"/>
      <c r="AN344" s="119"/>
      <c r="AO344" s="119"/>
      <c r="AP344" s="119"/>
      <c r="AQ344" s="119"/>
      <c r="AR344" s="119"/>
      <c r="AS344" s="126"/>
      <c r="AT344" s="126"/>
      <c r="AU344" s="126"/>
      <c r="AV344" s="116"/>
      <c r="AW344" s="130">
        <v>0</v>
      </c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7"/>
      <c r="BK344" s="117"/>
      <c r="BL344" s="117"/>
      <c r="BN344" s="117"/>
      <c r="BO344" s="117"/>
      <c r="BP344" s="120"/>
      <c r="BR344" s="117"/>
      <c r="BS344" s="117"/>
      <c r="BZ344" s="117"/>
      <c r="CA344" s="144"/>
    </row>
    <row r="345" spans="1:79" s="118" customFormat="1" ht="27">
      <c r="A345" s="114"/>
      <c r="B345" s="114">
        <f t="shared" si="7"/>
        <v>1</v>
      </c>
      <c r="C345" s="136" t="s">
        <v>1118</v>
      </c>
      <c r="D345" s="116"/>
      <c r="E345" s="116"/>
      <c r="F345" s="116"/>
      <c r="G345" s="115"/>
      <c r="H345" s="116"/>
      <c r="I345" s="116"/>
      <c r="J345" s="116"/>
      <c r="K345" s="116"/>
      <c r="L345" s="116"/>
      <c r="M345" s="116"/>
      <c r="N345" s="116"/>
      <c r="O345" s="116"/>
      <c r="P345" s="166"/>
      <c r="Q345" s="116"/>
      <c r="R345" s="116"/>
      <c r="S345" s="191"/>
      <c r="T345" s="191"/>
      <c r="U345" s="116"/>
      <c r="V345" s="116"/>
      <c r="W345" s="116"/>
      <c r="X345" s="117"/>
      <c r="Y345" s="116"/>
      <c r="Z345" s="114"/>
      <c r="AB345" s="119"/>
      <c r="AD345" s="119"/>
      <c r="AE345" s="119"/>
      <c r="AF345" s="119"/>
      <c r="AG345" s="119"/>
      <c r="AH345" s="119"/>
      <c r="AI345" s="119"/>
      <c r="AJ345" s="119"/>
      <c r="AK345" s="119"/>
      <c r="AL345" s="119"/>
      <c r="AM345" s="119"/>
      <c r="AN345" s="119"/>
      <c r="AO345" s="119"/>
      <c r="AP345" s="119"/>
      <c r="AQ345" s="119"/>
      <c r="AR345" s="119"/>
      <c r="AS345" s="126"/>
      <c r="AT345" s="126"/>
      <c r="AU345" s="126"/>
      <c r="AV345" s="116"/>
      <c r="AW345" s="130">
        <v>0</v>
      </c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7"/>
      <c r="BK345" s="117"/>
      <c r="BL345" s="117"/>
      <c r="BN345" s="117"/>
      <c r="BO345" s="117"/>
      <c r="BP345" s="120"/>
      <c r="BR345" s="117"/>
      <c r="BS345" s="117"/>
      <c r="BZ345" s="117"/>
      <c r="CA345" s="144"/>
    </row>
    <row r="346" spans="1:79" s="118" customFormat="1">
      <c r="A346" s="114"/>
      <c r="B346" s="114">
        <f t="shared" si="7"/>
        <v>1</v>
      </c>
      <c r="C346" s="136" t="s">
        <v>1061</v>
      </c>
      <c r="D346" s="116"/>
      <c r="E346" s="116"/>
      <c r="F346" s="116"/>
      <c r="G346" s="115"/>
      <c r="H346" s="116"/>
      <c r="I346" s="116"/>
      <c r="J346" s="116"/>
      <c r="K346" s="116"/>
      <c r="L346" s="116"/>
      <c r="M346" s="116"/>
      <c r="N346" s="116"/>
      <c r="O346" s="116"/>
      <c r="P346" s="166"/>
      <c r="Q346" s="116"/>
      <c r="R346" s="116"/>
      <c r="S346" s="191"/>
      <c r="T346" s="191"/>
      <c r="U346" s="116"/>
      <c r="V346" s="116"/>
      <c r="W346" s="116"/>
      <c r="X346" s="117"/>
      <c r="Y346" s="116"/>
      <c r="Z346" s="114"/>
      <c r="AB346" s="119"/>
      <c r="AD346" s="119"/>
      <c r="AE346" s="119"/>
      <c r="AF346" s="119"/>
      <c r="AG346" s="119"/>
      <c r="AH346" s="119"/>
      <c r="AI346" s="119"/>
      <c r="AJ346" s="119"/>
      <c r="AK346" s="119"/>
      <c r="AL346" s="119"/>
      <c r="AM346" s="119"/>
      <c r="AN346" s="119"/>
      <c r="AO346" s="119"/>
      <c r="AP346" s="119"/>
      <c r="AQ346" s="119"/>
      <c r="AR346" s="119"/>
      <c r="AS346" s="126"/>
      <c r="AT346" s="126"/>
      <c r="AU346" s="126"/>
      <c r="AV346" s="116"/>
      <c r="AW346" s="130">
        <v>0</v>
      </c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7"/>
      <c r="BK346" s="117"/>
      <c r="BL346" s="117"/>
      <c r="BN346" s="117"/>
      <c r="BO346" s="117"/>
      <c r="BP346" s="120"/>
      <c r="BR346" s="117"/>
      <c r="BS346" s="117"/>
      <c r="BZ346" s="117"/>
      <c r="CA346" s="144"/>
    </row>
    <row r="347" spans="1:79" s="118" customFormat="1">
      <c r="A347" s="114"/>
      <c r="B347" s="114">
        <f t="shared" si="7"/>
        <v>1</v>
      </c>
      <c r="C347" s="136" t="s">
        <v>1062</v>
      </c>
      <c r="D347" s="116"/>
      <c r="E347" s="116"/>
      <c r="F347" s="116"/>
      <c r="G347" s="115"/>
      <c r="H347" s="116"/>
      <c r="I347" s="116"/>
      <c r="J347" s="116"/>
      <c r="K347" s="116"/>
      <c r="L347" s="116"/>
      <c r="M347" s="116"/>
      <c r="N347" s="116"/>
      <c r="O347" s="116"/>
      <c r="P347" s="166"/>
      <c r="Q347" s="116"/>
      <c r="R347" s="116"/>
      <c r="S347" s="191"/>
      <c r="T347" s="191"/>
      <c r="U347" s="116"/>
      <c r="V347" s="116"/>
      <c r="W347" s="116"/>
      <c r="X347" s="117"/>
      <c r="Y347" s="116"/>
      <c r="Z347" s="114"/>
      <c r="AB347" s="119"/>
      <c r="AD347" s="119"/>
      <c r="AE347" s="119"/>
      <c r="AF347" s="119"/>
      <c r="AG347" s="119"/>
      <c r="AH347" s="119"/>
      <c r="AI347" s="119"/>
      <c r="AJ347" s="119"/>
      <c r="AK347" s="119"/>
      <c r="AL347" s="119"/>
      <c r="AM347" s="119"/>
      <c r="AN347" s="119"/>
      <c r="AO347" s="119"/>
      <c r="AP347" s="119"/>
      <c r="AQ347" s="119"/>
      <c r="AR347" s="119"/>
      <c r="AS347" s="126"/>
      <c r="AT347" s="126"/>
      <c r="AU347" s="126"/>
      <c r="AV347" s="116"/>
      <c r="AW347" s="130">
        <v>0</v>
      </c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7"/>
      <c r="BK347" s="117"/>
      <c r="BL347" s="117"/>
      <c r="BN347" s="117"/>
      <c r="BO347" s="117"/>
      <c r="BP347" s="120"/>
      <c r="BR347" s="117"/>
      <c r="BS347" s="117"/>
      <c r="BZ347" s="117"/>
      <c r="CA347" s="144"/>
    </row>
    <row r="348" spans="1:79" s="118" customFormat="1">
      <c r="A348" s="114"/>
      <c r="B348" s="114">
        <f t="shared" si="7"/>
        <v>1</v>
      </c>
      <c r="C348" s="136" t="s">
        <v>1064</v>
      </c>
      <c r="D348" s="116"/>
      <c r="E348" s="116"/>
      <c r="F348" s="116"/>
      <c r="G348" s="115"/>
      <c r="H348" s="116"/>
      <c r="I348" s="116"/>
      <c r="J348" s="116"/>
      <c r="K348" s="116"/>
      <c r="L348" s="116"/>
      <c r="M348" s="116"/>
      <c r="N348" s="116"/>
      <c r="O348" s="116"/>
      <c r="P348" s="166"/>
      <c r="Q348" s="116"/>
      <c r="R348" s="116"/>
      <c r="S348" s="191"/>
      <c r="T348" s="191"/>
      <c r="U348" s="116"/>
      <c r="V348" s="116"/>
      <c r="W348" s="116"/>
      <c r="X348" s="117"/>
      <c r="Y348" s="116"/>
      <c r="Z348" s="114"/>
      <c r="AB348" s="119"/>
      <c r="AD348" s="119"/>
      <c r="AE348" s="119"/>
      <c r="AF348" s="119"/>
      <c r="AG348" s="119"/>
      <c r="AH348" s="119"/>
      <c r="AI348" s="119"/>
      <c r="AJ348" s="119"/>
      <c r="AK348" s="119"/>
      <c r="AL348" s="119"/>
      <c r="AM348" s="119"/>
      <c r="AN348" s="119"/>
      <c r="AO348" s="119"/>
      <c r="AP348" s="119"/>
      <c r="AQ348" s="119"/>
      <c r="AR348" s="119"/>
      <c r="AS348" s="126"/>
      <c r="AT348" s="126"/>
      <c r="AU348" s="126"/>
      <c r="AV348" s="116"/>
      <c r="AW348" s="130">
        <v>0</v>
      </c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7"/>
      <c r="BK348" s="117"/>
      <c r="BL348" s="117"/>
      <c r="BN348" s="117"/>
      <c r="BO348" s="117"/>
      <c r="BP348" s="120"/>
      <c r="BR348" s="117"/>
      <c r="BS348" s="117"/>
      <c r="BZ348" s="117"/>
      <c r="CA348" s="144"/>
    </row>
    <row r="349" spans="1:79" s="118" customFormat="1">
      <c r="A349" s="114"/>
      <c r="B349" s="114">
        <f t="shared" si="7"/>
        <v>1</v>
      </c>
      <c r="C349" s="136" t="s">
        <v>1065</v>
      </c>
      <c r="D349" s="116"/>
      <c r="E349" s="116"/>
      <c r="F349" s="116"/>
      <c r="G349" s="115"/>
      <c r="H349" s="116"/>
      <c r="I349" s="116"/>
      <c r="J349" s="116"/>
      <c r="K349" s="116"/>
      <c r="L349" s="116"/>
      <c r="M349" s="116"/>
      <c r="N349" s="116"/>
      <c r="O349" s="116"/>
      <c r="P349" s="166"/>
      <c r="Q349" s="116"/>
      <c r="R349" s="116"/>
      <c r="S349" s="191"/>
      <c r="T349" s="191"/>
      <c r="U349" s="116"/>
      <c r="V349" s="116"/>
      <c r="W349" s="116"/>
      <c r="X349" s="117"/>
      <c r="Y349" s="116"/>
      <c r="Z349" s="114"/>
      <c r="AB349" s="119"/>
      <c r="AD349" s="119"/>
      <c r="AE349" s="119"/>
      <c r="AF349" s="119"/>
      <c r="AG349" s="119"/>
      <c r="AH349" s="119"/>
      <c r="AI349" s="119"/>
      <c r="AJ349" s="119"/>
      <c r="AK349" s="119"/>
      <c r="AL349" s="119"/>
      <c r="AM349" s="119"/>
      <c r="AN349" s="119"/>
      <c r="AO349" s="119"/>
      <c r="AP349" s="119"/>
      <c r="AQ349" s="119"/>
      <c r="AR349" s="119"/>
      <c r="AS349" s="126"/>
      <c r="AT349" s="126"/>
      <c r="AU349" s="126"/>
      <c r="AV349" s="116"/>
      <c r="AW349" s="130">
        <v>0</v>
      </c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7"/>
      <c r="BK349" s="117"/>
      <c r="BL349" s="117"/>
      <c r="BN349" s="117"/>
      <c r="BO349" s="117"/>
      <c r="BP349" s="120"/>
      <c r="BR349" s="117"/>
      <c r="BS349" s="117"/>
      <c r="BZ349" s="117"/>
      <c r="CA349" s="144"/>
    </row>
    <row r="350" spans="1:79" s="118" customFormat="1">
      <c r="A350" s="114"/>
      <c r="B350" s="114">
        <f t="shared" si="7"/>
        <v>1</v>
      </c>
      <c r="C350" s="136" t="s">
        <v>1066</v>
      </c>
      <c r="D350" s="116"/>
      <c r="E350" s="116"/>
      <c r="F350" s="116"/>
      <c r="G350" s="115"/>
      <c r="H350" s="116"/>
      <c r="I350" s="116"/>
      <c r="J350" s="116"/>
      <c r="K350" s="116"/>
      <c r="L350" s="116"/>
      <c r="M350" s="116"/>
      <c r="N350" s="116"/>
      <c r="O350" s="116"/>
      <c r="P350" s="166"/>
      <c r="Q350" s="116"/>
      <c r="R350" s="116"/>
      <c r="S350" s="191"/>
      <c r="T350" s="191"/>
      <c r="U350" s="116"/>
      <c r="V350" s="116"/>
      <c r="W350" s="116"/>
      <c r="X350" s="117"/>
      <c r="Y350" s="116"/>
      <c r="Z350" s="114"/>
      <c r="AB350" s="119"/>
      <c r="AD350" s="119"/>
      <c r="AE350" s="119"/>
      <c r="AF350" s="119"/>
      <c r="AG350" s="119"/>
      <c r="AH350" s="119"/>
      <c r="AI350" s="119"/>
      <c r="AJ350" s="119"/>
      <c r="AK350" s="119"/>
      <c r="AL350" s="119"/>
      <c r="AM350" s="119"/>
      <c r="AN350" s="119"/>
      <c r="AO350" s="119"/>
      <c r="AP350" s="119"/>
      <c r="AQ350" s="119"/>
      <c r="AR350" s="119"/>
      <c r="AS350" s="126"/>
      <c r="AT350" s="126"/>
      <c r="AU350" s="126"/>
      <c r="AV350" s="116"/>
      <c r="AW350" s="130">
        <v>0</v>
      </c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7"/>
      <c r="BK350" s="117"/>
      <c r="BL350" s="117"/>
      <c r="BN350" s="117"/>
      <c r="BO350" s="117"/>
      <c r="BP350" s="120"/>
      <c r="BR350" s="117"/>
      <c r="BS350" s="117"/>
      <c r="BZ350" s="117"/>
      <c r="CA350" s="144"/>
    </row>
    <row r="351" spans="1:79" s="118" customFormat="1">
      <c r="A351" s="114"/>
      <c r="B351" s="114">
        <f t="shared" si="7"/>
        <v>1</v>
      </c>
      <c r="C351" s="136" t="s">
        <v>1067</v>
      </c>
      <c r="D351" s="116"/>
      <c r="E351" s="116"/>
      <c r="F351" s="116"/>
      <c r="G351" s="115"/>
      <c r="H351" s="116"/>
      <c r="I351" s="116"/>
      <c r="J351" s="116"/>
      <c r="K351" s="116"/>
      <c r="L351" s="116"/>
      <c r="M351" s="116"/>
      <c r="N351" s="116"/>
      <c r="O351" s="116"/>
      <c r="P351" s="166"/>
      <c r="Q351" s="116"/>
      <c r="R351" s="116"/>
      <c r="S351" s="191"/>
      <c r="T351" s="191"/>
      <c r="U351" s="116"/>
      <c r="V351" s="116"/>
      <c r="W351" s="116"/>
      <c r="X351" s="117"/>
      <c r="Y351" s="116"/>
      <c r="Z351" s="114"/>
      <c r="AB351" s="119"/>
      <c r="AD351" s="119"/>
      <c r="AE351" s="119"/>
      <c r="AF351" s="119"/>
      <c r="AG351" s="119"/>
      <c r="AH351" s="119"/>
      <c r="AI351" s="119"/>
      <c r="AJ351" s="119"/>
      <c r="AK351" s="119"/>
      <c r="AL351" s="119"/>
      <c r="AM351" s="119"/>
      <c r="AN351" s="119"/>
      <c r="AO351" s="119"/>
      <c r="AP351" s="119"/>
      <c r="AQ351" s="119"/>
      <c r="AR351" s="119"/>
      <c r="AS351" s="126"/>
      <c r="AT351" s="126"/>
      <c r="AU351" s="126"/>
      <c r="AV351" s="116"/>
      <c r="AW351" s="130">
        <v>0</v>
      </c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7"/>
      <c r="BK351" s="117"/>
      <c r="BL351" s="117"/>
      <c r="BN351" s="117"/>
      <c r="BO351" s="117"/>
      <c r="BP351" s="120"/>
      <c r="BR351" s="117"/>
      <c r="BS351" s="117"/>
      <c r="BZ351" s="117"/>
      <c r="CA351" s="144"/>
    </row>
    <row r="352" spans="1:79" s="118" customFormat="1">
      <c r="A352" s="114"/>
      <c r="B352" s="114">
        <f t="shared" si="7"/>
        <v>1</v>
      </c>
      <c r="C352" s="136" t="s">
        <v>1069</v>
      </c>
      <c r="D352" s="116"/>
      <c r="E352" s="116"/>
      <c r="F352" s="116"/>
      <c r="G352" s="115"/>
      <c r="H352" s="116"/>
      <c r="I352" s="116"/>
      <c r="J352" s="116"/>
      <c r="K352" s="116"/>
      <c r="L352" s="116"/>
      <c r="M352" s="116"/>
      <c r="N352" s="116"/>
      <c r="O352" s="116"/>
      <c r="P352" s="166"/>
      <c r="Q352" s="116"/>
      <c r="R352" s="116"/>
      <c r="S352" s="191"/>
      <c r="T352" s="191"/>
      <c r="U352" s="116"/>
      <c r="V352" s="116"/>
      <c r="W352" s="116"/>
      <c r="X352" s="117"/>
      <c r="Y352" s="116"/>
      <c r="Z352" s="114"/>
      <c r="AB352" s="119"/>
      <c r="AD352" s="119"/>
      <c r="AE352" s="119"/>
      <c r="AF352" s="119"/>
      <c r="AG352" s="119"/>
      <c r="AH352" s="119"/>
      <c r="AI352" s="119"/>
      <c r="AJ352" s="119"/>
      <c r="AK352" s="119"/>
      <c r="AL352" s="119"/>
      <c r="AM352" s="119"/>
      <c r="AN352" s="119"/>
      <c r="AO352" s="119"/>
      <c r="AP352" s="119"/>
      <c r="AQ352" s="119"/>
      <c r="AR352" s="119"/>
      <c r="AS352" s="126"/>
      <c r="AT352" s="126"/>
      <c r="AU352" s="126"/>
      <c r="AV352" s="116"/>
      <c r="AW352" s="130">
        <v>0</v>
      </c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7"/>
      <c r="BK352" s="117"/>
      <c r="BL352" s="117"/>
      <c r="BN352" s="117"/>
      <c r="BO352" s="117"/>
      <c r="BP352" s="120"/>
      <c r="BR352" s="117"/>
      <c r="BS352" s="117"/>
      <c r="BZ352" s="117"/>
      <c r="CA352" s="144"/>
    </row>
    <row r="353" spans="1:79" s="118" customFormat="1">
      <c r="A353" s="114"/>
      <c r="B353" s="114">
        <f t="shared" si="7"/>
        <v>1</v>
      </c>
      <c r="C353" s="136" t="s">
        <v>1070</v>
      </c>
      <c r="D353" s="116"/>
      <c r="E353" s="116"/>
      <c r="F353" s="116"/>
      <c r="G353" s="115"/>
      <c r="H353" s="116"/>
      <c r="I353" s="116"/>
      <c r="J353" s="116"/>
      <c r="K353" s="116"/>
      <c r="L353" s="116"/>
      <c r="M353" s="116"/>
      <c r="N353" s="116"/>
      <c r="O353" s="116"/>
      <c r="P353" s="166"/>
      <c r="Q353" s="116"/>
      <c r="R353" s="116"/>
      <c r="S353" s="191"/>
      <c r="T353" s="191"/>
      <c r="U353" s="116"/>
      <c r="V353" s="116"/>
      <c r="W353" s="116"/>
      <c r="X353" s="117"/>
      <c r="Y353" s="116"/>
      <c r="Z353" s="114"/>
      <c r="AB353" s="119"/>
      <c r="AD353" s="119"/>
      <c r="AE353" s="119"/>
      <c r="AF353" s="119"/>
      <c r="AG353" s="119"/>
      <c r="AH353" s="119"/>
      <c r="AI353" s="119"/>
      <c r="AJ353" s="119"/>
      <c r="AK353" s="119"/>
      <c r="AL353" s="119"/>
      <c r="AM353" s="119"/>
      <c r="AN353" s="119"/>
      <c r="AO353" s="119"/>
      <c r="AP353" s="119"/>
      <c r="AQ353" s="119"/>
      <c r="AR353" s="119"/>
      <c r="AS353" s="126"/>
      <c r="AT353" s="126"/>
      <c r="AU353" s="126"/>
      <c r="AV353" s="116"/>
      <c r="AW353" s="130">
        <v>0</v>
      </c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7"/>
      <c r="BK353" s="117"/>
      <c r="BL353" s="117"/>
      <c r="BN353" s="117"/>
      <c r="BO353" s="117"/>
      <c r="BP353" s="120"/>
      <c r="BR353" s="117"/>
      <c r="BS353" s="117"/>
      <c r="BZ353" s="117"/>
      <c r="CA353" s="144"/>
    </row>
    <row r="354" spans="1:79" s="118" customFormat="1" ht="27">
      <c r="A354" s="114"/>
      <c r="B354" s="114">
        <f t="shared" si="7"/>
        <v>1</v>
      </c>
      <c r="C354" s="136" t="s">
        <v>1071</v>
      </c>
      <c r="D354" s="116"/>
      <c r="E354" s="116"/>
      <c r="F354" s="116"/>
      <c r="G354" s="115"/>
      <c r="H354" s="116"/>
      <c r="I354" s="116"/>
      <c r="J354" s="116"/>
      <c r="K354" s="116"/>
      <c r="L354" s="116"/>
      <c r="M354" s="116"/>
      <c r="N354" s="116"/>
      <c r="O354" s="116"/>
      <c r="P354" s="166"/>
      <c r="Q354" s="116"/>
      <c r="R354" s="116"/>
      <c r="S354" s="191"/>
      <c r="T354" s="191"/>
      <c r="U354" s="116"/>
      <c r="V354" s="116"/>
      <c r="W354" s="116"/>
      <c r="X354" s="117"/>
      <c r="Y354" s="116"/>
      <c r="Z354" s="114"/>
      <c r="AB354" s="119"/>
      <c r="AD354" s="119"/>
      <c r="AE354" s="119"/>
      <c r="AF354" s="119"/>
      <c r="AG354" s="119"/>
      <c r="AH354" s="119"/>
      <c r="AI354" s="119"/>
      <c r="AJ354" s="119"/>
      <c r="AK354" s="119"/>
      <c r="AL354" s="119"/>
      <c r="AM354" s="119"/>
      <c r="AN354" s="119"/>
      <c r="AO354" s="119"/>
      <c r="AP354" s="119"/>
      <c r="AQ354" s="119"/>
      <c r="AR354" s="119"/>
      <c r="AS354" s="126"/>
      <c r="AT354" s="126"/>
      <c r="AU354" s="126"/>
      <c r="AV354" s="116"/>
      <c r="AW354" s="130">
        <v>0</v>
      </c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7"/>
      <c r="BK354" s="117"/>
      <c r="BL354" s="117"/>
      <c r="BN354" s="117"/>
      <c r="BO354" s="117"/>
      <c r="BP354" s="120"/>
      <c r="BR354" s="117"/>
      <c r="BS354" s="117"/>
      <c r="BZ354" s="117"/>
      <c r="CA354" s="144"/>
    </row>
    <row r="355" spans="1:79" s="118" customFormat="1" ht="27">
      <c r="A355" s="114"/>
      <c r="B355" s="114">
        <f t="shared" si="7"/>
        <v>2</v>
      </c>
      <c r="C355" s="136" t="s">
        <v>1072</v>
      </c>
      <c r="D355" s="116"/>
      <c r="E355" s="116"/>
      <c r="F355" s="116"/>
      <c r="G355" s="115"/>
      <c r="H355" s="116"/>
      <c r="I355" s="116"/>
      <c r="J355" s="116"/>
      <c r="K355" s="116"/>
      <c r="L355" s="116"/>
      <c r="M355" s="116"/>
      <c r="N355" s="116"/>
      <c r="O355" s="116"/>
      <c r="P355" s="166"/>
      <c r="Q355" s="116"/>
      <c r="R355" s="116"/>
      <c r="S355" s="191"/>
      <c r="T355" s="191"/>
      <c r="U355" s="116"/>
      <c r="V355" s="116"/>
      <c r="W355" s="116"/>
      <c r="X355" s="117"/>
      <c r="Y355" s="116"/>
      <c r="Z355" s="114"/>
      <c r="AB355" s="119"/>
      <c r="AD355" s="119"/>
      <c r="AE355" s="119"/>
      <c r="AF355" s="119"/>
      <c r="AG355" s="119"/>
      <c r="AH355" s="119"/>
      <c r="AI355" s="119"/>
      <c r="AJ355" s="119"/>
      <c r="AK355" s="119"/>
      <c r="AL355" s="119"/>
      <c r="AM355" s="119"/>
      <c r="AN355" s="119"/>
      <c r="AO355" s="119"/>
      <c r="AP355" s="119"/>
      <c r="AQ355" s="119"/>
      <c r="AR355" s="119"/>
      <c r="AS355" s="126"/>
      <c r="AT355" s="130">
        <v>0</v>
      </c>
      <c r="AU355" s="126"/>
      <c r="AV355" s="116"/>
      <c r="AW355" s="130">
        <v>0</v>
      </c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7"/>
      <c r="BK355" s="117"/>
      <c r="BL355" s="117"/>
      <c r="BN355" s="117"/>
      <c r="BO355" s="117"/>
      <c r="BP355" s="120"/>
      <c r="BR355" s="117"/>
      <c r="BS355" s="117"/>
      <c r="BZ355" s="117"/>
      <c r="CA355" s="145">
        <v>44596.665925925925</v>
      </c>
    </row>
    <row r="356" spans="1:79" s="118" customFormat="1">
      <c r="A356" s="114"/>
      <c r="B356" s="114">
        <f t="shared" si="7"/>
        <v>0</v>
      </c>
      <c r="C356" s="136"/>
      <c r="D356" s="116"/>
      <c r="E356" s="116"/>
      <c r="F356" s="116"/>
      <c r="G356" s="115"/>
      <c r="H356" s="116"/>
      <c r="I356" s="116"/>
      <c r="J356" s="116"/>
      <c r="K356" s="116"/>
      <c r="L356" s="116"/>
      <c r="M356" s="116"/>
      <c r="N356" s="116"/>
      <c r="O356" s="116"/>
      <c r="P356" s="166"/>
      <c r="Q356" s="116"/>
      <c r="R356" s="116"/>
      <c r="S356" s="191"/>
      <c r="T356" s="191"/>
      <c r="U356" s="116"/>
      <c r="V356" s="116"/>
      <c r="W356" s="116"/>
      <c r="X356" s="117"/>
      <c r="Y356" s="116"/>
      <c r="Z356" s="114"/>
      <c r="AB356" s="119"/>
      <c r="AD356" s="119"/>
      <c r="AE356" s="119"/>
      <c r="AF356" s="119"/>
      <c r="AG356" s="119"/>
      <c r="AH356" s="119"/>
      <c r="AI356" s="119"/>
      <c r="AJ356" s="119"/>
      <c r="AK356" s="119"/>
      <c r="AL356" s="119"/>
      <c r="AM356" s="119"/>
      <c r="AN356" s="119"/>
      <c r="AO356" s="119"/>
      <c r="AP356" s="119"/>
      <c r="AQ356" s="119"/>
      <c r="AR356" s="119"/>
      <c r="AS356" s="126"/>
      <c r="AT356" s="126"/>
      <c r="AU356" s="12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7"/>
      <c r="BK356" s="117"/>
      <c r="BL356" s="117"/>
      <c r="BN356" s="117"/>
      <c r="BO356" s="117"/>
      <c r="BP356" s="120"/>
      <c r="BR356" s="117"/>
      <c r="BS356" s="117"/>
      <c r="BZ356" s="117"/>
      <c r="CA356" s="144"/>
    </row>
    <row r="357" spans="1:79" s="118" customFormat="1">
      <c r="A357" s="114"/>
      <c r="B357" s="114">
        <f t="shared" si="7"/>
        <v>0</v>
      </c>
      <c r="C357" s="136"/>
      <c r="D357" s="116"/>
      <c r="E357" s="116"/>
      <c r="F357" s="116"/>
      <c r="G357" s="115"/>
      <c r="H357" s="116"/>
      <c r="I357" s="116"/>
      <c r="J357" s="116"/>
      <c r="K357" s="116"/>
      <c r="L357" s="116"/>
      <c r="M357" s="116"/>
      <c r="N357" s="116"/>
      <c r="O357" s="116"/>
      <c r="P357" s="166"/>
      <c r="Q357" s="116"/>
      <c r="R357" s="116"/>
      <c r="S357" s="191"/>
      <c r="T357" s="191"/>
      <c r="U357" s="116"/>
      <c r="V357" s="116"/>
      <c r="W357" s="116"/>
      <c r="X357" s="117"/>
      <c r="Y357" s="116"/>
      <c r="Z357" s="114"/>
      <c r="AB357" s="119"/>
      <c r="AD357" s="119"/>
      <c r="AE357" s="119"/>
      <c r="AF357" s="119"/>
      <c r="AG357" s="119"/>
      <c r="AH357" s="119"/>
      <c r="AI357" s="119"/>
      <c r="AJ357" s="119"/>
      <c r="AK357" s="119"/>
      <c r="AL357" s="119"/>
      <c r="AM357" s="119"/>
      <c r="AN357" s="119"/>
      <c r="AO357" s="119"/>
      <c r="AP357" s="119"/>
      <c r="AQ357" s="119"/>
      <c r="AR357" s="119"/>
      <c r="AS357" s="126"/>
      <c r="AT357" s="126"/>
      <c r="AU357" s="12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7"/>
      <c r="BK357" s="117"/>
      <c r="BL357" s="117"/>
      <c r="BN357" s="117"/>
      <c r="BO357" s="117"/>
      <c r="BP357" s="120"/>
      <c r="BR357" s="117"/>
      <c r="BS357" s="117"/>
      <c r="BZ357" s="117"/>
      <c r="CA357" s="144"/>
    </row>
    <row r="358" spans="1:79" s="118" customFormat="1">
      <c r="A358" s="114"/>
      <c r="B358" s="114">
        <f t="shared" si="7"/>
        <v>0</v>
      </c>
      <c r="C358" s="136"/>
      <c r="D358" s="116"/>
      <c r="E358" s="116"/>
      <c r="F358" s="116"/>
      <c r="G358" s="115"/>
      <c r="H358" s="116"/>
      <c r="I358" s="116"/>
      <c r="J358" s="116"/>
      <c r="K358" s="116"/>
      <c r="L358" s="116"/>
      <c r="M358" s="116"/>
      <c r="N358" s="116"/>
      <c r="O358" s="116"/>
      <c r="P358" s="166"/>
      <c r="Q358" s="116"/>
      <c r="R358" s="116"/>
      <c r="S358" s="191"/>
      <c r="T358" s="191"/>
      <c r="U358" s="116"/>
      <c r="V358" s="116"/>
      <c r="W358" s="116"/>
      <c r="X358" s="117"/>
      <c r="Y358" s="116"/>
      <c r="Z358" s="114"/>
      <c r="AB358" s="119"/>
      <c r="AD358" s="119"/>
      <c r="AE358" s="119"/>
      <c r="AF358" s="119"/>
      <c r="AG358" s="119"/>
      <c r="AH358" s="119"/>
      <c r="AI358" s="119"/>
      <c r="AJ358" s="119"/>
      <c r="AK358" s="119"/>
      <c r="AL358" s="119"/>
      <c r="AM358" s="119"/>
      <c r="AN358" s="119"/>
      <c r="AO358" s="119"/>
      <c r="AP358" s="119"/>
      <c r="AQ358" s="119"/>
      <c r="AR358" s="119"/>
      <c r="AS358" s="126"/>
      <c r="AT358" s="126"/>
      <c r="AU358" s="12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7"/>
      <c r="BK358" s="117"/>
      <c r="BL358" s="117"/>
      <c r="BN358" s="117"/>
      <c r="BO358" s="117"/>
      <c r="BP358" s="120"/>
      <c r="BR358" s="117"/>
      <c r="BS358" s="117"/>
      <c r="BZ358" s="117"/>
      <c r="CA358" s="144"/>
    </row>
    <row r="359" spans="1:79" s="118" customFormat="1">
      <c r="A359" s="114"/>
      <c r="B359" s="114">
        <f t="shared" si="7"/>
        <v>0</v>
      </c>
      <c r="C359" s="136"/>
      <c r="D359" s="116"/>
      <c r="E359" s="116"/>
      <c r="F359" s="116"/>
      <c r="G359" s="115"/>
      <c r="H359" s="116"/>
      <c r="I359" s="116"/>
      <c r="J359" s="116"/>
      <c r="K359" s="116"/>
      <c r="L359" s="116"/>
      <c r="M359" s="116"/>
      <c r="N359" s="116"/>
      <c r="O359" s="116"/>
      <c r="P359" s="166"/>
      <c r="Q359" s="116"/>
      <c r="R359" s="116"/>
      <c r="S359" s="191"/>
      <c r="T359" s="191"/>
      <c r="U359" s="116"/>
      <c r="V359" s="116"/>
      <c r="W359" s="116"/>
      <c r="X359" s="117"/>
      <c r="Y359" s="116"/>
      <c r="Z359" s="114"/>
      <c r="AB359" s="119"/>
      <c r="AD359" s="119"/>
      <c r="AE359" s="119"/>
      <c r="AF359" s="119"/>
      <c r="AG359" s="119"/>
      <c r="AH359" s="119"/>
      <c r="AI359" s="119"/>
      <c r="AJ359" s="119"/>
      <c r="AK359" s="119"/>
      <c r="AL359" s="119"/>
      <c r="AM359" s="119"/>
      <c r="AN359" s="119"/>
      <c r="AO359" s="119"/>
      <c r="AP359" s="119"/>
      <c r="AQ359" s="119"/>
      <c r="AR359" s="119"/>
      <c r="AS359" s="126"/>
      <c r="AT359" s="126"/>
      <c r="AU359" s="12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7"/>
      <c r="BK359" s="117"/>
      <c r="BL359" s="117"/>
      <c r="BN359" s="117"/>
      <c r="BO359" s="117"/>
      <c r="BP359" s="120"/>
      <c r="BR359" s="117"/>
      <c r="BS359" s="117"/>
      <c r="BZ359" s="117"/>
      <c r="CA359" s="144"/>
    </row>
    <row r="360" spans="1:79" s="118" customFormat="1">
      <c r="A360" s="114"/>
      <c r="B360" s="114">
        <f t="shared" si="7"/>
        <v>0</v>
      </c>
      <c r="C360" s="136"/>
      <c r="D360" s="116"/>
      <c r="E360" s="116"/>
      <c r="F360" s="116"/>
      <c r="G360" s="115"/>
      <c r="H360" s="116"/>
      <c r="I360" s="116"/>
      <c r="J360" s="116"/>
      <c r="K360" s="116"/>
      <c r="L360" s="116"/>
      <c r="M360" s="116"/>
      <c r="N360" s="116"/>
      <c r="O360" s="116"/>
      <c r="P360" s="166"/>
      <c r="Q360" s="116"/>
      <c r="R360" s="116"/>
      <c r="S360" s="191"/>
      <c r="T360" s="191"/>
      <c r="U360" s="116"/>
      <c r="V360" s="116"/>
      <c r="W360" s="116"/>
      <c r="X360" s="117"/>
      <c r="Y360" s="116"/>
      <c r="Z360" s="114"/>
      <c r="AB360" s="119"/>
      <c r="AD360" s="119"/>
      <c r="AE360" s="119"/>
      <c r="AF360" s="119"/>
      <c r="AG360" s="119"/>
      <c r="AH360" s="119"/>
      <c r="AI360" s="119"/>
      <c r="AJ360" s="119"/>
      <c r="AK360" s="119"/>
      <c r="AL360" s="119"/>
      <c r="AM360" s="119"/>
      <c r="AN360" s="119"/>
      <c r="AO360" s="119"/>
      <c r="AP360" s="119"/>
      <c r="AQ360" s="119"/>
      <c r="AR360" s="119"/>
      <c r="AS360" s="126"/>
      <c r="AT360" s="126"/>
      <c r="AU360" s="126"/>
      <c r="AV360" s="116"/>
      <c r="AW360" s="116"/>
      <c r="AX360" s="116"/>
      <c r="AY360" s="116"/>
      <c r="AZ360" s="116"/>
      <c r="BA360" s="116"/>
      <c r="BB360" s="116"/>
      <c r="BC360" s="116"/>
      <c r="BD360" s="116"/>
      <c r="BE360" s="116"/>
      <c r="BF360" s="116"/>
      <c r="BG360" s="116"/>
      <c r="BH360" s="116"/>
      <c r="BI360" s="116"/>
      <c r="BJ360" s="117"/>
      <c r="BK360" s="117"/>
      <c r="BL360" s="117"/>
      <c r="BN360" s="117"/>
      <c r="BO360" s="117"/>
      <c r="BP360" s="120"/>
      <c r="BR360" s="117"/>
      <c r="BS360" s="117"/>
      <c r="BZ360" s="117"/>
      <c r="CA360" s="144"/>
    </row>
    <row r="361" spans="1:79" s="118" customFormat="1">
      <c r="A361" s="114"/>
      <c r="B361" s="114">
        <f t="shared" si="7"/>
        <v>0</v>
      </c>
      <c r="C361" s="136"/>
      <c r="D361" s="116"/>
      <c r="E361" s="116"/>
      <c r="F361" s="116"/>
      <c r="G361" s="115"/>
      <c r="H361" s="116"/>
      <c r="I361" s="116"/>
      <c r="J361" s="116"/>
      <c r="K361" s="116"/>
      <c r="L361" s="116"/>
      <c r="M361" s="116"/>
      <c r="N361" s="116"/>
      <c r="O361" s="116"/>
      <c r="P361" s="166"/>
      <c r="Q361" s="116"/>
      <c r="R361" s="116"/>
      <c r="S361" s="191"/>
      <c r="T361" s="191"/>
      <c r="U361" s="116"/>
      <c r="V361" s="116"/>
      <c r="W361" s="116"/>
      <c r="X361" s="117"/>
      <c r="Y361" s="116"/>
      <c r="Z361" s="114"/>
      <c r="AB361" s="119"/>
      <c r="AD361" s="119"/>
      <c r="AE361" s="119"/>
      <c r="AF361" s="119"/>
      <c r="AG361" s="119"/>
      <c r="AH361" s="119"/>
      <c r="AI361" s="119"/>
      <c r="AJ361" s="119"/>
      <c r="AK361" s="119"/>
      <c r="AL361" s="119"/>
      <c r="AM361" s="119"/>
      <c r="AN361" s="119"/>
      <c r="AO361" s="119"/>
      <c r="AP361" s="119"/>
      <c r="AQ361" s="119"/>
      <c r="AR361" s="119"/>
      <c r="AS361" s="126"/>
      <c r="AT361" s="126"/>
      <c r="AU361" s="12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7"/>
      <c r="BK361" s="117"/>
      <c r="BL361" s="117"/>
      <c r="BN361" s="117"/>
      <c r="BO361" s="117"/>
      <c r="BP361" s="120"/>
      <c r="BR361" s="117"/>
      <c r="BS361" s="117"/>
      <c r="BZ361" s="117"/>
      <c r="CA361" s="144"/>
    </row>
    <row r="362" spans="1:79" s="118" customFormat="1">
      <c r="A362" s="114"/>
      <c r="B362" s="114">
        <f t="shared" si="7"/>
        <v>0</v>
      </c>
      <c r="C362" s="136"/>
      <c r="D362" s="116"/>
      <c r="E362" s="116"/>
      <c r="F362" s="116"/>
      <c r="G362" s="115"/>
      <c r="H362" s="116"/>
      <c r="I362" s="116"/>
      <c r="J362" s="116"/>
      <c r="K362" s="116"/>
      <c r="L362" s="116"/>
      <c r="M362" s="116"/>
      <c r="N362" s="116"/>
      <c r="O362" s="116"/>
      <c r="P362" s="166"/>
      <c r="Q362" s="116"/>
      <c r="R362" s="116"/>
      <c r="S362" s="191"/>
      <c r="T362" s="191"/>
      <c r="U362" s="116"/>
      <c r="V362" s="116"/>
      <c r="W362" s="116"/>
      <c r="X362" s="117"/>
      <c r="Y362" s="116"/>
      <c r="Z362" s="114"/>
      <c r="AB362" s="119"/>
      <c r="AD362" s="119"/>
      <c r="AE362" s="119"/>
      <c r="AF362" s="119"/>
      <c r="AG362" s="119"/>
      <c r="AH362" s="119"/>
      <c r="AI362" s="119"/>
      <c r="AJ362" s="119"/>
      <c r="AK362" s="119"/>
      <c r="AL362" s="119"/>
      <c r="AM362" s="119"/>
      <c r="AN362" s="119"/>
      <c r="AO362" s="119"/>
      <c r="AP362" s="119"/>
      <c r="AQ362" s="119"/>
      <c r="AR362" s="119"/>
      <c r="AS362" s="126"/>
      <c r="AT362" s="126"/>
      <c r="AU362" s="12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7"/>
      <c r="BK362" s="117"/>
      <c r="BL362" s="117"/>
      <c r="BN362" s="117"/>
      <c r="BO362" s="117"/>
      <c r="BP362" s="120"/>
      <c r="BR362" s="117"/>
      <c r="BS362" s="117"/>
      <c r="BZ362" s="117"/>
      <c r="CA362" s="144"/>
    </row>
    <row r="363" spans="1:79" s="118" customFormat="1">
      <c r="A363" s="114"/>
      <c r="B363" s="114">
        <f t="shared" si="7"/>
        <v>0</v>
      </c>
      <c r="C363" s="136"/>
      <c r="D363" s="116"/>
      <c r="E363" s="116"/>
      <c r="F363" s="116"/>
      <c r="G363" s="115"/>
      <c r="H363" s="116"/>
      <c r="I363" s="116"/>
      <c r="J363" s="116"/>
      <c r="K363" s="116"/>
      <c r="L363" s="116"/>
      <c r="M363" s="116"/>
      <c r="N363" s="116"/>
      <c r="O363" s="116"/>
      <c r="P363" s="166"/>
      <c r="Q363" s="116"/>
      <c r="R363" s="116"/>
      <c r="S363" s="191"/>
      <c r="T363" s="191"/>
      <c r="U363" s="116"/>
      <c r="V363" s="116"/>
      <c r="W363" s="116"/>
      <c r="X363" s="117"/>
      <c r="Y363" s="116"/>
      <c r="Z363" s="114"/>
      <c r="AB363" s="119"/>
      <c r="AD363" s="119"/>
      <c r="AE363" s="119"/>
      <c r="AF363" s="119"/>
      <c r="AG363" s="119"/>
      <c r="AH363" s="119"/>
      <c r="AI363" s="119"/>
      <c r="AJ363" s="119"/>
      <c r="AK363" s="119"/>
      <c r="AL363" s="119"/>
      <c r="AM363" s="119"/>
      <c r="AN363" s="119"/>
      <c r="AO363" s="119"/>
      <c r="AP363" s="119"/>
      <c r="AQ363" s="119"/>
      <c r="AR363" s="119"/>
      <c r="AS363" s="126"/>
      <c r="AT363" s="126"/>
      <c r="AU363" s="12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7"/>
      <c r="BK363" s="117"/>
      <c r="BL363" s="117"/>
      <c r="BN363" s="117"/>
      <c r="BO363" s="117"/>
      <c r="BP363" s="120"/>
      <c r="BR363" s="117"/>
      <c r="BS363" s="117"/>
      <c r="BZ363" s="117"/>
      <c r="CA363" s="144"/>
    </row>
    <row r="364" spans="1:79" s="118" customFormat="1">
      <c r="A364" s="114"/>
      <c r="B364" s="114">
        <f t="shared" si="7"/>
        <v>0</v>
      </c>
      <c r="C364" s="136"/>
      <c r="D364" s="116"/>
      <c r="E364" s="116"/>
      <c r="F364" s="116"/>
      <c r="G364" s="115"/>
      <c r="H364" s="116"/>
      <c r="I364" s="116"/>
      <c r="J364" s="116"/>
      <c r="K364" s="116"/>
      <c r="L364" s="116"/>
      <c r="M364" s="116"/>
      <c r="N364" s="116"/>
      <c r="O364" s="116"/>
      <c r="P364" s="166"/>
      <c r="Q364" s="116"/>
      <c r="R364" s="116"/>
      <c r="S364" s="191"/>
      <c r="T364" s="191"/>
      <c r="U364" s="116"/>
      <c r="V364" s="116"/>
      <c r="W364" s="116"/>
      <c r="X364" s="117"/>
      <c r="Y364" s="116"/>
      <c r="Z364" s="114"/>
      <c r="AB364" s="119"/>
      <c r="AD364" s="119"/>
      <c r="AE364" s="119"/>
      <c r="AF364" s="119"/>
      <c r="AG364" s="119"/>
      <c r="AH364" s="119"/>
      <c r="AI364" s="119"/>
      <c r="AJ364" s="119"/>
      <c r="AK364" s="119"/>
      <c r="AL364" s="119"/>
      <c r="AM364" s="119"/>
      <c r="AN364" s="119"/>
      <c r="AO364" s="119"/>
      <c r="AP364" s="119"/>
      <c r="AQ364" s="119"/>
      <c r="AR364" s="119"/>
      <c r="AS364" s="126"/>
      <c r="AT364" s="126"/>
      <c r="AU364" s="12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7"/>
      <c r="BK364" s="117"/>
      <c r="BL364" s="117"/>
      <c r="BN364" s="117"/>
      <c r="BO364" s="117"/>
      <c r="BP364" s="120"/>
      <c r="BR364" s="117"/>
      <c r="BS364" s="117"/>
      <c r="BZ364" s="117"/>
      <c r="CA364" s="144"/>
    </row>
    <row r="365" spans="1:79" s="118" customFormat="1">
      <c r="A365" s="114"/>
      <c r="B365" s="114">
        <f t="shared" si="7"/>
        <v>0</v>
      </c>
      <c r="C365" s="136"/>
      <c r="D365" s="116"/>
      <c r="E365" s="116"/>
      <c r="F365" s="116"/>
      <c r="G365" s="115"/>
      <c r="H365" s="116"/>
      <c r="I365" s="116"/>
      <c r="J365" s="116"/>
      <c r="K365" s="116"/>
      <c r="L365" s="116"/>
      <c r="M365" s="116"/>
      <c r="N365" s="116"/>
      <c r="O365" s="116"/>
      <c r="P365" s="166"/>
      <c r="Q365" s="116"/>
      <c r="R365" s="116"/>
      <c r="S365" s="191"/>
      <c r="T365" s="191"/>
      <c r="U365" s="116"/>
      <c r="V365" s="116"/>
      <c r="W365" s="116"/>
      <c r="X365" s="117"/>
      <c r="Y365" s="116"/>
      <c r="Z365" s="114"/>
      <c r="AB365" s="119"/>
      <c r="AD365" s="119"/>
      <c r="AE365" s="119"/>
      <c r="AF365" s="119"/>
      <c r="AG365" s="119"/>
      <c r="AH365" s="119"/>
      <c r="AI365" s="119"/>
      <c r="AJ365" s="119"/>
      <c r="AK365" s="119"/>
      <c r="AL365" s="119"/>
      <c r="AM365" s="119"/>
      <c r="AN365" s="119"/>
      <c r="AO365" s="119"/>
      <c r="AP365" s="119"/>
      <c r="AQ365" s="119"/>
      <c r="AR365" s="119"/>
      <c r="AS365" s="126"/>
      <c r="AT365" s="126"/>
      <c r="AU365" s="12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7"/>
      <c r="BK365" s="117"/>
      <c r="BL365" s="117"/>
      <c r="BN365" s="117"/>
      <c r="BO365" s="117"/>
      <c r="BP365" s="120"/>
      <c r="BR365" s="117"/>
      <c r="BS365" s="117"/>
      <c r="BZ365" s="117"/>
      <c r="CA365" s="144"/>
    </row>
    <row r="366" spans="1:79" s="118" customFormat="1">
      <c r="A366" s="114"/>
      <c r="B366" s="114">
        <f t="shared" si="7"/>
        <v>0</v>
      </c>
      <c r="C366" s="136"/>
      <c r="D366" s="116"/>
      <c r="E366" s="116"/>
      <c r="F366" s="116"/>
      <c r="G366" s="115"/>
      <c r="H366" s="116"/>
      <c r="I366" s="116"/>
      <c r="J366" s="116"/>
      <c r="K366" s="116"/>
      <c r="L366" s="116"/>
      <c r="M366" s="116"/>
      <c r="N366" s="116"/>
      <c r="O366" s="116"/>
      <c r="P366" s="166"/>
      <c r="Q366" s="116"/>
      <c r="R366" s="116"/>
      <c r="S366" s="191"/>
      <c r="T366" s="191"/>
      <c r="U366" s="116"/>
      <c r="V366" s="116"/>
      <c r="W366" s="116"/>
      <c r="X366" s="117"/>
      <c r="Y366" s="116"/>
      <c r="Z366" s="114"/>
      <c r="AB366" s="119"/>
      <c r="AD366" s="119"/>
      <c r="AE366" s="119"/>
      <c r="AF366" s="119"/>
      <c r="AG366" s="119"/>
      <c r="AH366" s="119"/>
      <c r="AI366" s="119"/>
      <c r="AJ366" s="119"/>
      <c r="AK366" s="119"/>
      <c r="AL366" s="119"/>
      <c r="AM366" s="119"/>
      <c r="AN366" s="119"/>
      <c r="AO366" s="119"/>
      <c r="AP366" s="119"/>
      <c r="AQ366" s="119"/>
      <c r="AR366" s="119"/>
      <c r="AS366" s="126"/>
      <c r="AT366" s="126"/>
      <c r="AU366" s="12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7"/>
      <c r="BK366" s="117"/>
      <c r="BL366" s="117"/>
      <c r="BN366" s="117"/>
      <c r="BO366" s="117"/>
      <c r="BP366" s="120"/>
      <c r="BR366" s="117"/>
      <c r="BS366" s="117"/>
      <c r="BZ366" s="117"/>
      <c r="CA366" s="144"/>
    </row>
    <row r="367" spans="1:79" s="118" customFormat="1">
      <c r="A367" s="114"/>
      <c r="B367" s="114">
        <f t="shared" si="7"/>
        <v>0</v>
      </c>
      <c r="C367" s="136"/>
      <c r="D367" s="116"/>
      <c r="E367" s="116"/>
      <c r="F367" s="116"/>
      <c r="G367" s="115"/>
      <c r="H367" s="116"/>
      <c r="I367" s="116"/>
      <c r="J367" s="116"/>
      <c r="K367" s="116"/>
      <c r="L367" s="116"/>
      <c r="M367" s="116"/>
      <c r="N367" s="116"/>
      <c r="O367" s="116"/>
      <c r="P367" s="166"/>
      <c r="Q367" s="116"/>
      <c r="R367" s="116"/>
      <c r="S367" s="191"/>
      <c r="T367" s="191"/>
      <c r="U367" s="116"/>
      <c r="V367" s="116"/>
      <c r="W367" s="116"/>
      <c r="X367" s="117"/>
      <c r="Y367" s="116"/>
      <c r="Z367" s="114"/>
      <c r="AB367" s="119"/>
      <c r="AD367" s="119"/>
      <c r="AE367" s="119"/>
      <c r="AF367" s="119"/>
      <c r="AG367" s="119"/>
      <c r="AH367" s="119"/>
      <c r="AI367" s="119"/>
      <c r="AJ367" s="119"/>
      <c r="AK367" s="119"/>
      <c r="AL367" s="119"/>
      <c r="AM367" s="119"/>
      <c r="AN367" s="119"/>
      <c r="AO367" s="119"/>
      <c r="AP367" s="119"/>
      <c r="AQ367" s="119"/>
      <c r="AR367" s="119"/>
      <c r="AS367" s="126"/>
      <c r="AT367" s="126"/>
      <c r="AU367" s="12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7"/>
      <c r="BK367" s="117"/>
      <c r="BL367" s="117"/>
      <c r="BN367" s="117"/>
      <c r="BO367" s="117"/>
      <c r="BP367" s="120"/>
      <c r="BR367" s="117"/>
      <c r="BS367" s="117"/>
      <c r="BZ367" s="117"/>
      <c r="CA367" s="144"/>
    </row>
    <row r="368" spans="1:79" s="118" customFormat="1">
      <c r="A368" s="114"/>
      <c r="B368" s="114">
        <f t="shared" si="7"/>
        <v>0</v>
      </c>
      <c r="C368" s="136"/>
      <c r="D368" s="116"/>
      <c r="E368" s="116"/>
      <c r="F368" s="116"/>
      <c r="G368" s="115"/>
      <c r="H368" s="116"/>
      <c r="I368" s="116"/>
      <c r="J368" s="116"/>
      <c r="K368" s="116"/>
      <c r="L368" s="116"/>
      <c r="M368" s="116"/>
      <c r="N368" s="116"/>
      <c r="O368" s="116"/>
      <c r="P368" s="166"/>
      <c r="Q368" s="116"/>
      <c r="R368" s="116"/>
      <c r="S368" s="191"/>
      <c r="T368" s="191"/>
      <c r="U368" s="116"/>
      <c r="V368" s="116"/>
      <c r="W368" s="116"/>
      <c r="X368" s="117"/>
      <c r="Y368" s="116"/>
      <c r="Z368" s="114"/>
      <c r="AB368" s="119"/>
      <c r="AD368" s="119"/>
      <c r="AE368" s="119"/>
      <c r="AF368" s="119"/>
      <c r="AG368" s="119"/>
      <c r="AH368" s="119"/>
      <c r="AI368" s="119"/>
      <c r="AJ368" s="119"/>
      <c r="AK368" s="119"/>
      <c r="AL368" s="119"/>
      <c r="AM368" s="119"/>
      <c r="AN368" s="119"/>
      <c r="AO368" s="119"/>
      <c r="AP368" s="119"/>
      <c r="AQ368" s="119"/>
      <c r="AR368" s="119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7"/>
      <c r="BK368" s="117"/>
      <c r="BL368" s="117"/>
      <c r="BN368" s="117"/>
      <c r="BO368" s="117"/>
      <c r="BP368" s="120"/>
      <c r="BR368" s="117"/>
      <c r="BS368" s="117"/>
      <c r="BZ368" s="117"/>
      <c r="CA368" s="144"/>
    </row>
    <row r="369" spans="1:79" s="118" customFormat="1">
      <c r="A369" s="114"/>
      <c r="B369" s="114">
        <f t="shared" si="7"/>
        <v>1</v>
      </c>
      <c r="C369" s="136" t="s">
        <v>813</v>
      </c>
      <c r="D369" s="116"/>
      <c r="E369" s="116"/>
      <c r="F369" s="116"/>
      <c r="G369" s="115"/>
      <c r="H369" s="116"/>
      <c r="I369" s="116"/>
      <c r="J369" s="116"/>
      <c r="K369" s="116"/>
      <c r="L369" s="116"/>
      <c r="M369" s="116"/>
      <c r="N369" s="116"/>
      <c r="O369" s="116"/>
      <c r="P369" s="166"/>
      <c r="Q369" s="116"/>
      <c r="R369" s="116"/>
      <c r="S369" s="191"/>
      <c r="T369" s="191"/>
      <c r="U369" s="116"/>
      <c r="V369" s="116"/>
      <c r="W369" s="116"/>
      <c r="X369" s="117"/>
      <c r="Y369" s="116"/>
      <c r="Z369" s="114"/>
      <c r="AB369" s="119"/>
      <c r="AD369" s="119"/>
      <c r="AE369" s="119"/>
      <c r="AF369" s="119"/>
      <c r="AG369" s="119"/>
      <c r="AH369" s="119"/>
      <c r="AI369" s="119"/>
      <c r="AJ369" s="119"/>
      <c r="AK369" s="119"/>
      <c r="AL369" s="119"/>
      <c r="AM369" s="119"/>
      <c r="AN369" s="119"/>
      <c r="AO369" s="119"/>
      <c r="AP369" s="119"/>
      <c r="AQ369" s="119"/>
      <c r="AR369" s="119"/>
      <c r="AS369" s="116" t="s">
        <v>812</v>
      </c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 t="str">
        <f>C369&amp;"(第"&amp;E127&amp;"版）"</f>
        <v>哈佛幸福课(第版）</v>
      </c>
      <c r="BJ369" s="117"/>
      <c r="BK369" s="117"/>
      <c r="BL369" s="117"/>
      <c r="BN369" s="117"/>
      <c r="BO369" s="117"/>
      <c r="BP369" s="120"/>
      <c r="BR369" s="117"/>
      <c r="BS369" s="117"/>
      <c r="BZ369" s="117"/>
      <c r="CA369" s="144"/>
    </row>
    <row r="370" spans="1:79" s="118" customFormat="1">
      <c r="A370" s="114"/>
      <c r="B370" s="114">
        <f t="shared" si="7"/>
        <v>1</v>
      </c>
      <c r="C370" s="136" t="s">
        <v>814</v>
      </c>
      <c r="D370" s="116"/>
      <c r="E370" s="116"/>
      <c r="F370" s="116"/>
      <c r="G370" s="115"/>
      <c r="H370" s="116"/>
      <c r="I370" s="116"/>
      <c r="J370" s="116"/>
      <c r="K370" s="116"/>
      <c r="L370" s="116"/>
      <c r="M370" s="116"/>
      <c r="N370" s="116"/>
      <c r="O370" s="116"/>
      <c r="P370" s="166"/>
      <c r="Q370" s="116"/>
      <c r="R370" s="116"/>
      <c r="S370" s="191"/>
      <c r="T370" s="191"/>
      <c r="U370" s="116"/>
      <c r="V370" s="116"/>
      <c r="W370" s="116"/>
      <c r="X370" s="117"/>
      <c r="Y370" s="116"/>
      <c r="Z370" s="114"/>
      <c r="AB370" s="119"/>
      <c r="AD370" s="119"/>
      <c r="AE370" s="119"/>
      <c r="AF370" s="119"/>
      <c r="AG370" s="119"/>
      <c r="AH370" s="119"/>
      <c r="AI370" s="119"/>
      <c r="AJ370" s="119"/>
      <c r="AK370" s="119"/>
      <c r="AL370" s="119"/>
      <c r="AM370" s="119"/>
      <c r="AN370" s="119"/>
      <c r="AO370" s="119"/>
      <c r="AP370" s="119"/>
      <c r="AQ370" s="119"/>
      <c r="AR370" s="119"/>
      <c r="AS370" s="116" t="s">
        <v>812</v>
      </c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 t="str">
        <f t="shared" ref="BI370:BI401" si="8">C370&amp;"(第"&amp;E370&amp;"版）"</f>
        <v>打开积极心理学之门(第版）</v>
      </c>
      <c r="BJ370" s="117"/>
      <c r="BK370" s="117"/>
      <c r="BL370" s="117"/>
      <c r="BN370" s="117"/>
      <c r="BO370" s="117"/>
      <c r="BP370" s="120"/>
      <c r="BR370" s="117"/>
      <c r="BS370" s="117"/>
      <c r="BZ370" s="117"/>
      <c r="CA370" s="144"/>
    </row>
    <row r="371" spans="1:79" s="118" customFormat="1">
      <c r="A371" s="114"/>
      <c r="B371" s="114">
        <f t="shared" si="7"/>
        <v>1</v>
      </c>
      <c r="C371" s="136" t="s">
        <v>815</v>
      </c>
      <c r="D371" s="116"/>
      <c r="E371" s="116"/>
      <c r="F371" s="116"/>
      <c r="G371" s="115"/>
      <c r="H371" s="116"/>
      <c r="I371" s="116"/>
      <c r="J371" s="116"/>
      <c r="K371" s="116"/>
      <c r="L371" s="116"/>
      <c r="M371" s="116"/>
      <c r="N371" s="116"/>
      <c r="O371" s="116"/>
      <c r="P371" s="166"/>
      <c r="Q371" s="116"/>
      <c r="R371" s="116"/>
      <c r="S371" s="191"/>
      <c r="T371" s="191"/>
      <c r="U371" s="116"/>
      <c r="V371" s="116"/>
      <c r="W371" s="116"/>
      <c r="X371" s="117"/>
      <c r="Y371" s="116"/>
      <c r="Z371" s="114"/>
      <c r="AB371" s="119"/>
      <c r="AD371" s="119"/>
      <c r="AE371" s="119"/>
      <c r="AF371" s="119"/>
      <c r="AG371" s="119"/>
      <c r="AH371" s="119"/>
      <c r="AI371" s="119"/>
      <c r="AJ371" s="119"/>
      <c r="AK371" s="119"/>
      <c r="AL371" s="119"/>
      <c r="AM371" s="119"/>
      <c r="AN371" s="119"/>
      <c r="AO371" s="119"/>
      <c r="AP371" s="119"/>
      <c r="AQ371" s="119"/>
      <c r="AR371" s="119"/>
      <c r="AS371" s="116" t="s">
        <v>812</v>
      </c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 t="str">
        <f t="shared" si="8"/>
        <v>管理：使命、责任、实务(第版）</v>
      </c>
      <c r="BJ371" s="117"/>
      <c r="BK371" s="117"/>
      <c r="BL371" s="117"/>
      <c r="BN371" s="117"/>
      <c r="BO371" s="117"/>
      <c r="BP371" s="120"/>
      <c r="BR371" s="117"/>
      <c r="BS371" s="117"/>
      <c r="BZ371" s="117"/>
      <c r="CA371" s="144"/>
    </row>
    <row r="372" spans="1:79" s="118" customFormat="1">
      <c r="A372" s="114"/>
      <c r="B372" s="114">
        <f t="shared" si="7"/>
        <v>1</v>
      </c>
      <c r="C372" s="136" t="s">
        <v>816</v>
      </c>
      <c r="D372" s="116"/>
      <c r="E372" s="116"/>
      <c r="F372" s="116"/>
      <c r="G372" s="115"/>
      <c r="H372" s="116"/>
      <c r="I372" s="116"/>
      <c r="J372" s="116"/>
      <c r="K372" s="116"/>
      <c r="L372" s="116"/>
      <c r="M372" s="116"/>
      <c r="N372" s="116"/>
      <c r="O372" s="116"/>
      <c r="P372" s="166"/>
      <c r="Q372" s="116"/>
      <c r="R372" s="116"/>
      <c r="S372" s="191"/>
      <c r="T372" s="191"/>
      <c r="U372" s="116"/>
      <c r="V372" s="116"/>
      <c r="W372" s="116"/>
      <c r="X372" s="117"/>
      <c r="Y372" s="116"/>
      <c r="Z372" s="114"/>
      <c r="AB372" s="119"/>
      <c r="AD372" s="119"/>
      <c r="AE372" s="119"/>
      <c r="AF372" s="119"/>
      <c r="AG372" s="119"/>
      <c r="AH372" s="119"/>
      <c r="AI372" s="119"/>
      <c r="AJ372" s="119"/>
      <c r="AK372" s="119"/>
      <c r="AL372" s="119"/>
      <c r="AM372" s="119"/>
      <c r="AN372" s="119"/>
      <c r="AO372" s="119"/>
      <c r="AP372" s="119"/>
      <c r="AQ372" s="119"/>
      <c r="AR372" s="119"/>
      <c r="AS372" s="116" t="s">
        <v>812</v>
      </c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 t="str">
        <f t="shared" si="8"/>
        <v>已经发生的未来(第版）</v>
      </c>
      <c r="BJ372" s="117"/>
      <c r="BK372" s="117"/>
      <c r="BL372" s="117"/>
      <c r="BN372" s="117"/>
      <c r="BO372" s="117"/>
      <c r="BP372" s="120"/>
      <c r="BR372" s="117"/>
      <c r="BS372" s="117"/>
      <c r="BZ372" s="117"/>
      <c r="CA372" s="144"/>
    </row>
    <row r="373" spans="1:79" s="118" customFormat="1">
      <c r="A373" s="114"/>
      <c r="B373" s="114">
        <f t="shared" si="7"/>
        <v>1</v>
      </c>
      <c r="C373" s="136" t="s">
        <v>817</v>
      </c>
      <c r="D373" s="116"/>
      <c r="E373" s="116"/>
      <c r="F373" s="116"/>
      <c r="G373" s="115"/>
      <c r="H373" s="116"/>
      <c r="I373" s="116"/>
      <c r="J373" s="116"/>
      <c r="K373" s="116"/>
      <c r="L373" s="116"/>
      <c r="M373" s="116"/>
      <c r="N373" s="116"/>
      <c r="O373" s="116"/>
      <c r="P373" s="166"/>
      <c r="Q373" s="116"/>
      <c r="R373" s="116"/>
      <c r="S373" s="191"/>
      <c r="T373" s="191"/>
      <c r="U373" s="116"/>
      <c r="V373" s="116"/>
      <c r="W373" s="116"/>
      <c r="X373" s="117"/>
      <c r="Y373" s="116"/>
      <c r="Z373" s="114"/>
      <c r="AB373" s="119"/>
      <c r="AD373" s="119"/>
      <c r="AE373" s="119"/>
      <c r="AF373" s="119"/>
      <c r="AG373" s="119"/>
      <c r="AH373" s="119"/>
      <c r="AI373" s="119"/>
      <c r="AJ373" s="119"/>
      <c r="AK373" s="119"/>
      <c r="AL373" s="119"/>
      <c r="AM373" s="119"/>
      <c r="AN373" s="119"/>
      <c r="AO373" s="119"/>
      <c r="AP373" s="119"/>
      <c r="AQ373" s="119"/>
      <c r="AR373" s="119"/>
      <c r="AS373" s="116" t="s">
        <v>812</v>
      </c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 t="str">
        <f t="shared" si="8"/>
        <v>麦肯锡方法(第版）</v>
      </c>
      <c r="BJ373" s="117"/>
      <c r="BK373" s="117"/>
      <c r="BL373" s="117"/>
      <c r="BN373" s="117"/>
      <c r="BO373" s="117"/>
      <c r="BP373" s="120"/>
      <c r="BR373" s="117"/>
      <c r="BS373" s="117"/>
      <c r="BZ373" s="117"/>
      <c r="CA373" s="144"/>
    </row>
    <row r="374" spans="1:79" s="118" customFormat="1" ht="33">
      <c r="A374" s="114"/>
      <c r="B374" s="114">
        <f t="shared" si="7"/>
        <v>1</v>
      </c>
      <c r="C374" s="136" t="s">
        <v>818</v>
      </c>
      <c r="D374" s="116"/>
      <c r="E374" s="116"/>
      <c r="F374" s="116"/>
      <c r="G374" s="115"/>
      <c r="H374" s="116"/>
      <c r="I374" s="116"/>
      <c r="J374" s="116"/>
      <c r="K374" s="116"/>
      <c r="L374" s="116"/>
      <c r="M374" s="116"/>
      <c r="N374" s="116"/>
      <c r="O374" s="116"/>
      <c r="P374" s="166"/>
      <c r="Q374" s="116"/>
      <c r="R374" s="116"/>
      <c r="S374" s="191"/>
      <c r="T374" s="191"/>
      <c r="U374" s="116"/>
      <c r="V374" s="116"/>
      <c r="W374" s="116"/>
      <c r="X374" s="117"/>
      <c r="Y374" s="116"/>
      <c r="Z374" s="114"/>
      <c r="AB374" s="119"/>
      <c r="AD374" s="119"/>
      <c r="AE374" s="119"/>
      <c r="AF374" s="119"/>
      <c r="AG374" s="119"/>
      <c r="AH374" s="119"/>
      <c r="AI374" s="119"/>
      <c r="AJ374" s="119"/>
      <c r="AK374" s="119"/>
      <c r="AL374" s="119"/>
      <c r="AM374" s="119"/>
      <c r="AN374" s="119"/>
      <c r="AO374" s="119"/>
      <c r="AP374" s="119"/>
      <c r="AQ374" s="119"/>
      <c r="AR374" s="119"/>
      <c r="AS374" s="116" t="s">
        <v>812</v>
      </c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 t="str">
        <f t="shared" si="8"/>
        <v>吃掉那只青蛙：博恩崔西的高效时间管理法则(第版）</v>
      </c>
      <c r="BJ374" s="117"/>
      <c r="BK374" s="117"/>
      <c r="BL374" s="117"/>
      <c r="BN374" s="117"/>
      <c r="BO374" s="117"/>
      <c r="BP374" s="120"/>
      <c r="BR374" s="117"/>
      <c r="BS374" s="117"/>
      <c r="BZ374" s="117"/>
      <c r="CA374" s="144"/>
    </row>
    <row r="375" spans="1:79" s="118" customFormat="1">
      <c r="A375" s="114"/>
      <c r="B375" s="114">
        <f t="shared" si="7"/>
        <v>1</v>
      </c>
      <c r="C375" s="136" t="s">
        <v>819</v>
      </c>
      <c r="D375" s="116"/>
      <c r="E375" s="116"/>
      <c r="F375" s="116"/>
      <c r="G375" s="115"/>
      <c r="H375" s="116"/>
      <c r="I375" s="116"/>
      <c r="J375" s="116"/>
      <c r="K375" s="116"/>
      <c r="L375" s="116"/>
      <c r="M375" s="116"/>
      <c r="N375" s="116"/>
      <c r="O375" s="116"/>
      <c r="P375" s="166"/>
      <c r="Q375" s="116"/>
      <c r="R375" s="116"/>
      <c r="S375" s="191"/>
      <c r="T375" s="191"/>
      <c r="U375" s="116"/>
      <c r="V375" s="116"/>
      <c r="W375" s="116"/>
      <c r="X375" s="117"/>
      <c r="Y375" s="116"/>
      <c r="Z375" s="114"/>
      <c r="AB375" s="119"/>
      <c r="AD375" s="119"/>
      <c r="AE375" s="119"/>
      <c r="AF375" s="119"/>
      <c r="AG375" s="119"/>
      <c r="AH375" s="119"/>
      <c r="AI375" s="119"/>
      <c r="AJ375" s="119"/>
      <c r="AK375" s="119"/>
      <c r="AL375" s="119"/>
      <c r="AM375" s="119"/>
      <c r="AN375" s="119"/>
      <c r="AO375" s="119"/>
      <c r="AP375" s="119"/>
      <c r="AQ375" s="119"/>
      <c r="AR375" s="119"/>
      <c r="AS375" s="116" t="s">
        <v>812</v>
      </c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 t="str">
        <f t="shared" si="8"/>
        <v>卓有成效的管理者(第版）</v>
      </c>
      <c r="BJ375" s="117"/>
      <c r="BK375" s="117"/>
      <c r="BL375" s="117"/>
      <c r="BN375" s="117"/>
      <c r="BO375" s="117"/>
      <c r="BP375" s="120"/>
      <c r="BR375" s="117"/>
      <c r="BS375" s="117"/>
      <c r="BZ375" s="117"/>
      <c r="CA375" s="144"/>
    </row>
    <row r="376" spans="1:79" s="118" customFormat="1" ht="33">
      <c r="A376" s="114"/>
      <c r="B376" s="114">
        <f t="shared" si="7"/>
        <v>1</v>
      </c>
      <c r="C376" s="136" t="s">
        <v>820</v>
      </c>
      <c r="D376" s="116"/>
      <c r="E376" s="116"/>
      <c r="F376" s="116"/>
      <c r="G376" s="115"/>
      <c r="H376" s="116"/>
      <c r="I376" s="116"/>
      <c r="J376" s="116"/>
      <c r="K376" s="116"/>
      <c r="L376" s="116"/>
      <c r="M376" s="116"/>
      <c r="N376" s="116"/>
      <c r="O376" s="116"/>
      <c r="P376" s="166"/>
      <c r="Q376" s="116"/>
      <c r="R376" s="116"/>
      <c r="S376" s="191"/>
      <c r="T376" s="191"/>
      <c r="U376" s="116"/>
      <c r="V376" s="116"/>
      <c r="W376" s="116"/>
      <c r="X376" s="117"/>
      <c r="Y376" s="116"/>
      <c r="Z376" s="114"/>
      <c r="AB376" s="119"/>
      <c r="AD376" s="119"/>
      <c r="AE376" s="119"/>
      <c r="AF376" s="119"/>
      <c r="AG376" s="119"/>
      <c r="AH376" s="119"/>
      <c r="AI376" s="119"/>
      <c r="AJ376" s="119"/>
      <c r="AK376" s="119"/>
      <c r="AL376" s="119"/>
      <c r="AM376" s="119"/>
      <c r="AN376" s="119"/>
      <c r="AO376" s="119"/>
      <c r="AP376" s="119"/>
      <c r="AQ376" s="119"/>
      <c r="AR376" s="119"/>
      <c r="AS376" s="116" t="s">
        <v>812</v>
      </c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 t="str">
        <f t="shared" si="8"/>
        <v>精益创业：如何建立一个精悍、可持续、可盈利的企业(第版）</v>
      </c>
      <c r="BJ376" s="117"/>
      <c r="BK376" s="117"/>
      <c r="BL376" s="117"/>
      <c r="BN376" s="117"/>
      <c r="BO376" s="117"/>
      <c r="BP376" s="120"/>
      <c r="BR376" s="117"/>
      <c r="BS376" s="117"/>
      <c r="BZ376" s="117"/>
      <c r="CA376" s="144"/>
    </row>
    <row r="377" spans="1:79" s="118" customFormat="1">
      <c r="A377" s="114"/>
      <c r="B377" s="114">
        <f t="shared" si="7"/>
        <v>1</v>
      </c>
      <c r="C377" s="136"/>
      <c r="D377" s="116"/>
      <c r="E377" s="116"/>
      <c r="F377" s="116"/>
      <c r="G377" s="115"/>
      <c r="H377" s="116"/>
      <c r="I377" s="116"/>
      <c r="J377" s="116"/>
      <c r="K377" s="116"/>
      <c r="L377" s="116"/>
      <c r="M377" s="116"/>
      <c r="N377" s="116"/>
      <c r="O377" s="116"/>
      <c r="P377" s="166"/>
      <c r="Q377" s="116"/>
      <c r="R377" s="116"/>
      <c r="S377" s="191"/>
      <c r="T377" s="191"/>
      <c r="U377" s="116"/>
      <c r="V377" s="116"/>
      <c r="W377" s="116"/>
      <c r="X377" s="117"/>
      <c r="Y377" s="116"/>
      <c r="Z377" s="114"/>
      <c r="AB377" s="119"/>
      <c r="AD377" s="119"/>
      <c r="AE377" s="119"/>
      <c r="AF377" s="119"/>
      <c r="AG377" s="119"/>
      <c r="AH377" s="119"/>
      <c r="AI377" s="119"/>
      <c r="AJ377" s="119"/>
      <c r="AK377" s="119"/>
      <c r="AL377" s="119"/>
      <c r="AM377" s="119"/>
      <c r="AN377" s="119"/>
      <c r="AO377" s="119"/>
      <c r="AP377" s="119"/>
      <c r="AQ377" s="119"/>
      <c r="AR377" s="119"/>
      <c r="AS377" s="116" t="s">
        <v>812</v>
      </c>
      <c r="AT377" s="116"/>
      <c r="AU377" s="116"/>
      <c r="AV377" s="116"/>
      <c r="AW377" s="116"/>
      <c r="AX377" s="116"/>
      <c r="AY377" s="116"/>
      <c r="AZ377" s="116"/>
      <c r="BA377" s="116"/>
      <c r="BB377" s="116"/>
      <c r="BC377" s="116"/>
      <c r="BD377" s="116"/>
      <c r="BE377" s="116"/>
      <c r="BF377" s="116"/>
      <c r="BG377" s="116"/>
      <c r="BH377" s="116"/>
      <c r="BI377" s="116" t="str">
        <f t="shared" si="8"/>
        <v>(第版）</v>
      </c>
      <c r="BJ377" s="117"/>
      <c r="BK377" s="117"/>
      <c r="BL377" s="117"/>
      <c r="BN377" s="117"/>
      <c r="BO377" s="117"/>
      <c r="BP377" s="120"/>
      <c r="BR377" s="117"/>
      <c r="BS377" s="117"/>
      <c r="BZ377" s="117"/>
      <c r="CA377" s="144"/>
    </row>
    <row r="378" spans="1:79" s="118" customFormat="1">
      <c r="A378" s="114"/>
      <c r="B378" s="114">
        <f t="shared" si="7"/>
        <v>1</v>
      </c>
      <c r="C378" s="136" t="s">
        <v>821</v>
      </c>
      <c r="D378" s="116"/>
      <c r="E378" s="116"/>
      <c r="F378" s="116"/>
      <c r="G378" s="115"/>
      <c r="H378" s="116"/>
      <c r="I378" s="116"/>
      <c r="J378" s="116"/>
      <c r="K378" s="116"/>
      <c r="L378" s="116"/>
      <c r="M378" s="116"/>
      <c r="N378" s="116"/>
      <c r="O378" s="116"/>
      <c r="P378" s="166"/>
      <c r="Q378" s="116"/>
      <c r="R378" s="116"/>
      <c r="S378" s="191"/>
      <c r="T378" s="191"/>
      <c r="U378" s="116"/>
      <c r="V378" s="116"/>
      <c r="W378" s="116"/>
      <c r="X378" s="117"/>
      <c r="Y378" s="116"/>
      <c r="Z378" s="114"/>
      <c r="AB378" s="119"/>
      <c r="AD378" s="119"/>
      <c r="AE378" s="119"/>
      <c r="AF378" s="119"/>
      <c r="AG378" s="119"/>
      <c r="AH378" s="119"/>
      <c r="AI378" s="119"/>
      <c r="AJ378" s="119"/>
      <c r="AK378" s="119"/>
      <c r="AL378" s="119"/>
      <c r="AM378" s="119"/>
      <c r="AN378" s="119"/>
      <c r="AO378" s="119"/>
      <c r="AP378" s="119"/>
      <c r="AQ378" s="119"/>
      <c r="AR378" s="119"/>
      <c r="AS378" s="116" t="s">
        <v>812</v>
      </c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 t="str">
        <f t="shared" si="8"/>
        <v>领导力的精进(第版）</v>
      </c>
      <c r="BJ378" s="117"/>
      <c r="BK378" s="117"/>
      <c r="BL378" s="117"/>
      <c r="BN378" s="117"/>
      <c r="BO378" s="117"/>
      <c r="BP378" s="120"/>
      <c r="BR378" s="117"/>
      <c r="BS378" s="117"/>
      <c r="BZ378" s="117"/>
      <c r="CA378" s="144"/>
    </row>
    <row r="379" spans="1:79" s="118" customFormat="1">
      <c r="A379" s="114"/>
      <c r="B379" s="114">
        <f t="shared" si="7"/>
        <v>1</v>
      </c>
      <c r="C379" s="136" t="s">
        <v>822</v>
      </c>
      <c r="D379" s="116"/>
      <c r="E379" s="116">
        <v>2</v>
      </c>
      <c r="F379" s="116"/>
      <c r="G379" s="115"/>
      <c r="H379" s="116"/>
      <c r="I379" s="116"/>
      <c r="J379" s="116"/>
      <c r="K379" s="116"/>
      <c r="L379" s="116"/>
      <c r="M379" s="116"/>
      <c r="N379" s="116"/>
      <c r="O379" s="116"/>
      <c r="P379" s="166"/>
      <c r="Q379" s="116"/>
      <c r="R379" s="116"/>
      <c r="S379" s="191"/>
      <c r="T379" s="191"/>
      <c r="U379" s="116"/>
      <c r="V379" s="116"/>
      <c r="W379" s="116"/>
      <c r="X379" s="117"/>
      <c r="Y379" s="116"/>
      <c r="Z379" s="114"/>
      <c r="AB379" s="119"/>
      <c r="AD379" s="119"/>
      <c r="AE379" s="119"/>
      <c r="AF379" s="119"/>
      <c r="AG379" s="119"/>
      <c r="AH379" s="119"/>
      <c r="AI379" s="119"/>
      <c r="AJ379" s="119"/>
      <c r="AK379" s="119"/>
      <c r="AL379" s="119"/>
      <c r="AM379" s="119"/>
      <c r="AN379" s="119"/>
      <c r="AO379" s="119"/>
      <c r="AP379" s="119"/>
      <c r="AQ379" s="119"/>
      <c r="AR379" s="119"/>
      <c r="AT379" s="116" t="s">
        <v>812</v>
      </c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 t="str">
        <f t="shared" si="8"/>
        <v>引爆社群：移动互联网时代的新4C法则(第2版）</v>
      </c>
      <c r="BJ379" s="117"/>
      <c r="BK379" s="117"/>
      <c r="BL379" s="117"/>
      <c r="BN379" s="117"/>
      <c r="BO379" s="117"/>
      <c r="BP379" s="120"/>
      <c r="BR379" s="117"/>
      <c r="BS379" s="117"/>
      <c r="BZ379" s="117"/>
      <c r="CA379" s="144"/>
    </row>
    <row r="380" spans="1:79" s="118" customFormat="1">
      <c r="A380" s="114"/>
      <c r="B380" s="114">
        <f t="shared" si="7"/>
        <v>1</v>
      </c>
      <c r="C380" s="136" t="s">
        <v>814</v>
      </c>
      <c r="D380" s="116"/>
      <c r="E380" s="116"/>
      <c r="F380" s="116"/>
      <c r="G380" s="115"/>
      <c r="H380" s="116"/>
      <c r="I380" s="116"/>
      <c r="J380" s="116"/>
      <c r="K380" s="116"/>
      <c r="L380" s="116"/>
      <c r="M380" s="116"/>
      <c r="N380" s="116"/>
      <c r="O380" s="116"/>
      <c r="P380" s="166"/>
      <c r="Q380" s="116"/>
      <c r="R380" s="116"/>
      <c r="S380" s="191"/>
      <c r="T380" s="191"/>
      <c r="U380" s="116"/>
      <c r="V380" s="116"/>
      <c r="W380" s="116"/>
      <c r="X380" s="117"/>
      <c r="Y380" s="116"/>
      <c r="Z380" s="114"/>
      <c r="AB380" s="119"/>
      <c r="AD380" s="119"/>
      <c r="AE380" s="119"/>
      <c r="AF380" s="119"/>
      <c r="AG380" s="119"/>
      <c r="AH380" s="119"/>
      <c r="AI380" s="119"/>
      <c r="AJ380" s="119"/>
      <c r="AK380" s="119"/>
      <c r="AL380" s="119"/>
      <c r="AM380" s="119"/>
      <c r="AN380" s="119"/>
      <c r="AO380" s="119"/>
      <c r="AP380" s="119"/>
      <c r="AQ380" s="119"/>
      <c r="AR380" s="119"/>
      <c r="AS380" s="116" t="s">
        <v>812</v>
      </c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 t="str">
        <f t="shared" si="8"/>
        <v>打开积极心理学之门(第版）</v>
      </c>
      <c r="BJ380" s="117"/>
      <c r="BK380" s="117"/>
      <c r="BL380" s="117"/>
      <c r="BN380" s="117"/>
      <c r="BO380" s="117"/>
      <c r="BP380" s="120"/>
      <c r="BR380" s="117"/>
      <c r="BS380" s="117"/>
      <c r="BZ380" s="117"/>
      <c r="CA380" s="144"/>
    </row>
    <row r="381" spans="1:79" s="118" customFormat="1">
      <c r="A381" s="114"/>
      <c r="B381" s="114">
        <f t="shared" si="7"/>
        <v>1</v>
      </c>
      <c r="C381" s="136" t="s">
        <v>826</v>
      </c>
      <c r="D381" s="116"/>
      <c r="E381" s="116"/>
      <c r="F381" s="116"/>
      <c r="G381" s="115"/>
      <c r="H381" s="116"/>
      <c r="I381" s="116"/>
      <c r="J381" s="116"/>
      <c r="K381" s="116"/>
      <c r="L381" s="116"/>
      <c r="M381" s="116"/>
      <c r="N381" s="116"/>
      <c r="O381" s="116"/>
      <c r="P381" s="166"/>
      <c r="Q381" s="116"/>
      <c r="R381" s="116"/>
      <c r="S381" s="191"/>
      <c r="T381" s="191"/>
      <c r="U381" s="116"/>
      <c r="V381" s="116"/>
      <c r="W381" s="116"/>
      <c r="X381" s="117"/>
      <c r="Y381" s="116"/>
      <c r="Z381" s="114"/>
      <c r="AB381" s="119"/>
      <c r="AD381" s="119"/>
      <c r="AE381" s="119"/>
      <c r="AF381" s="119"/>
      <c r="AG381" s="119"/>
      <c r="AH381" s="119"/>
      <c r="AI381" s="119"/>
      <c r="AJ381" s="119"/>
      <c r="AK381" s="119"/>
      <c r="AL381" s="119"/>
      <c r="AM381" s="119"/>
      <c r="AN381" s="119"/>
      <c r="AO381" s="119"/>
      <c r="AP381" s="119"/>
      <c r="AQ381" s="119"/>
      <c r="AR381" s="119"/>
      <c r="AS381" s="116" t="s">
        <v>812</v>
      </c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 t="str">
        <f t="shared" si="8"/>
        <v>浅薄(第版）</v>
      </c>
      <c r="BJ381" s="117"/>
      <c r="BK381" s="117"/>
      <c r="BL381" s="117"/>
      <c r="BN381" s="117"/>
      <c r="BO381" s="117"/>
      <c r="BP381" s="120"/>
      <c r="BR381" s="117"/>
      <c r="BS381" s="117"/>
      <c r="BZ381" s="117"/>
      <c r="CA381" s="144"/>
    </row>
    <row r="382" spans="1:79" s="118" customFormat="1">
      <c r="A382" s="114"/>
      <c r="B382" s="114">
        <f t="shared" si="7"/>
        <v>1</v>
      </c>
      <c r="C382" s="136" t="s">
        <v>827</v>
      </c>
      <c r="D382" s="116"/>
      <c r="E382" s="116"/>
      <c r="F382" s="116"/>
      <c r="G382" s="115"/>
      <c r="H382" s="116"/>
      <c r="I382" s="116"/>
      <c r="J382" s="116"/>
      <c r="K382" s="116"/>
      <c r="L382" s="116"/>
      <c r="M382" s="116"/>
      <c r="N382" s="116"/>
      <c r="O382" s="116"/>
      <c r="P382" s="166"/>
      <c r="Q382" s="116"/>
      <c r="R382" s="116"/>
      <c r="S382" s="191"/>
      <c r="T382" s="191"/>
      <c r="U382" s="116"/>
      <c r="V382" s="116"/>
      <c r="W382" s="116"/>
      <c r="X382" s="117"/>
      <c r="Y382" s="116"/>
      <c r="Z382" s="114"/>
      <c r="AB382" s="119"/>
      <c r="AD382" s="119"/>
      <c r="AE382" s="119"/>
      <c r="AF382" s="119"/>
      <c r="AG382" s="119"/>
      <c r="AH382" s="119"/>
      <c r="AI382" s="119"/>
      <c r="AJ382" s="119"/>
      <c r="AK382" s="119"/>
      <c r="AL382" s="119"/>
      <c r="AM382" s="119"/>
      <c r="AN382" s="119"/>
      <c r="AO382" s="119"/>
      <c r="AP382" s="119"/>
      <c r="AQ382" s="119"/>
      <c r="AR382" s="119"/>
      <c r="AS382" s="116" t="s">
        <v>828</v>
      </c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 t="str">
        <f t="shared" si="8"/>
        <v>日本权力结构之谜(第版）</v>
      </c>
      <c r="BJ382" s="117"/>
      <c r="BK382" s="117"/>
      <c r="BL382" s="117"/>
      <c r="BN382" s="117"/>
      <c r="BO382" s="117"/>
      <c r="BP382" s="120"/>
      <c r="BR382" s="117"/>
      <c r="BS382" s="117"/>
      <c r="BZ382" s="117"/>
      <c r="CA382" s="144"/>
    </row>
    <row r="383" spans="1:79" s="118" customFormat="1">
      <c r="A383" s="114"/>
      <c r="B383" s="114">
        <f t="shared" si="7"/>
        <v>1</v>
      </c>
      <c r="C383" s="136" t="s">
        <v>829</v>
      </c>
      <c r="D383" s="116"/>
      <c r="E383" s="116"/>
      <c r="F383" s="116"/>
      <c r="G383" s="115"/>
      <c r="H383" s="116"/>
      <c r="I383" s="116"/>
      <c r="J383" s="116"/>
      <c r="K383" s="116"/>
      <c r="L383" s="116"/>
      <c r="M383" s="116"/>
      <c r="N383" s="116"/>
      <c r="O383" s="116"/>
      <c r="P383" s="166"/>
      <c r="Q383" s="116"/>
      <c r="R383" s="116"/>
      <c r="S383" s="191"/>
      <c r="T383" s="191"/>
      <c r="U383" s="116"/>
      <c r="V383" s="116"/>
      <c r="W383" s="116"/>
      <c r="X383" s="117"/>
      <c r="Y383" s="116"/>
      <c r="Z383" s="114"/>
      <c r="AB383" s="119"/>
      <c r="AD383" s="119"/>
      <c r="AE383" s="119"/>
      <c r="AF383" s="119"/>
      <c r="AG383" s="119"/>
      <c r="AH383" s="119"/>
      <c r="AI383" s="119"/>
      <c r="AJ383" s="119"/>
      <c r="AK383" s="119"/>
      <c r="AL383" s="119"/>
      <c r="AM383" s="119"/>
      <c r="AN383" s="119"/>
      <c r="AO383" s="119"/>
      <c r="AP383" s="119"/>
      <c r="AQ383" s="119"/>
      <c r="AR383" s="119"/>
      <c r="AS383" s="116" t="s">
        <v>828</v>
      </c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 t="str">
        <f t="shared" si="8"/>
        <v>如何成为创意组织(第版）</v>
      </c>
      <c r="BJ383" s="117"/>
      <c r="BK383" s="117"/>
      <c r="BL383" s="117"/>
      <c r="BN383" s="117"/>
      <c r="BO383" s="117"/>
      <c r="BP383" s="120"/>
      <c r="BR383" s="117"/>
      <c r="BS383" s="117"/>
      <c r="BZ383" s="117"/>
      <c r="CA383" s="144"/>
    </row>
    <row r="384" spans="1:79" s="118" customFormat="1">
      <c r="A384" s="114"/>
      <c r="B384" s="114">
        <f t="shared" si="7"/>
        <v>1</v>
      </c>
      <c r="C384" s="136" t="s">
        <v>831</v>
      </c>
      <c r="D384" s="116"/>
      <c r="E384" s="116"/>
      <c r="F384" s="116"/>
      <c r="G384" s="115"/>
      <c r="H384" s="116"/>
      <c r="I384" s="116"/>
      <c r="J384" s="116"/>
      <c r="K384" s="116"/>
      <c r="L384" s="116"/>
      <c r="M384" s="116"/>
      <c r="N384" s="116"/>
      <c r="O384" s="116"/>
      <c r="P384" s="166"/>
      <c r="Q384" s="116"/>
      <c r="R384" s="116"/>
      <c r="S384" s="191"/>
      <c r="T384" s="191"/>
      <c r="U384" s="116"/>
      <c r="V384" s="116"/>
      <c r="W384" s="116"/>
      <c r="X384" s="117"/>
      <c r="Y384" s="116"/>
      <c r="Z384" s="114"/>
      <c r="AB384" s="119"/>
      <c r="AD384" s="119"/>
      <c r="AE384" s="119"/>
      <c r="AF384" s="119"/>
      <c r="AG384" s="119"/>
      <c r="AH384" s="119"/>
      <c r="AI384" s="119"/>
      <c r="AJ384" s="119"/>
      <c r="AK384" s="119"/>
      <c r="AL384" s="119"/>
      <c r="AM384" s="119"/>
      <c r="AN384" s="119"/>
      <c r="AO384" s="119"/>
      <c r="AP384" s="119"/>
      <c r="AQ384" s="119"/>
      <c r="AR384" s="119"/>
      <c r="AS384" s="116" t="s">
        <v>828</v>
      </c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 t="str">
        <f t="shared" si="8"/>
        <v>聚会：如何打造高效社交网络(第版）</v>
      </c>
      <c r="BJ384" s="117"/>
      <c r="BK384" s="117"/>
      <c r="BL384" s="117"/>
      <c r="BN384" s="117"/>
      <c r="BO384" s="117"/>
      <c r="BP384" s="120"/>
      <c r="BR384" s="117"/>
      <c r="BS384" s="117"/>
      <c r="BZ384" s="117"/>
      <c r="CA384" s="144"/>
    </row>
    <row r="385" spans="1:79" s="118" customFormat="1">
      <c r="A385" s="114"/>
      <c r="B385" s="114">
        <f t="shared" si="7"/>
        <v>1</v>
      </c>
      <c r="C385" s="136" t="s">
        <v>833</v>
      </c>
      <c r="D385" s="116"/>
      <c r="E385" s="116"/>
      <c r="F385" s="116"/>
      <c r="G385" s="115"/>
      <c r="H385" s="116"/>
      <c r="I385" s="116"/>
      <c r="J385" s="116"/>
      <c r="K385" s="116"/>
      <c r="L385" s="116"/>
      <c r="M385" s="116"/>
      <c r="N385" s="116"/>
      <c r="O385" s="116"/>
      <c r="P385" s="166"/>
      <c r="Q385" s="116"/>
      <c r="R385" s="116"/>
      <c r="S385" s="191"/>
      <c r="T385" s="191"/>
      <c r="U385" s="116"/>
      <c r="V385" s="116"/>
      <c r="W385" s="116"/>
      <c r="X385" s="117"/>
      <c r="Y385" s="116"/>
      <c r="Z385" s="114"/>
      <c r="AB385" s="119"/>
      <c r="AD385" s="119"/>
      <c r="AE385" s="119"/>
      <c r="AF385" s="119"/>
      <c r="AG385" s="119"/>
      <c r="AH385" s="119"/>
      <c r="AI385" s="119"/>
      <c r="AJ385" s="119"/>
      <c r="AK385" s="119"/>
      <c r="AL385" s="119"/>
      <c r="AM385" s="119"/>
      <c r="AN385" s="119"/>
      <c r="AO385" s="119"/>
      <c r="AP385" s="119"/>
      <c r="AQ385" s="119"/>
      <c r="AR385" s="119"/>
      <c r="AS385" s="116" t="s">
        <v>828</v>
      </c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 t="str">
        <f t="shared" si="8"/>
        <v>卓越工作：从优秀到卓越的高效工作法(第版）</v>
      </c>
      <c r="BJ385" s="117"/>
      <c r="BK385" s="117"/>
      <c r="BL385" s="117"/>
      <c r="BN385" s="117"/>
      <c r="BO385" s="117"/>
      <c r="BP385" s="120"/>
      <c r="BR385" s="117"/>
      <c r="BS385" s="117"/>
      <c r="BZ385" s="117"/>
      <c r="CA385" s="144"/>
    </row>
    <row r="386" spans="1:79" s="118" customFormat="1">
      <c r="A386" s="114"/>
      <c r="B386" s="114">
        <f t="shared" si="7"/>
        <v>1</v>
      </c>
      <c r="C386" s="136" t="s">
        <v>834</v>
      </c>
      <c r="D386" s="116"/>
      <c r="E386" s="116"/>
      <c r="F386" s="116"/>
      <c r="G386" s="115"/>
      <c r="H386" s="116"/>
      <c r="I386" s="116"/>
      <c r="J386" s="116"/>
      <c r="K386" s="116"/>
      <c r="L386" s="116"/>
      <c r="M386" s="116"/>
      <c r="N386" s="116"/>
      <c r="O386" s="116"/>
      <c r="P386" s="166"/>
      <c r="Q386" s="116"/>
      <c r="R386" s="116"/>
      <c r="S386" s="191"/>
      <c r="T386" s="191"/>
      <c r="U386" s="116"/>
      <c r="V386" s="116"/>
      <c r="W386" s="116"/>
      <c r="X386" s="117"/>
      <c r="Y386" s="116"/>
      <c r="Z386" s="114"/>
      <c r="AB386" s="119"/>
      <c r="AD386" s="119"/>
      <c r="AE386" s="119"/>
      <c r="AF386" s="119"/>
      <c r="AG386" s="119"/>
      <c r="AH386" s="119"/>
      <c r="AI386" s="119"/>
      <c r="AJ386" s="119"/>
      <c r="AK386" s="119"/>
      <c r="AL386" s="119"/>
      <c r="AM386" s="119"/>
      <c r="AN386" s="119"/>
      <c r="AO386" s="119"/>
      <c r="AP386" s="119"/>
      <c r="AQ386" s="119"/>
      <c r="AR386" s="119"/>
      <c r="AS386" s="116" t="s">
        <v>812</v>
      </c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 t="str">
        <f t="shared" si="8"/>
        <v>未完成的进化(第版）</v>
      </c>
      <c r="BJ386" s="117"/>
      <c r="BK386" s="117"/>
      <c r="BL386" s="117"/>
      <c r="BN386" s="117"/>
      <c r="BO386" s="117"/>
      <c r="BP386" s="120"/>
      <c r="BR386" s="117"/>
      <c r="BS386" s="117"/>
      <c r="BZ386" s="117"/>
      <c r="CA386" s="144"/>
    </row>
    <row r="387" spans="1:79" s="118" customFormat="1">
      <c r="A387" s="114"/>
      <c r="B387" s="114">
        <f t="shared" si="7"/>
        <v>1</v>
      </c>
      <c r="C387" s="136" t="s">
        <v>835</v>
      </c>
      <c r="D387" s="116"/>
      <c r="E387" s="116"/>
      <c r="F387" s="116"/>
      <c r="G387" s="115"/>
      <c r="H387" s="116"/>
      <c r="I387" s="116"/>
      <c r="J387" s="116"/>
      <c r="K387" s="116"/>
      <c r="L387" s="116"/>
      <c r="M387" s="116"/>
      <c r="N387" s="116"/>
      <c r="O387" s="116"/>
      <c r="P387" s="166"/>
      <c r="Q387" s="116"/>
      <c r="R387" s="116"/>
      <c r="S387" s="191"/>
      <c r="T387" s="191"/>
      <c r="U387" s="116"/>
      <c r="V387" s="116"/>
      <c r="W387" s="116"/>
      <c r="X387" s="117"/>
      <c r="Y387" s="116"/>
      <c r="Z387" s="114"/>
      <c r="AB387" s="119"/>
      <c r="AD387" s="119"/>
      <c r="AE387" s="119"/>
      <c r="AF387" s="119"/>
      <c r="AG387" s="119"/>
      <c r="AH387" s="119"/>
      <c r="AI387" s="119"/>
      <c r="AJ387" s="119"/>
      <c r="AK387" s="119"/>
      <c r="AL387" s="119"/>
      <c r="AM387" s="119"/>
      <c r="AN387" s="119"/>
      <c r="AO387" s="119"/>
      <c r="AP387" s="119"/>
      <c r="AQ387" s="119"/>
      <c r="AR387" s="119"/>
      <c r="AS387" s="116" t="s">
        <v>812</v>
      </c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 t="str">
        <f t="shared" si="8"/>
        <v>极简主义：风靡欧美的工作与生活理念(第版）</v>
      </c>
      <c r="BJ387" s="117"/>
      <c r="BK387" s="117"/>
      <c r="BL387" s="117"/>
      <c r="BN387" s="117"/>
      <c r="BO387" s="117"/>
      <c r="BP387" s="120"/>
      <c r="BR387" s="117"/>
      <c r="BS387" s="117"/>
      <c r="BZ387" s="117"/>
      <c r="CA387" s="144"/>
    </row>
    <row r="388" spans="1:79" s="118" customFormat="1">
      <c r="A388" s="114"/>
      <c r="B388" s="114">
        <f t="shared" si="7"/>
        <v>1</v>
      </c>
      <c r="C388" s="136" t="s">
        <v>836</v>
      </c>
      <c r="D388" s="116"/>
      <c r="E388" s="116"/>
      <c r="F388" s="116"/>
      <c r="G388" s="115"/>
      <c r="H388" s="116"/>
      <c r="I388" s="116"/>
      <c r="J388" s="116"/>
      <c r="K388" s="116"/>
      <c r="L388" s="116"/>
      <c r="M388" s="116"/>
      <c r="N388" s="116"/>
      <c r="O388" s="116"/>
      <c r="P388" s="166"/>
      <c r="Q388" s="116"/>
      <c r="R388" s="116"/>
      <c r="S388" s="191"/>
      <c r="T388" s="191"/>
      <c r="U388" s="116"/>
      <c r="V388" s="116"/>
      <c r="W388" s="116"/>
      <c r="X388" s="117"/>
      <c r="Y388" s="116"/>
      <c r="Z388" s="114"/>
      <c r="AB388" s="119"/>
      <c r="AD388" s="119"/>
      <c r="AE388" s="119"/>
      <c r="AF388" s="119"/>
      <c r="AG388" s="119"/>
      <c r="AH388" s="119"/>
      <c r="AI388" s="119"/>
      <c r="AJ388" s="119"/>
      <c r="AK388" s="119"/>
      <c r="AL388" s="119"/>
      <c r="AM388" s="119"/>
      <c r="AN388" s="119"/>
      <c r="AO388" s="119"/>
      <c r="AP388" s="119"/>
      <c r="AQ388" s="119"/>
      <c r="AR388" s="119"/>
      <c r="AS388" s="116"/>
      <c r="AT388" s="116"/>
      <c r="AU388" s="116" t="s">
        <v>812</v>
      </c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 t="str">
        <f t="shared" si="8"/>
        <v>活好：我这样活到105岁(第版）</v>
      </c>
      <c r="BJ388" s="117"/>
      <c r="BK388" s="117"/>
      <c r="BL388" s="117"/>
      <c r="BN388" s="117"/>
      <c r="BO388" s="117"/>
      <c r="BP388" s="120"/>
      <c r="BR388" s="117"/>
      <c r="BS388" s="117"/>
      <c r="BZ388" s="117"/>
      <c r="CA388" s="144"/>
    </row>
    <row r="389" spans="1:79" s="118" customFormat="1" ht="33">
      <c r="A389" s="114"/>
      <c r="B389" s="114">
        <f t="shared" si="7"/>
        <v>1</v>
      </c>
      <c r="C389" s="136" t="s">
        <v>838</v>
      </c>
      <c r="D389" s="116"/>
      <c r="E389" s="116"/>
      <c r="F389" s="116"/>
      <c r="G389" s="115"/>
      <c r="H389" s="116"/>
      <c r="I389" s="116"/>
      <c r="J389" s="116"/>
      <c r="K389" s="116"/>
      <c r="L389" s="116"/>
      <c r="M389" s="116"/>
      <c r="N389" s="116"/>
      <c r="O389" s="116"/>
      <c r="P389" s="166"/>
      <c r="Q389" s="116"/>
      <c r="R389" s="116"/>
      <c r="S389" s="191"/>
      <c r="T389" s="191"/>
      <c r="U389" s="116"/>
      <c r="V389" s="116"/>
      <c r="W389" s="116"/>
      <c r="X389" s="117"/>
      <c r="Y389" s="116"/>
      <c r="Z389" s="114"/>
      <c r="AB389" s="119"/>
      <c r="AD389" s="119"/>
      <c r="AE389" s="119"/>
      <c r="AF389" s="119"/>
      <c r="AG389" s="119"/>
      <c r="AH389" s="119"/>
      <c r="AI389" s="119"/>
      <c r="AJ389" s="119"/>
      <c r="AK389" s="119"/>
      <c r="AL389" s="119"/>
      <c r="AM389" s="119"/>
      <c r="AN389" s="119"/>
      <c r="AO389" s="119"/>
      <c r="AP389" s="119"/>
      <c r="AQ389" s="119"/>
      <c r="AR389" s="119"/>
      <c r="AS389" s="116" t="s">
        <v>812</v>
      </c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 t="str">
        <f t="shared" si="8"/>
        <v>我战胜了抑郁症：九个抑郁症患者真是感人的自愈故事(第版）</v>
      </c>
      <c r="BJ389" s="117"/>
      <c r="BK389" s="117"/>
      <c r="BL389" s="117"/>
      <c r="BN389" s="117"/>
      <c r="BO389" s="117"/>
      <c r="BP389" s="120"/>
      <c r="BR389" s="117"/>
      <c r="BS389" s="117"/>
      <c r="BZ389" s="117"/>
      <c r="CA389" s="144"/>
    </row>
    <row r="390" spans="1:79" s="118" customFormat="1">
      <c r="A390" s="114"/>
      <c r="B390" s="114">
        <f t="shared" si="7"/>
        <v>1</v>
      </c>
      <c r="C390" s="136" t="s">
        <v>839</v>
      </c>
      <c r="D390" s="116"/>
      <c r="E390" s="116"/>
      <c r="F390" s="116"/>
      <c r="G390" s="115"/>
      <c r="H390" s="116"/>
      <c r="I390" s="116"/>
      <c r="J390" s="116"/>
      <c r="K390" s="116"/>
      <c r="L390" s="116"/>
      <c r="M390" s="116"/>
      <c r="N390" s="116"/>
      <c r="O390" s="116"/>
      <c r="P390" s="166"/>
      <c r="Q390" s="116"/>
      <c r="R390" s="116"/>
      <c r="S390" s="191"/>
      <c r="T390" s="191"/>
      <c r="U390" s="116"/>
      <c r="V390" s="116"/>
      <c r="W390" s="116"/>
      <c r="X390" s="117"/>
      <c r="Y390" s="116"/>
      <c r="Z390" s="114"/>
      <c r="AB390" s="119"/>
      <c r="AD390" s="119"/>
      <c r="AE390" s="119"/>
      <c r="AF390" s="119"/>
      <c r="AG390" s="119"/>
      <c r="AH390" s="119"/>
      <c r="AI390" s="119"/>
      <c r="AJ390" s="119"/>
      <c r="AK390" s="119"/>
      <c r="AL390" s="119"/>
      <c r="AM390" s="119"/>
      <c r="AN390" s="119"/>
      <c r="AO390" s="119"/>
      <c r="AP390" s="119"/>
      <c r="AQ390" s="119"/>
      <c r="AR390" s="119"/>
      <c r="AS390" s="116"/>
      <c r="AT390" s="116"/>
      <c r="AU390" s="116" t="s">
        <v>812</v>
      </c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 t="str">
        <f t="shared" si="8"/>
        <v>心：稻盛和夫的一生嘱托(第版）</v>
      </c>
      <c r="BJ390" s="117"/>
      <c r="BK390" s="117"/>
      <c r="BL390" s="117"/>
      <c r="BN390" s="117"/>
      <c r="BO390" s="117"/>
      <c r="BP390" s="120"/>
      <c r="BR390" s="117"/>
      <c r="BS390" s="117"/>
      <c r="BZ390" s="117"/>
      <c r="CA390" s="144"/>
    </row>
    <row r="391" spans="1:79" s="118" customFormat="1">
      <c r="A391" s="114"/>
      <c r="B391" s="114">
        <f t="shared" si="7"/>
        <v>1</v>
      </c>
      <c r="C391" s="136" t="s">
        <v>840</v>
      </c>
      <c r="D391" s="116"/>
      <c r="E391" s="116"/>
      <c r="F391" s="116"/>
      <c r="G391" s="115"/>
      <c r="H391" s="116"/>
      <c r="I391" s="116"/>
      <c r="J391" s="116"/>
      <c r="K391" s="116"/>
      <c r="L391" s="116"/>
      <c r="M391" s="116"/>
      <c r="N391" s="116"/>
      <c r="O391" s="116"/>
      <c r="P391" s="166"/>
      <c r="Q391" s="116"/>
      <c r="R391" s="116"/>
      <c r="S391" s="191"/>
      <c r="T391" s="191"/>
      <c r="U391" s="116"/>
      <c r="V391" s="116"/>
      <c r="W391" s="116"/>
      <c r="X391" s="117"/>
      <c r="Y391" s="116"/>
      <c r="Z391" s="114"/>
      <c r="AB391" s="119"/>
      <c r="AD391" s="119"/>
      <c r="AE391" s="119"/>
      <c r="AF391" s="119"/>
      <c r="AG391" s="119"/>
      <c r="AH391" s="119"/>
      <c r="AI391" s="119"/>
      <c r="AJ391" s="119"/>
      <c r="AK391" s="119"/>
      <c r="AL391" s="119"/>
      <c r="AM391" s="119"/>
      <c r="AN391" s="119"/>
      <c r="AO391" s="119"/>
      <c r="AP391" s="119"/>
      <c r="AQ391" s="119"/>
      <c r="AR391" s="119"/>
      <c r="AT391" s="116"/>
      <c r="AU391" s="116" t="s">
        <v>812</v>
      </c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 t="str">
        <f t="shared" si="8"/>
        <v>如何培养不怯场的孩子(第版）</v>
      </c>
      <c r="BJ391" s="117"/>
      <c r="BK391" s="117"/>
      <c r="BL391" s="117"/>
      <c r="BN391" s="117"/>
      <c r="BO391" s="117"/>
      <c r="BP391" s="120"/>
      <c r="BR391" s="117"/>
      <c r="BS391" s="117"/>
      <c r="BZ391" s="117"/>
      <c r="CA391" s="144"/>
    </row>
    <row r="392" spans="1:79" s="118" customFormat="1">
      <c r="A392" s="114"/>
      <c r="B392" s="114">
        <f t="shared" ref="B392:B454" si="9">COUNTA(AO392:AW392)</f>
        <v>1</v>
      </c>
      <c r="C392" s="136" t="s">
        <v>841</v>
      </c>
      <c r="D392" s="116"/>
      <c r="E392" s="116"/>
      <c r="F392" s="116"/>
      <c r="G392" s="115"/>
      <c r="H392" s="116"/>
      <c r="I392" s="116"/>
      <c r="J392" s="116"/>
      <c r="K392" s="116"/>
      <c r="L392" s="116"/>
      <c r="M392" s="116"/>
      <c r="N392" s="116"/>
      <c r="O392" s="116"/>
      <c r="P392" s="166"/>
      <c r="Q392" s="116"/>
      <c r="R392" s="116"/>
      <c r="S392" s="191"/>
      <c r="T392" s="191"/>
      <c r="U392" s="116"/>
      <c r="V392" s="116"/>
      <c r="W392" s="116"/>
      <c r="X392" s="117"/>
      <c r="Y392" s="116"/>
      <c r="Z392" s="114"/>
      <c r="AB392" s="119"/>
      <c r="AD392" s="119"/>
      <c r="AE392" s="119"/>
      <c r="AF392" s="119"/>
      <c r="AG392" s="119"/>
      <c r="AH392" s="119"/>
      <c r="AI392" s="119"/>
      <c r="AJ392" s="119"/>
      <c r="AK392" s="119"/>
      <c r="AL392" s="119"/>
      <c r="AM392" s="119"/>
      <c r="AN392" s="119"/>
      <c r="AO392" s="119"/>
      <c r="AP392" s="119"/>
      <c r="AQ392" s="119"/>
      <c r="AR392" s="119"/>
      <c r="AS392" s="116" t="s">
        <v>812</v>
      </c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 t="str">
        <f t="shared" si="8"/>
        <v>如何成为一个学习忍者(第版）</v>
      </c>
      <c r="BJ392" s="117"/>
      <c r="BK392" s="117"/>
      <c r="BL392" s="117"/>
      <c r="BN392" s="117"/>
      <c r="BO392" s="117"/>
      <c r="BP392" s="120"/>
      <c r="BR392" s="117"/>
      <c r="BS392" s="117"/>
      <c r="BZ392" s="117"/>
      <c r="CA392" s="144"/>
    </row>
    <row r="393" spans="1:79" s="118" customFormat="1">
      <c r="A393" s="114"/>
      <c r="B393" s="114">
        <f t="shared" si="9"/>
        <v>1</v>
      </c>
      <c r="C393" s="136" t="s">
        <v>842</v>
      </c>
      <c r="D393" s="116"/>
      <c r="E393" s="116"/>
      <c r="F393" s="116"/>
      <c r="G393" s="115"/>
      <c r="H393" s="116"/>
      <c r="I393" s="116"/>
      <c r="J393" s="116"/>
      <c r="K393" s="116"/>
      <c r="L393" s="116"/>
      <c r="M393" s="116"/>
      <c r="N393" s="116"/>
      <c r="O393" s="116"/>
      <c r="P393" s="166"/>
      <c r="Q393" s="116"/>
      <c r="R393" s="116"/>
      <c r="S393" s="191"/>
      <c r="T393" s="191"/>
      <c r="U393" s="116"/>
      <c r="V393" s="116"/>
      <c r="W393" s="116"/>
      <c r="X393" s="117"/>
      <c r="Y393" s="116"/>
      <c r="Z393" s="114"/>
      <c r="AB393" s="119"/>
      <c r="AD393" s="119"/>
      <c r="AE393" s="119"/>
      <c r="AF393" s="119"/>
      <c r="AG393" s="119"/>
      <c r="AH393" s="119"/>
      <c r="AI393" s="119"/>
      <c r="AJ393" s="119"/>
      <c r="AK393" s="119"/>
      <c r="AL393" s="119"/>
      <c r="AM393" s="119"/>
      <c r="AN393" s="119"/>
      <c r="AO393" s="119"/>
      <c r="AP393" s="119"/>
      <c r="AQ393" s="119"/>
      <c r="AR393" s="119"/>
      <c r="AS393" s="116" t="s">
        <v>812</v>
      </c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 t="str">
        <f t="shared" si="8"/>
        <v>动态时代的管理(第版）</v>
      </c>
      <c r="BJ393" s="117"/>
      <c r="BK393" s="117"/>
      <c r="BL393" s="117"/>
      <c r="BN393" s="117"/>
      <c r="BO393" s="117"/>
      <c r="BP393" s="120"/>
      <c r="BR393" s="117"/>
      <c r="BS393" s="117"/>
      <c r="BZ393" s="117"/>
      <c r="CA393" s="144"/>
    </row>
    <row r="394" spans="1:79" s="118" customFormat="1">
      <c r="A394" s="114"/>
      <c r="B394" s="114">
        <f t="shared" si="9"/>
        <v>1</v>
      </c>
      <c r="C394" s="136" t="s">
        <v>843</v>
      </c>
      <c r="D394" s="116"/>
      <c r="E394" s="116"/>
      <c r="F394" s="116"/>
      <c r="G394" s="115"/>
      <c r="H394" s="116"/>
      <c r="I394" s="116"/>
      <c r="J394" s="116"/>
      <c r="K394" s="116"/>
      <c r="L394" s="116"/>
      <c r="M394" s="116"/>
      <c r="N394" s="116"/>
      <c r="O394" s="116"/>
      <c r="P394" s="166"/>
      <c r="Q394" s="116"/>
      <c r="R394" s="116"/>
      <c r="S394" s="191"/>
      <c r="T394" s="191"/>
      <c r="U394" s="116"/>
      <c r="V394" s="116"/>
      <c r="W394" s="116"/>
      <c r="X394" s="117"/>
      <c r="Y394" s="116"/>
      <c r="Z394" s="114"/>
      <c r="AB394" s="119"/>
      <c r="AD394" s="119"/>
      <c r="AE394" s="119"/>
      <c r="AF394" s="119"/>
      <c r="AG394" s="119"/>
      <c r="AH394" s="119"/>
      <c r="AI394" s="119"/>
      <c r="AJ394" s="119"/>
      <c r="AK394" s="119"/>
      <c r="AL394" s="119"/>
      <c r="AM394" s="119"/>
      <c r="AN394" s="119"/>
      <c r="AO394" s="119"/>
      <c r="AP394" s="119"/>
      <c r="AQ394" s="119"/>
      <c r="AR394" s="119"/>
      <c r="AS394" s="116" t="s">
        <v>812</v>
      </c>
      <c r="AT394" s="116"/>
      <c r="AU394" s="116"/>
      <c r="AV394" s="116"/>
      <c r="AW394" s="116"/>
      <c r="AX394" s="116"/>
      <c r="AY394" s="116"/>
      <c r="AZ394" s="116"/>
      <c r="BA394" s="116"/>
      <c r="BB394" s="116"/>
      <c r="BC394" s="116"/>
      <c r="BD394" s="116"/>
      <c r="BE394" s="116"/>
      <c r="BF394" s="116"/>
      <c r="BG394" s="116"/>
      <c r="BH394" s="116"/>
      <c r="BI394" s="116" t="str">
        <f t="shared" si="8"/>
        <v>内向者的天赋(第版）</v>
      </c>
      <c r="BJ394" s="117"/>
      <c r="BK394" s="117"/>
      <c r="BL394" s="117"/>
      <c r="BN394" s="117"/>
      <c r="BO394" s="117"/>
      <c r="BP394" s="120"/>
      <c r="BR394" s="117"/>
      <c r="BS394" s="117"/>
      <c r="BZ394" s="117"/>
      <c r="CA394" s="144"/>
    </row>
    <row r="395" spans="1:79" s="118" customFormat="1">
      <c r="A395" s="114"/>
      <c r="B395" s="114">
        <f t="shared" si="9"/>
        <v>1</v>
      </c>
      <c r="C395" s="136" t="s">
        <v>844</v>
      </c>
      <c r="D395" s="116"/>
      <c r="E395" s="116"/>
      <c r="F395" s="116"/>
      <c r="G395" s="115"/>
      <c r="H395" s="116"/>
      <c r="I395" s="116"/>
      <c r="J395" s="116"/>
      <c r="K395" s="116"/>
      <c r="L395" s="116"/>
      <c r="M395" s="116"/>
      <c r="N395" s="116"/>
      <c r="O395" s="116"/>
      <c r="P395" s="166"/>
      <c r="Q395" s="116"/>
      <c r="R395" s="116"/>
      <c r="S395" s="191"/>
      <c r="T395" s="191"/>
      <c r="U395" s="116"/>
      <c r="V395" s="116"/>
      <c r="W395" s="116"/>
      <c r="X395" s="117"/>
      <c r="Y395" s="116"/>
      <c r="Z395" s="114"/>
      <c r="AB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T395" s="116"/>
      <c r="AU395" s="116" t="s">
        <v>812</v>
      </c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 t="str">
        <f t="shared" si="8"/>
        <v>匠人匠心：愚直的坚持(第版）</v>
      </c>
      <c r="BJ395" s="117"/>
      <c r="BK395" s="117"/>
      <c r="BL395" s="117"/>
      <c r="BN395" s="117"/>
      <c r="BO395" s="117"/>
      <c r="BP395" s="120"/>
      <c r="BR395" s="117"/>
      <c r="BS395" s="117"/>
      <c r="BZ395" s="117"/>
      <c r="CA395" s="144"/>
    </row>
    <row r="396" spans="1:79" s="118" customFormat="1">
      <c r="A396" s="114"/>
      <c r="B396" s="114">
        <f t="shared" si="9"/>
        <v>1</v>
      </c>
      <c r="C396" s="136" t="s">
        <v>845</v>
      </c>
      <c r="D396" s="116"/>
      <c r="E396" s="116"/>
      <c r="F396" s="116"/>
      <c r="G396" s="115"/>
      <c r="H396" s="116"/>
      <c r="I396" s="116"/>
      <c r="J396" s="116"/>
      <c r="K396" s="116"/>
      <c r="L396" s="116"/>
      <c r="M396" s="116"/>
      <c r="N396" s="116"/>
      <c r="O396" s="116"/>
      <c r="P396" s="166"/>
      <c r="Q396" s="116"/>
      <c r="R396" s="116"/>
      <c r="S396" s="191"/>
      <c r="T396" s="191"/>
      <c r="U396" s="116"/>
      <c r="V396" s="116"/>
      <c r="W396" s="116"/>
      <c r="X396" s="117"/>
      <c r="Y396" s="116"/>
      <c r="Z396" s="114"/>
      <c r="AB396" s="119"/>
      <c r="AD396" s="119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6" t="s">
        <v>812</v>
      </c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 t="str">
        <f t="shared" si="8"/>
        <v>工业管理与一般管理(第版）</v>
      </c>
      <c r="BJ396" s="117"/>
      <c r="BK396" s="117"/>
      <c r="BL396" s="117"/>
      <c r="BN396" s="117"/>
      <c r="BO396" s="117"/>
      <c r="BP396" s="120"/>
      <c r="BR396" s="117"/>
      <c r="BS396" s="117"/>
      <c r="BZ396" s="117"/>
      <c r="CA396" s="144"/>
    </row>
    <row r="397" spans="1:79" s="118" customFormat="1">
      <c r="A397" s="114"/>
      <c r="B397" s="114">
        <f t="shared" si="9"/>
        <v>1</v>
      </c>
      <c r="C397" s="136" t="s">
        <v>846</v>
      </c>
      <c r="D397" s="116"/>
      <c r="E397" s="116"/>
      <c r="F397" s="116"/>
      <c r="G397" s="115"/>
      <c r="H397" s="116"/>
      <c r="I397" s="116"/>
      <c r="J397" s="116"/>
      <c r="K397" s="116"/>
      <c r="L397" s="116"/>
      <c r="M397" s="116"/>
      <c r="N397" s="116"/>
      <c r="O397" s="116"/>
      <c r="P397" s="166"/>
      <c r="Q397" s="116"/>
      <c r="R397" s="116"/>
      <c r="S397" s="191"/>
      <c r="T397" s="191"/>
      <c r="U397" s="116"/>
      <c r="V397" s="116"/>
      <c r="W397" s="116"/>
      <c r="X397" s="117"/>
      <c r="Y397" s="116"/>
      <c r="Z397" s="114"/>
      <c r="AB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6" t="s">
        <v>812</v>
      </c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 t="str">
        <f t="shared" si="8"/>
        <v>管理：使命、责任、实务（责任篇）(第版）</v>
      </c>
      <c r="BJ397" s="117"/>
      <c r="BK397" s="117"/>
      <c r="BL397" s="117"/>
      <c r="BN397" s="117"/>
      <c r="BO397" s="117"/>
      <c r="BP397" s="120"/>
      <c r="BR397" s="117"/>
      <c r="BS397" s="117"/>
      <c r="BZ397" s="117"/>
      <c r="CA397" s="144"/>
    </row>
    <row r="398" spans="1:79" s="118" customFormat="1">
      <c r="A398" s="114"/>
      <c r="B398" s="114">
        <f t="shared" si="9"/>
        <v>1</v>
      </c>
      <c r="C398" s="136" t="s">
        <v>847</v>
      </c>
      <c r="D398" s="116"/>
      <c r="E398" s="116"/>
      <c r="F398" s="116"/>
      <c r="G398" s="115"/>
      <c r="H398" s="116"/>
      <c r="I398" s="116"/>
      <c r="J398" s="116"/>
      <c r="K398" s="116"/>
      <c r="L398" s="116"/>
      <c r="M398" s="116"/>
      <c r="N398" s="116"/>
      <c r="O398" s="116"/>
      <c r="P398" s="166"/>
      <c r="Q398" s="116"/>
      <c r="R398" s="116"/>
      <c r="S398" s="191"/>
      <c r="T398" s="191"/>
      <c r="U398" s="116"/>
      <c r="V398" s="116"/>
      <c r="W398" s="116"/>
      <c r="X398" s="117"/>
      <c r="Y398" s="116"/>
      <c r="Z398" s="114"/>
      <c r="AB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16" t="s">
        <v>812</v>
      </c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 t="str">
        <f t="shared" si="8"/>
        <v>麦肯锡意识(第版）</v>
      </c>
      <c r="BJ398" s="117"/>
      <c r="BK398" s="117"/>
      <c r="BL398" s="117"/>
      <c r="BN398" s="117"/>
      <c r="BO398" s="117"/>
      <c r="BP398" s="120"/>
      <c r="BR398" s="117"/>
      <c r="BS398" s="117"/>
      <c r="BZ398" s="117"/>
      <c r="CA398" s="144"/>
    </row>
    <row r="399" spans="1:79" s="118" customFormat="1">
      <c r="A399" s="114"/>
      <c r="B399" s="114">
        <f t="shared" si="9"/>
        <v>1</v>
      </c>
      <c r="C399" s="136" t="s">
        <v>848</v>
      </c>
      <c r="D399" s="116"/>
      <c r="E399" s="116"/>
      <c r="F399" s="116"/>
      <c r="G399" s="115"/>
      <c r="H399" s="116"/>
      <c r="I399" s="116"/>
      <c r="J399" s="116"/>
      <c r="K399" s="116"/>
      <c r="L399" s="116"/>
      <c r="M399" s="116"/>
      <c r="N399" s="116"/>
      <c r="O399" s="116"/>
      <c r="P399" s="166"/>
      <c r="Q399" s="116"/>
      <c r="R399" s="116"/>
      <c r="S399" s="191"/>
      <c r="T399" s="191"/>
      <c r="U399" s="116"/>
      <c r="V399" s="116"/>
      <c r="W399" s="116"/>
      <c r="X399" s="117"/>
      <c r="Y399" s="116"/>
      <c r="Z399" s="114"/>
      <c r="AB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6" t="s">
        <v>812</v>
      </c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 t="str">
        <f t="shared" si="8"/>
        <v>管理：使命、责任、实务（使命篇）(第版）</v>
      </c>
      <c r="BJ399" s="117"/>
      <c r="BK399" s="117"/>
      <c r="BL399" s="117"/>
      <c r="BN399" s="117"/>
      <c r="BO399" s="117"/>
      <c r="BP399" s="120"/>
      <c r="BR399" s="117"/>
      <c r="BS399" s="117"/>
      <c r="BZ399" s="117"/>
      <c r="CA399" s="144"/>
    </row>
    <row r="400" spans="1:79" s="118" customFormat="1">
      <c r="A400" s="114"/>
      <c r="B400" s="114">
        <f t="shared" si="9"/>
        <v>1</v>
      </c>
      <c r="C400" s="136" t="s">
        <v>849</v>
      </c>
      <c r="D400" s="116"/>
      <c r="E400" s="116"/>
      <c r="F400" s="116"/>
      <c r="G400" s="115"/>
      <c r="H400" s="116"/>
      <c r="I400" s="116"/>
      <c r="J400" s="116"/>
      <c r="K400" s="116"/>
      <c r="L400" s="116"/>
      <c r="M400" s="116"/>
      <c r="N400" s="116"/>
      <c r="O400" s="116"/>
      <c r="P400" s="166"/>
      <c r="Q400" s="116"/>
      <c r="R400" s="116"/>
      <c r="S400" s="191"/>
      <c r="T400" s="191"/>
      <c r="U400" s="116"/>
      <c r="V400" s="116"/>
      <c r="W400" s="116"/>
      <c r="X400" s="117"/>
      <c r="Y400" s="116"/>
      <c r="Z400" s="114"/>
      <c r="AB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6" t="s">
        <v>812</v>
      </c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 t="str">
        <f t="shared" si="8"/>
        <v>21世纪的管理挑战(第版）</v>
      </c>
      <c r="BJ400" s="117"/>
      <c r="BK400" s="117"/>
      <c r="BL400" s="117"/>
      <c r="BN400" s="117"/>
      <c r="BO400" s="117"/>
      <c r="BP400" s="120"/>
      <c r="BR400" s="117"/>
      <c r="BS400" s="117"/>
      <c r="BZ400" s="117"/>
      <c r="CA400" s="144"/>
    </row>
    <row r="401" spans="1:79" s="118" customFormat="1" ht="33">
      <c r="A401" s="114"/>
      <c r="B401" s="114">
        <f t="shared" si="9"/>
        <v>1</v>
      </c>
      <c r="C401" s="136" t="s">
        <v>850</v>
      </c>
      <c r="D401" s="116"/>
      <c r="E401" s="116"/>
      <c r="F401" s="116"/>
      <c r="G401" s="115"/>
      <c r="H401" s="116"/>
      <c r="I401" s="116"/>
      <c r="J401" s="116"/>
      <c r="K401" s="116"/>
      <c r="L401" s="116"/>
      <c r="M401" s="116"/>
      <c r="N401" s="116"/>
      <c r="O401" s="116"/>
      <c r="P401" s="166"/>
      <c r="Q401" s="116"/>
      <c r="R401" s="116"/>
      <c r="S401" s="191"/>
      <c r="T401" s="191"/>
      <c r="U401" s="116"/>
      <c r="V401" s="116"/>
      <c r="W401" s="116"/>
      <c r="X401" s="117"/>
      <c r="Y401" s="116"/>
      <c r="Z401" s="114"/>
      <c r="AB401" s="119"/>
      <c r="AD401" s="119"/>
      <c r="AE401" s="119"/>
      <c r="AF401" s="119"/>
      <c r="AG401" s="119"/>
      <c r="AH401" s="119"/>
      <c r="AI401" s="119"/>
      <c r="AJ401" s="119"/>
      <c r="AK401" s="119"/>
      <c r="AL401" s="119"/>
      <c r="AM401" s="119"/>
      <c r="AN401" s="119"/>
      <c r="AO401" s="119"/>
      <c r="AP401" s="119"/>
      <c r="AQ401" s="119"/>
      <c r="AR401" s="119"/>
      <c r="AS401" s="116" t="s">
        <v>812</v>
      </c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 t="str">
        <f t="shared" si="8"/>
        <v>重塑大脑回路：如何借助神经科学走出抑郁症(第版）</v>
      </c>
      <c r="BJ401" s="117"/>
      <c r="BK401" s="117"/>
      <c r="BL401" s="117"/>
      <c r="BN401" s="117"/>
      <c r="BO401" s="117"/>
      <c r="BP401" s="120"/>
      <c r="BR401" s="117"/>
      <c r="BS401" s="117"/>
      <c r="BZ401" s="117"/>
      <c r="CA401" s="144"/>
    </row>
    <row r="402" spans="1:79" s="118" customFormat="1">
      <c r="A402" s="114"/>
      <c r="B402" s="114">
        <f t="shared" si="9"/>
        <v>1</v>
      </c>
      <c r="C402" s="136" t="s">
        <v>851</v>
      </c>
      <c r="D402" s="116"/>
      <c r="E402" s="116"/>
      <c r="F402" s="116"/>
      <c r="G402" s="115"/>
      <c r="H402" s="116"/>
      <c r="I402" s="116"/>
      <c r="J402" s="116"/>
      <c r="K402" s="116"/>
      <c r="L402" s="116"/>
      <c r="M402" s="116"/>
      <c r="N402" s="116"/>
      <c r="O402" s="116"/>
      <c r="P402" s="166"/>
      <c r="Q402" s="116"/>
      <c r="R402" s="116"/>
      <c r="S402" s="191"/>
      <c r="T402" s="191"/>
      <c r="U402" s="116"/>
      <c r="V402" s="116"/>
      <c r="W402" s="116"/>
      <c r="X402" s="117"/>
      <c r="Y402" s="116"/>
      <c r="Z402" s="114"/>
      <c r="AB402" s="119"/>
      <c r="AD402" s="119"/>
      <c r="AE402" s="119"/>
      <c r="AF402" s="119"/>
      <c r="AG402" s="119"/>
      <c r="AH402" s="119"/>
      <c r="AI402" s="119"/>
      <c r="AJ402" s="119"/>
      <c r="AK402" s="119"/>
      <c r="AL402" s="119"/>
      <c r="AM402" s="119"/>
      <c r="AN402" s="119"/>
      <c r="AO402" s="119"/>
      <c r="AP402" s="119"/>
      <c r="AQ402" s="119"/>
      <c r="AR402" s="119"/>
      <c r="AS402" s="116" t="s">
        <v>812</v>
      </c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 t="str">
        <f t="shared" ref="BI402:BI433" si="10">C402&amp;"(第"&amp;E402&amp;"版）"</f>
        <v>拆除你的情绪地雷(第版）</v>
      </c>
      <c r="BJ402" s="117"/>
      <c r="BK402" s="117"/>
      <c r="BL402" s="117"/>
      <c r="BN402" s="117"/>
      <c r="BO402" s="117"/>
      <c r="BP402" s="120"/>
      <c r="BR402" s="117"/>
      <c r="BS402" s="117"/>
      <c r="BZ402" s="117"/>
      <c r="CA402" s="144"/>
    </row>
    <row r="403" spans="1:79" s="118" customFormat="1">
      <c r="A403" s="114"/>
      <c r="B403" s="114">
        <f t="shared" si="9"/>
        <v>1</v>
      </c>
      <c r="C403" s="136" t="s">
        <v>852</v>
      </c>
      <c r="D403" s="116"/>
      <c r="E403" s="116"/>
      <c r="F403" s="116"/>
      <c r="G403" s="115"/>
      <c r="H403" s="116"/>
      <c r="I403" s="116"/>
      <c r="J403" s="116"/>
      <c r="K403" s="116"/>
      <c r="L403" s="116"/>
      <c r="M403" s="116"/>
      <c r="N403" s="116"/>
      <c r="O403" s="116"/>
      <c r="P403" s="166"/>
      <c r="Q403" s="116"/>
      <c r="R403" s="116"/>
      <c r="S403" s="191"/>
      <c r="T403" s="191"/>
      <c r="U403" s="116"/>
      <c r="V403" s="116"/>
      <c r="W403" s="116"/>
      <c r="X403" s="117"/>
      <c r="Y403" s="116"/>
      <c r="Z403" s="114"/>
      <c r="AB403" s="119"/>
      <c r="AD403" s="119"/>
      <c r="AE403" s="119"/>
      <c r="AF403" s="119"/>
      <c r="AG403" s="119"/>
      <c r="AH403" s="119"/>
      <c r="AI403" s="119"/>
      <c r="AJ403" s="119"/>
      <c r="AK403" s="119"/>
      <c r="AL403" s="119"/>
      <c r="AM403" s="119"/>
      <c r="AN403" s="119"/>
      <c r="AO403" s="119"/>
      <c r="AP403" s="119"/>
      <c r="AQ403" s="119"/>
      <c r="AR403" s="119"/>
      <c r="AS403" s="116" t="s">
        <v>812</v>
      </c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 t="str">
        <f t="shared" si="10"/>
        <v>穿越抑郁的正念之道(第版）</v>
      </c>
      <c r="BJ403" s="117"/>
      <c r="BK403" s="117"/>
      <c r="BL403" s="117"/>
      <c r="BN403" s="117"/>
      <c r="BO403" s="117"/>
      <c r="BP403" s="120"/>
      <c r="BR403" s="117"/>
      <c r="BS403" s="117"/>
      <c r="BZ403" s="117"/>
      <c r="CA403" s="144"/>
    </row>
    <row r="404" spans="1:79" s="118" customFormat="1">
      <c r="A404" s="114"/>
      <c r="B404" s="114">
        <f t="shared" si="9"/>
        <v>1</v>
      </c>
      <c r="C404" s="136" t="s">
        <v>853</v>
      </c>
      <c r="D404" s="116"/>
      <c r="E404" s="116"/>
      <c r="F404" s="116"/>
      <c r="G404" s="115"/>
      <c r="H404" s="116"/>
      <c r="I404" s="116"/>
      <c r="J404" s="116"/>
      <c r="K404" s="116"/>
      <c r="L404" s="116"/>
      <c r="M404" s="116"/>
      <c r="N404" s="116"/>
      <c r="O404" s="116"/>
      <c r="P404" s="166"/>
      <c r="Q404" s="116"/>
      <c r="R404" s="116"/>
      <c r="S404" s="191"/>
      <c r="T404" s="191"/>
      <c r="U404" s="116"/>
      <c r="V404" s="116"/>
      <c r="W404" s="116"/>
      <c r="X404" s="117"/>
      <c r="Y404" s="116"/>
      <c r="Z404" s="114"/>
      <c r="AB404" s="119"/>
      <c r="AD404" s="119"/>
      <c r="AE404" s="119"/>
      <c r="AF404" s="119"/>
      <c r="AG404" s="119"/>
      <c r="AH404" s="119"/>
      <c r="AI404" s="119"/>
      <c r="AJ404" s="119"/>
      <c r="AK404" s="119"/>
      <c r="AL404" s="119"/>
      <c r="AM404" s="119"/>
      <c r="AN404" s="119"/>
      <c r="AO404" s="119"/>
      <c r="AP404" s="119"/>
      <c r="AQ404" s="119"/>
      <c r="AR404" s="119"/>
      <c r="AT404" s="116"/>
      <c r="AU404" s="116" t="s">
        <v>812</v>
      </c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 t="str">
        <f t="shared" si="10"/>
        <v>敬天爱人：从零开始的挑战(第版）</v>
      </c>
      <c r="BJ404" s="117"/>
      <c r="BK404" s="117"/>
      <c r="BL404" s="117"/>
      <c r="BN404" s="117"/>
      <c r="BO404" s="117"/>
      <c r="BP404" s="120"/>
      <c r="BR404" s="117"/>
      <c r="BS404" s="117"/>
      <c r="BZ404" s="117"/>
      <c r="CA404" s="144"/>
    </row>
    <row r="405" spans="1:79" s="118" customFormat="1">
      <c r="A405" s="114"/>
      <c r="B405" s="114">
        <f t="shared" si="9"/>
        <v>1</v>
      </c>
      <c r="C405" s="136" t="s">
        <v>854</v>
      </c>
      <c r="D405" s="116"/>
      <c r="E405" s="116"/>
      <c r="F405" s="116"/>
      <c r="G405" s="115"/>
      <c r="H405" s="116"/>
      <c r="I405" s="116"/>
      <c r="J405" s="116"/>
      <c r="K405" s="116"/>
      <c r="L405" s="116"/>
      <c r="M405" s="116"/>
      <c r="N405" s="116"/>
      <c r="O405" s="116"/>
      <c r="P405" s="166"/>
      <c r="Q405" s="116"/>
      <c r="R405" s="116"/>
      <c r="S405" s="191"/>
      <c r="T405" s="191"/>
      <c r="U405" s="116"/>
      <c r="V405" s="116"/>
      <c r="W405" s="116"/>
      <c r="X405" s="117"/>
      <c r="Y405" s="116"/>
      <c r="Z405" s="114"/>
      <c r="AB405" s="119"/>
      <c r="AD405" s="119"/>
      <c r="AE405" s="119"/>
      <c r="AF405" s="119"/>
      <c r="AG405" s="119"/>
      <c r="AH405" s="119"/>
      <c r="AI405" s="119"/>
      <c r="AJ405" s="119"/>
      <c r="AK405" s="119"/>
      <c r="AL405" s="119"/>
      <c r="AM405" s="119"/>
      <c r="AN405" s="119"/>
      <c r="AO405" s="119"/>
      <c r="AP405" s="119"/>
      <c r="AQ405" s="119"/>
      <c r="AR405" s="119"/>
      <c r="AS405" s="116" t="s">
        <v>812</v>
      </c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 t="str">
        <f t="shared" si="10"/>
        <v>已经发生的未来（2019年新版）(第版）</v>
      </c>
      <c r="BJ405" s="117"/>
      <c r="BK405" s="117"/>
      <c r="BL405" s="117"/>
      <c r="BN405" s="117"/>
      <c r="BO405" s="117"/>
      <c r="BP405" s="120"/>
      <c r="BR405" s="117"/>
      <c r="BS405" s="117"/>
      <c r="BZ405" s="117"/>
      <c r="CA405" s="144"/>
    </row>
    <row r="406" spans="1:79" s="118" customFormat="1">
      <c r="A406" s="114"/>
      <c r="B406" s="114">
        <f t="shared" si="9"/>
        <v>1</v>
      </c>
      <c r="C406" s="136" t="s">
        <v>855</v>
      </c>
      <c r="D406" s="116"/>
      <c r="E406" s="116"/>
      <c r="F406" s="116"/>
      <c r="G406" s="115"/>
      <c r="H406" s="116"/>
      <c r="I406" s="116"/>
      <c r="J406" s="116"/>
      <c r="K406" s="116"/>
      <c r="L406" s="116"/>
      <c r="M406" s="116"/>
      <c r="N406" s="116"/>
      <c r="O406" s="116"/>
      <c r="P406" s="166"/>
      <c r="Q406" s="116"/>
      <c r="R406" s="116"/>
      <c r="S406" s="191"/>
      <c r="T406" s="191"/>
      <c r="U406" s="116"/>
      <c r="V406" s="116"/>
      <c r="W406" s="116"/>
      <c r="X406" s="117"/>
      <c r="Y406" s="116"/>
      <c r="Z406" s="114"/>
      <c r="AB406" s="119"/>
      <c r="AD406" s="119"/>
      <c r="AE406" s="119"/>
      <c r="AF406" s="119"/>
      <c r="AG406" s="119"/>
      <c r="AH406" s="119"/>
      <c r="AI406" s="119"/>
      <c r="AJ406" s="119"/>
      <c r="AK406" s="119"/>
      <c r="AL406" s="119"/>
      <c r="AM406" s="119"/>
      <c r="AN406" s="119"/>
      <c r="AO406" s="119"/>
      <c r="AP406" s="119"/>
      <c r="AQ406" s="119"/>
      <c r="AR406" s="119"/>
      <c r="AS406" s="116" t="s">
        <v>812</v>
      </c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 t="str">
        <f t="shared" si="10"/>
        <v>简化你的时间(第版）</v>
      </c>
      <c r="BJ406" s="117"/>
      <c r="BK406" s="117"/>
      <c r="BL406" s="117"/>
      <c r="BN406" s="117"/>
      <c r="BO406" s="117"/>
      <c r="BP406" s="120"/>
      <c r="BR406" s="117"/>
      <c r="BS406" s="117"/>
      <c r="BZ406" s="117"/>
      <c r="CA406" s="144"/>
    </row>
    <row r="407" spans="1:79" s="118" customFormat="1" ht="33">
      <c r="A407" s="114"/>
      <c r="B407" s="114">
        <f t="shared" si="9"/>
        <v>1</v>
      </c>
      <c r="C407" s="136" t="s">
        <v>856</v>
      </c>
      <c r="D407" s="116"/>
      <c r="E407" s="116"/>
      <c r="F407" s="116"/>
      <c r="G407" s="115"/>
      <c r="H407" s="116"/>
      <c r="I407" s="116"/>
      <c r="J407" s="116"/>
      <c r="K407" s="116"/>
      <c r="L407" s="116"/>
      <c r="M407" s="116"/>
      <c r="N407" s="116"/>
      <c r="O407" s="116"/>
      <c r="P407" s="166"/>
      <c r="Q407" s="116"/>
      <c r="R407" s="116"/>
      <c r="S407" s="191"/>
      <c r="T407" s="191"/>
      <c r="U407" s="116"/>
      <c r="V407" s="116"/>
      <c r="W407" s="116"/>
      <c r="X407" s="117"/>
      <c r="Y407" s="116"/>
      <c r="Z407" s="114"/>
      <c r="AB407" s="119"/>
      <c r="AD407" s="119"/>
      <c r="AE407" s="119"/>
      <c r="AF407" s="119"/>
      <c r="AG407" s="119"/>
      <c r="AH407" s="119"/>
      <c r="AI407" s="119"/>
      <c r="AJ407" s="119"/>
      <c r="AK407" s="119"/>
      <c r="AL407" s="119"/>
      <c r="AM407" s="119"/>
      <c r="AN407" s="119"/>
      <c r="AO407" s="119"/>
      <c r="AP407" s="119"/>
      <c r="AQ407" s="119"/>
      <c r="AR407" s="119"/>
      <c r="AS407" s="116" t="s">
        <v>812</v>
      </c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 t="str">
        <f t="shared" si="10"/>
        <v>跨越式成长：思维转换重塑你的工作和生活(第版）</v>
      </c>
      <c r="BJ407" s="117"/>
      <c r="BK407" s="117"/>
      <c r="BL407" s="117"/>
      <c r="BN407" s="117"/>
      <c r="BO407" s="117"/>
      <c r="BP407" s="120"/>
      <c r="BR407" s="117"/>
      <c r="BS407" s="117"/>
      <c r="BZ407" s="117"/>
      <c r="CA407" s="144"/>
    </row>
    <row r="408" spans="1:79" s="118" customFormat="1">
      <c r="A408" s="114"/>
      <c r="B408" s="114">
        <f t="shared" si="9"/>
        <v>1</v>
      </c>
      <c r="C408" s="136" t="s">
        <v>857</v>
      </c>
      <c r="D408" s="116"/>
      <c r="E408" s="116">
        <v>2</v>
      </c>
      <c r="F408" s="116"/>
      <c r="G408" s="115"/>
      <c r="H408" s="116"/>
      <c r="I408" s="116"/>
      <c r="J408" s="116"/>
      <c r="K408" s="116"/>
      <c r="L408" s="116"/>
      <c r="M408" s="116"/>
      <c r="N408" s="116"/>
      <c r="O408" s="116"/>
      <c r="P408" s="166"/>
      <c r="Q408" s="116"/>
      <c r="R408" s="116"/>
      <c r="S408" s="191"/>
      <c r="T408" s="191"/>
      <c r="U408" s="116"/>
      <c r="V408" s="116"/>
      <c r="W408" s="116"/>
      <c r="X408" s="117"/>
      <c r="Y408" s="116"/>
      <c r="Z408" s="114"/>
      <c r="AB408" s="119"/>
      <c r="AD408" s="119"/>
      <c r="AE408" s="119"/>
      <c r="AF408" s="119"/>
      <c r="AG408" s="119"/>
      <c r="AH408" s="119"/>
      <c r="AI408" s="119"/>
      <c r="AJ408" s="119"/>
      <c r="AK408" s="119"/>
      <c r="AL408" s="119"/>
      <c r="AM408" s="119"/>
      <c r="AN408" s="119"/>
      <c r="AO408" s="119"/>
      <c r="AP408" s="119"/>
      <c r="AQ408" s="119"/>
      <c r="AR408" s="119"/>
      <c r="AS408" s="116" t="s">
        <v>812</v>
      </c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 t="str">
        <f t="shared" si="10"/>
        <v>查理芒格的智慧：投资的隔栅理论(第2版）</v>
      </c>
      <c r="BJ408" s="117"/>
      <c r="BK408" s="117"/>
      <c r="BL408" s="117"/>
      <c r="BN408" s="117"/>
      <c r="BO408" s="117"/>
      <c r="BP408" s="120"/>
      <c r="BR408" s="117"/>
      <c r="BS408" s="117"/>
      <c r="BZ408" s="117"/>
      <c r="CA408" s="144"/>
    </row>
    <row r="409" spans="1:79" s="118" customFormat="1">
      <c r="A409" s="114"/>
      <c r="B409" s="114">
        <f t="shared" si="9"/>
        <v>1</v>
      </c>
      <c r="C409" s="136" t="s">
        <v>858</v>
      </c>
      <c r="D409" s="116"/>
      <c r="E409" s="116"/>
      <c r="F409" s="116"/>
      <c r="G409" s="115"/>
      <c r="H409" s="116"/>
      <c r="I409" s="116"/>
      <c r="J409" s="116"/>
      <c r="K409" s="116"/>
      <c r="L409" s="116"/>
      <c r="M409" s="116"/>
      <c r="N409" s="116"/>
      <c r="O409" s="116"/>
      <c r="P409" s="166"/>
      <c r="Q409" s="116"/>
      <c r="R409" s="116"/>
      <c r="S409" s="191"/>
      <c r="T409" s="191"/>
      <c r="U409" s="116"/>
      <c r="V409" s="116"/>
      <c r="W409" s="116"/>
      <c r="X409" s="117"/>
      <c r="Y409" s="116"/>
      <c r="Z409" s="114"/>
      <c r="AB409" s="119"/>
      <c r="AD409" s="119"/>
      <c r="AE409" s="119"/>
      <c r="AF409" s="119"/>
      <c r="AG409" s="119"/>
      <c r="AH409" s="119"/>
      <c r="AI409" s="119"/>
      <c r="AJ409" s="119"/>
      <c r="AK409" s="119"/>
      <c r="AL409" s="119"/>
      <c r="AM409" s="119"/>
      <c r="AN409" s="119"/>
      <c r="AO409" s="119"/>
      <c r="AP409" s="119"/>
      <c r="AQ409" s="119"/>
      <c r="AR409" s="119"/>
      <c r="AT409" s="116"/>
      <c r="AU409" s="116" t="s">
        <v>812</v>
      </c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 t="str">
        <f t="shared" si="10"/>
        <v>干法(第版）</v>
      </c>
      <c r="BJ409" s="117"/>
      <c r="BK409" s="117"/>
      <c r="BL409" s="117"/>
      <c r="BN409" s="117"/>
      <c r="BO409" s="117"/>
      <c r="BP409" s="120"/>
      <c r="BR409" s="117"/>
      <c r="BS409" s="117"/>
      <c r="BZ409" s="117"/>
      <c r="CA409" s="144"/>
    </row>
    <row r="410" spans="1:79" s="118" customFormat="1">
      <c r="A410" s="114"/>
      <c r="B410" s="114">
        <f t="shared" si="9"/>
        <v>1</v>
      </c>
      <c r="C410" s="136" t="s">
        <v>859</v>
      </c>
      <c r="D410" s="116"/>
      <c r="E410" s="116"/>
      <c r="F410" s="116"/>
      <c r="G410" s="115"/>
      <c r="H410" s="116"/>
      <c r="I410" s="116"/>
      <c r="J410" s="116"/>
      <c r="K410" s="116"/>
      <c r="L410" s="116"/>
      <c r="M410" s="116"/>
      <c r="N410" s="116"/>
      <c r="O410" s="116"/>
      <c r="P410" s="166"/>
      <c r="Q410" s="116"/>
      <c r="R410" s="116"/>
      <c r="S410" s="191"/>
      <c r="T410" s="191"/>
      <c r="U410" s="116"/>
      <c r="V410" s="116"/>
      <c r="W410" s="116"/>
      <c r="X410" s="117"/>
      <c r="Y410" s="116"/>
      <c r="Z410" s="114"/>
      <c r="AB410" s="119"/>
      <c r="AD410" s="119"/>
      <c r="AE410" s="119"/>
      <c r="AF410" s="119"/>
      <c r="AG410" s="119"/>
      <c r="AH410" s="119"/>
      <c r="AI410" s="119"/>
      <c r="AJ410" s="119"/>
      <c r="AK410" s="119"/>
      <c r="AL410" s="119"/>
      <c r="AM410" s="119"/>
      <c r="AN410" s="119"/>
      <c r="AO410" s="119"/>
      <c r="AP410" s="119"/>
      <c r="AQ410" s="119"/>
      <c r="AR410" s="119"/>
      <c r="AS410" s="116" t="s">
        <v>812</v>
      </c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 t="str">
        <f t="shared" si="10"/>
        <v>魏斯曼演讲圣经2(第版）</v>
      </c>
      <c r="BJ410" s="117"/>
      <c r="BK410" s="117"/>
      <c r="BL410" s="117"/>
      <c r="BN410" s="117"/>
      <c r="BO410" s="117"/>
      <c r="BP410" s="120"/>
      <c r="BR410" s="117"/>
      <c r="BS410" s="117"/>
      <c r="BZ410" s="117"/>
      <c r="CA410" s="144"/>
    </row>
    <row r="411" spans="1:79" s="118" customFormat="1">
      <c r="A411" s="114"/>
      <c r="B411" s="114">
        <f t="shared" si="9"/>
        <v>1</v>
      </c>
      <c r="C411" s="136" t="s">
        <v>860</v>
      </c>
      <c r="D411" s="116"/>
      <c r="E411" s="116"/>
      <c r="F411" s="116"/>
      <c r="G411" s="115"/>
      <c r="H411" s="116"/>
      <c r="I411" s="116"/>
      <c r="J411" s="116"/>
      <c r="K411" s="116"/>
      <c r="L411" s="116"/>
      <c r="M411" s="116"/>
      <c r="N411" s="116"/>
      <c r="O411" s="116"/>
      <c r="P411" s="166"/>
      <c r="Q411" s="116"/>
      <c r="R411" s="116"/>
      <c r="S411" s="191"/>
      <c r="T411" s="191"/>
      <c r="U411" s="116"/>
      <c r="V411" s="116"/>
      <c r="W411" s="116"/>
      <c r="X411" s="117"/>
      <c r="Y411" s="116"/>
      <c r="Z411" s="114"/>
      <c r="AB411" s="119"/>
      <c r="AD411" s="119"/>
      <c r="AE411" s="119"/>
      <c r="AF411" s="119"/>
      <c r="AG411" s="119"/>
      <c r="AH411" s="119"/>
      <c r="AI411" s="119"/>
      <c r="AJ411" s="119"/>
      <c r="AK411" s="119"/>
      <c r="AL411" s="119"/>
      <c r="AM411" s="119"/>
      <c r="AN411" s="119"/>
      <c r="AO411" s="119"/>
      <c r="AP411" s="119"/>
      <c r="AQ411" s="119"/>
      <c r="AR411" s="119"/>
      <c r="AS411" s="116" t="s">
        <v>812</v>
      </c>
      <c r="AT411" s="116"/>
      <c r="AU411" s="116"/>
      <c r="AV411" s="116"/>
      <c r="AW411" s="116"/>
      <c r="AX411" s="116"/>
      <c r="AY411" s="116"/>
      <c r="AZ411" s="116"/>
      <c r="BA411" s="116"/>
      <c r="BB411" s="116"/>
      <c r="BC411" s="116"/>
      <c r="BD411" s="116"/>
      <c r="BE411" s="116"/>
      <c r="BF411" s="116"/>
      <c r="BG411" s="116"/>
      <c r="BH411" s="116"/>
      <c r="BI411" s="116" t="str">
        <f t="shared" si="10"/>
        <v>大而不倒(第版）</v>
      </c>
      <c r="BJ411" s="117"/>
      <c r="BK411" s="117"/>
      <c r="BL411" s="117"/>
      <c r="BN411" s="117"/>
      <c r="BO411" s="117"/>
      <c r="BP411" s="120"/>
      <c r="BR411" s="117"/>
      <c r="BS411" s="117"/>
      <c r="BZ411" s="117"/>
      <c r="CA411" s="144"/>
    </row>
    <row r="412" spans="1:79" s="118" customFormat="1">
      <c r="A412" s="114"/>
      <c r="B412" s="114">
        <f t="shared" si="9"/>
        <v>1</v>
      </c>
      <c r="C412" s="136" t="s">
        <v>862</v>
      </c>
      <c r="D412" s="116"/>
      <c r="E412" s="116"/>
      <c r="F412" s="116"/>
      <c r="G412" s="115"/>
      <c r="H412" s="116"/>
      <c r="I412" s="116"/>
      <c r="J412" s="116"/>
      <c r="K412" s="116"/>
      <c r="L412" s="116"/>
      <c r="M412" s="116"/>
      <c r="N412" s="116"/>
      <c r="O412" s="116"/>
      <c r="P412" s="166"/>
      <c r="Q412" s="116"/>
      <c r="R412" s="116"/>
      <c r="S412" s="191"/>
      <c r="T412" s="191"/>
      <c r="U412" s="116"/>
      <c r="V412" s="116"/>
      <c r="W412" s="116"/>
      <c r="X412" s="117"/>
      <c r="Y412" s="116"/>
      <c r="Z412" s="114"/>
      <c r="AB412" s="119"/>
      <c r="AD412" s="119"/>
      <c r="AE412" s="119"/>
      <c r="AF412" s="119"/>
      <c r="AG412" s="119"/>
      <c r="AH412" s="119"/>
      <c r="AI412" s="119"/>
      <c r="AJ412" s="119"/>
      <c r="AK412" s="119"/>
      <c r="AL412" s="119"/>
      <c r="AM412" s="119"/>
      <c r="AN412" s="119"/>
      <c r="AO412" s="119"/>
      <c r="AP412" s="119"/>
      <c r="AQ412" s="119"/>
      <c r="AR412" s="119"/>
      <c r="AS412" s="116" t="s">
        <v>812</v>
      </c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 t="str">
        <f t="shared" si="10"/>
        <v>管理：技艺之精髓(第版）</v>
      </c>
      <c r="BJ412" s="117"/>
      <c r="BK412" s="117"/>
      <c r="BL412" s="117"/>
      <c r="BN412" s="117"/>
      <c r="BO412" s="117"/>
      <c r="BP412" s="120"/>
      <c r="BR412" s="117"/>
      <c r="BS412" s="117"/>
      <c r="BZ412" s="117"/>
      <c r="CA412" s="144"/>
    </row>
    <row r="413" spans="1:79" s="118" customFormat="1">
      <c r="A413" s="114"/>
      <c r="B413" s="114">
        <f t="shared" si="9"/>
        <v>1</v>
      </c>
      <c r="C413" s="136" t="s">
        <v>863</v>
      </c>
      <c r="D413" s="116"/>
      <c r="E413" s="116"/>
      <c r="F413" s="116"/>
      <c r="G413" s="115"/>
      <c r="H413" s="116"/>
      <c r="I413" s="116"/>
      <c r="J413" s="116"/>
      <c r="K413" s="116"/>
      <c r="L413" s="116"/>
      <c r="M413" s="116"/>
      <c r="N413" s="116"/>
      <c r="O413" s="116"/>
      <c r="P413" s="166"/>
      <c r="Q413" s="116"/>
      <c r="R413" s="116"/>
      <c r="S413" s="191"/>
      <c r="T413" s="191"/>
      <c r="U413" s="116"/>
      <c r="V413" s="116"/>
      <c r="W413" s="116"/>
      <c r="X413" s="117"/>
      <c r="Y413" s="116"/>
      <c r="Z413" s="114"/>
      <c r="AB413" s="119"/>
      <c r="AD413" s="119"/>
      <c r="AE413" s="119"/>
      <c r="AF413" s="119"/>
      <c r="AG413" s="119"/>
      <c r="AH413" s="119"/>
      <c r="AI413" s="119"/>
      <c r="AJ413" s="119"/>
      <c r="AK413" s="119"/>
      <c r="AL413" s="119"/>
      <c r="AM413" s="119"/>
      <c r="AN413" s="119"/>
      <c r="AO413" s="119"/>
      <c r="AP413" s="119"/>
      <c r="AQ413" s="119"/>
      <c r="AR413" s="119"/>
      <c r="AS413" s="116" t="s">
        <v>812</v>
      </c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 t="str">
        <f t="shared" si="10"/>
        <v>管理新现实（2019）(第版）</v>
      </c>
      <c r="BJ413" s="117"/>
      <c r="BK413" s="117"/>
      <c r="BL413" s="117"/>
      <c r="BN413" s="117"/>
      <c r="BO413" s="117"/>
      <c r="BP413" s="120"/>
      <c r="BR413" s="117"/>
      <c r="BS413" s="117"/>
      <c r="BZ413" s="117"/>
      <c r="CA413" s="144"/>
    </row>
    <row r="414" spans="1:79" s="118" customFormat="1">
      <c r="A414" s="114"/>
      <c r="B414" s="114">
        <f t="shared" si="9"/>
        <v>1</v>
      </c>
      <c r="C414" s="136" t="s">
        <v>864</v>
      </c>
      <c r="D414" s="116"/>
      <c r="E414" s="116"/>
      <c r="F414" s="116"/>
      <c r="G414" s="115"/>
      <c r="H414" s="116"/>
      <c r="I414" s="116"/>
      <c r="J414" s="116"/>
      <c r="K414" s="116"/>
      <c r="L414" s="116"/>
      <c r="M414" s="116"/>
      <c r="N414" s="116"/>
      <c r="O414" s="116"/>
      <c r="P414" s="166"/>
      <c r="Q414" s="116"/>
      <c r="R414" s="116"/>
      <c r="S414" s="191"/>
      <c r="T414" s="191"/>
      <c r="U414" s="116"/>
      <c r="V414" s="116"/>
      <c r="W414" s="116"/>
      <c r="X414" s="117"/>
      <c r="Y414" s="116"/>
      <c r="Z414" s="114"/>
      <c r="AB414" s="119"/>
      <c r="AD414" s="119"/>
      <c r="AE414" s="119"/>
      <c r="AF414" s="119"/>
      <c r="AG414" s="119"/>
      <c r="AH414" s="119"/>
      <c r="AI414" s="119"/>
      <c r="AJ414" s="119"/>
      <c r="AK414" s="119"/>
      <c r="AL414" s="119"/>
      <c r="AM414" s="119"/>
      <c r="AN414" s="119"/>
      <c r="AO414" s="119"/>
      <c r="AP414" s="119"/>
      <c r="AQ414" s="119"/>
      <c r="AR414" s="119"/>
      <c r="AS414" s="116" t="s">
        <v>812</v>
      </c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 t="str">
        <f t="shared" si="10"/>
        <v>深度学习(第版）</v>
      </c>
      <c r="BJ414" s="117"/>
      <c r="BK414" s="117"/>
      <c r="BL414" s="117"/>
      <c r="BN414" s="117"/>
      <c r="BO414" s="117"/>
      <c r="BP414" s="120"/>
      <c r="BR414" s="117"/>
      <c r="BS414" s="117"/>
      <c r="BZ414" s="117"/>
      <c r="CA414" s="144"/>
    </row>
    <row r="415" spans="1:79" s="118" customFormat="1">
      <c r="A415" s="114"/>
      <c r="B415" s="114">
        <f t="shared" si="9"/>
        <v>1</v>
      </c>
      <c r="C415" s="136" t="s">
        <v>865</v>
      </c>
      <c r="D415" s="116"/>
      <c r="E415" s="116"/>
      <c r="F415" s="116"/>
      <c r="G415" s="115"/>
      <c r="H415" s="116"/>
      <c r="I415" s="116"/>
      <c r="J415" s="116"/>
      <c r="K415" s="116"/>
      <c r="L415" s="116"/>
      <c r="M415" s="116"/>
      <c r="N415" s="116"/>
      <c r="O415" s="116"/>
      <c r="P415" s="166"/>
      <c r="Q415" s="116"/>
      <c r="R415" s="116"/>
      <c r="S415" s="191"/>
      <c r="T415" s="191"/>
      <c r="U415" s="116"/>
      <c r="V415" s="116"/>
      <c r="W415" s="116"/>
      <c r="X415" s="117"/>
      <c r="Y415" s="116"/>
      <c r="Z415" s="114"/>
      <c r="AB415" s="119"/>
      <c r="AD415" s="119"/>
      <c r="AE415" s="119"/>
      <c r="AF415" s="119"/>
      <c r="AG415" s="119"/>
      <c r="AH415" s="119"/>
      <c r="AI415" s="119"/>
      <c r="AJ415" s="119"/>
      <c r="AK415" s="119"/>
      <c r="AL415" s="119"/>
      <c r="AM415" s="119"/>
      <c r="AN415" s="119"/>
      <c r="AO415" s="119"/>
      <c r="AP415" s="119"/>
      <c r="AQ415" s="119"/>
      <c r="AR415" s="119"/>
      <c r="AS415" s="116" t="s">
        <v>812</v>
      </c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 t="str">
        <f t="shared" si="10"/>
        <v>德鲁克的最后忠告(第版）</v>
      </c>
      <c r="BJ415" s="117"/>
      <c r="BK415" s="117"/>
      <c r="BL415" s="117"/>
      <c r="BN415" s="117"/>
      <c r="BO415" s="117"/>
      <c r="BP415" s="120"/>
      <c r="BR415" s="117"/>
      <c r="BS415" s="117"/>
      <c r="BZ415" s="117"/>
      <c r="CA415" s="144"/>
    </row>
    <row r="416" spans="1:79" s="118" customFormat="1">
      <c r="A416" s="114"/>
      <c r="B416" s="114">
        <f t="shared" si="9"/>
        <v>1</v>
      </c>
      <c r="C416" s="136" t="s">
        <v>1145</v>
      </c>
      <c r="D416" s="116"/>
      <c r="E416" s="116"/>
      <c r="F416" s="116"/>
      <c r="G416" s="115"/>
      <c r="H416" s="116"/>
      <c r="I416" s="116"/>
      <c r="J416" s="116"/>
      <c r="K416" s="116"/>
      <c r="L416" s="116"/>
      <c r="M416" s="116"/>
      <c r="N416" s="116"/>
      <c r="O416" s="116"/>
      <c r="P416" s="166"/>
      <c r="Q416" s="116"/>
      <c r="R416" s="116"/>
      <c r="S416" s="191"/>
      <c r="T416" s="191"/>
      <c r="U416" s="116"/>
      <c r="V416" s="116"/>
      <c r="W416" s="116"/>
      <c r="X416" s="117"/>
      <c r="Y416" s="116"/>
      <c r="Z416" s="114"/>
      <c r="AB416" s="119"/>
      <c r="AD416" s="119"/>
      <c r="AE416" s="119"/>
      <c r="AF416" s="119"/>
      <c r="AG416" s="119"/>
      <c r="AH416" s="119"/>
      <c r="AI416" s="119"/>
      <c r="AJ416" s="119"/>
      <c r="AK416" s="119"/>
      <c r="AL416" s="119"/>
      <c r="AM416" s="119"/>
      <c r="AN416" s="119"/>
      <c r="AO416" s="119"/>
      <c r="AP416" s="119"/>
      <c r="AQ416" s="119"/>
      <c r="AR416" s="119"/>
      <c r="AS416" s="116" t="s">
        <v>828</v>
      </c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 t="str">
        <f t="shared" si="10"/>
        <v>游戏化思维：改变未来商业的新力量(第版）</v>
      </c>
      <c r="BJ416" s="117"/>
      <c r="BK416" s="117"/>
      <c r="BL416" s="117"/>
      <c r="BN416" s="117"/>
      <c r="BO416" s="117"/>
      <c r="BP416" s="120"/>
      <c r="BR416" s="117"/>
      <c r="BS416" s="117"/>
      <c r="BZ416" s="117"/>
      <c r="CA416" s="144"/>
    </row>
    <row r="417" spans="1:79" s="118" customFormat="1">
      <c r="A417" s="114"/>
      <c r="B417" s="114">
        <f t="shared" si="9"/>
        <v>1</v>
      </c>
      <c r="C417" s="136" t="s">
        <v>866</v>
      </c>
      <c r="D417" s="116"/>
      <c r="E417" s="116"/>
      <c r="F417" s="116"/>
      <c r="G417" s="115"/>
      <c r="H417" s="116"/>
      <c r="I417" s="116"/>
      <c r="J417" s="116"/>
      <c r="K417" s="116"/>
      <c r="L417" s="116"/>
      <c r="M417" s="116"/>
      <c r="N417" s="116"/>
      <c r="O417" s="116"/>
      <c r="P417" s="166"/>
      <c r="Q417" s="116"/>
      <c r="R417" s="116"/>
      <c r="S417" s="191"/>
      <c r="T417" s="191"/>
      <c r="U417" s="116"/>
      <c r="V417" s="116"/>
      <c r="W417" s="116"/>
      <c r="X417" s="117"/>
      <c r="Y417" s="116"/>
      <c r="Z417" s="114"/>
      <c r="AB417" s="119"/>
      <c r="AD417" s="119"/>
      <c r="AE417" s="119"/>
      <c r="AF417" s="119"/>
      <c r="AG417" s="119"/>
      <c r="AH417" s="119"/>
      <c r="AI417" s="119"/>
      <c r="AJ417" s="119"/>
      <c r="AK417" s="119"/>
      <c r="AL417" s="119"/>
      <c r="AM417" s="119"/>
      <c r="AN417" s="119"/>
      <c r="AO417" s="119"/>
      <c r="AP417" s="119"/>
      <c r="AQ417" s="119"/>
      <c r="AR417" s="119"/>
      <c r="AS417" s="116" t="s">
        <v>812</v>
      </c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 t="str">
        <f t="shared" si="10"/>
        <v>门口的野蛮人：史上最强悍的资本收购(第版）</v>
      </c>
      <c r="BJ417" s="117"/>
      <c r="BK417" s="117"/>
      <c r="BL417" s="117"/>
      <c r="BN417" s="117"/>
      <c r="BO417" s="117"/>
      <c r="BP417" s="120"/>
      <c r="BR417" s="117"/>
      <c r="BS417" s="117"/>
      <c r="BZ417" s="117"/>
      <c r="CA417" s="144"/>
    </row>
    <row r="418" spans="1:79" s="118" customFormat="1" ht="33">
      <c r="A418" s="114"/>
      <c r="B418" s="114">
        <f t="shared" si="9"/>
        <v>1</v>
      </c>
      <c r="C418" s="136" t="s">
        <v>1146</v>
      </c>
      <c r="D418" s="116"/>
      <c r="E418" s="116"/>
      <c r="F418" s="116"/>
      <c r="G418" s="115"/>
      <c r="H418" s="116"/>
      <c r="I418" s="116"/>
      <c r="J418" s="116"/>
      <c r="K418" s="116"/>
      <c r="L418" s="116"/>
      <c r="M418" s="116"/>
      <c r="N418" s="116"/>
      <c r="O418" s="116"/>
      <c r="P418" s="166"/>
      <c r="Q418" s="116"/>
      <c r="R418" s="116"/>
      <c r="S418" s="191"/>
      <c r="T418" s="191"/>
      <c r="U418" s="116"/>
      <c r="V418" s="116"/>
      <c r="W418" s="116"/>
      <c r="X418" s="117"/>
      <c r="Y418" s="116"/>
      <c r="Z418" s="114"/>
      <c r="AB418" s="119"/>
      <c r="AD418" s="119"/>
      <c r="AE418" s="119"/>
      <c r="AF418" s="119"/>
      <c r="AG418" s="119"/>
      <c r="AH418" s="119"/>
      <c r="AI418" s="119"/>
      <c r="AJ418" s="119"/>
      <c r="AK418" s="119"/>
      <c r="AL418" s="119"/>
      <c r="AM418" s="119"/>
      <c r="AN418" s="119"/>
      <c r="AO418" s="119"/>
      <c r="AP418" s="119"/>
      <c r="AQ418" s="119"/>
      <c r="AR418" s="119"/>
      <c r="AS418" s="116" t="s">
        <v>828</v>
      </c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 t="str">
        <f t="shared" si="10"/>
        <v>正面领导：让员工跟定你的31个心理学小工具(第版）</v>
      </c>
      <c r="BJ418" s="117"/>
      <c r="BK418" s="117"/>
      <c r="BL418" s="117"/>
      <c r="BN418" s="117"/>
      <c r="BO418" s="117"/>
      <c r="BP418" s="120"/>
      <c r="BR418" s="117"/>
      <c r="BS418" s="117"/>
      <c r="BZ418" s="117"/>
      <c r="CA418" s="144"/>
    </row>
    <row r="419" spans="1:79" s="118" customFormat="1">
      <c r="A419" s="114"/>
      <c r="B419" s="114">
        <f t="shared" si="9"/>
        <v>1</v>
      </c>
      <c r="C419" s="136" t="s">
        <v>867</v>
      </c>
      <c r="D419" s="116"/>
      <c r="E419" s="116"/>
      <c r="F419" s="116"/>
      <c r="G419" s="115"/>
      <c r="H419" s="116"/>
      <c r="I419" s="116"/>
      <c r="J419" s="116"/>
      <c r="K419" s="116"/>
      <c r="L419" s="116"/>
      <c r="M419" s="116"/>
      <c r="N419" s="116"/>
      <c r="O419" s="116"/>
      <c r="P419" s="166"/>
      <c r="Q419" s="116"/>
      <c r="R419" s="116"/>
      <c r="S419" s="191"/>
      <c r="T419" s="191"/>
      <c r="U419" s="116"/>
      <c r="V419" s="116"/>
      <c r="W419" s="116"/>
      <c r="X419" s="117"/>
      <c r="Y419" s="116"/>
      <c r="Z419" s="114"/>
      <c r="AB419" s="119"/>
      <c r="AD419" s="119"/>
      <c r="AE419" s="119"/>
      <c r="AF419" s="119"/>
      <c r="AG419" s="119"/>
      <c r="AH419" s="119"/>
      <c r="AI419" s="119"/>
      <c r="AJ419" s="119"/>
      <c r="AK419" s="119"/>
      <c r="AL419" s="119"/>
      <c r="AM419" s="119"/>
      <c r="AN419" s="119"/>
      <c r="AO419" s="119"/>
      <c r="AP419" s="119"/>
      <c r="AQ419" s="119"/>
      <c r="AR419" s="119"/>
      <c r="AS419" s="116" t="s">
        <v>828</v>
      </c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 t="str">
        <f t="shared" si="10"/>
        <v>高绩效的HR：未来的HR转型(第版）</v>
      </c>
      <c r="BJ419" s="117"/>
      <c r="BK419" s="117"/>
      <c r="BL419" s="117"/>
      <c r="BN419" s="117"/>
      <c r="BO419" s="117"/>
      <c r="BP419" s="120"/>
      <c r="BR419" s="117"/>
      <c r="BS419" s="117"/>
      <c r="BZ419" s="117"/>
      <c r="CA419" s="144"/>
    </row>
    <row r="420" spans="1:79" s="118" customFormat="1">
      <c r="A420" s="114"/>
      <c r="B420" s="114">
        <f t="shared" si="9"/>
        <v>1</v>
      </c>
      <c r="C420" s="136" t="s">
        <v>1147</v>
      </c>
      <c r="D420" s="116"/>
      <c r="E420" s="116">
        <v>2</v>
      </c>
      <c r="F420" s="116"/>
      <c r="G420" s="115"/>
      <c r="H420" s="116"/>
      <c r="I420" s="116"/>
      <c r="J420" s="116"/>
      <c r="K420" s="116"/>
      <c r="L420" s="116"/>
      <c r="M420" s="116"/>
      <c r="N420" s="116"/>
      <c r="O420" s="116"/>
      <c r="P420" s="166"/>
      <c r="Q420" s="116"/>
      <c r="R420" s="116"/>
      <c r="S420" s="191"/>
      <c r="T420" s="191"/>
      <c r="U420" s="116"/>
      <c r="V420" s="116"/>
      <c r="W420" s="116"/>
      <c r="X420" s="117"/>
      <c r="Y420" s="116"/>
      <c r="Z420" s="114"/>
      <c r="AB420" s="119"/>
      <c r="AD420" s="119"/>
      <c r="AE420" s="119"/>
      <c r="AF420" s="119"/>
      <c r="AG420" s="119"/>
      <c r="AH420" s="119"/>
      <c r="AI420" s="119"/>
      <c r="AJ420" s="119"/>
      <c r="AK420" s="119"/>
      <c r="AL420" s="119"/>
      <c r="AM420" s="119"/>
      <c r="AN420" s="119"/>
      <c r="AO420" s="119"/>
      <c r="AP420" s="119"/>
      <c r="AQ420" s="119"/>
      <c r="AR420" s="119"/>
      <c r="AS420" s="116" t="s">
        <v>828</v>
      </c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 t="str">
        <f t="shared" si="10"/>
        <v>影响力大师：如何调动团队力量(第2版）</v>
      </c>
      <c r="BJ420" s="117"/>
      <c r="BK420" s="117"/>
      <c r="BL420" s="117"/>
      <c r="BN420" s="117"/>
      <c r="BO420" s="117"/>
      <c r="BP420" s="120"/>
      <c r="BR420" s="117"/>
      <c r="BS420" s="117"/>
      <c r="BZ420" s="117"/>
      <c r="CA420" s="144"/>
    </row>
    <row r="421" spans="1:79" s="118" customFormat="1">
      <c r="A421" s="114"/>
      <c r="B421" s="114">
        <f t="shared" si="9"/>
        <v>1</v>
      </c>
      <c r="C421" s="136" t="s">
        <v>868</v>
      </c>
      <c r="D421" s="116"/>
      <c r="E421" s="116"/>
      <c r="F421" s="116"/>
      <c r="G421" s="115"/>
      <c r="H421" s="116"/>
      <c r="I421" s="116"/>
      <c r="J421" s="116"/>
      <c r="K421" s="116"/>
      <c r="L421" s="116"/>
      <c r="M421" s="116"/>
      <c r="N421" s="116"/>
      <c r="O421" s="116"/>
      <c r="P421" s="166"/>
      <c r="Q421" s="116"/>
      <c r="R421" s="116"/>
      <c r="S421" s="191"/>
      <c r="T421" s="191"/>
      <c r="U421" s="116"/>
      <c r="V421" s="116"/>
      <c r="W421" s="116"/>
      <c r="X421" s="117"/>
      <c r="Y421" s="116"/>
      <c r="Z421" s="114"/>
      <c r="AB421" s="119"/>
      <c r="AD421" s="119"/>
      <c r="AE421" s="119"/>
      <c r="AF421" s="119"/>
      <c r="AG421" s="119"/>
      <c r="AH421" s="119"/>
      <c r="AI421" s="119"/>
      <c r="AJ421" s="119"/>
      <c r="AK421" s="119"/>
      <c r="AL421" s="119"/>
      <c r="AM421" s="119"/>
      <c r="AN421" s="119"/>
      <c r="AO421" s="119"/>
      <c r="AP421" s="119"/>
      <c r="AQ421" s="119"/>
      <c r="AR421" s="119"/>
      <c r="AS421" s="116" t="s">
        <v>812</v>
      </c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 t="str">
        <f t="shared" si="10"/>
        <v>管理百年(第版）</v>
      </c>
      <c r="BJ421" s="117"/>
      <c r="BK421" s="117"/>
      <c r="BL421" s="117"/>
      <c r="BN421" s="117"/>
      <c r="BO421" s="117"/>
      <c r="BP421" s="120"/>
      <c r="BR421" s="117"/>
      <c r="BS421" s="117"/>
      <c r="BZ421" s="117"/>
      <c r="CA421" s="144"/>
    </row>
    <row r="422" spans="1:79" s="118" customFormat="1">
      <c r="A422" s="114"/>
      <c r="B422" s="114">
        <f t="shared" si="9"/>
        <v>1</v>
      </c>
      <c r="C422" s="136" t="s">
        <v>869</v>
      </c>
      <c r="D422" s="116"/>
      <c r="E422" s="116"/>
      <c r="F422" s="116"/>
      <c r="G422" s="115"/>
      <c r="H422" s="116"/>
      <c r="I422" s="116"/>
      <c r="J422" s="116"/>
      <c r="K422" s="116"/>
      <c r="L422" s="116"/>
      <c r="M422" s="116"/>
      <c r="N422" s="116"/>
      <c r="O422" s="116"/>
      <c r="P422" s="166"/>
      <c r="Q422" s="116"/>
      <c r="R422" s="116"/>
      <c r="S422" s="191"/>
      <c r="T422" s="191"/>
      <c r="U422" s="116"/>
      <c r="V422" s="116"/>
      <c r="W422" s="116"/>
      <c r="X422" s="117"/>
      <c r="Y422" s="116"/>
      <c r="Z422" s="114"/>
      <c r="AB422" s="119"/>
      <c r="AD422" s="119"/>
      <c r="AE422" s="119"/>
      <c r="AF422" s="119"/>
      <c r="AG422" s="119"/>
      <c r="AH422" s="119"/>
      <c r="AI422" s="119"/>
      <c r="AJ422" s="119"/>
      <c r="AK422" s="119"/>
      <c r="AL422" s="119"/>
      <c r="AM422" s="119"/>
      <c r="AN422" s="119"/>
      <c r="AO422" s="119"/>
      <c r="AP422" s="119"/>
      <c r="AQ422" s="119"/>
      <c r="AR422" s="119"/>
      <c r="AS422" s="116" t="s">
        <v>812</v>
      </c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 t="str">
        <f t="shared" si="10"/>
        <v>这是你的船(第版）</v>
      </c>
      <c r="BJ422" s="117"/>
      <c r="BK422" s="117"/>
      <c r="BL422" s="117"/>
      <c r="BN422" s="117"/>
      <c r="BO422" s="117"/>
      <c r="BP422" s="120"/>
      <c r="BR422" s="117"/>
      <c r="BS422" s="117"/>
      <c r="BZ422" s="117"/>
      <c r="CA422" s="144"/>
    </row>
    <row r="423" spans="1:79" s="118" customFormat="1">
      <c r="A423" s="114"/>
      <c r="B423" s="114">
        <f t="shared" si="9"/>
        <v>1</v>
      </c>
      <c r="C423" s="136" t="s">
        <v>870</v>
      </c>
      <c r="D423" s="116"/>
      <c r="E423" s="116"/>
      <c r="F423" s="116"/>
      <c r="G423" s="115"/>
      <c r="H423" s="116"/>
      <c r="I423" s="116"/>
      <c r="J423" s="116"/>
      <c r="K423" s="116"/>
      <c r="L423" s="116"/>
      <c r="M423" s="116"/>
      <c r="N423" s="116"/>
      <c r="O423" s="116"/>
      <c r="P423" s="166"/>
      <c r="Q423" s="116"/>
      <c r="R423" s="116"/>
      <c r="S423" s="191"/>
      <c r="T423" s="191"/>
      <c r="U423" s="116"/>
      <c r="V423" s="116"/>
      <c r="W423" s="116"/>
      <c r="X423" s="117"/>
      <c r="Y423" s="116"/>
      <c r="Z423" s="114"/>
      <c r="AB423" s="119"/>
      <c r="AD423" s="119"/>
      <c r="AE423" s="119"/>
      <c r="AF423" s="119"/>
      <c r="AG423" s="119"/>
      <c r="AH423" s="119"/>
      <c r="AI423" s="119"/>
      <c r="AJ423" s="119"/>
      <c r="AK423" s="119"/>
      <c r="AL423" s="119"/>
      <c r="AM423" s="119"/>
      <c r="AN423" s="119"/>
      <c r="AO423" s="119"/>
      <c r="AP423" s="119"/>
      <c r="AQ423" s="119"/>
      <c r="AR423" s="119"/>
      <c r="AS423" s="116" t="s">
        <v>812</v>
      </c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 t="str">
        <f t="shared" si="10"/>
        <v>麦肯锡管理经典(第版）</v>
      </c>
      <c r="BJ423" s="117"/>
      <c r="BK423" s="117"/>
      <c r="BL423" s="117"/>
      <c r="BN423" s="117"/>
      <c r="BO423" s="117"/>
      <c r="BP423" s="120"/>
      <c r="BR423" s="117"/>
      <c r="BS423" s="117"/>
      <c r="BZ423" s="117"/>
      <c r="CA423" s="144"/>
    </row>
    <row r="424" spans="1:79" s="118" customFormat="1">
      <c r="A424" s="114"/>
      <c r="B424" s="114">
        <f t="shared" si="9"/>
        <v>1</v>
      </c>
      <c r="C424" s="136" t="s">
        <v>871</v>
      </c>
      <c r="D424" s="116"/>
      <c r="E424" s="116"/>
      <c r="F424" s="116"/>
      <c r="G424" s="115"/>
      <c r="H424" s="116"/>
      <c r="I424" s="116"/>
      <c r="J424" s="116"/>
      <c r="K424" s="116"/>
      <c r="L424" s="116"/>
      <c r="M424" s="116"/>
      <c r="N424" s="116"/>
      <c r="O424" s="116"/>
      <c r="P424" s="166"/>
      <c r="Q424" s="116"/>
      <c r="R424" s="116"/>
      <c r="S424" s="191"/>
      <c r="T424" s="191"/>
      <c r="U424" s="116"/>
      <c r="V424" s="116"/>
      <c r="W424" s="116"/>
      <c r="X424" s="117"/>
      <c r="Y424" s="116"/>
      <c r="Z424" s="114"/>
      <c r="AB424" s="119"/>
      <c r="AD424" s="119"/>
      <c r="AE424" s="119"/>
      <c r="AF424" s="119"/>
      <c r="AG424" s="119"/>
      <c r="AH424" s="119"/>
      <c r="AI424" s="119"/>
      <c r="AJ424" s="119"/>
      <c r="AK424" s="119"/>
      <c r="AL424" s="119"/>
      <c r="AM424" s="119"/>
      <c r="AN424" s="119"/>
      <c r="AO424" s="119"/>
      <c r="AP424" s="119"/>
      <c r="AQ424" s="119"/>
      <c r="AR424" s="119"/>
      <c r="AS424" s="116" t="s">
        <v>812</v>
      </c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 t="str">
        <f t="shared" si="10"/>
        <v>软技能：代码之外的生存指南(第版）</v>
      </c>
      <c r="BJ424" s="117"/>
      <c r="BK424" s="117"/>
      <c r="BL424" s="117"/>
      <c r="BN424" s="117"/>
      <c r="BO424" s="117"/>
      <c r="BP424" s="120"/>
      <c r="BR424" s="117"/>
      <c r="BS424" s="117"/>
      <c r="BZ424" s="117"/>
      <c r="CA424" s="144"/>
    </row>
    <row r="425" spans="1:79" s="118" customFormat="1">
      <c r="A425" s="114"/>
      <c r="B425" s="114">
        <f t="shared" si="9"/>
        <v>1</v>
      </c>
      <c r="C425" s="136" t="s">
        <v>872</v>
      </c>
      <c r="D425" s="116"/>
      <c r="E425" s="116"/>
      <c r="F425" s="116"/>
      <c r="G425" s="115"/>
      <c r="H425" s="116"/>
      <c r="I425" s="116"/>
      <c r="J425" s="116"/>
      <c r="K425" s="116"/>
      <c r="L425" s="116"/>
      <c r="M425" s="116"/>
      <c r="N425" s="116"/>
      <c r="O425" s="116"/>
      <c r="P425" s="166"/>
      <c r="Q425" s="116"/>
      <c r="R425" s="116"/>
      <c r="S425" s="191"/>
      <c r="T425" s="191"/>
      <c r="U425" s="116"/>
      <c r="V425" s="116"/>
      <c r="W425" s="116"/>
      <c r="X425" s="117"/>
      <c r="Y425" s="116"/>
      <c r="Z425" s="114"/>
      <c r="AB425" s="119"/>
      <c r="AD425" s="119"/>
      <c r="AE425" s="119"/>
      <c r="AF425" s="119"/>
      <c r="AG425" s="119"/>
      <c r="AH425" s="119"/>
      <c r="AI425" s="119"/>
      <c r="AJ425" s="119"/>
      <c r="AK425" s="119"/>
      <c r="AL425" s="119"/>
      <c r="AM425" s="119"/>
      <c r="AN425" s="119"/>
      <c r="AO425" s="119"/>
      <c r="AP425" s="119"/>
      <c r="AQ425" s="119"/>
      <c r="AR425" s="119"/>
      <c r="AS425" s="116" t="s">
        <v>812</v>
      </c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 t="str">
        <f t="shared" si="10"/>
        <v>科学管理原理(第版）</v>
      </c>
      <c r="BJ425" s="117"/>
      <c r="BK425" s="117"/>
      <c r="BL425" s="117"/>
      <c r="BN425" s="117"/>
      <c r="BO425" s="117"/>
      <c r="BP425" s="120"/>
      <c r="BR425" s="117"/>
      <c r="BS425" s="117"/>
      <c r="BZ425" s="117"/>
      <c r="CA425" s="144"/>
    </row>
    <row r="426" spans="1:79" s="118" customFormat="1">
      <c r="A426" s="114"/>
      <c r="B426" s="114">
        <f t="shared" si="9"/>
        <v>1</v>
      </c>
      <c r="C426" s="136" t="s">
        <v>873</v>
      </c>
      <c r="D426" s="116"/>
      <c r="E426" s="116"/>
      <c r="F426" s="116"/>
      <c r="G426" s="115"/>
      <c r="H426" s="116"/>
      <c r="I426" s="116"/>
      <c r="J426" s="116"/>
      <c r="K426" s="116"/>
      <c r="L426" s="116"/>
      <c r="M426" s="116"/>
      <c r="N426" s="116"/>
      <c r="O426" s="116"/>
      <c r="P426" s="166"/>
      <c r="Q426" s="116"/>
      <c r="R426" s="116"/>
      <c r="S426" s="191"/>
      <c r="T426" s="191"/>
      <c r="U426" s="116"/>
      <c r="V426" s="116"/>
      <c r="W426" s="116"/>
      <c r="X426" s="117"/>
      <c r="Y426" s="116"/>
      <c r="Z426" s="114"/>
      <c r="AB426" s="119"/>
      <c r="AD426" s="119"/>
      <c r="AE426" s="119"/>
      <c r="AF426" s="119"/>
      <c r="AG426" s="119"/>
      <c r="AH426" s="119"/>
      <c r="AI426" s="119"/>
      <c r="AJ426" s="119"/>
      <c r="AK426" s="119"/>
      <c r="AL426" s="119"/>
      <c r="AM426" s="119"/>
      <c r="AN426" s="119"/>
      <c r="AO426" s="119"/>
      <c r="AP426" s="119"/>
      <c r="AQ426" s="119"/>
      <c r="AR426" s="119"/>
      <c r="AS426" s="116" t="s">
        <v>812</v>
      </c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 t="str">
        <f t="shared" si="10"/>
        <v>卓有成效管理者的实践(第版）</v>
      </c>
      <c r="BJ426" s="117"/>
      <c r="BK426" s="117"/>
      <c r="BL426" s="117"/>
      <c r="BN426" s="117"/>
      <c r="BO426" s="117"/>
      <c r="BP426" s="120"/>
      <c r="BR426" s="117"/>
      <c r="BS426" s="117"/>
      <c r="BZ426" s="117"/>
      <c r="CA426" s="144"/>
    </row>
    <row r="427" spans="1:79" s="118" customFormat="1">
      <c r="A427" s="114"/>
      <c r="B427" s="114">
        <f t="shared" si="9"/>
        <v>1</v>
      </c>
      <c r="C427" s="136" t="s">
        <v>874</v>
      </c>
      <c r="D427" s="116"/>
      <c r="E427" s="116"/>
      <c r="F427" s="116"/>
      <c r="G427" s="115"/>
      <c r="H427" s="116"/>
      <c r="I427" s="116"/>
      <c r="J427" s="116"/>
      <c r="K427" s="116"/>
      <c r="L427" s="116"/>
      <c r="M427" s="116"/>
      <c r="N427" s="116"/>
      <c r="O427" s="116"/>
      <c r="P427" s="166"/>
      <c r="Q427" s="116"/>
      <c r="R427" s="116"/>
      <c r="S427" s="191"/>
      <c r="T427" s="191"/>
      <c r="U427" s="116"/>
      <c r="V427" s="116"/>
      <c r="W427" s="116"/>
      <c r="X427" s="117"/>
      <c r="Y427" s="116"/>
      <c r="Z427" s="114"/>
      <c r="AB427" s="119"/>
      <c r="AD427" s="119"/>
      <c r="AE427" s="119"/>
      <c r="AF427" s="119"/>
      <c r="AG427" s="119"/>
      <c r="AH427" s="119"/>
      <c r="AI427" s="119"/>
      <c r="AJ427" s="119"/>
      <c r="AK427" s="119"/>
      <c r="AL427" s="119"/>
      <c r="AM427" s="119"/>
      <c r="AN427" s="119"/>
      <c r="AO427" s="119"/>
      <c r="AP427" s="119"/>
      <c r="AQ427" s="119"/>
      <c r="AR427" s="119"/>
      <c r="AS427" s="116" t="s">
        <v>812</v>
      </c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 t="str">
        <f t="shared" si="10"/>
        <v>成果管理(第版）</v>
      </c>
      <c r="BJ427" s="117"/>
      <c r="BK427" s="117"/>
      <c r="BL427" s="117"/>
      <c r="BN427" s="117"/>
      <c r="BO427" s="117"/>
      <c r="BP427" s="120"/>
      <c r="BR427" s="117"/>
      <c r="BS427" s="117"/>
      <c r="BZ427" s="117"/>
      <c r="CA427" s="144"/>
    </row>
    <row r="428" spans="1:79" s="118" customFormat="1">
      <c r="A428" s="114"/>
      <c r="B428" s="114">
        <f t="shared" si="9"/>
        <v>1</v>
      </c>
      <c r="C428" s="136" t="s">
        <v>875</v>
      </c>
      <c r="D428" s="116"/>
      <c r="E428" s="116"/>
      <c r="F428" s="116"/>
      <c r="G428" s="115"/>
      <c r="H428" s="116"/>
      <c r="I428" s="116"/>
      <c r="J428" s="116"/>
      <c r="K428" s="116"/>
      <c r="L428" s="116"/>
      <c r="M428" s="116"/>
      <c r="N428" s="116"/>
      <c r="O428" s="116"/>
      <c r="P428" s="166"/>
      <c r="Q428" s="116"/>
      <c r="R428" s="116"/>
      <c r="S428" s="191"/>
      <c r="T428" s="191"/>
      <c r="U428" s="116"/>
      <c r="V428" s="116"/>
      <c r="W428" s="116"/>
      <c r="X428" s="117"/>
      <c r="Y428" s="116"/>
      <c r="Z428" s="114"/>
      <c r="AB428" s="119"/>
      <c r="AD428" s="119"/>
      <c r="AE428" s="119"/>
      <c r="AF428" s="119"/>
      <c r="AG428" s="119"/>
      <c r="AH428" s="119"/>
      <c r="AI428" s="119"/>
      <c r="AJ428" s="119"/>
      <c r="AK428" s="119"/>
      <c r="AL428" s="119"/>
      <c r="AM428" s="119"/>
      <c r="AN428" s="119"/>
      <c r="AO428" s="119"/>
      <c r="AP428" s="119"/>
      <c r="AQ428" s="119"/>
      <c r="AR428" s="119"/>
      <c r="AS428" s="116" t="s">
        <v>812</v>
      </c>
      <c r="AT428" s="116"/>
      <c r="AU428" s="116"/>
      <c r="AV428" s="116"/>
      <c r="AW428" s="116"/>
      <c r="AX428" s="116"/>
      <c r="AY428" s="116"/>
      <c r="AZ428" s="116"/>
      <c r="BA428" s="116"/>
      <c r="BB428" s="116"/>
      <c r="BC428" s="116"/>
      <c r="BD428" s="116"/>
      <c r="BE428" s="116"/>
      <c r="BF428" s="116"/>
      <c r="BG428" s="116"/>
      <c r="BH428" s="116"/>
      <c r="BI428" s="116" t="str">
        <f t="shared" si="10"/>
        <v>创新与企业家精神(第版）</v>
      </c>
      <c r="BJ428" s="117"/>
      <c r="BK428" s="117"/>
      <c r="BL428" s="117"/>
      <c r="BN428" s="117"/>
      <c r="BO428" s="117"/>
      <c r="BP428" s="120"/>
      <c r="BR428" s="117"/>
      <c r="BS428" s="117"/>
      <c r="BZ428" s="117"/>
      <c r="CA428" s="144"/>
    </row>
    <row r="429" spans="1:79" s="118" customFormat="1">
      <c r="A429" s="114"/>
      <c r="B429" s="114">
        <f t="shared" si="9"/>
        <v>1</v>
      </c>
      <c r="C429" s="136" t="s">
        <v>876</v>
      </c>
      <c r="D429" s="116"/>
      <c r="E429" s="116"/>
      <c r="F429" s="116"/>
      <c r="G429" s="115"/>
      <c r="H429" s="116"/>
      <c r="I429" s="116"/>
      <c r="J429" s="116"/>
      <c r="K429" s="116"/>
      <c r="L429" s="116"/>
      <c r="M429" s="116"/>
      <c r="N429" s="116"/>
      <c r="O429" s="116"/>
      <c r="P429" s="166"/>
      <c r="Q429" s="116"/>
      <c r="R429" s="116"/>
      <c r="S429" s="191"/>
      <c r="T429" s="191"/>
      <c r="U429" s="116"/>
      <c r="V429" s="116"/>
      <c r="W429" s="116"/>
      <c r="X429" s="117"/>
      <c r="Y429" s="116"/>
      <c r="Z429" s="114"/>
      <c r="AB429" s="119"/>
      <c r="AD429" s="119"/>
      <c r="AE429" s="119"/>
      <c r="AF429" s="119"/>
      <c r="AG429" s="119"/>
      <c r="AH429" s="119"/>
      <c r="AI429" s="119"/>
      <c r="AJ429" s="119"/>
      <c r="AK429" s="119"/>
      <c r="AL429" s="119"/>
      <c r="AM429" s="119"/>
      <c r="AN429" s="119"/>
      <c r="AO429" s="119"/>
      <c r="AP429" s="119"/>
      <c r="AQ429" s="119"/>
      <c r="AR429" s="119"/>
      <c r="AS429" s="116" t="s">
        <v>812</v>
      </c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 t="str">
        <f t="shared" si="10"/>
        <v>旁观者：管理大师德鲁克回忆录(第版）</v>
      </c>
      <c r="BJ429" s="117"/>
      <c r="BK429" s="117"/>
      <c r="BL429" s="117"/>
      <c r="BN429" s="117"/>
      <c r="BO429" s="117"/>
      <c r="BP429" s="120"/>
      <c r="BR429" s="117"/>
      <c r="BS429" s="117"/>
      <c r="BZ429" s="117"/>
      <c r="CA429" s="144"/>
    </row>
    <row r="430" spans="1:79" s="118" customFormat="1">
      <c r="A430" s="114"/>
      <c r="B430" s="114">
        <f t="shared" si="9"/>
        <v>1</v>
      </c>
      <c r="C430" s="136" t="s">
        <v>877</v>
      </c>
      <c r="D430" s="116"/>
      <c r="E430" s="116"/>
      <c r="F430" s="116"/>
      <c r="G430" s="115"/>
      <c r="H430" s="116"/>
      <c r="I430" s="116"/>
      <c r="J430" s="116"/>
      <c r="K430" s="116"/>
      <c r="L430" s="116"/>
      <c r="M430" s="116"/>
      <c r="N430" s="116"/>
      <c r="O430" s="116"/>
      <c r="P430" s="166"/>
      <c r="Q430" s="116"/>
      <c r="R430" s="116"/>
      <c r="S430" s="191"/>
      <c r="T430" s="191"/>
      <c r="U430" s="116"/>
      <c r="V430" s="116"/>
      <c r="W430" s="116"/>
      <c r="X430" s="117"/>
      <c r="Y430" s="116"/>
      <c r="Z430" s="114"/>
      <c r="AB430" s="119"/>
      <c r="AD430" s="119"/>
      <c r="AE430" s="119"/>
      <c r="AF430" s="119"/>
      <c r="AG430" s="119"/>
      <c r="AH430" s="119"/>
      <c r="AI430" s="119"/>
      <c r="AJ430" s="119"/>
      <c r="AK430" s="119"/>
      <c r="AL430" s="119"/>
      <c r="AM430" s="119"/>
      <c r="AN430" s="119"/>
      <c r="AO430" s="119"/>
      <c r="AP430" s="119"/>
      <c r="AQ430" s="119"/>
      <c r="AR430" s="119"/>
      <c r="AS430" s="116" t="s">
        <v>812</v>
      </c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 t="str">
        <f t="shared" si="10"/>
        <v>管理工作的本质(第版）</v>
      </c>
      <c r="BJ430" s="117"/>
      <c r="BK430" s="117"/>
      <c r="BL430" s="117"/>
      <c r="BN430" s="117"/>
      <c r="BO430" s="117"/>
      <c r="BP430" s="120"/>
      <c r="BR430" s="117"/>
      <c r="BS430" s="117"/>
      <c r="BZ430" s="117"/>
      <c r="CA430" s="144"/>
    </row>
    <row r="431" spans="1:79" s="118" customFormat="1">
      <c r="A431" s="114"/>
      <c r="B431" s="114">
        <f t="shared" si="9"/>
        <v>1</v>
      </c>
      <c r="C431" s="136" t="s">
        <v>878</v>
      </c>
      <c r="D431" s="116"/>
      <c r="E431" s="116"/>
      <c r="F431" s="116"/>
      <c r="G431" s="115"/>
      <c r="H431" s="116"/>
      <c r="I431" s="116"/>
      <c r="J431" s="116"/>
      <c r="K431" s="116"/>
      <c r="L431" s="116"/>
      <c r="M431" s="116"/>
      <c r="N431" s="116"/>
      <c r="O431" s="116"/>
      <c r="P431" s="166"/>
      <c r="Q431" s="116"/>
      <c r="R431" s="116"/>
      <c r="S431" s="191"/>
      <c r="T431" s="191"/>
      <c r="U431" s="116"/>
      <c r="V431" s="116"/>
      <c r="W431" s="116"/>
      <c r="X431" s="117"/>
      <c r="Y431" s="116"/>
      <c r="Z431" s="114"/>
      <c r="AB431" s="119"/>
      <c r="AD431" s="119"/>
      <c r="AE431" s="119"/>
      <c r="AF431" s="119"/>
      <c r="AG431" s="119"/>
      <c r="AH431" s="119"/>
      <c r="AI431" s="119"/>
      <c r="AJ431" s="119"/>
      <c r="AK431" s="119"/>
      <c r="AL431" s="119"/>
      <c r="AM431" s="119"/>
      <c r="AN431" s="119"/>
      <c r="AO431" s="119"/>
      <c r="AP431" s="119"/>
      <c r="AQ431" s="119"/>
      <c r="AR431" s="119"/>
      <c r="AS431" s="116" t="s">
        <v>812</v>
      </c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 t="str">
        <f t="shared" si="10"/>
        <v>罗斯柴尔德家族下(第版）</v>
      </c>
      <c r="BJ431" s="117"/>
      <c r="BK431" s="117"/>
      <c r="BL431" s="117"/>
      <c r="BN431" s="117"/>
      <c r="BO431" s="117"/>
      <c r="BP431" s="120"/>
      <c r="BR431" s="117"/>
      <c r="BS431" s="117"/>
      <c r="BZ431" s="117"/>
      <c r="CA431" s="144"/>
    </row>
    <row r="432" spans="1:79" s="118" customFormat="1">
      <c r="A432" s="114"/>
      <c r="B432" s="114">
        <f t="shared" si="9"/>
        <v>1</v>
      </c>
      <c r="C432" s="136" t="s">
        <v>879</v>
      </c>
      <c r="D432" s="116"/>
      <c r="E432" s="116"/>
      <c r="F432" s="116"/>
      <c r="G432" s="115"/>
      <c r="H432" s="116"/>
      <c r="I432" s="116"/>
      <c r="J432" s="116"/>
      <c r="K432" s="116"/>
      <c r="L432" s="116"/>
      <c r="M432" s="116"/>
      <c r="N432" s="116"/>
      <c r="O432" s="116"/>
      <c r="P432" s="166"/>
      <c r="Q432" s="116"/>
      <c r="R432" s="116"/>
      <c r="S432" s="191"/>
      <c r="T432" s="191"/>
      <c r="U432" s="116"/>
      <c r="V432" s="116"/>
      <c r="W432" s="116"/>
      <c r="X432" s="117"/>
      <c r="Y432" s="116"/>
      <c r="Z432" s="114"/>
      <c r="AB432" s="119"/>
      <c r="AD432" s="119"/>
      <c r="AE432" s="119"/>
      <c r="AF432" s="119"/>
      <c r="AG432" s="119"/>
      <c r="AH432" s="119"/>
      <c r="AI432" s="119"/>
      <c r="AJ432" s="119"/>
      <c r="AK432" s="119"/>
      <c r="AL432" s="119"/>
      <c r="AM432" s="119"/>
      <c r="AN432" s="119"/>
      <c r="AO432" s="119"/>
      <c r="AP432" s="119"/>
      <c r="AQ432" s="119"/>
      <c r="AR432" s="119"/>
      <c r="AS432" s="116" t="s">
        <v>812</v>
      </c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 t="str">
        <f t="shared" si="10"/>
        <v>罗斯柴尔德家族中(第版）</v>
      </c>
      <c r="BJ432" s="117"/>
      <c r="BK432" s="117"/>
      <c r="BL432" s="117"/>
      <c r="BN432" s="117"/>
      <c r="BO432" s="117"/>
      <c r="BP432" s="120"/>
      <c r="BR432" s="117"/>
      <c r="BS432" s="117"/>
      <c r="BZ432" s="117"/>
      <c r="CA432" s="144"/>
    </row>
    <row r="433" spans="1:79" s="118" customFormat="1">
      <c r="A433" s="114"/>
      <c r="B433" s="114">
        <f t="shared" si="9"/>
        <v>1</v>
      </c>
      <c r="C433" s="136" t="s">
        <v>880</v>
      </c>
      <c r="D433" s="116"/>
      <c r="E433" s="116"/>
      <c r="F433" s="116"/>
      <c r="G433" s="115"/>
      <c r="H433" s="116"/>
      <c r="I433" s="116"/>
      <c r="J433" s="116"/>
      <c r="K433" s="116"/>
      <c r="L433" s="116"/>
      <c r="M433" s="116"/>
      <c r="N433" s="116"/>
      <c r="O433" s="116"/>
      <c r="P433" s="166"/>
      <c r="Q433" s="116"/>
      <c r="R433" s="116"/>
      <c r="S433" s="191"/>
      <c r="T433" s="191"/>
      <c r="U433" s="116"/>
      <c r="V433" s="116"/>
      <c r="W433" s="116"/>
      <c r="X433" s="117"/>
      <c r="Y433" s="116"/>
      <c r="Z433" s="114"/>
      <c r="AB433" s="119"/>
      <c r="AD433" s="119"/>
      <c r="AE433" s="119"/>
      <c r="AF433" s="119"/>
      <c r="AG433" s="119"/>
      <c r="AH433" s="119"/>
      <c r="AI433" s="119"/>
      <c r="AJ433" s="119"/>
      <c r="AK433" s="119"/>
      <c r="AL433" s="119"/>
      <c r="AM433" s="119"/>
      <c r="AN433" s="119"/>
      <c r="AO433" s="119"/>
      <c r="AP433" s="119"/>
      <c r="AQ433" s="119"/>
      <c r="AR433" s="119"/>
      <c r="AS433" s="116" t="s">
        <v>812</v>
      </c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 t="str">
        <f t="shared" si="10"/>
        <v>罗斯柴尔德家族上(第版）</v>
      </c>
      <c r="BJ433" s="117"/>
      <c r="BK433" s="117"/>
      <c r="BL433" s="117"/>
      <c r="BN433" s="117"/>
      <c r="BO433" s="117"/>
      <c r="BP433" s="120"/>
      <c r="BR433" s="117"/>
      <c r="BS433" s="117"/>
      <c r="BZ433" s="117"/>
      <c r="CA433" s="144"/>
    </row>
    <row r="434" spans="1:79" s="118" customFormat="1">
      <c r="A434" s="114"/>
      <c r="B434" s="114">
        <f t="shared" si="9"/>
        <v>1</v>
      </c>
      <c r="C434" s="136" t="s">
        <v>881</v>
      </c>
      <c r="D434" s="116"/>
      <c r="E434" s="116"/>
      <c r="F434" s="116"/>
      <c r="G434" s="115"/>
      <c r="H434" s="116"/>
      <c r="I434" s="116"/>
      <c r="J434" s="116"/>
      <c r="K434" s="116"/>
      <c r="L434" s="116"/>
      <c r="M434" s="116"/>
      <c r="N434" s="116"/>
      <c r="O434" s="116"/>
      <c r="P434" s="166"/>
      <c r="Q434" s="116"/>
      <c r="R434" s="116"/>
      <c r="S434" s="191"/>
      <c r="T434" s="191"/>
      <c r="U434" s="116"/>
      <c r="V434" s="116"/>
      <c r="W434" s="116"/>
      <c r="X434" s="117"/>
      <c r="Y434" s="116"/>
      <c r="Z434" s="114"/>
      <c r="AB434" s="119"/>
      <c r="AD434" s="119"/>
      <c r="AE434" s="119"/>
      <c r="AF434" s="119"/>
      <c r="AG434" s="119"/>
      <c r="AH434" s="119"/>
      <c r="AI434" s="119"/>
      <c r="AJ434" s="119"/>
      <c r="AK434" s="119"/>
      <c r="AL434" s="119"/>
      <c r="AM434" s="119"/>
      <c r="AN434" s="119"/>
      <c r="AO434" s="119"/>
      <c r="AP434" s="119"/>
      <c r="AQ434" s="119"/>
      <c r="AR434" s="119"/>
      <c r="AS434" s="116" t="s">
        <v>812</v>
      </c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 t="str">
        <f t="shared" ref="BI434:BI439" si="11">C434&amp;"(第"&amp;E434&amp;"版）"</f>
        <v>引领转型(第版）</v>
      </c>
      <c r="BJ434" s="117"/>
      <c r="BK434" s="117"/>
      <c r="BL434" s="117"/>
      <c r="BN434" s="117"/>
      <c r="BO434" s="117"/>
      <c r="BP434" s="120"/>
      <c r="BR434" s="117"/>
      <c r="BS434" s="117"/>
      <c r="BZ434" s="117"/>
      <c r="CA434" s="144"/>
    </row>
    <row r="435" spans="1:79" s="118" customFormat="1" ht="33">
      <c r="A435" s="114"/>
      <c r="B435" s="114">
        <f t="shared" si="9"/>
        <v>1</v>
      </c>
      <c r="C435" s="136" t="s">
        <v>882</v>
      </c>
      <c r="D435" s="116"/>
      <c r="E435" s="116"/>
      <c r="F435" s="116"/>
      <c r="G435" s="115"/>
      <c r="H435" s="116"/>
      <c r="I435" s="116"/>
      <c r="J435" s="116"/>
      <c r="K435" s="116"/>
      <c r="L435" s="116"/>
      <c r="M435" s="116"/>
      <c r="N435" s="116"/>
      <c r="O435" s="116"/>
      <c r="P435" s="166"/>
      <c r="Q435" s="116"/>
      <c r="R435" s="116"/>
      <c r="S435" s="191"/>
      <c r="T435" s="191"/>
      <c r="U435" s="116"/>
      <c r="V435" s="116"/>
      <c r="W435" s="116"/>
      <c r="X435" s="117"/>
      <c r="Y435" s="116"/>
      <c r="Z435" s="114"/>
      <c r="AB435" s="119"/>
      <c r="AD435" s="119"/>
      <c r="AE435" s="119"/>
      <c r="AF435" s="119"/>
      <c r="AG435" s="119"/>
      <c r="AH435" s="119"/>
      <c r="AI435" s="119"/>
      <c r="AJ435" s="119"/>
      <c r="AK435" s="119"/>
      <c r="AL435" s="119"/>
      <c r="AM435" s="119"/>
      <c r="AN435" s="119"/>
      <c r="AO435" s="119"/>
      <c r="AP435" s="119"/>
      <c r="AQ435" s="119"/>
      <c r="AR435" s="119"/>
      <c r="AS435" s="116" t="s">
        <v>812</v>
      </c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 t="str">
        <f t="shared" si="11"/>
        <v>卓有成效的领导者：8项核心技能帮你从优秀到卓越(第版）</v>
      </c>
      <c r="BJ435" s="117"/>
      <c r="BK435" s="117"/>
      <c r="BL435" s="117"/>
      <c r="BN435" s="117"/>
      <c r="BO435" s="117"/>
      <c r="BP435" s="120"/>
      <c r="BR435" s="117"/>
      <c r="BS435" s="117"/>
      <c r="BZ435" s="117"/>
      <c r="CA435" s="144"/>
    </row>
    <row r="436" spans="1:79" s="118" customFormat="1">
      <c r="A436" s="114"/>
      <c r="B436" s="114">
        <f t="shared" si="9"/>
        <v>1</v>
      </c>
      <c r="C436" s="136" t="s">
        <v>883</v>
      </c>
      <c r="D436" s="116"/>
      <c r="E436" s="116"/>
      <c r="F436" s="116"/>
      <c r="G436" s="115"/>
      <c r="H436" s="116"/>
      <c r="I436" s="116"/>
      <c r="J436" s="116"/>
      <c r="K436" s="116"/>
      <c r="L436" s="116"/>
      <c r="M436" s="116"/>
      <c r="N436" s="116"/>
      <c r="O436" s="116"/>
      <c r="P436" s="166"/>
      <c r="Q436" s="116"/>
      <c r="R436" s="116"/>
      <c r="S436" s="191"/>
      <c r="T436" s="191"/>
      <c r="U436" s="116"/>
      <c r="V436" s="116"/>
      <c r="W436" s="116"/>
      <c r="X436" s="117"/>
      <c r="Y436" s="116"/>
      <c r="Z436" s="114"/>
      <c r="AB436" s="119"/>
      <c r="AD436" s="119"/>
      <c r="AE436" s="119"/>
      <c r="AF436" s="119"/>
      <c r="AG436" s="119"/>
      <c r="AH436" s="119"/>
      <c r="AI436" s="119"/>
      <c r="AJ436" s="119"/>
      <c r="AK436" s="119"/>
      <c r="AL436" s="119"/>
      <c r="AM436" s="119"/>
      <c r="AN436" s="119"/>
      <c r="AO436" s="119"/>
      <c r="AP436" s="119"/>
      <c r="AQ436" s="119"/>
      <c r="AR436" s="119"/>
      <c r="AS436" s="116" t="s">
        <v>812</v>
      </c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 t="str">
        <f t="shared" si="11"/>
        <v>情商（实践版）(第版）</v>
      </c>
      <c r="BJ436" s="117"/>
      <c r="BK436" s="117"/>
      <c r="BL436" s="117"/>
      <c r="BN436" s="117"/>
      <c r="BO436" s="117"/>
      <c r="BP436" s="120"/>
      <c r="BR436" s="117"/>
      <c r="BS436" s="117"/>
      <c r="BZ436" s="117"/>
      <c r="CA436" s="144"/>
    </row>
    <row r="437" spans="1:79" s="118" customFormat="1" ht="33">
      <c r="A437" s="114"/>
      <c r="B437" s="114">
        <f t="shared" si="9"/>
        <v>1</v>
      </c>
      <c r="C437" s="136" t="s">
        <v>884</v>
      </c>
      <c r="D437" s="116"/>
      <c r="E437" s="116"/>
      <c r="F437" s="116"/>
      <c r="G437" s="115"/>
      <c r="H437" s="116"/>
      <c r="I437" s="116"/>
      <c r="J437" s="116"/>
      <c r="K437" s="116"/>
      <c r="L437" s="116"/>
      <c r="M437" s="116"/>
      <c r="N437" s="116"/>
      <c r="O437" s="116"/>
      <c r="P437" s="166"/>
      <c r="Q437" s="116"/>
      <c r="R437" s="116"/>
      <c r="S437" s="191"/>
      <c r="T437" s="191"/>
      <c r="U437" s="116"/>
      <c r="V437" s="116"/>
      <c r="W437" s="116"/>
      <c r="X437" s="117"/>
      <c r="Y437" s="116"/>
      <c r="Z437" s="114"/>
      <c r="AB437" s="119"/>
      <c r="AD437" s="119"/>
      <c r="AE437" s="119"/>
      <c r="AF437" s="119"/>
      <c r="AG437" s="119"/>
      <c r="AH437" s="119"/>
      <c r="AI437" s="119"/>
      <c r="AJ437" s="119"/>
      <c r="AK437" s="119"/>
      <c r="AL437" s="119"/>
      <c r="AM437" s="119"/>
      <c r="AN437" s="119"/>
      <c r="AO437" s="119"/>
      <c r="AP437" s="119"/>
      <c r="AQ437" s="119"/>
      <c r="AR437" s="119"/>
      <c r="AS437" s="116" t="s">
        <v>812</v>
      </c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 t="str">
        <f t="shared" si="11"/>
        <v>多维度思考：拥有正确判断和科学决策的100条极简法则(第版）</v>
      </c>
      <c r="BJ437" s="117"/>
      <c r="BK437" s="117"/>
      <c r="BL437" s="117"/>
      <c r="BN437" s="117"/>
      <c r="BO437" s="117"/>
      <c r="BP437" s="120"/>
      <c r="BR437" s="117"/>
      <c r="BS437" s="117"/>
      <c r="BZ437" s="117"/>
      <c r="CA437" s="144"/>
    </row>
    <row r="438" spans="1:79" s="118" customFormat="1">
      <c r="A438" s="114"/>
      <c r="B438" s="114">
        <f t="shared" si="9"/>
        <v>1</v>
      </c>
      <c r="C438" s="136" t="s">
        <v>885</v>
      </c>
      <c r="D438" s="116"/>
      <c r="E438" s="116"/>
      <c r="F438" s="116"/>
      <c r="G438" s="115"/>
      <c r="H438" s="116"/>
      <c r="I438" s="116"/>
      <c r="J438" s="116"/>
      <c r="K438" s="116"/>
      <c r="L438" s="116"/>
      <c r="M438" s="116"/>
      <c r="N438" s="116"/>
      <c r="O438" s="116"/>
      <c r="P438" s="166"/>
      <c r="Q438" s="116"/>
      <c r="R438" s="116"/>
      <c r="S438" s="191"/>
      <c r="T438" s="191"/>
      <c r="U438" s="116"/>
      <c r="V438" s="116"/>
      <c r="W438" s="116"/>
      <c r="X438" s="117"/>
      <c r="Y438" s="116"/>
      <c r="Z438" s="114"/>
      <c r="AB438" s="119"/>
      <c r="AD438" s="119"/>
      <c r="AE438" s="119"/>
      <c r="AF438" s="119"/>
      <c r="AG438" s="119"/>
      <c r="AH438" s="119"/>
      <c r="AI438" s="119"/>
      <c r="AJ438" s="119"/>
      <c r="AK438" s="119"/>
      <c r="AL438" s="119"/>
      <c r="AM438" s="119"/>
      <c r="AN438" s="119"/>
      <c r="AO438" s="119"/>
      <c r="AP438" s="119"/>
      <c r="AQ438" s="119"/>
      <c r="AR438" s="119"/>
      <c r="AS438" s="116" t="s">
        <v>812</v>
      </c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 t="str">
        <f t="shared" si="11"/>
        <v>信号与噪声(第版）</v>
      </c>
      <c r="BJ438" s="117"/>
      <c r="BK438" s="117"/>
      <c r="BL438" s="117"/>
      <c r="BN438" s="117"/>
      <c r="BO438" s="117"/>
      <c r="BP438" s="120"/>
      <c r="BR438" s="117"/>
      <c r="BS438" s="117"/>
      <c r="BZ438" s="117"/>
      <c r="CA438" s="144"/>
    </row>
    <row r="439" spans="1:79" s="118" customFormat="1">
      <c r="A439" s="114"/>
      <c r="B439" s="114">
        <f t="shared" si="9"/>
        <v>1</v>
      </c>
      <c r="C439" s="136" t="s">
        <v>886</v>
      </c>
      <c r="D439" s="116"/>
      <c r="E439" s="116"/>
      <c r="F439" s="116"/>
      <c r="G439" s="115"/>
      <c r="H439" s="116"/>
      <c r="I439" s="116"/>
      <c r="J439" s="116"/>
      <c r="K439" s="116"/>
      <c r="L439" s="116"/>
      <c r="M439" s="116"/>
      <c r="N439" s="116"/>
      <c r="O439" s="116"/>
      <c r="P439" s="166"/>
      <c r="Q439" s="116"/>
      <c r="R439" s="116"/>
      <c r="S439" s="191"/>
      <c r="T439" s="191"/>
      <c r="U439" s="116"/>
      <c r="V439" s="116"/>
      <c r="W439" s="116"/>
      <c r="X439" s="117"/>
      <c r="Y439" s="116"/>
      <c r="Z439" s="114"/>
      <c r="AB439" s="119"/>
      <c r="AD439" s="119"/>
      <c r="AE439" s="119"/>
      <c r="AF439" s="119"/>
      <c r="AG439" s="119"/>
      <c r="AH439" s="119"/>
      <c r="AI439" s="119"/>
      <c r="AJ439" s="119"/>
      <c r="AK439" s="119"/>
      <c r="AL439" s="119"/>
      <c r="AM439" s="119"/>
      <c r="AN439" s="119"/>
      <c r="AO439" s="119"/>
      <c r="AP439" s="119"/>
      <c r="AQ439" s="119"/>
      <c r="AR439" s="119"/>
      <c r="AS439" s="116" t="s">
        <v>828</v>
      </c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 t="str">
        <f t="shared" si="11"/>
        <v>利率史(第版）</v>
      </c>
      <c r="BJ439" s="117"/>
      <c r="BK439" s="117"/>
      <c r="BL439" s="117"/>
      <c r="BN439" s="117"/>
      <c r="BO439" s="117"/>
      <c r="BP439" s="120"/>
      <c r="BR439" s="117"/>
      <c r="BS439" s="117"/>
      <c r="BZ439" s="117"/>
      <c r="CA439" s="144"/>
    </row>
    <row r="440" spans="1:79" s="13" customFormat="1" ht="26.25" customHeight="1">
      <c r="B440" s="114">
        <f t="shared" si="9"/>
        <v>1</v>
      </c>
      <c r="C440" s="136" t="s">
        <v>1149</v>
      </c>
      <c r="D440" s="15"/>
      <c r="F440" s="42"/>
      <c r="H440" s="15"/>
      <c r="I440" s="15"/>
      <c r="J440" s="15"/>
      <c r="K440" s="15"/>
      <c r="L440" s="17"/>
      <c r="M440" s="17"/>
      <c r="N440" s="17"/>
      <c r="O440" s="16" t="s">
        <v>621</v>
      </c>
      <c r="P440" s="167"/>
      <c r="S440" s="193"/>
      <c r="T440" s="193"/>
      <c r="AS440" s="125" t="s">
        <v>948</v>
      </c>
      <c r="CA440" s="146">
        <v>44604.637835648151</v>
      </c>
    </row>
    <row r="441" spans="1:79" s="13" customFormat="1" ht="26.25" customHeight="1">
      <c r="B441" s="114">
        <f t="shared" si="9"/>
        <v>1</v>
      </c>
      <c r="C441" s="136" t="s">
        <v>887</v>
      </c>
      <c r="D441" s="15"/>
      <c r="F441" s="42"/>
      <c r="H441" s="15"/>
      <c r="I441" s="15"/>
      <c r="J441" s="15"/>
      <c r="K441" s="15"/>
      <c r="L441" s="17"/>
      <c r="M441" s="17"/>
      <c r="N441" s="17"/>
      <c r="O441" s="16" t="s">
        <v>621</v>
      </c>
      <c r="P441" s="167"/>
      <c r="S441" s="193"/>
      <c r="T441" s="193"/>
      <c r="AS441" s="224">
        <v>0</v>
      </c>
      <c r="CA441" s="146">
        <v>44604.612071759257</v>
      </c>
    </row>
    <row r="442" spans="1:79" s="118" customFormat="1">
      <c r="A442" s="114"/>
      <c r="B442" s="114">
        <f t="shared" si="9"/>
        <v>1</v>
      </c>
      <c r="C442" s="136" t="s">
        <v>888</v>
      </c>
      <c r="D442" s="116"/>
      <c r="E442" s="116"/>
      <c r="F442" s="116"/>
      <c r="G442" s="115"/>
      <c r="H442" s="116"/>
      <c r="I442" s="116"/>
      <c r="J442" s="116"/>
      <c r="K442" s="116"/>
      <c r="L442" s="116"/>
      <c r="M442" s="116"/>
      <c r="N442" s="116"/>
      <c r="O442" s="116"/>
      <c r="P442" s="166"/>
      <c r="Q442" s="116"/>
      <c r="R442" s="116"/>
      <c r="S442" s="191"/>
      <c r="T442" s="191"/>
      <c r="U442" s="116"/>
      <c r="V442" s="116"/>
      <c r="W442" s="116"/>
      <c r="X442" s="117"/>
      <c r="Y442" s="116"/>
      <c r="Z442" s="114"/>
      <c r="AB442" s="119"/>
      <c r="AD442" s="119"/>
      <c r="AE442" s="119"/>
      <c r="AF442" s="119"/>
      <c r="AG442" s="119"/>
      <c r="AH442" s="119"/>
      <c r="AI442" s="119"/>
      <c r="AJ442" s="119"/>
      <c r="AK442" s="119"/>
      <c r="AL442" s="119"/>
      <c r="AM442" s="119"/>
      <c r="AN442" s="119"/>
      <c r="AO442" s="119"/>
      <c r="AP442" s="119"/>
      <c r="AQ442" s="119"/>
      <c r="AR442" s="119"/>
      <c r="AS442" s="116" t="s">
        <v>828</v>
      </c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 t="str">
        <f t="shared" ref="BI442:BI452" si="12">C442&amp;"(第"&amp;E442&amp;"版）"</f>
        <v>长尾理论(第版）</v>
      </c>
      <c r="BJ442" s="117"/>
      <c r="BK442" s="117"/>
      <c r="BL442" s="117"/>
      <c r="BN442" s="117"/>
      <c r="BO442" s="117"/>
      <c r="BP442" s="120"/>
      <c r="BR442" s="117"/>
      <c r="BS442" s="117"/>
      <c r="BZ442" s="117"/>
      <c r="CA442" s="145">
        <v>44604.612303240741</v>
      </c>
    </row>
    <row r="443" spans="1:79" s="118" customFormat="1">
      <c r="A443" s="114"/>
      <c r="B443" s="114">
        <f t="shared" si="9"/>
        <v>1</v>
      </c>
      <c r="C443" s="136" t="s">
        <v>889</v>
      </c>
      <c r="D443" s="116"/>
      <c r="E443" s="116"/>
      <c r="F443" s="116"/>
      <c r="G443" s="115"/>
      <c r="H443" s="116"/>
      <c r="I443" s="116"/>
      <c r="J443" s="116"/>
      <c r="K443" s="116"/>
      <c r="L443" s="116"/>
      <c r="M443" s="116"/>
      <c r="N443" s="116"/>
      <c r="O443" s="116"/>
      <c r="P443" s="166"/>
      <c r="Q443" s="116"/>
      <c r="R443" s="116"/>
      <c r="S443" s="191"/>
      <c r="T443" s="191"/>
      <c r="U443" s="116"/>
      <c r="V443" s="116"/>
      <c r="W443" s="116"/>
      <c r="X443" s="117"/>
      <c r="Y443" s="116"/>
      <c r="Z443" s="114"/>
      <c r="AB443" s="119"/>
      <c r="AD443" s="119"/>
      <c r="AE443" s="119"/>
      <c r="AF443" s="119"/>
      <c r="AG443" s="119"/>
      <c r="AH443" s="119"/>
      <c r="AI443" s="119"/>
      <c r="AJ443" s="119"/>
      <c r="AK443" s="119"/>
      <c r="AL443" s="119"/>
      <c r="AM443" s="119"/>
      <c r="AN443" s="119"/>
      <c r="AO443" s="119"/>
      <c r="AP443" s="119"/>
      <c r="AQ443" s="119"/>
      <c r="AR443" s="119"/>
      <c r="AS443" s="116" t="s">
        <v>828</v>
      </c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 t="str">
        <f t="shared" si="12"/>
        <v>六顶思考帽(第版）</v>
      </c>
      <c r="BJ443" s="117"/>
      <c r="BK443" s="117"/>
      <c r="BL443" s="117"/>
      <c r="BN443" s="117"/>
      <c r="BO443" s="117"/>
      <c r="BP443" s="120"/>
      <c r="BR443" s="117"/>
      <c r="BS443" s="117"/>
      <c r="BZ443" s="117"/>
      <c r="CA443" s="144"/>
    </row>
    <row r="444" spans="1:79" s="118" customFormat="1">
      <c r="A444" s="114"/>
      <c r="B444" s="114">
        <f t="shared" si="9"/>
        <v>1</v>
      </c>
      <c r="C444" s="136" t="s">
        <v>891</v>
      </c>
      <c r="D444" s="116"/>
      <c r="E444" s="116"/>
      <c r="F444" s="116"/>
      <c r="G444" s="115"/>
      <c r="H444" s="116"/>
      <c r="I444" s="116"/>
      <c r="J444" s="116"/>
      <c r="K444" s="116"/>
      <c r="L444" s="116"/>
      <c r="M444" s="116"/>
      <c r="N444" s="116"/>
      <c r="O444" s="116"/>
      <c r="P444" s="166"/>
      <c r="Q444" s="116"/>
      <c r="R444" s="116"/>
      <c r="S444" s="191"/>
      <c r="T444" s="191"/>
      <c r="U444" s="116"/>
      <c r="V444" s="116"/>
      <c r="W444" s="116"/>
      <c r="X444" s="117"/>
      <c r="Y444" s="116"/>
      <c r="Z444" s="114"/>
      <c r="AB444" s="119"/>
      <c r="AD444" s="119"/>
      <c r="AE444" s="119"/>
      <c r="AF444" s="119"/>
      <c r="AG444" s="119"/>
      <c r="AH444" s="119"/>
      <c r="AI444" s="119"/>
      <c r="AJ444" s="119"/>
      <c r="AK444" s="119"/>
      <c r="AL444" s="119"/>
      <c r="AM444" s="119"/>
      <c r="AN444" s="119"/>
      <c r="AO444" s="119"/>
      <c r="AP444" s="119"/>
      <c r="AQ444" s="119"/>
      <c r="AR444" s="119"/>
      <c r="AS444" s="116"/>
      <c r="AT444" s="116"/>
      <c r="AU444" s="116" t="s">
        <v>828</v>
      </c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 t="str">
        <f t="shared" si="12"/>
        <v>人类的未来(第版）</v>
      </c>
      <c r="BJ444" s="117"/>
      <c r="BK444" s="117"/>
      <c r="BL444" s="117"/>
      <c r="BN444" s="117"/>
      <c r="BO444" s="117"/>
      <c r="BP444" s="120"/>
      <c r="BR444" s="117"/>
      <c r="BS444" s="117"/>
      <c r="BZ444" s="117"/>
      <c r="CA444" s="144"/>
    </row>
    <row r="445" spans="1:79" s="118" customFormat="1">
      <c r="A445" s="114"/>
      <c r="B445" s="114">
        <f t="shared" si="9"/>
        <v>1</v>
      </c>
      <c r="C445" s="136" t="s">
        <v>1150</v>
      </c>
      <c r="D445" s="116"/>
      <c r="E445" s="116"/>
      <c r="F445" s="116"/>
      <c r="G445" s="115"/>
      <c r="H445" s="116"/>
      <c r="I445" s="116"/>
      <c r="J445" s="116"/>
      <c r="K445" s="116"/>
      <c r="L445" s="116"/>
      <c r="M445" s="116"/>
      <c r="N445" s="116"/>
      <c r="O445" s="116"/>
      <c r="P445" s="166"/>
      <c r="Q445" s="116"/>
      <c r="R445" s="116"/>
      <c r="S445" s="191"/>
      <c r="T445" s="191"/>
      <c r="U445" s="116"/>
      <c r="V445" s="116"/>
      <c r="W445" s="116"/>
      <c r="X445" s="117"/>
      <c r="Y445" s="116"/>
      <c r="Z445" s="114"/>
      <c r="AB445" s="119"/>
      <c r="AD445" s="119"/>
      <c r="AE445" s="119"/>
      <c r="AF445" s="119"/>
      <c r="AG445" s="119"/>
      <c r="AH445" s="119"/>
      <c r="AI445" s="119"/>
      <c r="AJ445" s="119"/>
      <c r="AK445" s="119"/>
      <c r="AL445" s="119"/>
      <c r="AM445" s="119"/>
      <c r="AN445" s="119"/>
      <c r="AO445" s="119"/>
      <c r="AP445" s="119"/>
      <c r="AQ445" s="119"/>
      <c r="AR445" s="119"/>
      <c r="AS445" s="116" t="s">
        <v>828</v>
      </c>
      <c r="AT445" s="116"/>
      <c r="AU445" s="116"/>
      <c r="AV445" s="116"/>
      <c r="AW445" s="116"/>
      <c r="AX445" s="116"/>
      <c r="AY445" s="116"/>
      <c r="AZ445" s="116"/>
      <c r="BA445" s="116"/>
      <c r="BB445" s="116"/>
      <c r="BC445" s="116"/>
      <c r="BD445" s="116"/>
      <c r="BE445" s="116"/>
      <c r="BF445" s="116"/>
      <c r="BG445" s="116"/>
      <c r="BH445" s="116"/>
      <c r="BI445" s="116" t="str">
        <f t="shared" si="12"/>
        <v>黑天鹅：如何应对不可预知的未来(第版）</v>
      </c>
      <c r="BJ445" s="117"/>
      <c r="BK445" s="117"/>
      <c r="BL445" s="117"/>
      <c r="BN445" s="117"/>
      <c r="BO445" s="117"/>
      <c r="BP445" s="120"/>
      <c r="BR445" s="117"/>
      <c r="BS445" s="117"/>
      <c r="BZ445" s="117"/>
      <c r="CA445" s="144"/>
    </row>
    <row r="446" spans="1:79" s="118" customFormat="1">
      <c r="A446" s="114"/>
      <c r="B446" s="114">
        <f t="shared" si="9"/>
        <v>1</v>
      </c>
      <c r="C446" s="136" t="s">
        <v>1001</v>
      </c>
      <c r="D446" s="116"/>
      <c r="E446" s="116"/>
      <c r="F446" s="116"/>
      <c r="G446" s="115"/>
      <c r="H446" s="116"/>
      <c r="I446" s="116"/>
      <c r="J446" s="116"/>
      <c r="K446" s="116"/>
      <c r="L446" s="116"/>
      <c r="M446" s="116"/>
      <c r="N446" s="116"/>
      <c r="O446" s="116"/>
      <c r="P446" s="166"/>
      <c r="Q446" s="116"/>
      <c r="R446" s="116"/>
      <c r="S446" s="191"/>
      <c r="T446" s="191"/>
      <c r="U446" s="116"/>
      <c r="V446" s="116"/>
      <c r="W446" s="116"/>
      <c r="X446" s="117"/>
      <c r="Y446" s="116"/>
      <c r="Z446" s="114"/>
      <c r="AB446" s="119"/>
      <c r="AD446" s="119"/>
      <c r="AE446" s="119"/>
      <c r="AF446" s="119"/>
      <c r="AG446" s="119"/>
      <c r="AH446" s="119"/>
      <c r="AI446" s="119"/>
      <c r="AJ446" s="119"/>
      <c r="AK446" s="119"/>
      <c r="AL446" s="119"/>
      <c r="AM446" s="119"/>
      <c r="AN446" s="119"/>
      <c r="AO446" s="119"/>
      <c r="AP446" s="119"/>
      <c r="AQ446" s="119"/>
      <c r="AR446" s="119"/>
      <c r="AS446" s="116" t="s">
        <v>828</v>
      </c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 t="str">
        <f t="shared" si="12"/>
        <v>社交媒体简史：从莎草纸到互联网(第版）</v>
      </c>
      <c r="BJ446" s="117"/>
      <c r="BK446" s="117"/>
      <c r="BL446" s="117"/>
      <c r="BN446" s="117"/>
      <c r="BO446" s="117"/>
      <c r="BP446" s="120"/>
      <c r="BR446" s="117"/>
      <c r="BS446" s="117"/>
      <c r="BZ446" s="117"/>
      <c r="CA446" s="144"/>
    </row>
    <row r="447" spans="1:79" s="118" customFormat="1">
      <c r="A447" s="114"/>
      <c r="B447" s="114">
        <f t="shared" si="9"/>
        <v>1</v>
      </c>
      <c r="C447" s="136" t="s">
        <v>892</v>
      </c>
      <c r="D447" s="116"/>
      <c r="E447" s="116"/>
      <c r="F447" s="116"/>
      <c r="G447" s="115"/>
      <c r="H447" s="116"/>
      <c r="I447" s="116"/>
      <c r="J447" s="116"/>
      <c r="K447" s="116"/>
      <c r="L447" s="116"/>
      <c r="M447" s="116"/>
      <c r="N447" s="116"/>
      <c r="O447" s="116"/>
      <c r="P447" s="166"/>
      <c r="Q447" s="116"/>
      <c r="R447" s="116"/>
      <c r="S447" s="191"/>
      <c r="T447" s="191"/>
      <c r="U447" s="116"/>
      <c r="V447" s="116"/>
      <c r="W447" s="116"/>
      <c r="X447" s="117"/>
      <c r="Y447" s="116"/>
      <c r="Z447" s="114"/>
      <c r="AB447" s="119"/>
      <c r="AD447" s="119"/>
      <c r="AE447" s="119"/>
      <c r="AF447" s="119"/>
      <c r="AG447" s="119"/>
      <c r="AH447" s="119"/>
      <c r="AI447" s="119"/>
      <c r="AJ447" s="119"/>
      <c r="AK447" s="119"/>
      <c r="AL447" s="119"/>
      <c r="AM447" s="119"/>
      <c r="AN447" s="119"/>
      <c r="AO447" s="119"/>
      <c r="AP447" s="119"/>
      <c r="AQ447" s="119"/>
      <c r="AR447" s="119"/>
      <c r="AS447" s="116" t="s">
        <v>812</v>
      </c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 t="str">
        <f t="shared" si="12"/>
        <v>高能量姿势(第版）</v>
      </c>
      <c r="BJ447" s="117"/>
      <c r="BK447" s="117"/>
      <c r="BL447" s="117"/>
      <c r="BN447" s="117"/>
      <c r="BO447" s="117"/>
      <c r="BP447" s="120"/>
      <c r="BR447" s="117"/>
      <c r="BS447" s="117"/>
      <c r="BZ447" s="117"/>
      <c r="CA447" s="144"/>
    </row>
    <row r="448" spans="1:79" s="118" customFormat="1">
      <c r="A448" s="114"/>
      <c r="B448" s="114">
        <f t="shared" si="9"/>
        <v>1</v>
      </c>
      <c r="C448" s="136" t="s">
        <v>893</v>
      </c>
      <c r="D448" s="116"/>
      <c r="E448" s="116"/>
      <c r="F448" s="116"/>
      <c r="G448" s="115"/>
      <c r="H448" s="116"/>
      <c r="I448" s="116"/>
      <c r="J448" s="116"/>
      <c r="K448" s="116"/>
      <c r="L448" s="116"/>
      <c r="M448" s="116"/>
      <c r="N448" s="116"/>
      <c r="O448" s="116"/>
      <c r="P448" s="166"/>
      <c r="Q448" s="116"/>
      <c r="R448" s="116"/>
      <c r="S448" s="191"/>
      <c r="T448" s="191"/>
      <c r="U448" s="116"/>
      <c r="V448" s="116"/>
      <c r="W448" s="116"/>
      <c r="X448" s="117"/>
      <c r="Y448" s="116"/>
      <c r="Z448" s="114"/>
      <c r="AB448" s="119"/>
      <c r="AD448" s="119"/>
      <c r="AE448" s="119"/>
      <c r="AF448" s="119"/>
      <c r="AG448" s="119"/>
      <c r="AH448" s="119"/>
      <c r="AI448" s="119"/>
      <c r="AJ448" s="119"/>
      <c r="AK448" s="119"/>
      <c r="AL448" s="119"/>
      <c r="AM448" s="119"/>
      <c r="AN448" s="119"/>
      <c r="AO448" s="119"/>
      <c r="AP448" s="119"/>
      <c r="AQ448" s="119"/>
      <c r="AR448" s="119"/>
      <c r="AS448" s="116" t="s">
        <v>828</v>
      </c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 t="str">
        <f t="shared" si="12"/>
        <v>学会争辩(第版）</v>
      </c>
      <c r="BJ448" s="117"/>
      <c r="BK448" s="117"/>
      <c r="BL448" s="117"/>
      <c r="BN448" s="117"/>
      <c r="BO448" s="117"/>
      <c r="BP448" s="120"/>
      <c r="BR448" s="117"/>
      <c r="BS448" s="117"/>
      <c r="BZ448" s="117"/>
      <c r="CA448" s="144"/>
    </row>
    <row r="449" spans="1:79" s="118" customFormat="1" ht="33">
      <c r="A449" s="114"/>
      <c r="B449" s="114">
        <f t="shared" si="9"/>
        <v>1</v>
      </c>
      <c r="C449" s="136" t="s">
        <v>1151</v>
      </c>
      <c r="D449" s="116"/>
      <c r="E449" s="116"/>
      <c r="F449" s="116"/>
      <c r="G449" s="115"/>
      <c r="H449" s="116"/>
      <c r="I449" s="116"/>
      <c r="J449" s="116"/>
      <c r="K449" s="116"/>
      <c r="L449" s="116"/>
      <c r="M449" s="116"/>
      <c r="N449" s="116"/>
      <c r="O449" s="116"/>
      <c r="P449" s="166"/>
      <c r="Q449" s="116"/>
      <c r="R449" s="116"/>
      <c r="S449" s="191"/>
      <c r="T449" s="191"/>
      <c r="U449" s="116"/>
      <c r="V449" s="116"/>
      <c r="W449" s="116"/>
      <c r="X449" s="117"/>
      <c r="Y449" s="116"/>
      <c r="Z449" s="114"/>
      <c r="AB449" s="119"/>
      <c r="AD449" s="119"/>
      <c r="AE449" s="119"/>
      <c r="AF449" s="119"/>
      <c r="AG449" s="119"/>
      <c r="AH449" s="119"/>
      <c r="AI449" s="119"/>
      <c r="AJ449" s="119"/>
      <c r="AK449" s="119"/>
      <c r="AL449" s="119"/>
      <c r="AM449" s="119"/>
      <c r="AN449" s="119"/>
      <c r="AO449" s="119"/>
      <c r="AP449" s="119"/>
      <c r="AQ449" s="119"/>
      <c r="AR449" s="119"/>
      <c r="AS449" s="116" t="s">
        <v>828</v>
      </c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 t="str">
        <f t="shared" si="12"/>
        <v>MBA一日读2.0：一日之内学完知名商学院的全部课程(第版）</v>
      </c>
      <c r="BJ449" s="117"/>
      <c r="BK449" s="117"/>
      <c r="BL449" s="117"/>
      <c r="BN449" s="117"/>
      <c r="BO449" s="117"/>
      <c r="BP449" s="120"/>
      <c r="BR449" s="117"/>
      <c r="BS449" s="117"/>
      <c r="BZ449" s="117"/>
      <c r="CA449" s="144"/>
    </row>
    <row r="450" spans="1:79" s="118" customFormat="1">
      <c r="A450" s="114"/>
      <c r="B450" s="114">
        <f t="shared" si="9"/>
        <v>1</v>
      </c>
      <c r="C450" s="136" t="s">
        <v>1152</v>
      </c>
      <c r="D450" s="116"/>
      <c r="E450" s="116"/>
      <c r="F450" s="116"/>
      <c r="G450" s="115"/>
      <c r="H450" s="116"/>
      <c r="I450" s="116"/>
      <c r="J450" s="116"/>
      <c r="K450" s="116"/>
      <c r="L450" s="116"/>
      <c r="M450" s="116"/>
      <c r="N450" s="116"/>
      <c r="O450" s="116"/>
      <c r="P450" s="166"/>
      <c r="Q450" s="116"/>
      <c r="R450" s="116"/>
      <c r="S450" s="191"/>
      <c r="T450" s="191"/>
      <c r="U450" s="116"/>
      <c r="V450" s="116"/>
      <c r="W450" s="116"/>
      <c r="X450" s="117"/>
      <c r="Y450" s="116"/>
      <c r="Z450" s="114"/>
      <c r="AB450" s="119"/>
      <c r="AD450" s="119"/>
      <c r="AE450" s="119"/>
      <c r="AF450" s="119"/>
      <c r="AG450" s="119"/>
      <c r="AH450" s="119"/>
      <c r="AI450" s="119"/>
      <c r="AJ450" s="119"/>
      <c r="AK450" s="119"/>
      <c r="AL450" s="119"/>
      <c r="AM450" s="119"/>
      <c r="AN450" s="119"/>
      <c r="AO450" s="119"/>
      <c r="AP450" s="119"/>
      <c r="AQ450" s="119"/>
      <c r="AR450" s="119"/>
      <c r="AS450" s="116" t="s">
        <v>812</v>
      </c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 t="str">
        <f t="shared" si="12"/>
        <v>平台革命(第版）</v>
      </c>
      <c r="BJ450" s="117"/>
      <c r="BK450" s="117"/>
      <c r="BL450" s="117"/>
      <c r="BN450" s="117"/>
      <c r="BO450" s="117"/>
      <c r="BP450" s="120"/>
      <c r="BR450" s="117"/>
      <c r="BS450" s="117"/>
      <c r="BZ450" s="117"/>
      <c r="CA450" s="144"/>
    </row>
    <row r="451" spans="1:79" s="118" customFormat="1" ht="33">
      <c r="A451" s="114"/>
      <c r="B451" s="114">
        <f t="shared" si="9"/>
        <v>1</v>
      </c>
      <c r="C451" s="136" t="s">
        <v>894</v>
      </c>
      <c r="D451" s="116"/>
      <c r="E451" s="116"/>
      <c r="F451" s="116"/>
      <c r="G451" s="115"/>
      <c r="H451" s="116"/>
      <c r="I451" s="116"/>
      <c r="J451" s="116"/>
      <c r="K451" s="116"/>
      <c r="L451" s="116"/>
      <c r="M451" s="116"/>
      <c r="N451" s="116"/>
      <c r="O451" s="116"/>
      <c r="P451" s="166"/>
      <c r="Q451" s="116"/>
      <c r="R451" s="116"/>
      <c r="S451" s="191"/>
      <c r="T451" s="191"/>
      <c r="U451" s="116"/>
      <c r="V451" s="116"/>
      <c r="W451" s="116"/>
      <c r="X451" s="117"/>
      <c r="Y451" s="116"/>
      <c r="Z451" s="114"/>
      <c r="AB451" s="119"/>
      <c r="AD451" s="119"/>
      <c r="AE451" s="119"/>
      <c r="AF451" s="119"/>
      <c r="AG451" s="119"/>
      <c r="AH451" s="119"/>
      <c r="AI451" s="119"/>
      <c r="AJ451" s="119"/>
      <c r="AK451" s="119"/>
      <c r="AL451" s="119"/>
      <c r="AM451" s="119"/>
      <c r="AN451" s="119"/>
      <c r="AO451" s="119"/>
      <c r="AP451" s="119"/>
      <c r="AQ451" s="119"/>
      <c r="AR451" s="119"/>
      <c r="AS451" s="116" t="s">
        <v>828</v>
      </c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 t="str">
        <f t="shared" si="12"/>
        <v>有序创业24步法：创新型创业成功的方法论(第版）</v>
      </c>
      <c r="BJ451" s="117"/>
      <c r="BK451" s="117"/>
      <c r="BL451" s="117"/>
      <c r="BN451" s="117"/>
      <c r="BO451" s="117"/>
      <c r="BP451" s="120"/>
      <c r="BR451" s="117"/>
      <c r="BS451" s="117"/>
      <c r="BZ451" s="117"/>
      <c r="CA451" s="144"/>
    </row>
    <row r="452" spans="1:79" s="118" customFormat="1">
      <c r="A452" s="114"/>
      <c r="B452" s="114">
        <f t="shared" si="9"/>
        <v>1</v>
      </c>
      <c r="C452" s="136" t="s">
        <v>1153</v>
      </c>
      <c r="D452" s="116"/>
      <c r="E452" s="116"/>
      <c r="F452" s="116"/>
      <c r="G452" s="115"/>
      <c r="H452" s="116"/>
      <c r="I452" s="116"/>
      <c r="J452" s="116"/>
      <c r="K452" s="116"/>
      <c r="L452" s="116"/>
      <c r="M452" s="116"/>
      <c r="N452" s="116"/>
      <c r="O452" s="116"/>
      <c r="P452" s="166"/>
      <c r="Q452" s="116"/>
      <c r="R452" s="116"/>
      <c r="S452" s="191"/>
      <c r="T452" s="191"/>
      <c r="U452" s="116"/>
      <c r="V452" s="116"/>
      <c r="W452" s="116"/>
      <c r="X452" s="117"/>
      <c r="Y452" s="116"/>
      <c r="Z452" s="114"/>
      <c r="AB452" s="119"/>
      <c r="AD452" s="119"/>
      <c r="AE452" s="119"/>
      <c r="AF452" s="119"/>
      <c r="AG452" s="119"/>
      <c r="AH452" s="119"/>
      <c r="AI452" s="119"/>
      <c r="AJ452" s="119"/>
      <c r="AK452" s="119"/>
      <c r="AL452" s="119"/>
      <c r="AM452" s="119"/>
      <c r="AN452" s="119"/>
      <c r="AO452" s="119"/>
      <c r="AP452" s="119"/>
      <c r="AQ452" s="119"/>
      <c r="AR452" s="119"/>
      <c r="AS452" s="116" t="s">
        <v>828</v>
      </c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 t="str">
        <f t="shared" si="12"/>
        <v>风险认知：如何精准决策(第版）</v>
      </c>
      <c r="BJ452" s="117"/>
      <c r="BK452" s="117"/>
      <c r="BL452" s="117"/>
      <c r="BN452" s="117"/>
      <c r="BO452" s="117"/>
      <c r="BP452" s="120"/>
      <c r="BR452" s="117"/>
      <c r="BS452" s="117"/>
      <c r="BZ452" s="117"/>
      <c r="CA452" s="144"/>
    </row>
    <row r="453" spans="1:79">
      <c r="B453" s="114">
        <f t="shared" si="9"/>
        <v>0</v>
      </c>
    </row>
    <row r="454" spans="1:79" s="118" customFormat="1">
      <c r="A454" s="114"/>
      <c r="B454" s="114">
        <f t="shared" si="9"/>
        <v>1</v>
      </c>
      <c r="C454" s="136" t="s">
        <v>1154</v>
      </c>
      <c r="D454" s="116"/>
      <c r="E454" s="116"/>
      <c r="F454" s="116"/>
      <c r="G454" s="115"/>
      <c r="H454" s="116"/>
      <c r="I454" s="116"/>
      <c r="J454" s="116"/>
      <c r="K454" s="116"/>
      <c r="L454" s="116"/>
      <c r="M454" s="116"/>
      <c r="N454" s="116"/>
      <c r="O454" s="116"/>
      <c r="P454" s="166"/>
      <c r="Q454" s="116"/>
      <c r="R454" s="116"/>
      <c r="S454" s="191"/>
      <c r="T454" s="191"/>
      <c r="U454" s="116"/>
      <c r="V454" s="116"/>
      <c r="W454" s="116"/>
      <c r="X454" s="117"/>
      <c r="Y454" s="116"/>
      <c r="Z454" s="114"/>
      <c r="AB454" s="119"/>
      <c r="AD454" s="119"/>
      <c r="AE454" s="119"/>
      <c r="AF454" s="119"/>
      <c r="AG454" s="119"/>
      <c r="AH454" s="119"/>
      <c r="AI454" s="119"/>
      <c r="AJ454" s="119"/>
      <c r="AK454" s="119"/>
      <c r="AL454" s="119"/>
      <c r="AM454" s="119"/>
      <c r="AN454" s="119"/>
      <c r="AO454" s="119"/>
      <c r="AP454" s="119"/>
      <c r="AQ454" s="119"/>
      <c r="AR454" s="119"/>
      <c r="AS454" s="116" t="s">
        <v>828</v>
      </c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 t="str">
        <f t="shared" ref="BI454:BI485" si="13">C454&amp;"(第"&amp;E454&amp;"版）"</f>
        <v>赋能：打造应对不确定性的团队(第版）</v>
      </c>
      <c r="BJ454" s="117"/>
      <c r="BK454" s="117"/>
      <c r="BL454" s="117"/>
      <c r="BN454" s="117"/>
      <c r="BO454" s="117"/>
      <c r="BP454" s="120"/>
      <c r="BR454" s="117"/>
      <c r="BS454" s="117"/>
      <c r="BZ454" s="117"/>
      <c r="CA454" s="144"/>
    </row>
    <row r="455" spans="1:79" s="118" customFormat="1">
      <c r="A455" s="114"/>
      <c r="B455" s="114">
        <f t="shared" ref="B455:B512" si="14">COUNTA(AO455:AW455)</f>
        <v>1</v>
      </c>
      <c r="C455" s="136" t="s">
        <v>1155</v>
      </c>
      <c r="D455" s="116"/>
      <c r="E455" s="116"/>
      <c r="F455" s="116"/>
      <c r="G455" s="115"/>
      <c r="H455" s="116"/>
      <c r="I455" s="116"/>
      <c r="J455" s="116"/>
      <c r="K455" s="116"/>
      <c r="L455" s="116"/>
      <c r="M455" s="116"/>
      <c r="N455" s="116"/>
      <c r="O455" s="116"/>
      <c r="P455" s="166"/>
      <c r="Q455" s="116"/>
      <c r="R455" s="116"/>
      <c r="S455" s="191"/>
      <c r="T455" s="191"/>
      <c r="U455" s="116"/>
      <c r="V455" s="116"/>
      <c r="W455" s="116"/>
      <c r="X455" s="117"/>
      <c r="Y455" s="116"/>
      <c r="Z455" s="114"/>
      <c r="AB455" s="119"/>
      <c r="AD455" s="119"/>
      <c r="AE455" s="119"/>
      <c r="AF455" s="119"/>
      <c r="AG455" s="119"/>
      <c r="AH455" s="119"/>
      <c r="AI455" s="119"/>
      <c r="AJ455" s="119"/>
      <c r="AK455" s="119"/>
      <c r="AL455" s="119"/>
      <c r="AM455" s="119"/>
      <c r="AN455" s="119"/>
      <c r="AO455" s="119"/>
      <c r="AP455" s="119"/>
      <c r="AQ455" s="119"/>
      <c r="AR455" s="119"/>
      <c r="AS455" s="116" t="s">
        <v>828</v>
      </c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 t="str">
        <f t="shared" si="13"/>
        <v>能力清单(第版）</v>
      </c>
      <c r="BJ455" s="117"/>
      <c r="BK455" s="117"/>
      <c r="BL455" s="117"/>
      <c r="BN455" s="117"/>
      <c r="BO455" s="117"/>
      <c r="BP455" s="120"/>
      <c r="BR455" s="117"/>
      <c r="BS455" s="117"/>
      <c r="BZ455" s="117"/>
      <c r="CA455" s="144"/>
    </row>
    <row r="456" spans="1:79" s="118" customFormat="1">
      <c r="A456" s="114"/>
      <c r="B456" s="114">
        <f t="shared" si="14"/>
        <v>1</v>
      </c>
      <c r="C456" s="136" t="s">
        <v>895</v>
      </c>
      <c r="D456" s="116"/>
      <c r="E456" s="116"/>
      <c r="F456" s="116"/>
      <c r="G456" s="115"/>
      <c r="H456" s="116"/>
      <c r="I456" s="116"/>
      <c r="J456" s="116"/>
      <c r="K456" s="116"/>
      <c r="L456" s="116"/>
      <c r="M456" s="116"/>
      <c r="N456" s="116"/>
      <c r="O456" s="116"/>
      <c r="P456" s="166"/>
      <c r="Q456" s="116"/>
      <c r="R456" s="116"/>
      <c r="S456" s="191"/>
      <c r="T456" s="191"/>
      <c r="U456" s="116"/>
      <c r="V456" s="116"/>
      <c r="W456" s="116"/>
      <c r="X456" s="117"/>
      <c r="Y456" s="116"/>
      <c r="Z456" s="114"/>
      <c r="AB456" s="119"/>
      <c r="AD456" s="119"/>
      <c r="AE456" s="119"/>
      <c r="AF456" s="119"/>
      <c r="AG456" s="119"/>
      <c r="AH456" s="119"/>
      <c r="AI456" s="119"/>
      <c r="AJ456" s="119"/>
      <c r="AK456" s="119"/>
      <c r="AL456" s="119"/>
      <c r="AM456" s="119"/>
      <c r="AN456" s="119"/>
      <c r="AO456" s="119"/>
      <c r="AP456" s="119"/>
      <c r="AQ456" s="119"/>
      <c r="AR456" s="119"/>
      <c r="AS456" s="116" t="s">
        <v>828</v>
      </c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 t="str">
        <f t="shared" si="13"/>
        <v>他们创造了美国(第版）</v>
      </c>
      <c r="BJ456" s="117"/>
      <c r="BK456" s="117"/>
      <c r="BL456" s="117"/>
      <c r="BN456" s="117"/>
      <c r="BO456" s="117"/>
      <c r="BP456" s="120"/>
      <c r="BR456" s="117"/>
      <c r="BS456" s="117"/>
      <c r="BZ456" s="117"/>
      <c r="CA456" s="144"/>
    </row>
    <row r="457" spans="1:79" s="118" customFormat="1">
      <c r="A457" s="114"/>
      <c r="B457" s="114">
        <f t="shared" si="14"/>
        <v>1</v>
      </c>
      <c r="C457" s="136" t="s">
        <v>896</v>
      </c>
      <c r="D457" s="116"/>
      <c r="E457" s="116"/>
      <c r="F457" s="116"/>
      <c r="G457" s="115"/>
      <c r="H457" s="116"/>
      <c r="I457" s="116"/>
      <c r="J457" s="116"/>
      <c r="K457" s="116"/>
      <c r="L457" s="116"/>
      <c r="M457" s="116"/>
      <c r="N457" s="116"/>
      <c r="O457" s="116"/>
      <c r="P457" s="166"/>
      <c r="Q457" s="116"/>
      <c r="R457" s="116"/>
      <c r="S457" s="191"/>
      <c r="T457" s="191"/>
      <c r="U457" s="116"/>
      <c r="V457" s="116"/>
      <c r="W457" s="116"/>
      <c r="X457" s="117"/>
      <c r="Y457" s="116"/>
      <c r="Z457" s="114"/>
      <c r="AB457" s="119"/>
      <c r="AD457" s="119"/>
      <c r="AE457" s="119"/>
      <c r="AF457" s="119"/>
      <c r="AG457" s="119"/>
      <c r="AH457" s="119"/>
      <c r="AI457" s="119"/>
      <c r="AJ457" s="119"/>
      <c r="AK457" s="119"/>
      <c r="AL457" s="119"/>
      <c r="AM457" s="119"/>
      <c r="AN457" s="119"/>
      <c r="AO457" s="119"/>
      <c r="AP457" s="119"/>
      <c r="AQ457" s="119"/>
      <c r="AR457" s="119"/>
      <c r="AS457" s="116" t="s">
        <v>812</v>
      </c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 t="str">
        <f t="shared" si="13"/>
        <v>风险与好的决策(第版）</v>
      </c>
      <c r="BJ457" s="117"/>
      <c r="BK457" s="117"/>
      <c r="BL457" s="117"/>
      <c r="BN457" s="117"/>
      <c r="BO457" s="117"/>
      <c r="BP457" s="120"/>
      <c r="BR457" s="117"/>
      <c r="BS457" s="117"/>
      <c r="BZ457" s="117"/>
      <c r="CA457" s="144"/>
    </row>
    <row r="458" spans="1:79" s="118" customFormat="1">
      <c r="A458" s="114"/>
      <c r="B458" s="114">
        <f t="shared" si="14"/>
        <v>1</v>
      </c>
      <c r="C458" s="136" t="s">
        <v>897</v>
      </c>
      <c r="D458" s="116"/>
      <c r="E458" s="116"/>
      <c r="F458" s="116"/>
      <c r="G458" s="115"/>
      <c r="H458" s="116"/>
      <c r="I458" s="116"/>
      <c r="J458" s="116"/>
      <c r="K458" s="116"/>
      <c r="L458" s="116"/>
      <c r="M458" s="116"/>
      <c r="N458" s="116"/>
      <c r="O458" s="116"/>
      <c r="P458" s="166"/>
      <c r="Q458" s="116"/>
      <c r="R458" s="116"/>
      <c r="S458" s="191"/>
      <c r="T458" s="191"/>
      <c r="U458" s="116"/>
      <c r="V458" s="116"/>
      <c r="W458" s="116"/>
      <c r="X458" s="117"/>
      <c r="Y458" s="116"/>
      <c r="Z458" s="114"/>
      <c r="AB458" s="119"/>
      <c r="AD458" s="119"/>
      <c r="AE458" s="119"/>
      <c r="AF458" s="119"/>
      <c r="AG458" s="119"/>
      <c r="AH458" s="119"/>
      <c r="AI458" s="119"/>
      <c r="AJ458" s="119"/>
      <c r="AK458" s="119"/>
      <c r="AL458" s="119"/>
      <c r="AM458" s="119"/>
      <c r="AN458" s="119"/>
      <c r="AO458" s="119"/>
      <c r="AP458" s="119"/>
      <c r="AQ458" s="119"/>
      <c r="AR458" s="119"/>
      <c r="AS458" s="116" t="s">
        <v>812</v>
      </c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 t="str">
        <f t="shared" si="13"/>
        <v>管理成就生活(第版）</v>
      </c>
      <c r="BJ458" s="117"/>
      <c r="BK458" s="117"/>
      <c r="BL458" s="117"/>
      <c r="BN458" s="117"/>
      <c r="BO458" s="117"/>
      <c r="BP458" s="120"/>
      <c r="BR458" s="117"/>
      <c r="BS458" s="117"/>
      <c r="BZ458" s="117"/>
      <c r="CA458" s="144"/>
    </row>
    <row r="459" spans="1:79" s="118" customFormat="1" ht="33">
      <c r="A459" s="114"/>
      <c r="B459" s="114">
        <f t="shared" si="14"/>
        <v>1</v>
      </c>
      <c r="C459" s="136" t="s">
        <v>1156</v>
      </c>
      <c r="D459" s="116"/>
      <c r="E459" s="116"/>
      <c r="F459" s="116"/>
      <c r="G459" s="115"/>
      <c r="H459" s="116"/>
      <c r="I459" s="116"/>
      <c r="J459" s="116"/>
      <c r="K459" s="116"/>
      <c r="L459" s="116"/>
      <c r="M459" s="116"/>
      <c r="N459" s="116"/>
      <c r="O459" s="116"/>
      <c r="P459" s="166"/>
      <c r="Q459" s="116"/>
      <c r="R459" s="116"/>
      <c r="S459" s="191"/>
      <c r="T459" s="191"/>
      <c r="U459" s="116"/>
      <c r="V459" s="116"/>
      <c r="W459" s="116"/>
      <c r="X459" s="117"/>
      <c r="Y459" s="116"/>
      <c r="Z459" s="114"/>
      <c r="AB459" s="119"/>
      <c r="AD459" s="119"/>
      <c r="AE459" s="119"/>
      <c r="AF459" s="119"/>
      <c r="AG459" s="119"/>
      <c r="AH459" s="119"/>
      <c r="AI459" s="119"/>
      <c r="AJ459" s="119"/>
      <c r="AK459" s="119"/>
      <c r="AL459" s="119"/>
      <c r="AM459" s="119"/>
      <c r="AN459" s="119"/>
      <c r="AO459" s="119"/>
      <c r="AP459" s="119"/>
      <c r="AQ459" s="119"/>
      <c r="AR459" s="119"/>
      <c r="AS459" s="116" t="s">
        <v>828</v>
      </c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 t="str">
        <f t="shared" si="13"/>
        <v>OKR工作法：谷歌，领英等顶级公司的高绩效秘籍(第版）</v>
      </c>
      <c r="BJ459" s="117"/>
      <c r="BK459" s="117"/>
      <c r="BL459" s="117"/>
      <c r="BN459" s="117"/>
      <c r="BO459" s="117"/>
      <c r="BP459" s="120"/>
      <c r="BR459" s="117"/>
      <c r="BS459" s="117"/>
      <c r="BZ459" s="117"/>
      <c r="CA459" s="144"/>
    </row>
    <row r="460" spans="1:79" s="118" customFormat="1">
      <c r="A460" s="114"/>
      <c r="B460" s="114">
        <f t="shared" si="14"/>
        <v>1</v>
      </c>
      <c r="C460" s="136" t="s">
        <v>1158</v>
      </c>
      <c r="D460" s="116"/>
      <c r="E460" s="116"/>
      <c r="F460" s="116"/>
      <c r="G460" s="115"/>
      <c r="H460" s="116"/>
      <c r="I460" s="116"/>
      <c r="J460" s="116"/>
      <c r="K460" s="116"/>
      <c r="L460" s="116"/>
      <c r="M460" s="116"/>
      <c r="N460" s="116"/>
      <c r="O460" s="116"/>
      <c r="P460" s="166"/>
      <c r="Q460" s="116"/>
      <c r="R460" s="116"/>
      <c r="S460" s="191"/>
      <c r="T460" s="191"/>
      <c r="U460" s="116"/>
      <c r="V460" s="116"/>
      <c r="W460" s="116"/>
      <c r="X460" s="117"/>
      <c r="Y460" s="116"/>
      <c r="Z460" s="114"/>
      <c r="AB460" s="119"/>
      <c r="AD460" s="119"/>
      <c r="AE460" s="119"/>
      <c r="AF460" s="119"/>
      <c r="AG460" s="119"/>
      <c r="AH460" s="119"/>
      <c r="AI460" s="119"/>
      <c r="AJ460" s="119"/>
      <c r="AK460" s="119"/>
      <c r="AL460" s="119"/>
      <c r="AM460" s="119"/>
      <c r="AN460" s="119"/>
      <c r="AO460" s="119"/>
      <c r="AP460" s="119"/>
      <c r="AQ460" s="119"/>
      <c r="AR460" s="119"/>
      <c r="AS460" s="116" t="s">
        <v>828</v>
      </c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 t="str">
        <f t="shared" si="13"/>
        <v>创业维艰：如何完成比难更难的事(第版）</v>
      </c>
      <c r="BJ460" s="117"/>
      <c r="BK460" s="117"/>
      <c r="BL460" s="117"/>
      <c r="BN460" s="117"/>
      <c r="BO460" s="117"/>
      <c r="BP460" s="120"/>
      <c r="BR460" s="117"/>
      <c r="BS460" s="117"/>
      <c r="BZ460" s="117"/>
      <c r="CA460" s="144"/>
    </row>
    <row r="461" spans="1:79" s="118" customFormat="1">
      <c r="A461" s="114"/>
      <c r="B461" s="114">
        <f t="shared" si="14"/>
        <v>1</v>
      </c>
      <c r="C461" s="136" t="s">
        <v>1159</v>
      </c>
      <c r="D461" s="116"/>
      <c r="E461" s="116"/>
      <c r="F461" s="116"/>
      <c r="G461" s="115"/>
      <c r="H461" s="116"/>
      <c r="I461" s="116"/>
      <c r="J461" s="116"/>
      <c r="K461" s="116"/>
      <c r="L461" s="116"/>
      <c r="M461" s="116"/>
      <c r="N461" s="116"/>
      <c r="O461" s="116"/>
      <c r="P461" s="166"/>
      <c r="Q461" s="116"/>
      <c r="R461" s="116"/>
      <c r="S461" s="191"/>
      <c r="T461" s="191"/>
      <c r="U461" s="116"/>
      <c r="V461" s="116"/>
      <c r="W461" s="116"/>
      <c r="X461" s="117"/>
      <c r="Y461" s="116"/>
      <c r="Z461" s="114"/>
      <c r="AB461" s="119"/>
      <c r="AD461" s="119"/>
      <c r="AE461" s="119"/>
      <c r="AF461" s="119"/>
      <c r="AG461" s="119"/>
      <c r="AH461" s="119"/>
      <c r="AI461" s="119"/>
      <c r="AJ461" s="119"/>
      <c r="AK461" s="119"/>
      <c r="AL461" s="119"/>
      <c r="AM461" s="119"/>
      <c r="AN461" s="119"/>
      <c r="AO461" s="119"/>
      <c r="AP461" s="119"/>
      <c r="AQ461" s="119"/>
      <c r="AR461" s="119"/>
      <c r="AS461" s="116" t="s">
        <v>828</v>
      </c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 t="str">
        <f t="shared" si="13"/>
        <v>战略思维(第版）</v>
      </c>
      <c r="BJ461" s="117"/>
      <c r="BK461" s="117"/>
      <c r="BL461" s="117"/>
      <c r="BN461" s="117"/>
      <c r="BO461" s="117"/>
      <c r="BP461" s="120"/>
      <c r="BR461" s="117"/>
      <c r="BS461" s="117"/>
      <c r="BZ461" s="117"/>
      <c r="CA461" s="144"/>
    </row>
    <row r="462" spans="1:79" s="118" customFormat="1">
      <c r="A462" s="114"/>
      <c r="B462" s="114">
        <f t="shared" si="14"/>
        <v>1</v>
      </c>
      <c r="C462" s="136" t="s">
        <v>1160</v>
      </c>
      <c r="D462" s="116"/>
      <c r="E462" s="116"/>
      <c r="F462" s="116"/>
      <c r="G462" s="115"/>
      <c r="H462" s="116"/>
      <c r="I462" s="116"/>
      <c r="J462" s="116"/>
      <c r="K462" s="116"/>
      <c r="L462" s="116"/>
      <c r="M462" s="116"/>
      <c r="N462" s="116"/>
      <c r="O462" s="116"/>
      <c r="P462" s="166"/>
      <c r="Q462" s="116"/>
      <c r="R462" s="116"/>
      <c r="S462" s="191"/>
      <c r="T462" s="191"/>
      <c r="U462" s="116"/>
      <c r="V462" s="116"/>
      <c r="W462" s="116"/>
      <c r="X462" s="117"/>
      <c r="Y462" s="116"/>
      <c r="Z462" s="114"/>
      <c r="AB462" s="119"/>
      <c r="AD462" s="119"/>
      <c r="AE462" s="119"/>
      <c r="AF462" s="119"/>
      <c r="AG462" s="119"/>
      <c r="AH462" s="119"/>
      <c r="AI462" s="119"/>
      <c r="AJ462" s="119"/>
      <c r="AK462" s="119"/>
      <c r="AL462" s="119"/>
      <c r="AM462" s="119"/>
      <c r="AN462" s="119"/>
      <c r="AO462" s="119"/>
      <c r="AP462" s="119"/>
      <c r="AQ462" s="119"/>
      <c r="AR462" s="119"/>
      <c r="AS462" s="116" t="s">
        <v>828</v>
      </c>
      <c r="AT462" s="116"/>
      <c r="AU462" s="116"/>
      <c r="AV462" s="116"/>
      <c r="AW462" s="116"/>
      <c r="AX462" s="116"/>
      <c r="AY462" s="116"/>
      <c r="AZ462" s="116"/>
      <c r="BA462" s="116"/>
      <c r="BB462" s="116"/>
      <c r="BC462" s="116"/>
      <c r="BD462" s="116"/>
      <c r="BE462" s="116"/>
      <c r="BF462" s="116"/>
      <c r="BG462" s="116"/>
      <c r="BH462" s="116"/>
      <c r="BI462" s="116" t="str">
        <f t="shared" si="13"/>
        <v>意义革命：成为卓越成就的领导力(第版）</v>
      </c>
      <c r="BJ462" s="117"/>
      <c r="BK462" s="117"/>
      <c r="BL462" s="117"/>
      <c r="BN462" s="117"/>
      <c r="BO462" s="117"/>
      <c r="BP462" s="120"/>
      <c r="BR462" s="117"/>
      <c r="BS462" s="117"/>
      <c r="BZ462" s="117"/>
      <c r="CA462" s="144"/>
    </row>
    <row r="463" spans="1:79" s="118" customFormat="1" ht="33">
      <c r="A463" s="114"/>
      <c r="B463" s="114">
        <f t="shared" si="14"/>
        <v>1</v>
      </c>
      <c r="C463" s="136" t="s">
        <v>1161</v>
      </c>
      <c r="D463" s="116"/>
      <c r="E463" s="116"/>
      <c r="F463" s="116"/>
      <c r="G463" s="115"/>
      <c r="H463" s="116"/>
      <c r="I463" s="116"/>
      <c r="J463" s="116"/>
      <c r="K463" s="116"/>
      <c r="L463" s="116"/>
      <c r="M463" s="116"/>
      <c r="N463" s="116"/>
      <c r="O463" s="116"/>
      <c r="P463" s="166"/>
      <c r="Q463" s="116"/>
      <c r="R463" s="116"/>
      <c r="S463" s="191"/>
      <c r="T463" s="191"/>
      <c r="U463" s="116"/>
      <c r="V463" s="116"/>
      <c r="W463" s="116"/>
      <c r="X463" s="117"/>
      <c r="Y463" s="116"/>
      <c r="Z463" s="114"/>
      <c r="AB463" s="119"/>
      <c r="AD463" s="119"/>
      <c r="AE463" s="119"/>
      <c r="AF463" s="119"/>
      <c r="AG463" s="119"/>
      <c r="AH463" s="119"/>
      <c r="AI463" s="119"/>
      <c r="AJ463" s="119"/>
      <c r="AK463" s="119"/>
      <c r="AL463" s="119"/>
      <c r="AM463" s="119"/>
      <c r="AN463" s="119"/>
      <c r="AO463" s="119"/>
      <c r="AP463" s="119"/>
      <c r="AQ463" s="119"/>
      <c r="AR463" s="119"/>
      <c r="AS463" s="116" t="s">
        <v>828</v>
      </c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 t="str">
        <f t="shared" si="13"/>
        <v>指数型组织：打造独角兽公司的11个最强属性(第版）</v>
      </c>
      <c r="BJ463" s="117"/>
      <c r="BK463" s="117"/>
      <c r="BL463" s="117"/>
      <c r="BN463" s="117"/>
      <c r="BO463" s="117"/>
      <c r="BP463" s="120"/>
      <c r="BR463" s="117"/>
      <c r="BS463" s="117"/>
      <c r="BZ463" s="117"/>
      <c r="CA463" s="144"/>
    </row>
    <row r="464" spans="1:79" s="118" customFormat="1">
      <c r="A464" s="114"/>
      <c r="B464" s="114">
        <f t="shared" si="14"/>
        <v>1</v>
      </c>
      <c r="C464" s="136" t="s">
        <v>1162</v>
      </c>
      <c r="D464" s="116"/>
      <c r="E464" s="116"/>
      <c r="F464" s="116"/>
      <c r="G464" s="115"/>
      <c r="H464" s="116"/>
      <c r="I464" s="116"/>
      <c r="J464" s="116"/>
      <c r="K464" s="116"/>
      <c r="L464" s="116"/>
      <c r="M464" s="116"/>
      <c r="N464" s="116"/>
      <c r="O464" s="116"/>
      <c r="P464" s="166"/>
      <c r="Q464" s="116"/>
      <c r="R464" s="116"/>
      <c r="S464" s="191"/>
      <c r="T464" s="191"/>
      <c r="U464" s="116"/>
      <c r="V464" s="116"/>
      <c r="W464" s="116"/>
      <c r="X464" s="117"/>
      <c r="Y464" s="116"/>
      <c r="Z464" s="114"/>
      <c r="AB464" s="119"/>
      <c r="AD464" s="119"/>
      <c r="AE464" s="119"/>
      <c r="AF464" s="119"/>
      <c r="AG464" s="119"/>
      <c r="AH464" s="119"/>
      <c r="AI464" s="119"/>
      <c r="AJ464" s="119"/>
      <c r="AK464" s="119"/>
      <c r="AL464" s="119"/>
      <c r="AM464" s="119"/>
      <c r="AN464" s="119"/>
      <c r="AO464" s="119"/>
      <c r="AP464" s="119"/>
      <c r="AQ464" s="119"/>
      <c r="AR464" s="119"/>
      <c r="AS464" s="116" t="s">
        <v>812</v>
      </c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 t="str">
        <f t="shared" si="13"/>
        <v>洞察：精确观察和有效沟通的艺术(第版）</v>
      </c>
      <c r="BJ464" s="117"/>
      <c r="BK464" s="117"/>
      <c r="BL464" s="117"/>
      <c r="BN464" s="117"/>
      <c r="BO464" s="117"/>
      <c r="BP464" s="120"/>
      <c r="BR464" s="117"/>
      <c r="BS464" s="117"/>
      <c r="BZ464" s="117"/>
      <c r="CA464" s="144"/>
    </row>
    <row r="465" spans="1:79" s="118" customFormat="1">
      <c r="A465" s="114"/>
      <c r="B465" s="114">
        <f t="shared" si="14"/>
        <v>1</v>
      </c>
      <c r="C465" s="136" t="s">
        <v>1163</v>
      </c>
      <c r="D465" s="116"/>
      <c r="E465" s="116"/>
      <c r="F465" s="116"/>
      <c r="G465" s="115"/>
      <c r="H465" s="116"/>
      <c r="I465" s="116"/>
      <c r="J465" s="116"/>
      <c r="K465" s="116"/>
      <c r="L465" s="116"/>
      <c r="M465" s="116"/>
      <c r="N465" s="116"/>
      <c r="O465" s="116"/>
      <c r="P465" s="166"/>
      <c r="Q465" s="116"/>
      <c r="R465" s="116"/>
      <c r="S465" s="191"/>
      <c r="T465" s="191"/>
      <c r="U465" s="116"/>
      <c r="V465" s="116"/>
      <c r="W465" s="116"/>
      <c r="X465" s="117"/>
      <c r="Y465" s="116"/>
      <c r="Z465" s="114"/>
      <c r="AB465" s="119"/>
      <c r="AD465" s="119"/>
      <c r="AE465" s="119"/>
      <c r="AF465" s="119"/>
      <c r="AG465" s="119"/>
      <c r="AH465" s="119"/>
      <c r="AI465" s="119"/>
      <c r="AJ465" s="119"/>
      <c r="AK465" s="119"/>
      <c r="AL465" s="119"/>
      <c r="AM465" s="119"/>
      <c r="AN465" s="119"/>
      <c r="AO465" s="119"/>
      <c r="AP465" s="119"/>
      <c r="AQ465" s="119"/>
      <c r="AR465" s="119"/>
      <c r="AS465" s="116" t="s">
        <v>828</v>
      </c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 t="str">
        <f t="shared" si="13"/>
        <v>TED演讲的秘密：18分钟改变世界(第版）</v>
      </c>
      <c r="BJ465" s="117"/>
      <c r="BK465" s="117"/>
      <c r="BL465" s="117"/>
      <c r="BN465" s="117"/>
      <c r="BO465" s="117"/>
      <c r="BP465" s="120"/>
      <c r="BR465" s="117"/>
      <c r="BS465" s="117"/>
      <c r="BZ465" s="117"/>
      <c r="CA465" s="144"/>
    </row>
    <row r="466" spans="1:79" s="118" customFormat="1" ht="27">
      <c r="A466" s="114"/>
      <c r="B466" s="114">
        <f t="shared" si="14"/>
        <v>1</v>
      </c>
      <c r="C466" s="136" t="s">
        <v>1164</v>
      </c>
      <c r="D466" s="116"/>
      <c r="E466" s="116"/>
      <c r="F466" s="116"/>
      <c r="G466" s="115"/>
      <c r="H466" s="116"/>
      <c r="I466" s="116"/>
      <c r="J466" s="116"/>
      <c r="K466" s="116"/>
      <c r="L466" s="116"/>
      <c r="M466" s="116"/>
      <c r="N466" s="116"/>
      <c r="O466" s="116"/>
      <c r="P466" s="166"/>
      <c r="Q466" s="116"/>
      <c r="R466" s="116"/>
      <c r="S466" s="191"/>
      <c r="T466" s="191"/>
      <c r="U466" s="116"/>
      <c r="V466" s="116"/>
      <c r="W466" s="116"/>
      <c r="X466" s="117"/>
      <c r="Y466" s="116"/>
      <c r="Z466" s="114"/>
      <c r="AB466" s="119"/>
      <c r="AD466" s="119"/>
      <c r="AE466" s="119"/>
      <c r="AF466" s="119"/>
      <c r="AG466" s="119"/>
      <c r="AH466" s="119"/>
      <c r="AI466" s="119"/>
      <c r="AJ466" s="119"/>
      <c r="AK466" s="119"/>
      <c r="AL466" s="119"/>
      <c r="AM466" s="119"/>
      <c r="AN466" s="119"/>
      <c r="AO466" s="119"/>
      <c r="AP466" s="119"/>
      <c r="AQ466" s="119"/>
      <c r="AR466" s="119"/>
      <c r="AS466" s="116" t="s">
        <v>828</v>
      </c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 t="str">
        <f t="shared" si="13"/>
        <v>OKR：源于英特尔和谷歌的目标管理利器(第版）</v>
      </c>
      <c r="BJ466" s="117"/>
      <c r="BK466" s="117"/>
      <c r="BL466" s="117"/>
      <c r="BN466" s="117"/>
      <c r="BO466" s="117"/>
      <c r="BP466" s="120"/>
      <c r="BR466" s="117"/>
      <c r="BS466" s="117"/>
      <c r="BZ466" s="117"/>
      <c r="CA466" s="144"/>
    </row>
    <row r="467" spans="1:79" s="118" customFormat="1">
      <c r="A467" s="114"/>
      <c r="B467" s="114">
        <f t="shared" si="14"/>
        <v>1</v>
      </c>
      <c r="C467" s="136" t="s">
        <v>1165</v>
      </c>
      <c r="D467" s="116"/>
      <c r="E467" s="116"/>
      <c r="F467" s="116"/>
      <c r="G467" s="115"/>
      <c r="H467" s="116"/>
      <c r="I467" s="116"/>
      <c r="J467" s="116"/>
      <c r="K467" s="116"/>
      <c r="L467" s="116"/>
      <c r="M467" s="116"/>
      <c r="N467" s="116"/>
      <c r="O467" s="116"/>
      <c r="P467" s="166"/>
      <c r="Q467" s="116"/>
      <c r="R467" s="116"/>
      <c r="S467" s="191"/>
      <c r="T467" s="191"/>
      <c r="U467" s="116"/>
      <c r="V467" s="116"/>
      <c r="W467" s="116"/>
      <c r="X467" s="117"/>
      <c r="Y467" s="116"/>
      <c r="Z467" s="114"/>
      <c r="AB467" s="119"/>
      <c r="AD467" s="119"/>
      <c r="AE467" s="119"/>
      <c r="AF467" s="119"/>
      <c r="AG467" s="119"/>
      <c r="AH467" s="119"/>
      <c r="AI467" s="119"/>
      <c r="AJ467" s="119"/>
      <c r="AK467" s="119"/>
      <c r="AL467" s="119"/>
      <c r="AM467" s="119"/>
      <c r="AN467" s="119"/>
      <c r="AO467" s="119"/>
      <c r="AP467" s="119"/>
      <c r="AQ467" s="119"/>
      <c r="AR467" s="119"/>
      <c r="AS467" s="116" t="s">
        <v>828</v>
      </c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 t="str">
        <f t="shared" si="13"/>
        <v>高绩效团队：VUCA时代的5个管理策略(第版）</v>
      </c>
      <c r="BJ467" s="117"/>
      <c r="BK467" s="117"/>
      <c r="BL467" s="117"/>
      <c r="BN467" s="117"/>
      <c r="BO467" s="117"/>
      <c r="BP467" s="120"/>
      <c r="BR467" s="117"/>
      <c r="BS467" s="117"/>
      <c r="BZ467" s="117"/>
      <c r="CA467" s="144"/>
    </row>
    <row r="468" spans="1:79" s="118" customFormat="1">
      <c r="A468" s="114"/>
      <c r="B468" s="114">
        <f t="shared" si="14"/>
        <v>1</v>
      </c>
      <c r="C468" s="136" t="s">
        <v>901</v>
      </c>
      <c r="D468" s="116"/>
      <c r="E468" s="116"/>
      <c r="F468" s="116"/>
      <c r="G468" s="115"/>
      <c r="H468" s="116"/>
      <c r="I468" s="116"/>
      <c r="J468" s="116"/>
      <c r="K468" s="116"/>
      <c r="L468" s="116"/>
      <c r="M468" s="116"/>
      <c r="N468" s="116"/>
      <c r="O468" s="116"/>
      <c r="P468" s="166"/>
      <c r="Q468" s="116"/>
      <c r="R468" s="116"/>
      <c r="S468" s="191"/>
      <c r="T468" s="191"/>
      <c r="U468" s="116"/>
      <c r="V468" s="116"/>
      <c r="W468" s="116"/>
      <c r="X468" s="117"/>
      <c r="Y468" s="116"/>
      <c r="Z468" s="114"/>
      <c r="AB468" s="119"/>
      <c r="AD468" s="119"/>
      <c r="AE468" s="119"/>
      <c r="AF468" s="119"/>
      <c r="AG468" s="119"/>
      <c r="AH468" s="119"/>
      <c r="AI468" s="119"/>
      <c r="AJ468" s="119"/>
      <c r="AK468" s="119"/>
      <c r="AL468" s="119"/>
      <c r="AM468" s="119"/>
      <c r="AN468" s="119"/>
      <c r="AO468" s="119"/>
      <c r="AP468" s="119"/>
      <c r="AQ468" s="119"/>
      <c r="AR468" s="119"/>
      <c r="AS468" s="116" t="s">
        <v>828</v>
      </c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 t="str">
        <f t="shared" si="13"/>
        <v>技术的本质(第版）</v>
      </c>
      <c r="BJ468" s="117"/>
      <c r="BK468" s="117"/>
      <c r="BL468" s="117"/>
      <c r="BN468" s="117"/>
      <c r="BO468" s="117"/>
      <c r="BP468" s="120"/>
      <c r="BR468" s="117"/>
      <c r="BS468" s="117"/>
      <c r="BZ468" s="117"/>
      <c r="CA468" s="144"/>
    </row>
    <row r="469" spans="1:79" s="118" customFormat="1">
      <c r="A469" s="114"/>
      <c r="B469" s="114">
        <f t="shared" si="14"/>
        <v>1</v>
      </c>
      <c r="C469" s="136" t="s">
        <v>902</v>
      </c>
      <c r="D469" s="116"/>
      <c r="E469" s="116"/>
      <c r="F469" s="116"/>
      <c r="G469" s="115"/>
      <c r="H469" s="116"/>
      <c r="I469" s="116"/>
      <c r="J469" s="116"/>
      <c r="K469" s="116"/>
      <c r="L469" s="116"/>
      <c r="M469" s="116"/>
      <c r="N469" s="116"/>
      <c r="O469" s="116"/>
      <c r="P469" s="166"/>
      <c r="Q469" s="116"/>
      <c r="R469" s="116"/>
      <c r="S469" s="191"/>
      <c r="T469" s="191"/>
      <c r="U469" s="116"/>
      <c r="V469" s="116"/>
      <c r="W469" s="116"/>
      <c r="X469" s="117"/>
      <c r="Y469" s="116"/>
      <c r="Z469" s="114"/>
      <c r="AB469" s="119"/>
      <c r="AD469" s="119"/>
      <c r="AE469" s="119"/>
      <c r="AF469" s="119"/>
      <c r="AG469" s="119"/>
      <c r="AH469" s="119"/>
      <c r="AI469" s="119"/>
      <c r="AJ469" s="119"/>
      <c r="AK469" s="119"/>
      <c r="AL469" s="119"/>
      <c r="AM469" s="119"/>
      <c r="AN469" s="119"/>
      <c r="AO469" s="119"/>
      <c r="AP469" s="119"/>
      <c r="AQ469" s="119"/>
      <c r="AR469" s="119"/>
      <c r="AS469" s="116" t="s">
        <v>828</v>
      </c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 t="str">
        <f t="shared" si="13"/>
        <v>反常识(第版）</v>
      </c>
      <c r="BJ469" s="117"/>
      <c r="BK469" s="117"/>
      <c r="BL469" s="117"/>
      <c r="BN469" s="117"/>
      <c r="BO469" s="117"/>
      <c r="BP469" s="120"/>
      <c r="BR469" s="117"/>
      <c r="BS469" s="117"/>
      <c r="BZ469" s="117"/>
      <c r="CA469" s="144"/>
    </row>
    <row r="470" spans="1:79" s="118" customFormat="1">
      <c r="A470" s="114"/>
      <c r="B470" s="114">
        <f t="shared" si="14"/>
        <v>1</v>
      </c>
      <c r="C470" s="136" t="s">
        <v>1166</v>
      </c>
      <c r="D470" s="116"/>
      <c r="E470" s="116"/>
      <c r="F470" s="116"/>
      <c r="G470" s="115"/>
      <c r="H470" s="116"/>
      <c r="I470" s="116"/>
      <c r="J470" s="116"/>
      <c r="K470" s="116"/>
      <c r="L470" s="116"/>
      <c r="M470" s="116"/>
      <c r="N470" s="116"/>
      <c r="O470" s="116"/>
      <c r="P470" s="166"/>
      <c r="Q470" s="116"/>
      <c r="R470" s="116"/>
      <c r="S470" s="191"/>
      <c r="T470" s="191"/>
      <c r="U470" s="116"/>
      <c r="V470" s="116"/>
      <c r="W470" s="116"/>
      <c r="X470" s="117"/>
      <c r="Y470" s="116"/>
      <c r="Z470" s="114"/>
      <c r="AB470" s="119"/>
      <c r="AD470" s="119"/>
      <c r="AE470" s="119"/>
      <c r="AF470" s="119"/>
      <c r="AG470" s="119"/>
      <c r="AH470" s="119"/>
      <c r="AI470" s="119"/>
      <c r="AJ470" s="119"/>
      <c r="AK470" s="119"/>
      <c r="AL470" s="119"/>
      <c r="AM470" s="119"/>
      <c r="AN470" s="119"/>
      <c r="AO470" s="119"/>
      <c r="AP470" s="119"/>
      <c r="AQ470" s="119"/>
      <c r="AR470" s="119"/>
      <c r="AS470" s="116" t="s">
        <v>828</v>
      </c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 t="str">
        <f t="shared" si="13"/>
        <v>第三选择：解决所有难题的关键思维(第版）</v>
      </c>
      <c r="BJ470" s="117"/>
      <c r="BK470" s="117"/>
      <c r="BL470" s="117"/>
      <c r="BN470" s="117"/>
      <c r="BO470" s="117"/>
      <c r="BP470" s="120"/>
      <c r="BR470" s="117"/>
      <c r="BS470" s="117"/>
      <c r="BZ470" s="117"/>
      <c r="CA470" s="144"/>
    </row>
    <row r="471" spans="1:79" s="118" customFormat="1">
      <c r="A471" s="114"/>
      <c r="B471" s="114">
        <f t="shared" si="14"/>
        <v>1</v>
      </c>
      <c r="C471" s="136" t="s">
        <v>903</v>
      </c>
      <c r="D471" s="116"/>
      <c r="E471" s="116"/>
      <c r="F471" s="116"/>
      <c r="G471" s="115"/>
      <c r="H471" s="116"/>
      <c r="I471" s="116"/>
      <c r="J471" s="116"/>
      <c r="K471" s="116"/>
      <c r="L471" s="116"/>
      <c r="M471" s="116"/>
      <c r="N471" s="116"/>
      <c r="O471" s="116"/>
      <c r="P471" s="166"/>
      <c r="Q471" s="116"/>
      <c r="R471" s="116"/>
      <c r="S471" s="191"/>
      <c r="T471" s="191"/>
      <c r="U471" s="116"/>
      <c r="V471" s="116"/>
      <c r="W471" s="116"/>
      <c r="X471" s="117"/>
      <c r="Y471" s="116"/>
      <c r="Z471" s="114"/>
      <c r="AB471" s="119"/>
      <c r="AD471" s="119"/>
      <c r="AE471" s="119"/>
      <c r="AF471" s="119"/>
      <c r="AG471" s="119"/>
      <c r="AH471" s="119"/>
      <c r="AI471" s="119"/>
      <c r="AJ471" s="119"/>
      <c r="AK471" s="119"/>
      <c r="AL471" s="119"/>
      <c r="AM471" s="119"/>
      <c r="AN471" s="119"/>
      <c r="AO471" s="119"/>
      <c r="AP471" s="119"/>
      <c r="AQ471" s="119"/>
      <c r="AR471" s="119"/>
      <c r="AS471" s="116" t="s">
        <v>812</v>
      </c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 t="str">
        <f t="shared" si="13"/>
        <v>重塑大脑，重塑人生(第版）</v>
      </c>
      <c r="BJ471" s="117"/>
      <c r="BK471" s="117"/>
      <c r="BL471" s="117"/>
      <c r="BN471" s="117"/>
      <c r="BO471" s="117"/>
      <c r="BP471" s="120"/>
      <c r="BR471" s="117"/>
      <c r="BS471" s="117"/>
      <c r="BZ471" s="117"/>
      <c r="CA471" s="144"/>
    </row>
    <row r="472" spans="1:79" s="118" customFormat="1">
      <c r="A472" s="114"/>
      <c r="B472" s="114">
        <f t="shared" si="14"/>
        <v>1</v>
      </c>
      <c r="C472" s="136" t="s">
        <v>904</v>
      </c>
      <c r="D472" s="116"/>
      <c r="E472" s="116"/>
      <c r="F472" s="116"/>
      <c r="G472" s="115"/>
      <c r="H472" s="116"/>
      <c r="I472" s="116"/>
      <c r="J472" s="116"/>
      <c r="K472" s="116"/>
      <c r="L472" s="116"/>
      <c r="M472" s="116"/>
      <c r="N472" s="116"/>
      <c r="O472" s="116"/>
      <c r="P472" s="166"/>
      <c r="Q472" s="116"/>
      <c r="R472" s="116"/>
      <c r="S472" s="191"/>
      <c r="T472" s="191"/>
      <c r="U472" s="116"/>
      <c r="V472" s="116"/>
      <c r="W472" s="116"/>
      <c r="X472" s="117"/>
      <c r="Y472" s="116"/>
      <c r="Z472" s="114"/>
      <c r="AB472" s="119"/>
      <c r="AD472" s="119"/>
      <c r="AE472" s="119"/>
      <c r="AF472" s="119"/>
      <c r="AG472" s="119"/>
      <c r="AH472" s="119"/>
      <c r="AI472" s="119"/>
      <c r="AJ472" s="119"/>
      <c r="AK472" s="119"/>
      <c r="AL472" s="119"/>
      <c r="AM472" s="119"/>
      <c r="AN472" s="119"/>
      <c r="AO472" s="119"/>
      <c r="AP472" s="119"/>
      <c r="AQ472" s="119"/>
      <c r="AR472" s="119"/>
      <c r="AS472" s="116" t="s">
        <v>828</v>
      </c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 t="str">
        <f t="shared" si="13"/>
        <v>伟大的博弈(第版）</v>
      </c>
      <c r="BJ472" s="117"/>
      <c r="BK472" s="117"/>
      <c r="BL472" s="117"/>
      <c r="BN472" s="117"/>
      <c r="BO472" s="117"/>
      <c r="BP472" s="120"/>
      <c r="BR472" s="117"/>
      <c r="BS472" s="117"/>
      <c r="BZ472" s="117"/>
      <c r="CA472" s="144"/>
    </row>
    <row r="473" spans="1:79" s="118" customFormat="1" ht="33">
      <c r="A473" s="114"/>
      <c r="B473" s="114">
        <f t="shared" si="14"/>
        <v>1</v>
      </c>
      <c r="C473" s="136" t="s">
        <v>1167</v>
      </c>
      <c r="D473" s="116"/>
      <c r="E473" s="116"/>
      <c r="F473" s="116"/>
      <c r="G473" s="115"/>
      <c r="H473" s="116"/>
      <c r="I473" s="116"/>
      <c r="J473" s="116"/>
      <c r="K473" s="116"/>
      <c r="L473" s="116"/>
      <c r="M473" s="116"/>
      <c r="N473" s="116"/>
      <c r="O473" s="116"/>
      <c r="P473" s="166"/>
      <c r="Q473" s="116"/>
      <c r="R473" s="116"/>
      <c r="S473" s="191"/>
      <c r="T473" s="191"/>
      <c r="U473" s="116"/>
      <c r="V473" s="116"/>
      <c r="W473" s="116"/>
      <c r="X473" s="117"/>
      <c r="Y473" s="116"/>
      <c r="Z473" s="114"/>
      <c r="AB473" s="119"/>
      <c r="AD473" s="119"/>
      <c r="AE473" s="119"/>
      <c r="AF473" s="119"/>
      <c r="AG473" s="119"/>
      <c r="AH473" s="119"/>
      <c r="AI473" s="119"/>
      <c r="AJ473" s="119"/>
      <c r="AK473" s="119"/>
      <c r="AL473" s="119"/>
      <c r="AM473" s="119"/>
      <c r="AN473" s="119"/>
      <c r="AO473" s="119"/>
      <c r="AP473" s="119"/>
      <c r="AQ473" s="119"/>
      <c r="AR473" s="119"/>
      <c r="AS473" s="116" t="s">
        <v>828</v>
      </c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 t="str">
        <f t="shared" si="13"/>
        <v>这就是OKR：让谷歌、亚马逊实现爆炸性增长的工作法(第版）</v>
      </c>
      <c r="BJ473" s="117"/>
      <c r="BK473" s="117"/>
      <c r="BL473" s="117"/>
      <c r="BN473" s="117"/>
      <c r="BO473" s="117"/>
      <c r="BP473" s="120"/>
      <c r="BR473" s="117"/>
      <c r="BS473" s="117"/>
      <c r="BZ473" s="117"/>
      <c r="CA473" s="144"/>
    </row>
    <row r="474" spans="1:79" s="118" customFormat="1">
      <c r="A474" s="114"/>
      <c r="B474" s="114">
        <f t="shared" si="14"/>
        <v>1</v>
      </c>
      <c r="C474" s="136" t="s">
        <v>819</v>
      </c>
      <c r="D474" s="116"/>
      <c r="E474" s="116"/>
      <c r="F474" s="116"/>
      <c r="G474" s="115"/>
      <c r="H474" s="116"/>
      <c r="I474" s="116"/>
      <c r="J474" s="116"/>
      <c r="K474" s="116"/>
      <c r="L474" s="116"/>
      <c r="M474" s="116"/>
      <c r="N474" s="116"/>
      <c r="O474" s="116"/>
      <c r="P474" s="166"/>
      <c r="Q474" s="116"/>
      <c r="R474" s="116"/>
      <c r="S474" s="191"/>
      <c r="T474" s="191"/>
      <c r="U474" s="116"/>
      <c r="V474" s="116"/>
      <c r="W474" s="116"/>
      <c r="X474" s="117"/>
      <c r="Y474" s="116"/>
      <c r="Z474" s="114"/>
      <c r="AB474" s="119"/>
      <c r="AD474" s="119"/>
      <c r="AE474" s="119"/>
      <c r="AF474" s="119"/>
      <c r="AG474" s="119"/>
      <c r="AH474" s="119"/>
      <c r="AI474" s="119"/>
      <c r="AJ474" s="119"/>
      <c r="AK474" s="119"/>
      <c r="AL474" s="119"/>
      <c r="AM474" s="119"/>
      <c r="AN474" s="119"/>
      <c r="AO474" s="119"/>
      <c r="AP474" s="119"/>
      <c r="AQ474" s="119"/>
      <c r="AR474" s="119"/>
      <c r="AS474" s="116" t="s">
        <v>812</v>
      </c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 t="str">
        <f t="shared" si="13"/>
        <v>卓有成效的管理者(第版）</v>
      </c>
      <c r="BJ474" s="117"/>
      <c r="BK474" s="117"/>
      <c r="BL474" s="117"/>
      <c r="BN474" s="117"/>
      <c r="BO474" s="117"/>
      <c r="BP474" s="120"/>
      <c r="BR474" s="117"/>
      <c r="BS474" s="117"/>
      <c r="BZ474" s="117"/>
      <c r="CA474" s="144"/>
    </row>
    <row r="475" spans="1:79" s="118" customFormat="1">
      <c r="A475" s="114"/>
      <c r="B475" s="114">
        <f t="shared" si="14"/>
        <v>1</v>
      </c>
      <c r="C475" s="136" t="s">
        <v>1168</v>
      </c>
      <c r="D475" s="116"/>
      <c r="E475" s="116"/>
      <c r="F475" s="116"/>
      <c r="G475" s="115"/>
      <c r="H475" s="116"/>
      <c r="I475" s="116"/>
      <c r="J475" s="116"/>
      <c r="K475" s="116"/>
      <c r="L475" s="116"/>
      <c r="M475" s="116"/>
      <c r="N475" s="116"/>
      <c r="O475" s="116"/>
      <c r="P475" s="166"/>
      <c r="Q475" s="116"/>
      <c r="R475" s="116"/>
      <c r="S475" s="191"/>
      <c r="T475" s="191"/>
      <c r="U475" s="116"/>
      <c r="V475" s="116"/>
      <c r="W475" s="116"/>
      <c r="X475" s="117"/>
      <c r="Y475" s="116"/>
      <c r="Z475" s="114"/>
      <c r="AB475" s="119"/>
      <c r="AD475" s="119"/>
      <c r="AE475" s="119"/>
      <c r="AF475" s="119"/>
      <c r="AG475" s="119"/>
      <c r="AH475" s="119"/>
      <c r="AI475" s="119"/>
      <c r="AJ475" s="119"/>
      <c r="AK475" s="119"/>
      <c r="AL475" s="119"/>
      <c r="AM475" s="119"/>
      <c r="AN475" s="119"/>
      <c r="AO475" s="119"/>
      <c r="AP475" s="119"/>
      <c r="AQ475" s="119"/>
      <c r="AR475" s="119"/>
      <c r="AS475" s="116" t="s">
        <v>828</v>
      </c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 t="str">
        <f t="shared" si="13"/>
        <v>关键时刻MOT(第版）</v>
      </c>
      <c r="BJ475" s="117"/>
      <c r="BK475" s="117"/>
      <c r="BL475" s="117"/>
      <c r="BN475" s="117"/>
      <c r="BO475" s="117"/>
      <c r="BP475" s="120"/>
      <c r="BR475" s="117"/>
      <c r="BS475" s="117"/>
      <c r="BZ475" s="117"/>
      <c r="CA475" s="144"/>
    </row>
    <row r="476" spans="1:79" s="118" customFormat="1">
      <c r="A476" s="114"/>
      <c r="B476" s="114">
        <f t="shared" si="14"/>
        <v>1</v>
      </c>
      <c r="C476" s="136" t="s">
        <v>905</v>
      </c>
      <c r="D476" s="116"/>
      <c r="E476" s="116"/>
      <c r="F476" s="116"/>
      <c r="G476" s="115"/>
      <c r="H476" s="116"/>
      <c r="I476" s="116"/>
      <c r="J476" s="116"/>
      <c r="K476" s="116"/>
      <c r="L476" s="116"/>
      <c r="M476" s="116"/>
      <c r="N476" s="116"/>
      <c r="O476" s="116"/>
      <c r="P476" s="166"/>
      <c r="Q476" s="116"/>
      <c r="R476" s="116"/>
      <c r="S476" s="191"/>
      <c r="T476" s="191"/>
      <c r="U476" s="116"/>
      <c r="V476" s="116"/>
      <c r="W476" s="116"/>
      <c r="X476" s="117"/>
      <c r="Y476" s="116"/>
      <c r="Z476" s="114"/>
      <c r="AB476" s="119"/>
      <c r="AD476" s="119"/>
      <c r="AE476" s="119"/>
      <c r="AF476" s="119"/>
      <c r="AG476" s="119"/>
      <c r="AH476" s="119"/>
      <c r="AI476" s="119"/>
      <c r="AJ476" s="119"/>
      <c r="AK476" s="119"/>
      <c r="AL476" s="119"/>
      <c r="AM476" s="119"/>
      <c r="AN476" s="119"/>
      <c r="AO476" s="119"/>
      <c r="AP476" s="119"/>
      <c r="AQ476" s="119"/>
      <c r="AR476" s="119"/>
      <c r="AS476" s="116" t="s">
        <v>828</v>
      </c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 t="str">
        <f t="shared" si="13"/>
        <v>演讲的力量(第版）</v>
      </c>
      <c r="BJ476" s="117"/>
      <c r="BK476" s="117"/>
      <c r="BL476" s="117"/>
      <c r="BN476" s="117"/>
      <c r="BO476" s="117"/>
      <c r="BP476" s="120"/>
      <c r="BR476" s="117"/>
      <c r="BS476" s="117"/>
      <c r="BZ476" s="117"/>
      <c r="CA476" s="144"/>
    </row>
    <row r="477" spans="1:79" s="118" customFormat="1">
      <c r="A477" s="114"/>
      <c r="B477" s="114">
        <f t="shared" si="14"/>
        <v>1</v>
      </c>
      <c r="C477" s="136" t="s">
        <v>1169</v>
      </c>
      <c r="D477" s="116"/>
      <c r="E477" s="116"/>
      <c r="F477" s="116"/>
      <c r="G477" s="115"/>
      <c r="H477" s="116"/>
      <c r="I477" s="116"/>
      <c r="J477" s="116"/>
      <c r="K477" s="116"/>
      <c r="L477" s="116"/>
      <c r="M477" s="116"/>
      <c r="N477" s="116"/>
      <c r="O477" s="116"/>
      <c r="P477" s="166"/>
      <c r="Q477" s="116"/>
      <c r="R477" s="116"/>
      <c r="S477" s="191"/>
      <c r="T477" s="191"/>
      <c r="U477" s="116"/>
      <c r="V477" s="116"/>
      <c r="W477" s="116"/>
      <c r="X477" s="117"/>
      <c r="Y477" s="116"/>
      <c r="Z477" s="114"/>
      <c r="AB477" s="119"/>
      <c r="AD477" s="119"/>
      <c r="AE477" s="119"/>
      <c r="AF477" s="119"/>
      <c r="AG477" s="119"/>
      <c r="AH477" s="119"/>
      <c r="AI477" s="119"/>
      <c r="AJ477" s="119"/>
      <c r="AK477" s="119"/>
      <c r="AL477" s="119"/>
      <c r="AM477" s="119"/>
      <c r="AN477" s="119"/>
      <c r="AO477" s="119"/>
      <c r="AP477" s="119"/>
      <c r="AQ477" s="119"/>
      <c r="AR477" s="119"/>
      <c r="AS477" s="116" t="s">
        <v>828</v>
      </c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 t="str">
        <f t="shared" si="13"/>
        <v>链接：商业、科学与生活的思维(第版）</v>
      </c>
      <c r="BJ477" s="117"/>
      <c r="BK477" s="117"/>
      <c r="BL477" s="117"/>
      <c r="BN477" s="117"/>
      <c r="BO477" s="117"/>
      <c r="BP477" s="120"/>
      <c r="BR477" s="117"/>
      <c r="BS477" s="117"/>
      <c r="BZ477" s="117"/>
      <c r="CA477" s="144"/>
    </row>
    <row r="478" spans="1:79" s="118" customFormat="1">
      <c r="A478" s="114"/>
      <c r="B478" s="114">
        <f t="shared" si="14"/>
        <v>1</v>
      </c>
      <c r="C478" s="136" t="s">
        <v>1170</v>
      </c>
      <c r="D478" s="116"/>
      <c r="E478" s="116"/>
      <c r="F478" s="116"/>
      <c r="G478" s="115"/>
      <c r="H478" s="116"/>
      <c r="I478" s="116"/>
      <c r="J478" s="116"/>
      <c r="K478" s="116"/>
      <c r="L478" s="116"/>
      <c r="M478" s="116"/>
      <c r="N478" s="116"/>
      <c r="O478" s="116"/>
      <c r="P478" s="166"/>
      <c r="Q478" s="116"/>
      <c r="R478" s="116"/>
      <c r="S478" s="191"/>
      <c r="T478" s="191"/>
      <c r="U478" s="116"/>
      <c r="V478" s="116"/>
      <c r="W478" s="116"/>
      <c r="X478" s="117"/>
      <c r="Y478" s="116"/>
      <c r="Z478" s="114"/>
      <c r="AB478" s="119"/>
      <c r="AD478" s="119"/>
      <c r="AE478" s="119"/>
      <c r="AF478" s="119"/>
      <c r="AG478" s="119"/>
      <c r="AH478" s="119"/>
      <c r="AI478" s="119"/>
      <c r="AJ478" s="119"/>
      <c r="AK478" s="119"/>
      <c r="AL478" s="119"/>
      <c r="AM478" s="119"/>
      <c r="AN478" s="119"/>
      <c r="AO478" s="119"/>
      <c r="AP478" s="119"/>
      <c r="AQ478" s="119"/>
      <c r="AR478" s="119"/>
      <c r="AS478" s="116" t="s">
        <v>828</v>
      </c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 t="str">
        <f t="shared" si="13"/>
        <v>产品游戏化(第版）</v>
      </c>
      <c r="BJ478" s="117"/>
      <c r="BK478" s="117"/>
      <c r="BL478" s="117"/>
      <c r="BN478" s="117"/>
      <c r="BO478" s="117"/>
      <c r="BP478" s="120"/>
      <c r="BR478" s="117"/>
      <c r="BS478" s="117"/>
      <c r="BZ478" s="117"/>
      <c r="CA478" s="144"/>
    </row>
    <row r="479" spans="1:79" s="118" customFormat="1" ht="33">
      <c r="A479" s="114"/>
      <c r="B479" s="114">
        <f t="shared" si="14"/>
        <v>1</v>
      </c>
      <c r="C479" s="136" t="s">
        <v>906</v>
      </c>
      <c r="D479" s="116"/>
      <c r="E479" s="116"/>
      <c r="F479" s="116"/>
      <c r="G479" s="115"/>
      <c r="H479" s="116"/>
      <c r="I479" s="116"/>
      <c r="J479" s="116"/>
      <c r="K479" s="116"/>
      <c r="L479" s="116"/>
      <c r="M479" s="116"/>
      <c r="N479" s="116"/>
      <c r="O479" s="116"/>
      <c r="P479" s="166"/>
      <c r="Q479" s="116"/>
      <c r="R479" s="116"/>
      <c r="S479" s="191"/>
      <c r="T479" s="191"/>
      <c r="U479" s="116"/>
      <c r="V479" s="116"/>
      <c r="W479" s="116"/>
      <c r="X479" s="117"/>
      <c r="Y479" s="116"/>
      <c r="Z479" s="114"/>
      <c r="AB479" s="119"/>
      <c r="AD479" s="119"/>
      <c r="AE479" s="119"/>
      <c r="AF479" s="119"/>
      <c r="AG479" s="119"/>
      <c r="AH479" s="119"/>
      <c r="AI479" s="119"/>
      <c r="AJ479" s="119"/>
      <c r="AK479" s="119"/>
      <c r="AL479" s="119"/>
      <c r="AM479" s="119"/>
      <c r="AN479" s="119"/>
      <c r="AO479" s="119"/>
      <c r="AP479" s="119"/>
      <c r="AQ479" s="119"/>
      <c r="AR479" s="119"/>
      <c r="AS479" s="116" t="s">
        <v>828</v>
      </c>
      <c r="AT479" s="116"/>
      <c r="AU479" s="116"/>
      <c r="AV479" s="116"/>
      <c r="AW479" s="116"/>
      <c r="AX479" s="116"/>
      <c r="AY479" s="116"/>
      <c r="AZ479" s="116"/>
      <c r="BA479" s="116"/>
      <c r="BB479" s="116"/>
      <c r="BC479" s="116"/>
      <c r="BD479" s="116"/>
      <c r="BE479" s="116"/>
      <c r="BF479" s="116"/>
      <c r="BG479" s="116"/>
      <c r="BH479" s="116"/>
      <c r="BI479" s="116" t="str">
        <f t="shared" si="13"/>
        <v>你所做即你所是：打造企业文化的策略和技巧(第版）</v>
      </c>
      <c r="BJ479" s="117"/>
      <c r="BK479" s="117"/>
      <c r="BL479" s="117"/>
      <c r="BN479" s="117"/>
      <c r="BO479" s="117"/>
      <c r="BP479" s="120"/>
      <c r="BR479" s="117"/>
      <c r="BS479" s="117"/>
      <c r="BZ479" s="117"/>
      <c r="CA479" s="144"/>
    </row>
    <row r="480" spans="1:79" s="118" customFormat="1">
      <c r="A480" s="114"/>
      <c r="B480" s="114">
        <f t="shared" si="14"/>
        <v>1</v>
      </c>
      <c r="C480" s="136" t="s">
        <v>908</v>
      </c>
      <c r="D480" s="116"/>
      <c r="E480" s="116"/>
      <c r="F480" s="116"/>
      <c r="G480" s="115"/>
      <c r="H480" s="116"/>
      <c r="I480" s="116"/>
      <c r="J480" s="116"/>
      <c r="K480" s="116"/>
      <c r="L480" s="116"/>
      <c r="M480" s="116"/>
      <c r="N480" s="116"/>
      <c r="O480" s="116"/>
      <c r="P480" s="166"/>
      <c r="Q480" s="116"/>
      <c r="R480" s="116"/>
      <c r="S480" s="191"/>
      <c r="T480" s="191"/>
      <c r="U480" s="116"/>
      <c r="V480" s="116"/>
      <c r="W480" s="116"/>
      <c r="X480" s="117"/>
      <c r="Y480" s="116"/>
      <c r="Z480" s="114"/>
      <c r="AB480" s="119"/>
      <c r="AD480" s="119"/>
      <c r="AE480" s="119"/>
      <c r="AF480" s="119"/>
      <c r="AG480" s="119"/>
      <c r="AH480" s="119"/>
      <c r="AI480" s="119"/>
      <c r="AJ480" s="119"/>
      <c r="AK480" s="119"/>
      <c r="AL480" s="119"/>
      <c r="AM480" s="119"/>
      <c r="AN480" s="119"/>
      <c r="AO480" s="119"/>
      <c r="AP480" s="119"/>
      <c r="AQ480" s="119"/>
      <c r="AR480" s="119"/>
      <c r="AS480" s="116" t="s">
        <v>828</v>
      </c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 t="str">
        <f t="shared" si="13"/>
        <v>DTC创造品牌奇迹(第版）</v>
      </c>
      <c r="BJ480" s="117"/>
      <c r="BK480" s="117"/>
      <c r="BL480" s="117"/>
      <c r="BN480" s="117"/>
      <c r="BO480" s="117"/>
      <c r="BP480" s="120"/>
      <c r="BR480" s="117"/>
      <c r="BS480" s="117"/>
      <c r="BZ480" s="117"/>
      <c r="CA480" s="144"/>
    </row>
    <row r="481" spans="1:79" s="118" customFormat="1">
      <c r="A481" s="114"/>
      <c r="B481" s="114">
        <f t="shared" si="14"/>
        <v>1</v>
      </c>
      <c r="C481" s="136" t="s">
        <v>909</v>
      </c>
      <c r="D481" s="116"/>
      <c r="E481" s="116"/>
      <c r="F481" s="116"/>
      <c r="G481" s="115"/>
      <c r="H481" s="116"/>
      <c r="I481" s="116"/>
      <c r="J481" s="116"/>
      <c r="K481" s="116"/>
      <c r="L481" s="116"/>
      <c r="M481" s="116"/>
      <c r="N481" s="116"/>
      <c r="O481" s="116"/>
      <c r="P481" s="166"/>
      <c r="Q481" s="116"/>
      <c r="R481" s="116"/>
      <c r="S481" s="191"/>
      <c r="T481" s="191"/>
      <c r="U481" s="116"/>
      <c r="V481" s="116"/>
      <c r="W481" s="116"/>
      <c r="X481" s="117"/>
      <c r="Y481" s="116"/>
      <c r="Z481" s="114"/>
      <c r="AB481" s="119"/>
      <c r="AD481" s="119"/>
      <c r="AE481" s="119"/>
      <c r="AF481" s="119"/>
      <c r="AG481" s="119"/>
      <c r="AH481" s="119"/>
      <c r="AI481" s="119"/>
      <c r="AJ481" s="119"/>
      <c r="AK481" s="119"/>
      <c r="AL481" s="119"/>
      <c r="AM481" s="119"/>
      <c r="AN481" s="119"/>
      <c r="AO481" s="119"/>
      <c r="AP481" s="119"/>
      <c r="AQ481" s="119"/>
      <c r="AR481" s="119"/>
      <c r="AS481" s="116" t="s">
        <v>828</v>
      </c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 t="str">
        <f t="shared" si="13"/>
        <v>创业无畏：指数级成长路线图(第版）</v>
      </c>
      <c r="BJ481" s="117"/>
      <c r="BK481" s="117"/>
      <c r="BL481" s="117"/>
      <c r="BN481" s="117"/>
      <c r="BO481" s="117"/>
      <c r="BP481" s="120"/>
      <c r="BR481" s="117"/>
      <c r="BS481" s="117"/>
      <c r="BZ481" s="117"/>
      <c r="CA481" s="144"/>
    </row>
    <row r="482" spans="1:79" s="118" customFormat="1">
      <c r="A482" s="114"/>
      <c r="B482" s="114">
        <f t="shared" si="14"/>
        <v>1</v>
      </c>
      <c r="C482" s="136" t="s">
        <v>910</v>
      </c>
      <c r="D482" s="116"/>
      <c r="E482" s="116"/>
      <c r="F482" s="116"/>
      <c r="G482" s="115"/>
      <c r="H482" s="116"/>
      <c r="I482" s="116"/>
      <c r="J482" s="116"/>
      <c r="K482" s="116"/>
      <c r="L482" s="116"/>
      <c r="M482" s="116"/>
      <c r="N482" s="116"/>
      <c r="O482" s="116"/>
      <c r="P482" s="166"/>
      <c r="Q482" s="116"/>
      <c r="R482" s="116"/>
      <c r="S482" s="191"/>
      <c r="T482" s="191"/>
      <c r="U482" s="116"/>
      <c r="V482" s="116"/>
      <c r="W482" s="116"/>
      <c r="X482" s="117"/>
      <c r="Y482" s="116"/>
      <c r="Z482" s="114"/>
      <c r="AB482" s="119"/>
      <c r="AD482" s="119"/>
      <c r="AE482" s="119"/>
      <c r="AF482" s="119"/>
      <c r="AG482" s="119"/>
      <c r="AH482" s="119"/>
      <c r="AI482" s="119"/>
      <c r="AJ482" s="119"/>
      <c r="AK482" s="119"/>
      <c r="AL482" s="119"/>
      <c r="AM482" s="119"/>
      <c r="AN482" s="119"/>
      <c r="AO482" s="119"/>
      <c r="AP482" s="119"/>
      <c r="AQ482" s="119"/>
      <c r="AR482" s="119"/>
      <c r="AS482" s="116" t="s">
        <v>812</v>
      </c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 t="str">
        <f t="shared" si="13"/>
        <v>星巴克：关于咖啡、商业和文化的传奇(第版）</v>
      </c>
      <c r="BJ482" s="117"/>
      <c r="BK482" s="117"/>
      <c r="BL482" s="117"/>
      <c r="BN482" s="117"/>
      <c r="BO482" s="117"/>
      <c r="BP482" s="120"/>
      <c r="BR482" s="117"/>
      <c r="BS482" s="117"/>
      <c r="BZ482" s="117"/>
      <c r="CA482" s="144"/>
    </row>
    <row r="483" spans="1:79" s="118" customFormat="1">
      <c r="A483" s="114"/>
      <c r="B483" s="114">
        <f t="shared" si="14"/>
        <v>1</v>
      </c>
      <c r="C483" s="136" t="s">
        <v>911</v>
      </c>
      <c r="D483" s="116"/>
      <c r="E483" s="116"/>
      <c r="F483" s="116"/>
      <c r="G483" s="115"/>
      <c r="H483" s="116"/>
      <c r="I483" s="116"/>
      <c r="J483" s="116"/>
      <c r="K483" s="116"/>
      <c r="L483" s="116"/>
      <c r="M483" s="116"/>
      <c r="N483" s="116"/>
      <c r="O483" s="116"/>
      <c r="P483" s="166"/>
      <c r="Q483" s="116"/>
      <c r="R483" s="116"/>
      <c r="S483" s="191"/>
      <c r="T483" s="191"/>
      <c r="U483" s="116"/>
      <c r="V483" s="116"/>
      <c r="W483" s="116"/>
      <c r="X483" s="117"/>
      <c r="Y483" s="116"/>
      <c r="Z483" s="114"/>
      <c r="AB483" s="119"/>
      <c r="AD483" s="119"/>
      <c r="AE483" s="119"/>
      <c r="AF483" s="119"/>
      <c r="AG483" s="119"/>
      <c r="AH483" s="119"/>
      <c r="AI483" s="119"/>
      <c r="AJ483" s="119"/>
      <c r="AK483" s="119"/>
      <c r="AL483" s="119"/>
      <c r="AM483" s="119"/>
      <c r="AN483" s="119"/>
      <c r="AO483" s="119"/>
      <c r="AP483" s="119"/>
      <c r="AQ483" s="119"/>
      <c r="AR483" s="119"/>
      <c r="AS483" s="116" t="s">
        <v>812</v>
      </c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 t="str">
        <f t="shared" si="13"/>
        <v>与众不同：极度竞争时代的生存之道(第版）</v>
      </c>
      <c r="BJ483" s="117"/>
      <c r="BK483" s="117"/>
      <c r="BL483" s="117"/>
      <c r="BN483" s="117"/>
      <c r="BO483" s="117"/>
      <c r="BP483" s="120"/>
      <c r="BR483" s="117"/>
      <c r="BS483" s="117"/>
      <c r="BZ483" s="117"/>
      <c r="CA483" s="144"/>
    </row>
    <row r="484" spans="1:79" s="118" customFormat="1">
      <c r="A484" s="114"/>
      <c r="B484" s="114">
        <f t="shared" si="14"/>
        <v>1</v>
      </c>
      <c r="C484" s="136" t="s">
        <v>912</v>
      </c>
      <c r="D484" s="116"/>
      <c r="E484" s="116"/>
      <c r="F484" s="116"/>
      <c r="G484" s="115"/>
      <c r="H484" s="116"/>
      <c r="I484" s="116"/>
      <c r="J484" s="116"/>
      <c r="K484" s="116"/>
      <c r="L484" s="116"/>
      <c r="M484" s="116"/>
      <c r="N484" s="116"/>
      <c r="O484" s="116"/>
      <c r="P484" s="166"/>
      <c r="Q484" s="116"/>
      <c r="R484" s="116"/>
      <c r="S484" s="191"/>
      <c r="T484" s="191"/>
      <c r="U484" s="116"/>
      <c r="V484" s="116"/>
      <c r="W484" s="116"/>
      <c r="X484" s="117"/>
      <c r="Y484" s="116"/>
      <c r="Z484" s="114"/>
      <c r="AB484" s="119"/>
      <c r="AD484" s="119"/>
      <c r="AE484" s="119"/>
      <c r="AF484" s="119"/>
      <c r="AG484" s="119"/>
      <c r="AH484" s="119"/>
      <c r="AI484" s="119"/>
      <c r="AJ484" s="119"/>
      <c r="AK484" s="119"/>
      <c r="AL484" s="119"/>
      <c r="AM484" s="119"/>
      <c r="AN484" s="119"/>
      <c r="AO484" s="119"/>
      <c r="AP484" s="119"/>
      <c r="AQ484" s="119"/>
      <c r="AR484" s="119"/>
      <c r="AS484" s="116" t="s">
        <v>812</v>
      </c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 t="str">
        <f t="shared" si="13"/>
        <v>故事与估值(第版）</v>
      </c>
      <c r="BJ484" s="117"/>
      <c r="BK484" s="117"/>
      <c r="BL484" s="117"/>
      <c r="BN484" s="117"/>
      <c r="BO484" s="117"/>
      <c r="BP484" s="120"/>
      <c r="BR484" s="117"/>
      <c r="BS484" s="117"/>
      <c r="BZ484" s="117"/>
      <c r="CA484" s="144"/>
    </row>
    <row r="485" spans="1:79" s="118" customFormat="1">
      <c r="A485" s="114"/>
      <c r="B485" s="114">
        <f t="shared" si="14"/>
        <v>1</v>
      </c>
      <c r="C485" s="136" t="s">
        <v>913</v>
      </c>
      <c r="D485" s="116"/>
      <c r="E485" s="116"/>
      <c r="F485" s="116"/>
      <c r="G485" s="115"/>
      <c r="H485" s="116"/>
      <c r="I485" s="116"/>
      <c r="J485" s="116"/>
      <c r="K485" s="116"/>
      <c r="L485" s="116"/>
      <c r="M485" s="116"/>
      <c r="N485" s="116"/>
      <c r="O485" s="116"/>
      <c r="P485" s="166"/>
      <c r="Q485" s="116"/>
      <c r="R485" s="116"/>
      <c r="S485" s="191"/>
      <c r="T485" s="191"/>
      <c r="U485" s="116"/>
      <c r="V485" s="116"/>
      <c r="W485" s="116"/>
      <c r="X485" s="117"/>
      <c r="Y485" s="116"/>
      <c r="Z485" s="114"/>
      <c r="AB485" s="119"/>
      <c r="AD485" s="119"/>
      <c r="AE485" s="119"/>
      <c r="AF485" s="119"/>
      <c r="AG485" s="119"/>
      <c r="AH485" s="119"/>
      <c r="AI485" s="119"/>
      <c r="AJ485" s="119"/>
      <c r="AK485" s="119"/>
      <c r="AL485" s="119"/>
      <c r="AM485" s="119"/>
      <c r="AN485" s="119"/>
      <c r="AO485" s="119"/>
      <c r="AP485" s="119"/>
      <c r="AQ485" s="119"/>
      <c r="AR485" s="119"/>
      <c r="AS485" s="116" t="s">
        <v>828</v>
      </c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 t="str">
        <f t="shared" si="13"/>
        <v>营销革命4.0(第版）</v>
      </c>
      <c r="BJ485" s="117"/>
      <c r="BK485" s="117"/>
      <c r="BL485" s="117"/>
      <c r="BN485" s="117"/>
      <c r="BO485" s="117"/>
      <c r="BP485" s="120"/>
      <c r="BR485" s="117"/>
      <c r="BS485" s="117"/>
      <c r="BZ485" s="117"/>
      <c r="CA485" s="144"/>
    </row>
    <row r="486" spans="1:79" s="118" customFormat="1">
      <c r="A486" s="114"/>
      <c r="B486" s="114">
        <f t="shared" si="14"/>
        <v>1</v>
      </c>
      <c r="C486" s="136" t="s">
        <v>914</v>
      </c>
      <c r="D486" s="116"/>
      <c r="E486" s="116"/>
      <c r="F486" s="116"/>
      <c r="G486" s="115"/>
      <c r="H486" s="116"/>
      <c r="I486" s="116"/>
      <c r="J486" s="116"/>
      <c r="K486" s="116"/>
      <c r="L486" s="116"/>
      <c r="M486" s="116"/>
      <c r="N486" s="116"/>
      <c r="O486" s="116"/>
      <c r="P486" s="166"/>
      <c r="Q486" s="116"/>
      <c r="R486" s="116"/>
      <c r="S486" s="191"/>
      <c r="T486" s="191"/>
      <c r="U486" s="116"/>
      <c r="V486" s="116"/>
      <c r="W486" s="116"/>
      <c r="X486" s="117"/>
      <c r="Y486" s="116"/>
      <c r="Z486" s="114"/>
      <c r="AB486" s="119"/>
      <c r="AD486" s="119"/>
      <c r="AE486" s="119"/>
      <c r="AF486" s="119"/>
      <c r="AG486" s="119"/>
      <c r="AH486" s="119"/>
      <c r="AI486" s="119"/>
      <c r="AJ486" s="119"/>
      <c r="AK486" s="119"/>
      <c r="AL486" s="119"/>
      <c r="AM486" s="119"/>
      <c r="AN486" s="119"/>
      <c r="AO486" s="119"/>
      <c r="AP486" s="119"/>
      <c r="AQ486" s="119"/>
      <c r="AR486" s="119"/>
      <c r="AS486" s="116" t="s">
        <v>828</v>
      </c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 t="str">
        <f t="shared" ref="BI486:BI509" si="15">C486&amp;"(第"&amp;E486&amp;"版）"</f>
        <v>竞争优势(第版）</v>
      </c>
      <c r="BJ486" s="117"/>
      <c r="BK486" s="117"/>
      <c r="BL486" s="117"/>
      <c r="BN486" s="117"/>
      <c r="BO486" s="117"/>
      <c r="BP486" s="120"/>
      <c r="BR486" s="117"/>
      <c r="BS486" s="117"/>
      <c r="BZ486" s="117"/>
      <c r="CA486" s="144"/>
    </row>
    <row r="487" spans="1:79" s="118" customFormat="1">
      <c r="A487" s="114"/>
      <c r="B487" s="114">
        <f t="shared" si="14"/>
        <v>1</v>
      </c>
      <c r="C487" s="136" t="s">
        <v>915</v>
      </c>
      <c r="D487" s="116"/>
      <c r="E487" s="116"/>
      <c r="F487" s="116"/>
      <c r="G487" s="115"/>
      <c r="H487" s="116"/>
      <c r="I487" s="116"/>
      <c r="J487" s="116"/>
      <c r="K487" s="116"/>
      <c r="L487" s="116"/>
      <c r="M487" s="116"/>
      <c r="N487" s="116"/>
      <c r="O487" s="116"/>
      <c r="P487" s="166"/>
      <c r="Q487" s="116"/>
      <c r="R487" s="116"/>
      <c r="S487" s="191"/>
      <c r="T487" s="191"/>
      <c r="U487" s="116"/>
      <c r="V487" s="116"/>
      <c r="W487" s="116"/>
      <c r="X487" s="117"/>
      <c r="Y487" s="116"/>
      <c r="Z487" s="114"/>
      <c r="AB487" s="119"/>
      <c r="AD487" s="119"/>
      <c r="AE487" s="119"/>
      <c r="AF487" s="119"/>
      <c r="AG487" s="119"/>
      <c r="AH487" s="119"/>
      <c r="AI487" s="119"/>
      <c r="AJ487" s="119"/>
      <c r="AK487" s="119"/>
      <c r="AL487" s="119"/>
      <c r="AM487" s="119"/>
      <c r="AN487" s="119"/>
      <c r="AO487" s="119"/>
      <c r="AP487" s="119"/>
      <c r="AQ487" s="119"/>
      <c r="AR487" s="119"/>
      <c r="AS487" s="116" t="s">
        <v>828</v>
      </c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 t="str">
        <f t="shared" si="15"/>
        <v>管理：使命、责任、实务（实务篇）(第版）</v>
      </c>
      <c r="BJ487" s="117"/>
      <c r="BK487" s="117"/>
      <c r="BL487" s="117"/>
      <c r="BN487" s="117"/>
      <c r="BO487" s="117"/>
      <c r="BP487" s="120"/>
      <c r="BR487" s="117"/>
      <c r="BS487" s="117"/>
      <c r="BZ487" s="117"/>
      <c r="CA487" s="144"/>
    </row>
    <row r="488" spans="1:79" s="118" customFormat="1">
      <c r="A488" s="114"/>
      <c r="B488" s="114">
        <f t="shared" si="14"/>
        <v>1</v>
      </c>
      <c r="C488" s="136" t="s">
        <v>916</v>
      </c>
      <c r="D488" s="116"/>
      <c r="E488" s="116"/>
      <c r="F488" s="116"/>
      <c r="G488" s="115"/>
      <c r="H488" s="116"/>
      <c r="I488" s="116"/>
      <c r="J488" s="116"/>
      <c r="K488" s="116"/>
      <c r="L488" s="116"/>
      <c r="M488" s="116"/>
      <c r="N488" s="116"/>
      <c r="O488" s="116"/>
      <c r="P488" s="166"/>
      <c r="Q488" s="116"/>
      <c r="R488" s="116"/>
      <c r="S488" s="191"/>
      <c r="T488" s="191"/>
      <c r="U488" s="116"/>
      <c r="V488" s="116"/>
      <c r="W488" s="116"/>
      <c r="X488" s="117"/>
      <c r="Y488" s="116"/>
      <c r="Z488" s="114"/>
      <c r="AB488" s="119"/>
      <c r="AD488" s="119"/>
      <c r="AE488" s="119"/>
      <c r="AF488" s="119"/>
      <c r="AG488" s="119"/>
      <c r="AH488" s="119"/>
      <c r="AI488" s="119"/>
      <c r="AJ488" s="119"/>
      <c r="AK488" s="119"/>
      <c r="AL488" s="119"/>
      <c r="AM488" s="119"/>
      <c r="AN488" s="119"/>
      <c r="AO488" s="119"/>
      <c r="AP488" s="119"/>
      <c r="AQ488" s="119"/>
      <c r="AR488" s="119"/>
      <c r="AS488" s="116" t="s">
        <v>828</v>
      </c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 t="str">
        <f t="shared" si="15"/>
        <v>引爆点(第版）</v>
      </c>
      <c r="BJ488" s="117"/>
      <c r="BK488" s="117"/>
      <c r="BL488" s="117"/>
      <c r="BN488" s="117"/>
      <c r="BO488" s="117"/>
      <c r="BP488" s="120"/>
      <c r="BR488" s="117"/>
      <c r="BS488" s="117"/>
      <c r="BZ488" s="117"/>
      <c r="CA488" s="144"/>
    </row>
    <row r="489" spans="1:79" s="118" customFormat="1">
      <c r="A489" s="114"/>
      <c r="B489" s="114">
        <f t="shared" si="14"/>
        <v>1</v>
      </c>
      <c r="C489" s="136" t="s">
        <v>917</v>
      </c>
      <c r="D489" s="116"/>
      <c r="E489" s="116"/>
      <c r="F489" s="116"/>
      <c r="G489" s="115"/>
      <c r="H489" s="116"/>
      <c r="I489" s="116"/>
      <c r="J489" s="116"/>
      <c r="K489" s="116"/>
      <c r="L489" s="116"/>
      <c r="M489" s="116"/>
      <c r="N489" s="116"/>
      <c r="O489" s="116"/>
      <c r="P489" s="166"/>
      <c r="Q489" s="116"/>
      <c r="R489" s="116"/>
      <c r="S489" s="191"/>
      <c r="T489" s="191"/>
      <c r="U489" s="116"/>
      <c r="V489" s="116"/>
      <c r="W489" s="116"/>
      <c r="X489" s="117"/>
      <c r="Y489" s="116"/>
      <c r="Z489" s="114"/>
      <c r="AB489" s="119"/>
      <c r="AD489" s="119"/>
      <c r="AE489" s="119"/>
      <c r="AF489" s="119"/>
      <c r="AG489" s="119"/>
      <c r="AH489" s="119"/>
      <c r="AI489" s="119"/>
      <c r="AJ489" s="119"/>
      <c r="AK489" s="119"/>
      <c r="AL489" s="119"/>
      <c r="AM489" s="119"/>
      <c r="AN489" s="119"/>
      <c r="AO489" s="119"/>
      <c r="AP489" s="119"/>
      <c r="AQ489" s="119"/>
      <c r="AR489" s="119"/>
      <c r="AS489" s="116" t="s">
        <v>828</v>
      </c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 t="str">
        <f t="shared" si="15"/>
        <v>变革性创新(第版）</v>
      </c>
      <c r="BJ489" s="117"/>
      <c r="BK489" s="117"/>
      <c r="BL489" s="117"/>
      <c r="BN489" s="117"/>
      <c r="BO489" s="117"/>
      <c r="BP489" s="120"/>
      <c r="BR489" s="117"/>
      <c r="BS489" s="117"/>
      <c r="BZ489" s="117"/>
      <c r="CA489" s="144"/>
    </row>
    <row r="490" spans="1:79" s="118" customFormat="1">
      <c r="A490" s="114"/>
      <c r="B490" s="114">
        <f t="shared" si="14"/>
        <v>1</v>
      </c>
      <c r="C490" s="136" t="s">
        <v>918</v>
      </c>
      <c r="D490" s="116"/>
      <c r="E490" s="116"/>
      <c r="F490" s="116"/>
      <c r="G490" s="115"/>
      <c r="H490" s="116"/>
      <c r="I490" s="116"/>
      <c r="J490" s="116"/>
      <c r="K490" s="116"/>
      <c r="L490" s="116"/>
      <c r="M490" s="116"/>
      <c r="N490" s="116"/>
      <c r="O490" s="116"/>
      <c r="P490" s="166"/>
      <c r="Q490" s="116"/>
      <c r="R490" s="116"/>
      <c r="S490" s="191"/>
      <c r="T490" s="191"/>
      <c r="U490" s="116"/>
      <c r="V490" s="116"/>
      <c r="W490" s="116"/>
      <c r="X490" s="117"/>
      <c r="Y490" s="116"/>
      <c r="Z490" s="114"/>
      <c r="AB490" s="119"/>
      <c r="AD490" s="119"/>
      <c r="AE490" s="119"/>
      <c r="AF490" s="119"/>
      <c r="AG490" s="119"/>
      <c r="AH490" s="119"/>
      <c r="AI490" s="119"/>
      <c r="AJ490" s="119"/>
      <c r="AK490" s="119"/>
      <c r="AL490" s="119"/>
      <c r="AM490" s="119"/>
      <c r="AN490" s="119"/>
      <c r="AO490" s="119"/>
      <c r="AP490" s="119"/>
      <c r="AQ490" s="119"/>
      <c r="AR490" s="119"/>
      <c r="AS490" s="116" t="s">
        <v>828</v>
      </c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 t="str">
        <f t="shared" si="15"/>
        <v>改变未来的九大算法(第版）</v>
      </c>
      <c r="BJ490" s="117"/>
      <c r="BK490" s="117"/>
      <c r="BL490" s="117"/>
      <c r="BN490" s="117"/>
      <c r="BO490" s="117"/>
      <c r="BP490" s="120"/>
      <c r="BR490" s="117"/>
      <c r="BS490" s="117"/>
      <c r="BZ490" s="117"/>
      <c r="CA490" s="144"/>
    </row>
    <row r="491" spans="1:79" s="118" customFormat="1" ht="33">
      <c r="A491" s="114"/>
      <c r="B491" s="114">
        <f t="shared" si="14"/>
        <v>1</v>
      </c>
      <c r="C491" s="136" t="s">
        <v>925</v>
      </c>
      <c r="D491" s="116"/>
      <c r="E491" s="116"/>
      <c r="F491" s="116"/>
      <c r="G491" s="115"/>
      <c r="H491" s="116"/>
      <c r="I491" s="116"/>
      <c r="J491" s="116"/>
      <c r="K491" s="116"/>
      <c r="L491" s="116"/>
      <c r="M491" s="116"/>
      <c r="N491" s="116"/>
      <c r="O491" s="116"/>
      <c r="P491" s="166"/>
      <c r="Q491" s="116"/>
      <c r="R491" s="116"/>
      <c r="S491" s="191"/>
      <c r="T491" s="191"/>
      <c r="U491" s="116"/>
      <c r="V491" s="116"/>
      <c r="W491" s="116"/>
      <c r="X491" s="117"/>
      <c r="Y491" s="116"/>
      <c r="Z491" s="114"/>
      <c r="AB491" s="119"/>
      <c r="AD491" s="119"/>
      <c r="AE491" s="119"/>
      <c r="AF491" s="119"/>
      <c r="AG491" s="119"/>
      <c r="AH491" s="119"/>
      <c r="AI491" s="119"/>
      <c r="AJ491" s="119"/>
      <c r="AK491" s="119"/>
      <c r="AL491" s="119"/>
      <c r="AM491" s="119"/>
      <c r="AN491" s="119"/>
      <c r="AO491" s="119"/>
      <c r="AP491" s="119"/>
      <c r="AQ491" s="119"/>
      <c r="AR491" s="119"/>
      <c r="AS491" s="116" t="s">
        <v>812</v>
      </c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 t="str">
        <f t="shared" si="15"/>
        <v>魔鬼经济学1：揭示隐藏在表象之下的真实世界(第版）</v>
      </c>
      <c r="BJ491" s="117"/>
      <c r="BK491" s="117"/>
      <c r="BL491" s="117"/>
      <c r="BN491" s="117"/>
      <c r="BO491" s="117"/>
      <c r="BP491" s="120"/>
      <c r="BR491" s="117"/>
      <c r="BS491" s="117"/>
      <c r="BZ491" s="117"/>
      <c r="CA491" s="144"/>
    </row>
    <row r="492" spans="1:79" s="118" customFormat="1">
      <c r="A492" s="114"/>
      <c r="B492" s="114">
        <f t="shared" si="14"/>
        <v>1</v>
      </c>
      <c r="C492" s="136" t="s">
        <v>924</v>
      </c>
      <c r="D492" s="116"/>
      <c r="E492" s="116"/>
      <c r="F492" s="116"/>
      <c r="G492" s="115"/>
      <c r="H492" s="116"/>
      <c r="I492" s="116"/>
      <c r="J492" s="116"/>
      <c r="K492" s="116"/>
      <c r="L492" s="116"/>
      <c r="M492" s="116"/>
      <c r="N492" s="116"/>
      <c r="O492" s="116"/>
      <c r="P492" s="166"/>
      <c r="Q492" s="116"/>
      <c r="R492" s="116"/>
      <c r="S492" s="191"/>
      <c r="T492" s="191"/>
      <c r="U492" s="116"/>
      <c r="V492" s="116"/>
      <c r="W492" s="116"/>
      <c r="X492" s="117"/>
      <c r="Y492" s="116"/>
      <c r="Z492" s="114"/>
      <c r="AB492" s="119"/>
      <c r="AD492" s="119"/>
      <c r="AE492" s="119"/>
      <c r="AF492" s="119"/>
      <c r="AG492" s="119"/>
      <c r="AH492" s="119"/>
      <c r="AI492" s="119"/>
      <c r="AJ492" s="119"/>
      <c r="AK492" s="119"/>
      <c r="AL492" s="119"/>
      <c r="AM492" s="119"/>
      <c r="AN492" s="119"/>
      <c r="AO492" s="119"/>
      <c r="AP492" s="119"/>
      <c r="AQ492" s="119"/>
      <c r="AR492" s="119"/>
      <c r="AS492" s="116" t="s">
        <v>812</v>
      </c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 t="str">
        <f t="shared" si="15"/>
        <v>魔鬼经济学2：拥有清晰思维的艺术(第版）</v>
      </c>
      <c r="BJ492" s="117"/>
      <c r="BK492" s="117"/>
      <c r="BL492" s="117"/>
      <c r="BN492" s="117"/>
      <c r="BO492" s="117"/>
      <c r="BP492" s="120"/>
      <c r="BR492" s="117"/>
      <c r="BS492" s="117"/>
      <c r="BZ492" s="117"/>
      <c r="CA492" s="144"/>
    </row>
    <row r="493" spans="1:79" s="118" customFormat="1">
      <c r="A493" s="114"/>
      <c r="B493" s="114">
        <f t="shared" si="14"/>
        <v>1</v>
      </c>
      <c r="C493" s="136" t="s">
        <v>907</v>
      </c>
      <c r="D493" s="116"/>
      <c r="E493" s="116"/>
      <c r="F493" s="116"/>
      <c r="G493" s="115"/>
      <c r="H493" s="116"/>
      <c r="I493" s="116"/>
      <c r="J493" s="116"/>
      <c r="K493" s="116"/>
      <c r="L493" s="116"/>
      <c r="M493" s="116"/>
      <c r="N493" s="116"/>
      <c r="O493" s="116"/>
      <c r="P493" s="166"/>
      <c r="Q493" s="116"/>
      <c r="R493" s="116"/>
      <c r="S493" s="191"/>
      <c r="T493" s="191"/>
      <c r="U493" s="116"/>
      <c r="V493" s="116"/>
      <c r="W493" s="116"/>
      <c r="X493" s="117"/>
      <c r="Y493" s="116"/>
      <c r="Z493" s="114"/>
      <c r="AB493" s="119"/>
      <c r="AD493" s="119"/>
      <c r="AE493" s="119"/>
      <c r="AF493" s="119"/>
      <c r="AG493" s="119"/>
      <c r="AH493" s="119"/>
      <c r="AI493" s="119"/>
      <c r="AJ493" s="119"/>
      <c r="AK493" s="119"/>
      <c r="AL493" s="119"/>
      <c r="AM493" s="119"/>
      <c r="AN493" s="119"/>
      <c r="AO493" s="119"/>
      <c r="AP493" s="119"/>
      <c r="AQ493" s="119"/>
      <c r="AR493" s="119"/>
      <c r="AS493" s="116" t="s">
        <v>812</v>
      </c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 t="str">
        <f t="shared" si="15"/>
        <v>魔鬼经济学3：用反常思维解决问题(第版）</v>
      </c>
      <c r="BJ493" s="117"/>
      <c r="BK493" s="117"/>
      <c r="BL493" s="117"/>
      <c r="BN493" s="117"/>
      <c r="BO493" s="117"/>
      <c r="BP493" s="120"/>
      <c r="BR493" s="117"/>
      <c r="BS493" s="117"/>
      <c r="BZ493" s="117"/>
      <c r="CA493" s="144"/>
    </row>
    <row r="494" spans="1:79" s="118" customFormat="1" ht="27">
      <c r="A494" s="114"/>
      <c r="B494" s="114">
        <f t="shared" si="14"/>
        <v>1</v>
      </c>
      <c r="C494" s="136" t="s">
        <v>919</v>
      </c>
      <c r="D494" s="116"/>
      <c r="E494" s="116"/>
      <c r="F494" s="116"/>
      <c r="G494" s="115"/>
      <c r="H494" s="116"/>
      <c r="I494" s="116"/>
      <c r="J494" s="116"/>
      <c r="K494" s="116"/>
      <c r="L494" s="116"/>
      <c r="M494" s="116"/>
      <c r="N494" s="116"/>
      <c r="O494" s="116"/>
      <c r="P494" s="166"/>
      <c r="Q494" s="116"/>
      <c r="R494" s="116"/>
      <c r="S494" s="191"/>
      <c r="T494" s="191"/>
      <c r="U494" s="116"/>
      <c r="V494" s="116"/>
      <c r="W494" s="116"/>
      <c r="X494" s="117"/>
      <c r="Y494" s="116"/>
      <c r="Z494" s="114"/>
      <c r="AB494" s="119"/>
      <c r="AD494" s="119"/>
      <c r="AE494" s="119"/>
      <c r="AF494" s="119"/>
      <c r="AG494" s="119"/>
      <c r="AH494" s="119"/>
      <c r="AI494" s="119"/>
      <c r="AJ494" s="119"/>
      <c r="AK494" s="119"/>
      <c r="AL494" s="119"/>
      <c r="AM494" s="119"/>
      <c r="AN494" s="119"/>
      <c r="AO494" s="119"/>
      <c r="AP494" s="119"/>
      <c r="AQ494" s="119"/>
      <c r="AR494" s="119"/>
      <c r="AS494" s="116" t="s">
        <v>812</v>
      </c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 t="str">
        <f t="shared" si="15"/>
        <v>魔鬼经济学4：用“有色眼镜”看清世界(第版）</v>
      </c>
      <c r="BJ494" s="117"/>
      <c r="BK494" s="117"/>
      <c r="BL494" s="117"/>
      <c r="BN494" s="117"/>
      <c r="BO494" s="117"/>
      <c r="BP494" s="120"/>
      <c r="BR494" s="117"/>
      <c r="BS494" s="117"/>
      <c r="BZ494" s="117"/>
      <c r="CA494" s="144"/>
    </row>
    <row r="495" spans="1:79" s="118" customFormat="1">
      <c r="A495" s="114"/>
      <c r="B495" s="114">
        <f t="shared" si="14"/>
        <v>1</v>
      </c>
      <c r="C495" s="136" t="s">
        <v>920</v>
      </c>
      <c r="D495" s="116"/>
      <c r="E495" s="116"/>
      <c r="F495" s="116"/>
      <c r="G495" s="115"/>
      <c r="H495" s="116"/>
      <c r="I495" s="116"/>
      <c r="J495" s="116"/>
      <c r="K495" s="116"/>
      <c r="L495" s="116"/>
      <c r="M495" s="116"/>
      <c r="N495" s="116"/>
      <c r="O495" s="116"/>
      <c r="P495" s="166"/>
      <c r="Q495" s="116"/>
      <c r="R495" s="116"/>
      <c r="S495" s="191"/>
      <c r="T495" s="191"/>
      <c r="U495" s="116"/>
      <c r="V495" s="116"/>
      <c r="W495" s="116"/>
      <c r="X495" s="117"/>
      <c r="Y495" s="116"/>
      <c r="Z495" s="114"/>
      <c r="AB495" s="119"/>
      <c r="AD495" s="119"/>
      <c r="AE495" s="119"/>
      <c r="AF495" s="119"/>
      <c r="AG495" s="119"/>
      <c r="AH495" s="119"/>
      <c r="AI495" s="119"/>
      <c r="AJ495" s="119"/>
      <c r="AK495" s="119"/>
      <c r="AL495" s="119"/>
      <c r="AM495" s="119"/>
      <c r="AN495" s="119"/>
      <c r="AO495" s="119"/>
      <c r="AP495" s="119"/>
      <c r="AQ495" s="119"/>
      <c r="AR495" s="119"/>
      <c r="AS495" s="116" t="s">
        <v>828</v>
      </c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 t="str">
        <f t="shared" si="15"/>
        <v>点击：解密移动经济的未来版图(第版）</v>
      </c>
      <c r="BJ495" s="117"/>
      <c r="BK495" s="117"/>
      <c r="BL495" s="117"/>
      <c r="BN495" s="117"/>
      <c r="BO495" s="117"/>
      <c r="BP495" s="120"/>
      <c r="BR495" s="117"/>
      <c r="BS495" s="117"/>
      <c r="BZ495" s="117"/>
      <c r="CA495" s="144"/>
    </row>
    <row r="496" spans="1:79" s="118" customFormat="1">
      <c r="A496" s="114"/>
      <c r="B496" s="114">
        <f t="shared" si="14"/>
        <v>1</v>
      </c>
      <c r="C496" s="136"/>
      <c r="D496" s="116"/>
      <c r="E496" s="116"/>
      <c r="F496" s="116"/>
      <c r="G496" s="115"/>
      <c r="H496" s="116"/>
      <c r="I496" s="116"/>
      <c r="J496" s="116"/>
      <c r="K496" s="116"/>
      <c r="L496" s="116"/>
      <c r="M496" s="116"/>
      <c r="N496" s="116"/>
      <c r="O496" s="116"/>
      <c r="P496" s="166"/>
      <c r="Q496" s="116"/>
      <c r="R496" s="116"/>
      <c r="S496" s="191"/>
      <c r="T496" s="191"/>
      <c r="U496" s="116"/>
      <c r="V496" s="116"/>
      <c r="W496" s="116"/>
      <c r="X496" s="117"/>
      <c r="Y496" s="116"/>
      <c r="Z496" s="114"/>
      <c r="AB496" s="119"/>
      <c r="AD496" s="119"/>
      <c r="AE496" s="119"/>
      <c r="AF496" s="119"/>
      <c r="AG496" s="119"/>
      <c r="AH496" s="119"/>
      <c r="AI496" s="119"/>
      <c r="AJ496" s="119"/>
      <c r="AK496" s="119"/>
      <c r="AL496" s="119"/>
      <c r="AM496" s="119"/>
      <c r="AN496" s="119"/>
      <c r="AO496" s="119"/>
      <c r="AP496" s="119"/>
      <c r="AQ496" s="119"/>
      <c r="AR496" s="119"/>
      <c r="AS496" s="116" t="s">
        <v>812</v>
      </c>
      <c r="AT496" s="116"/>
      <c r="AU496" s="116"/>
      <c r="AV496" s="116"/>
      <c r="AW496" s="116"/>
      <c r="AX496" s="116"/>
      <c r="AY496" s="116"/>
      <c r="AZ496" s="116"/>
      <c r="BA496" s="116"/>
      <c r="BB496" s="116"/>
      <c r="BC496" s="116"/>
      <c r="BD496" s="116"/>
      <c r="BE496" s="116"/>
      <c r="BF496" s="116"/>
      <c r="BG496" s="116"/>
      <c r="BH496" s="116"/>
      <c r="BI496" s="116" t="str">
        <f t="shared" si="15"/>
        <v>(第版）</v>
      </c>
      <c r="BJ496" s="117"/>
      <c r="BK496" s="117"/>
      <c r="BL496" s="117"/>
      <c r="BN496" s="117"/>
      <c r="BO496" s="117"/>
      <c r="BP496" s="120"/>
      <c r="BR496" s="117"/>
      <c r="BS496" s="117"/>
      <c r="BZ496" s="117"/>
      <c r="CA496" s="144"/>
    </row>
    <row r="497" spans="1:79" s="118" customFormat="1">
      <c r="A497" s="114"/>
      <c r="B497" s="114">
        <f t="shared" si="14"/>
        <v>1</v>
      </c>
      <c r="C497" s="136" t="s">
        <v>825</v>
      </c>
      <c r="D497" s="116"/>
      <c r="E497" s="116"/>
      <c r="F497" s="116"/>
      <c r="G497" s="115"/>
      <c r="H497" s="116"/>
      <c r="I497" s="116"/>
      <c r="J497" s="116"/>
      <c r="K497" s="116"/>
      <c r="L497" s="116"/>
      <c r="M497" s="116"/>
      <c r="N497" s="116"/>
      <c r="O497" s="116"/>
      <c r="P497" s="166"/>
      <c r="Q497" s="116"/>
      <c r="R497" s="116"/>
      <c r="S497" s="191"/>
      <c r="T497" s="191"/>
      <c r="U497" s="116"/>
      <c r="V497" s="116"/>
      <c r="W497" s="116"/>
      <c r="X497" s="117"/>
      <c r="Y497" s="116"/>
      <c r="Z497" s="114"/>
      <c r="AB497" s="119"/>
      <c r="AD497" s="119"/>
      <c r="AE497" s="119"/>
      <c r="AF497" s="119"/>
      <c r="AG497" s="119"/>
      <c r="AH497" s="119"/>
      <c r="AI497" s="119"/>
      <c r="AJ497" s="119"/>
      <c r="AK497" s="119"/>
      <c r="AL497" s="119"/>
      <c r="AM497" s="119"/>
      <c r="AN497" s="119"/>
      <c r="AO497" s="119"/>
      <c r="AP497" s="119"/>
      <c r="AQ497" s="119"/>
      <c r="AR497" s="119"/>
      <c r="AS497" s="116" t="s">
        <v>812</v>
      </c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 t="str">
        <f t="shared" si="15"/>
        <v>反常识经济学1：生活中的经济游戏(第版）</v>
      </c>
      <c r="BJ497" s="117"/>
      <c r="BK497" s="117"/>
      <c r="BL497" s="117"/>
      <c r="BN497" s="117"/>
      <c r="BO497" s="117"/>
      <c r="BP497" s="120"/>
      <c r="BR497" s="117"/>
      <c r="BS497" s="117"/>
      <c r="BZ497" s="117"/>
      <c r="CA497" s="144"/>
    </row>
    <row r="498" spans="1:79" s="118" customFormat="1">
      <c r="A498" s="114"/>
      <c r="B498" s="114">
        <f t="shared" si="14"/>
        <v>1</v>
      </c>
      <c r="C498" s="136" t="s">
        <v>824</v>
      </c>
      <c r="D498" s="116"/>
      <c r="E498" s="116"/>
      <c r="F498" s="116"/>
      <c r="G498" s="115"/>
      <c r="H498" s="116"/>
      <c r="I498" s="116"/>
      <c r="J498" s="116"/>
      <c r="K498" s="116"/>
      <c r="L498" s="116"/>
      <c r="M498" s="116"/>
      <c r="N498" s="116"/>
      <c r="O498" s="116"/>
      <c r="P498" s="166"/>
      <c r="Q498" s="116"/>
      <c r="R498" s="116"/>
      <c r="S498" s="191"/>
      <c r="T498" s="191"/>
      <c r="U498" s="116"/>
      <c r="V498" s="116"/>
      <c r="W498" s="116"/>
      <c r="X498" s="117"/>
      <c r="Y498" s="116"/>
      <c r="Z498" s="114"/>
      <c r="AB498" s="119"/>
      <c r="AD498" s="119"/>
      <c r="AE498" s="119"/>
      <c r="AF498" s="119"/>
      <c r="AG498" s="119"/>
      <c r="AH498" s="119"/>
      <c r="AI498" s="119"/>
      <c r="AJ498" s="119"/>
      <c r="AK498" s="119"/>
      <c r="AL498" s="119"/>
      <c r="AM498" s="119"/>
      <c r="AN498" s="119"/>
      <c r="AO498" s="119"/>
      <c r="AP498" s="119"/>
      <c r="AQ498" s="119"/>
      <c r="AR498" s="119"/>
      <c r="AS498" s="116" t="s">
        <v>812</v>
      </c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 t="str">
        <f t="shared" si="15"/>
        <v>反常识经济学2：为什么不向美丽征税(第版）</v>
      </c>
      <c r="BJ498" s="117"/>
      <c r="BK498" s="117"/>
      <c r="BL498" s="117"/>
      <c r="BN498" s="117"/>
      <c r="BO498" s="117"/>
      <c r="BP498" s="120"/>
      <c r="BR498" s="117"/>
      <c r="BS498" s="117"/>
      <c r="BZ498" s="117"/>
      <c r="CA498" s="144"/>
    </row>
    <row r="499" spans="1:79" s="118" customFormat="1">
      <c r="A499" s="114"/>
      <c r="B499" s="114">
        <f t="shared" si="14"/>
        <v>1</v>
      </c>
      <c r="C499" s="136" t="s">
        <v>921</v>
      </c>
      <c r="D499" s="116"/>
      <c r="E499" s="116"/>
      <c r="F499" s="116"/>
      <c r="G499" s="115"/>
      <c r="H499" s="116"/>
      <c r="I499" s="116"/>
      <c r="J499" s="116"/>
      <c r="K499" s="116"/>
      <c r="L499" s="116"/>
      <c r="M499" s="116"/>
      <c r="N499" s="116"/>
      <c r="O499" s="116"/>
      <c r="P499" s="166"/>
      <c r="Q499" s="116"/>
      <c r="R499" s="116"/>
      <c r="S499" s="191"/>
      <c r="T499" s="191"/>
      <c r="U499" s="116"/>
      <c r="V499" s="116"/>
      <c r="W499" s="116"/>
      <c r="X499" s="117"/>
      <c r="Y499" s="116"/>
      <c r="Z499" s="114"/>
      <c r="AB499" s="119"/>
      <c r="AD499" s="119"/>
      <c r="AE499" s="119"/>
      <c r="AF499" s="119"/>
      <c r="AG499" s="119"/>
      <c r="AH499" s="119"/>
      <c r="AI499" s="119"/>
      <c r="AJ499" s="119"/>
      <c r="AK499" s="119"/>
      <c r="AL499" s="119"/>
      <c r="AM499" s="119"/>
      <c r="AN499" s="119"/>
      <c r="AO499" s="119"/>
      <c r="AP499" s="119"/>
      <c r="AQ499" s="119"/>
      <c r="AR499" s="119"/>
      <c r="AS499" s="116" t="s">
        <v>812</v>
      </c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 t="str">
        <f t="shared" si="15"/>
        <v>反常识经济学3：为什么常识会撒谎(第版）</v>
      </c>
      <c r="BJ499" s="117"/>
      <c r="BK499" s="117"/>
      <c r="BL499" s="117"/>
      <c r="BN499" s="117"/>
      <c r="BO499" s="117"/>
      <c r="BP499" s="120"/>
      <c r="BR499" s="117"/>
      <c r="BS499" s="117"/>
      <c r="BZ499" s="117"/>
      <c r="CA499" s="144"/>
    </row>
    <row r="500" spans="1:79" s="118" customFormat="1">
      <c r="A500" s="114"/>
      <c r="B500" s="114">
        <f t="shared" si="14"/>
        <v>1</v>
      </c>
      <c r="C500" s="136" t="s">
        <v>928</v>
      </c>
      <c r="D500" s="116"/>
      <c r="E500" s="116"/>
      <c r="F500" s="116"/>
      <c r="G500" s="115"/>
      <c r="H500" s="116"/>
      <c r="I500" s="116"/>
      <c r="J500" s="116"/>
      <c r="K500" s="116"/>
      <c r="L500" s="116"/>
      <c r="M500" s="116"/>
      <c r="N500" s="116"/>
      <c r="O500" s="116"/>
      <c r="P500" s="166"/>
      <c r="Q500" s="116"/>
      <c r="R500" s="116"/>
      <c r="S500" s="191"/>
      <c r="T500" s="191"/>
      <c r="U500" s="116"/>
      <c r="V500" s="116"/>
      <c r="W500" s="116"/>
      <c r="X500" s="117"/>
      <c r="Y500" s="116"/>
      <c r="Z500" s="114"/>
      <c r="AB500" s="119"/>
      <c r="AD500" s="119"/>
      <c r="AE500" s="119"/>
      <c r="AF500" s="119"/>
      <c r="AG500" s="119"/>
      <c r="AH500" s="119"/>
      <c r="AI500" s="119"/>
      <c r="AJ500" s="119"/>
      <c r="AK500" s="119"/>
      <c r="AL500" s="119"/>
      <c r="AM500" s="119"/>
      <c r="AN500" s="119"/>
      <c r="AO500" s="119"/>
      <c r="AP500" s="119"/>
      <c r="AQ500" s="119"/>
      <c r="AR500" s="119"/>
      <c r="AS500" s="116" t="s">
        <v>812</v>
      </c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 t="str">
        <f t="shared" si="15"/>
        <v>反常识经济学4：性越多越安全(第版）</v>
      </c>
      <c r="BJ500" s="117"/>
      <c r="BK500" s="117"/>
      <c r="BL500" s="117"/>
      <c r="BN500" s="117"/>
      <c r="BO500" s="117"/>
      <c r="BP500" s="120"/>
      <c r="BR500" s="117"/>
      <c r="BS500" s="117"/>
      <c r="BZ500" s="117"/>
      <c r="CA500" s="144"/>
    </row>
    <row r="501" spans="1:79" s="118" customFormat="1">
      <c r="A501" s="114"/>
      <c r="B501" s="114">
        <f t="shared" si="14"/>
        <v>1</v>
      </c>
      <c r="C501" s="136"/>
      <c r="D501" s="116"/>
      <c r="E501" s="116"/>
      <c r="F501" s="116"/>
      <c r="G501" s="115"/>
      <c r="H501" s="116"/>
      <c r="I501" s="116"/>
      <c r="J501" s="116"/>
      <c r="K501" s="116"/>
      <c r="L501" s="116"/>
      <c r="M501" s="116"/>
      <c r="N501" s="116"/>
      <c r="O501" s="116"/>
      <c r="P501" s="166"/>
      <c r="Q501" s="116"/>
      <c r="R501" s="116"/>
      <c r="S501" s="191"/>
      <c r="T501" s="191"/>
      <c r="U501" s="116"/>
      <c r="V501" s="116"/>
      <c r="W501" s="116"/>
      <c r="X501" s="117"/>
      <c r="Y501" s="116"/>
      <c r="Z501" s="114"/>
      <c r="AB501" s="119"/>
      <c r="AD501" s="119"/>
      <c r="AE501" s="119"/>
      <c r="AF501" s="119"/>
      <c r="AG501" s="119"/>
      <c r="AH501" s="119"/>
      <c r="AI501" s="119"/>
      <c r="AJ501" s="119"/>
      <c r="AK501" s="119"/>
      <c r="AL501" s="119"/>
      <c r="AM501" s="119"/>
      <c r="AN501" s="119"/>
      <c r="AO501" s="119"/>
      <c r="AP501" s="119"/>
      <c r="AQ501" s="119"/>
      <c r="AR501" s="119"/>
      <c r="AS501" s="116" t="s">
        <v>812</v>
      </c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 t="str">
        <f t="shared" si="15"/>
        <v>(第版）</v>
      </c>
      <c r="BJ501" s="117"/>
      <c r="BK501" s="117"/>
      <c r="BL501" s="117"/>
      <c r="BN501" s="117"/>
      <c r="BO501" s="117"/>
      <c r="BP501" s="120"/>
      <c r="BR501" s="117"/>
      <c r="BS501" s="117"/>
      <c r="BZ501" s="117"/>
      <c r="CA501" s="144"/>
    </row>
    <row r="502" spans="1:79" s="118" customFormat="1">
      <c r="A502" s="114"/>
      <c r="B502" s="114">
        <f t="shared" si="14"/>
        <v>1</v>
      </c>
      <c r="C502" s="136" t="s">
        <v>922</v>
      </c>
      <c r="D502" s="116"/>
      <c r="E502" s="116"/>
      <c r="F502" s="116"/>
      <c r="G502" s="115"/>
      <c r="H502" s="116"/>
      <c r="I502" s="116"/>
      <c r="J502" s="116"/>
      <c r="K502" s="116"/>
      <c r="L502" s="116"/>
      <c r="M502" s="116"/>
      <c r="N502" s="116"/>
      <c r="O502" s="116"/>
      <c r="P502" s="166"/>
      <c r="Q502" s="116"/>
      <c r="R502" s="116"/>
      <c r="S502" s="191"/>
      <c r="T502" s="191"/>
      <c r="U502" s="116"/>
      <c r="V502" s="116"/>
      <c r="W502" s="116"/>
      <c r="X502" s="117"/>
      <c r="Y502" s="116"/>
      <c r="Z502" s="114"/>
      <c r="AB502" s="119"/>
      <c r="AD502" s="119"/>
      <c r="AE502" s="119"/>
      <c r="AF502" s="119"/>
      <c r="AG502" s="119"/>
      <c r="AH502" s="119"/>
      <c r="AI502" s="119"/>
      <c r="AJ502" s="119"/>
      <c r="AK502" s="119"/>
      <c r="AL502" s="119"/>
      <c r="AM502" s="119"/>
      <c r="AN502" s="119"/>
      <c r="AO502" s="119"/>
      <c r="AP502" s="119"/>
      <c r="AQ502" s="119"/>
      <c r="AR502" s="119"/>
      <c r="AS502" s="116" t="s">
        <v>812</v>
      </c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 t="str">
        <f t="shared" si="15"/>
        <v>爆款：如何打造超级IP(第版）</v>
      </c>
      <c r="BJ502" s="117"/>
      <c r="BK502" s="117"/>
      <c r="BL502" s="117"/>
      <c r="BN502" s="117"/>
      <c r="BO502" s="117"/>
      <c r="BP502" s="120"/>
      <c r="BR502" s="117"/>
      <c r="BS502" s="117"/>
      <c r="BZ502" s="117"/>
      <c r="CA502" s="144"/>
    </row>
    <row r="503" spans="1:79" s="118" customFormat="1" ht="33">
      <c r="A503" s="114"/>
      <c r="B503" s="114">
        <f t="shared" si="14"/>
        <v>1</v>
      </c>
      <c r="C503" s="136" t="s">
        <v>926</v>
      </c>
      <c r="D503" s="116"/>
      <c r="E503" s="116"/>
      <c r="F503" s="116"/>
      <c r="G503" s="115"/>
      <c r="H503" s="116"/>
      <c r="I503" s="116"/>
      <c r="J503" s="116"/>
      <c r="K503" s="116"/>
      <c r="L503" s="116"/>
      <c r="M503" s="116"/>
      <c r="N503" s="116"/>
      <c r="O503" s="116"/>
      <c r="P503" s="166"/>
      <c r="Q503" s="116"/>
      <c r="R503" s="116"/>
      <c r="S503" s="191"/>
      <c r="T503" s="191"/>
      <c r="U503" s="116"/>
      <c r="V503" s="116"/>
      <c r="W503" s="116"/>
      <c r="X503" s="117"/>
      <c r="Y503" s="116"/>
      <c r="Z503" s="114"/>
      <c r="AB503" s="119"/>
      <c r="AD503" s="119"/>
      <c r="AE503" s="119"/>
      <c r="AF503" s="119"/>
      <c r="AG503" s="119"/>
      <c r="AH503" s="119"/>
      <c r="AI503" s="119"/>
      <c r="AJ503" s="119"/>
      <c r="AK503" s="119"/>
      <c r="AL503" s="119"/>
      <c r="AM503" s="119"/>
      <c r="AN503" s="119"/>
      <c r="AO503" s="119"/>
      <c r="AP503" s="119"/>
      <c r="AQ503" s="119"/>
      <c r="AR503" s="119"/>
      <c r="AS503" s="116" t="s">
        <v>828</v>
      </c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 t="str">
        <f t="shared" si="15"/>
        <v>基因与命运：什么在影响我们的信念、行为和生活(第版）</v>
      </c>
      <c r="BJ503" s="117"/>
      <c r="BK503" s="117"/>
      <c r="BL503" s="117"/>
      <c r="BN503" s="117"/>
      <c r="BO503" s="117"/>
      <c r="BP503" s="120"/>
      <c r="BR503" s="117"/>
      <c r="BS503" s="117"/>
      <c r="BZ503" s="117"/>
      <c r="CA503" s="144"/>
    </row>
    <row r="504" spans="1:79" s="118" customFormat="1" ht="27">
      <c r="A504" s="114"/>
      <c r="B504" s="114">
        <f t="shared" si="14"/>
        <v>1</v>
      </c>
      <c r="C504" s="136" t="s">
        <v>923</v>
      </c>
      <c r="D504" s="116"/>
      <c r="E504" s="116"/>
      <c r="F504" s="116"/>
      <c r="G504" s="115"/>
      <c r="H504" s="116"/>
      <c r="I504" s="116"/>
      <c r="J504" s="116"/>
      <c r="K504" s="116"/>
      <c r="L504" s="116"/>
      <c r="M504" s="116"/>
      <c r="N504" s="116"/>
      <c r="O504" s="116"/>
      <c r="P504" s="166"/>
      <c r="Q504" s="116"/>
      <c r="R504" s="116"/>
      <c r="S504" s="191"/>
      <c r="T504" s="191"/>
      <c r="U504" s="116"/>
      <c r="V504" s="116"/>
      <c r="W504" s="116"/>
      <c r="X504" s="117"/>
      <c r="Y504" s="116"/>
      <c r="Z504" s="114"/>
      <c r="AB504" s="119"/>
      <c r="AD504" s="119"/>
      <c r="AE504" s="119"/>
      <c r="AF504" s="119"/>
      <c r="AG504" s="119"/>
      <c r="AH504" s="119"/>
      <c r="AI504" s="119"/>
      <c r="AJ504" s="119"/>
      <c r="AK504" s="119"/>
      <c r="AL504" s="119"/>
      <c r="AM504" s="119"/>
      <c r="AN504" s="119"/>
      <c r="AO504" s="119"/>
      <c r="AP504" s="119"/>
      <c r="AQ504" s="119"/>
      <c r="AR504" s="119"/>
      <c r="AS504" s="116" t="s">
        <v>812</v>
      </c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 t="str">
        <f t="shared" si="15"/>
        <v>搞定2：提升工作与生活效率的52项原则(第版）</v>
      </c>
      <c r="BJ504" s="117"/>
      <c r="BK504" s="117"/>
      <c r="BL504" s="117"/>
      <c r="BN504" s="117"/>
      <c r="BO504" s="117"/>
      <c r="BP504" s="120"/>
      <c r="BR504" s="117"/>
      <c r="BS504" s="117"/>
      <c r="BZ504" s="117"/>
      <c r="CA504" s="144"/>
    </row>
    <row r="505" spans="1:79" s="118" customFormat="1">
      <c r="A505" s="114"/>
      <c r="B505" s="114">
        <f t="shared" si="14"/>
        <v>1</v>
      </c>
      <c r="C505" s="136" t="s">
        <v>927</v>
      </c>
      <c r="D505" s="116"/>
      <c r="E505" s="116"/>
      <c r="F505" s="116"/>
      <c r="G505" s="115"/>
      <c r="H505" s="116"/>
      <c r="I505" s="116"/>
      <c r="J505" s="116"/>
      <c r="K505" s="116"/>
      <c r="L505" s="116"/>
      <c r="M505" s="116"/>
      <c r="N505" s="116"/>
      <c r="O505" s="116"/>
      <c r="P505" s="166"/>
      <c r="Q505" s="116"/>
      <c r="R505" s="116"/>
      <c r="S505" s="191"/>
      <c r="T505" s="191"/>
      <c r="U505" s="116"/>
      <c r="V505" s="116"/>
      <c r="W505" s="116"/>
      <c r="X505" s="117"/>
      <c r="Y505" s="116"/>
      <c r="Z505" s="114"/>
      <c r="AB505" s="119"/>
      <c r="AD505" s="119"/>
      <c r="AE505" s="119"/>
      <c r="AF505" s="119"/>
      <c r="AG505" s="119"/>
      <c r="AH505" s="119"/>
      <c r="AI505" s="119"/>
      <c r="AJ505" s="119"/>
      <c r="AK505" s="119"/>
      <c r="AL505" s="119"/>
      <c r="AM505" s="119"/>
      <c r="AN505" s="119"/>
      <c r="AO505" s="119"/>
      <c r="AP505" s="119"/>
      <c r="AQ505" s="119"/>
      <c r="AR505" s="119"/>
      <c r="AS505" s="116" t="s">
        <v>828</v>
      </c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 t="str">
        <f t="shared" si="15"/>
        <v>未来战争：科技与全球新型冲突(第版）</v>
      </c>
      <c r="BJ505" s="117"/>
      <c r="BK505" s="117"/>
      <c r="BL505" s="117"/>
      <c r="BN505" s="117"/>
      <c r="BO505" s="117"/>
      <c r="BP505" s="120"/>
      <c r="BR505" s="117"/>
      <c r="BS505" s="117"/>
      <c r="BZ505" s="117"/>
      <c r="CA505" s="144"/>
    </row>
    <row r="506" spans="1:79" s="118" customFormat="1">
      <c r="A506" s="114"/>
      <c r="B506" s="114">
        <f t="shared" si="14"/>
        <v>1</v>
      </c>
      <c r="C506" s="136"/>
      <c r="D506" s="116"/>
      <c r="E506" s="116"/>
      <c r="F506" s="116"/>
      <c r="G506" s="115"/>
      <c r="H506" s="116"/>
      <c r="I506" s="116"/>
      <c r="J506" s="116"/>
      <c r="K506" s="116"/>
      <c r="L506" s="116"/>
      <c r="M506" s="116"/>
      <c r="N506" s="116"/>
      <c r="O506" s="116"/>
      <c r="P506" s="166"/>
      <c r="Q506" s="116"/>
      <c r="R506" s="116"/>
      <c r="S506" s="191"/>
      <c r="T506" s="191"/>
      <c r="U506" s="116"/>
      <c r="V506" s="116"/>
      <c r="W506" s="116"/>
      <c r="X506" s="117"/>
      <c r="Y506" s="116"/>
      <c r="Z506" s="114"/>
      <c r="AB506" s="119"/>
      <c r="AD506" s="119"/>
      <c r="AE506" s="119"/>
      <c r="AF506" s="119"/>
      <c r="AG506" s="119"/>
      <c r="AH506" s="119"/>
      <c r="AI506" s="119"/>
      <c r="AJ506" s="119"/>
      <c r="AK506" s="119"/>
      <c r="AL506" s="119"/>
      <c r="AM506" s="119"/>
      <c r="AN506" s="119"/>
      <c r="AO506" s="119"/>
      <c r="AP506" s="119"/>
      <c r="AQ506" s="119"/>
      <c r="AR506" s="119"/>
      <c r="AS506" s="116" t="s">
        <v>828</v>
      </c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 t="str">
        <f t="shared" si="15"/>
        <v>(第版）</v>
      </c>
      <c r="BJ506" s="117"/>
      <c r="BK506" s="117"/>
      <c r="BL506" s="117"/>
      <c r="BN506" s="117"/>
      <c r="BO506" s="117"/>
      <c r="BP506" s="120"/>
      <c r="BR506" s="117"/>
      <c r="BS506" s="117"/>
      <c r="BZ506" s="117"/>
      <c r="CA506" s="144"/>
    </row>
    <row r="507" spans="1:79" s="118" customFormat="1">
      <c r="A507" s="114"/>
      <c r="B507" s="114">
        <f t="shared" si="14"/>
        <v>1</v>
      </c>
      <c r="C507" s="136"/>
      <c r="D507" s="116"/>
      <c r="E507" s="116"/>
      <c r="F507" s="116"/>
      <c r="G507" s="115"/>
      <c r="H507" s="116"/>
      <c r="I507" s="116"/>
      <c r="J507" s="116"/>
      <c r="K507" s="116"/>
      <c r="L507" s="116"/>
      <c r="M507" s="116"/>
      <c r="N507" s="116"/>
      <c r="O507" s="116"/>
      <c r="P507" s="166"/>
      <c r="Q507" s="116"/>
      <c r="R507" s="116"/>
      <c r="S507" s="191"/>
      <c r="T507" s="191"/>
      <c r="U507" s="116"/>
      <c r="V507" s="116"/>
      <c r="W507" s="116"/>
      <c r="X507" s="117"/>
      <c r="Y507" s="116"/>
      <c r="Z507" s="114"/>
      <c r="AB507" s="119"/>
      <c r="AD507" s="119"/>
      <c r="AE507" s="119"/>
      <c r="AF507" s="119"/>
      <c r="AG507" s="119"/>
      <c r="AH507" s="119"/>
      <c r="AI507" s="119"/>
      <c r="AJ507" s="119"/>
      <c r="AK507" s="119"/>
      <c r="AL507" s="119"/>
      <c r="AM507" s="119"/>
      <c r="AN507" s="119"/>
      <c r="AO507" s="119"/>
      <c r="AP507" s="119"/>
      <c r="AQ507" s="119"/>
      <c r="AR507" s="119"/>
      <c r="AS507" s="116" t="s">
        <v>828</v>
      </c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 t="str">
        <f t="shared" si="15"/>
        <v>(第版）</v>
      </c>
      <c r="BJ507" s="117"/>
      <c r="BK507" s="117"/>
      <c r="BL507" s="117"/>
      <c r="BN507" s="117"/>
      <c r="BO507" s="117"/>
      <c r="BP507" s="120"/>
      <c r="BR507" s="117"/>
      <c r="BS507" s="117"/>
      <c r="BZ507" s="117"/>
      <c r="CA507" s="144"/>
    </row>
    <row r="508" spans="1:79" s="57" customFormat="1">
      <c r="B508" s="114">
        <f t="shared" si="14"/>
        <v>0</v>
      </c>
      <c r="C508" s="136" t="s">
        <v>1171</v>
      </c>
      <c r="D508" s="59"/>
      <c r="E508" s="59"/>
      <c r="F508" s="59"/>
      <c r="G508" s="58"/>
      <c r="H508" s="59" t="s">
        <v>797</v>
      </c>
      <c r="I508" s="59"/>
      <c r="J508" s="59"/>
      <c r="K508" s="59"/>
      <c r="L508" s="59"/>
      <c r="M508" s="59"/>
      <c r="N508" s="59"/>
      <c r="O508" s="59" t="s">
        <v>799</v>
      </c>
      <c r="P508" s="171">
        <v>2019</v>
      </c>
      <c r="Q508" s="59" t="s">
        <v>801</v>
      </c>
      <c r="R508" s="59"/>
      <c r="S508" s="196"/>
      <c r="T508" s="196"/>
      <c r="U508" s="59"/>
      <c r="V508" s="59" t="s">
        <v>804</v>
      </c>
      <c r="W508" s="59"/>
      <c r="X508" s="60"/>
      <c r="Y508" s="59"/>
      <c r="Z508" s="50"/>
      <c r="AB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1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116" t="str">
        <f t="shared" si="15"/>
        <v>Python3.7编程快速入门(第版）</v>
      </c>
      <c r="BJ508" s="60"/>
      <c r="BK508" s="60"/>
      <c r="BL508" s="60"/>
      <c r="BN508" s="60"/>
      <c r="BO508" s="60"/>
      <c r="BP508" s="62"/>
      <c r="BR508" s="60"/>
      <c r="BS508" s="60"/>
      <c r="BZ508" s="60"/>
      <c r="CA508" s="143"/>
    </row>
    <row r="509" spans="1:79" s="57" customFormat="1">
      <c r="B509" s="114">
        <f t="shared" si="14"/>
        <v>0</v>
      </c>
      <c r="C509" s="136" t="s">
        <v>1172</v>
      </c>
      <c r="D509" s="59"/>
      <c r="E509" s="59"/>
      <c r="F509" s="59"/>
      <c r="G509" s="58"/>
      <c r="H509" s="59" t="s">
        <v>798</v>
      </c>
      <c r="I509" s="59"/>
      <c r="J509" s="59"/>
      <c r="K509" s="59"/>
      <c r="L509" s="59"/>
      <c r="M509" s="59"/>
      <c r="N509" s="59"/>
      <c r="O509" s="59" t="s">
        <v>800</v>
      </c>
      <c r="P509" s="171">
        <v>2020.6</v>
      </c>
      <c r="Q509" s="59" t="s">
        <v>802</v>
      </c>
      <c r="R509" s="59"/>
      <c r="S509" s="196"/>
      <c r="T509" s="196"/>
      <c r="U509" s="59"/>
      <c r="V509" s="59" t="s">
        <v>805</v>
      </c>
      <c r="W509" s="59"/>
      <c r="X509" s="60"/>
      <c r="Y509" s="59"/>
      <c r="Z509" s="50"/>
      <c r="AB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1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116" t="str">
        <f t="shared" si="15"/>
        <v>人工智能：知识图谱前沿技术(第版）</v>
      </c>
      <c r="BJ509" s="60"/>
      <c r="BK509" s="60"/>
      <c r="BL509" s="60"/>
      <c r="BN509" s="60"/>
      <c r="BO509" s="60"/>
      <c r="BP509" s="62"/>
      <c r="BR509" s="60"/>
      <c r="BS509" s="60"/>
      <c r="BZ509" s="60"/>
      <c r="CA509" s="143"/>
    </row>
    <row r="510" spans="1:79" s="13" customFormat="1" ht="26.25" customHeight="1">
      <c r="B510" s="114">
        <f t="shared" si="14"/>
        <v>1</v>
      </c>
      <c r="C510" s="136" t="s">
        <v>1173</v>
      </c>
      <c r="D510" s="15"/>
      <c r="F510" s="42"/>
      <c r="H510" s="15"/>
      <c r="I510" s="15"/>
      <c r="J510" s="15"/>
      <c r="K510" s="15"/>
      <c r="L510" s="17"/>
      <c r="M510" s="17"/>
      <c r="N510" s="17"/>
      <c r="O510" s="16"/>
      <c r="P510" s="167"/>
      <c r="S510" s="193"/>
      <c r="T510" s="193"/>
      <c r="AS510" s="125" t="s">
        <v>948</v>
      </c>
      <c r="CA510" s="33"/>
    </row>
    <row r="511" spans="1:79" s="13" customFormat="1" ht="26.25" customHeight="1">
      <c r="B511" s="114">
        <f t="shared" si="14"/>
        <v>1</v>
      </c>
      <c r="C511" s="136" t="s">
        <v>1174</v>
      </c>
      <c r="D511" s="15"/>
      <c r="F511" s="42"/>
      <c r="H511" s="15"/>
      <c r="I511" s="15"/>
      <c r="J511" s="15"/>
      <c r="K511" s="15"/>
      <c r="L511" s="17"/>
      <c r="M511" s="17"/>
      <c r="N511" s="17"/>
      <c r="O511" s="16"/>
      <c r="P511" s="167"/>
      <c r="S511" s="193"/>
      <c r="T511" s="193"/>
      <c r="AS511" s="125" t="s">
        <v>948</v>
      </c>
      <c r="CA511" s="33"/>
    </row>
    <row r="512" spans="1:79" s="13" customFormat="1" ht="26.25" customHeight="1">
      <c r="B512" s="114">
        <f t="shared" si="14"/>
        <v>1</v>
      </c>
      <c r="C512" s="136" t="s">
        <v>1175</v>
      </c>
      <c r="D512" s="15"/>
      <c r="F512" s="42"/>
      <c r="H512" s="15"/>
      <c r="I512" s="15"/>
      <c r="J512" s="15"/>
      <c r="K512" s="15"/>
      <c r="L512" s="17"/>
      <c r="M512" s="17"/>
      <c r="N512" s="17"/>
      <c r="O512" s="16"/>
      <c r="P512" s="167"/>
      <c r="S512" s="193"/>
      <c r="T512" s="193"/>
      <c r="AS512" s="125" t="s">
        <v>948</v>
      </c>
      <c r="CA512" s="33"/>
    </row>
    <row r="513" spans="3:79" s="13" customFormat="1" ht="26.25" customHeight="1">
      <c r="C513" s="136" t="s">
        <v>1176</v>
      </c>
      <c r="D513" s="15"/>
      <c r="F513" s="42"/>
      <c r="H513" s="15"/>
      <c r="I513" s="15"/>
      <c r="J513" s="15"/>
      <c r="K513" s="15"/>
      <c r="L513" s="17"/>
      <c r="M513" s="17"/>
      <c r="N513" s="17"/>
      <c r="O513" s="16"/>
      <c r="P513" s="167"/>
      <c r="S513" s="193"/>
      <c r="T513" s="193"/>
      <c r="AS513" s="125" t="s">
        <v>948</v>
      </c>
      <c r="CA513" s="33"/>
    </row>
    <row r="514" spans="3:79" s="13" customFormat="1" ht="26.25" customHeight="1">
      <c r="C514" s="136" t="s">
        <v>1177</v>
      </c>
      <c r="D514" s="15"/>
      <c r="F514" s="42"/>
      <c r="H514" s="15"/>
      <c r="I514" s="15"/>
      <c r="J514" s="15"/>
      <c r="K514" s="15"/>
      <c r="L514" s="17"/>
      <c r="M514" s="17"/>
      <c r="N514" s="17"/>
      <c r="O514" s="16"/>
      <c r="P514" s="167"/>
      <c r="S514" s="193"/>
      <c r="T514" s="193"/>
      <c r="AS514" s="125" t="s">
        <v>948</v>
      </c>
      <c r="CA514" s="33"/>
    </row>
    <row r="515" spans="3:79" s="13" customFormat="1" ht="26.25" customHeight="1">
      <c r="C515" s="136" t="s">
        <v>1178</v>
      </c>
      <c r="D515" s="15"/>
      <c r="F515" s="42"/>
      <c r="H515" s="15"/>
      <c r="I515" s="15"/>
      <c r="J515" s="15"/>
      <c r="K515" s="15"/>
      <c r="L515" s="17"/>
      <c r="M515" s="17"/>
      <c r="N515" s="17"/>
      <c r="O515" s="16"/>
      <c r="P515" s="167"/>
      <c r="S515" s="193"/>
      <c r="T515" s="193"/>
      <c r="AS515" s="125" t="s">
        <v>948</v>
      </c>
      <c r="CA515" s="33"/>
    </row>
    <row r="516" spans="3:79" s="13" customFormat="1" ht="26.25" customHeight="1">
      <c r="C516" s="136" t="s">
        <v>1179</v>
      </c>
      <c r="D516" s="15"/>
      <c r="F516" s="42"/>
      <c r="H516" s="15"/>
      <c r="I516" s="15"/>
      <c r="J516" s="15"/>
      <c r="K516" s="15"/>
      <c r="L516" s="17"/>
      <c r="M516" s="17"/>
      <c r="N516" s="17"/>
      <c r="O516" s="16"/>
      <c r="P516" s="167"/>
      <c r="S516" s="193"/>
      <c r="T516" s="193"/>
      <c r="AS516" s="125" t="s">
        <v>948</v>
      </c>
      <c r="CA516" s="33"/>
    </row>
    <row r="517" spans="3:79" s="13" customFormat="1" ht="26.25" customHeight="1">
      <c r="C517" s="136" t="s">
        <v>1180</v>
      </c>
      <c r="D517" s="15"/>
      <c r="F517" s="42"/>
      <c r="H517" s="15"/>
      <c r="I517" s="15"/>
      <c r="J517" s="15"/>
      <c r="K517" s="15"/>
      <c r="L517" s="17"/>
      <c r="M517" s="17"/>
      <c r="N517" s="17"/>
      <c r="O517" s="16"/>
      <c r="P517" s="167"/>
      <c r="S517" s="193"/>
      <c r="T517" s="193"/>
      <c r="AS517" s="125" t="s">
        <v>948</v>
      </c>
      <c r="CA517" s="33"/>
    </row>
    <row r="518" spans="3:79" s="13" customFormat="1" ht="26.25" customHeight="1">
      <c r="C518" s="136" t="s">
        <v>1181</v>
      </c>
      <c r="D518" s="15"/>
      <c r="F518" s="42"/>
      <c r="H518" s="15"/>
      <c r="I518" s="15"/>
      <c r="J518" s="15"/>
      <c r="K518" s="15"/>
      <c r="L518" s="17"/>
      <c r="M518" s="17"/>
      <c r="N518" s="17"/>
      <c r="O518" s="16"/>
      <c r="P518" s="167"/>
      <c r="S518" s="193"/>
      <c r="T518" s="193"/>
      <c r="AS518" s="125" t="s">
        <v>948</v>
      </c>
      <c r="CA518" s="33"/>
    </row>
    <row r="519" spans="3:79" s="13" customFormat="1" ht="26.25" customHeight="1">
      <c r="C519" s="136" t="s">
        <v>1182</v>
      </c>
      <c r="D519" s="15"/>
      <c r="F519" s="42"/>
      <c r="H519" s="15"/>
      <c r="I519" s="15"/>
      <c r="J519" s="15"/>
      <c r="K519" s="15"/>
      <c r="L519" s="17"/>
      <c r="M519" s="17"/>
      <c r="N519" s="17"/>
      <c r="O519" s="16"/>
      <c r="P519" s="167"/>
      <c r="S519" s="193"/>
      <c r="T519" s="193"/>
      <c r="AS519" s="125" t="s">
        <v>948</v>
      </c>
      <c r="CA519" s="33"/>
    </row>
    <row r="520" spans="3:79" s="13" customFormat="1" ht="26.25" customHeight="1">
      <c r="C520" s="136" t="s">
        <v>1183</v>
      </c>
      <c r="D520" s="15"/>
      <c r="F520" s="42"/>
      <c r="H520" s="15"/>
      <c r="I520" s="15"/>
      <c r="J520" s="15"/>
      <c r="K520" s="15"/>
      <c r="L520" s="17"/>
      <c r="M520" s="17"/>
      <c r="N520" s="17"/>
      <c r="O520" s="16"/>
      <c r="P520" s="167"/>
      <c r="S520" s="193"/>
      <c r="T520" s="193"/>
      <c r="AS520" s="125" t="s">
        <v>948</v>
      </c>
      <c r="CA520" s="33"/>
    </row>
    <row r="521" spans="3:79" s="13" customFormat="1" ht="26.25" customHeight="1">
      <c r="C521" s="136" t="s">
        <v>1184</v>
      </c>
      <c r="D521" s="15"/>
      <c r="F521" s="42"/>
      <c r="H521" s="15"/>
      <c r="I521" s="15"/>
      <c r="J521" s="15"/>
      <c r="K521" s="15"/>
      <c r="L521" s="17"/>
      <c r="M521" s="17"/>
      <c r="N521" s="17"/>
      <c r="O521" s="16"/>
      <c r="P521" s="167"/>
      <c r="S521" s="193"/>
      <c r="T521" s="193"/>
      <c r="AS521" s="125" t="s">
        <v>948</v>
      </c>
      <c r="CA521" s="33"/>
    </row>
    <row r="522" spans="3:79" s="13" customFormat="1" ht="26.25" customHeight="1">
      <c r="C522" s="136" t="s">
        <v>1185</v>
      </c>
      <c r="D522" s="15"/>
      <c r="F522" s="42"/>
      <c r="H522" s="15"/>
      <c r="I522" s="15"/>
      <c r="J522" s="15"/>
      <c r="K522" s="15"/>
      <c r="L522" s="17"/>
      <c r="M522" s="17"/>
      <c r="N522" s="17"/>
      <c r="O522" s="16" t="s">
        <v>621</v>
      </c>
      <c r="P522" s="167"/>
      <c r="S522" s="193"/>
      <c r="T522" s="193"/>
      <c r="AS522" s="125" t="s">
        <v>948</v>
      </c>
      <c r="CA522" s="33"/>
    </row>
    <row r="523" spans="3:79" s="13" customFormat="1" ht="26.25" customHeight="1">
      <c r="C523" s="136" t="s">
        <v>1186</v>
      </c>
      <c r="D523" s="15"/>
      <c r="F523" s="42"/>
      <c r="H523" s="15"/>
      <c r="I523" s="15"/>
      <c r="J523" s="15"/>
      <c r="K523" s="15"/>
      <c r="L523" s="17"/>
      <c r="M523" s="17"/>
      <c r="N523" s="17"/>
      <c r="O523" s="16"/>
      <c r="P523" s="167"/>
      <c r="S523" s="193"/>
      <c r="T523" s="193"/>
      <c r="AS523" s="125" t="s">
        <v>948</v>
      </c>
      <c r="CA523" s="33"/>
    </row>
    <row r="524" spans="3:79" s="13" customFormat="1" ht="26.25" customHeight="1">
      <c r="C524" s="136" t="s">
        <v>1187</v>
      </c>
      <c r="D524" s="15"/>
      <c r="F524" s="42"/>
      <c r="H524" s="15"/>
      <c r="I524" s="15"/>
      <c r="J524" s="15"/>
      <c r="K524" s="15"/>
      <c r="L524" s="17"/>
      <c r="M524" s="17"/>
      <c r="N524" s="17"/>
      <c r="O524" s="16"/>
      <c r="P524" s="167"/>
      <c r="S524" s="193"/>
      <c r="T524" s="193"/>
      <c r="AS524" s="125" t="s">
        <v>948</v>
      </c>
      <c r="CA524" s="33"/>
    </row>
    <row r="525" spans="3:79" s="13" customFormat="1" ht="26.25" customHeight="1">
      <c r="C525" s="136" t="s">
        <v>1188</v>
      </c>
      <c r="D525" s="15"/>
      <c r="F525" s="42"/>
      <c r="H525" s="15"/>
      <c r="I525" s="15"/>
      <c r="J525" s="15"/>
      <c r="K525" s="15"/>
      <c r="L525" s="17"/>
      <c r="M525" s="17"/>
      <c r="N525" s="17"/>
      <c r="O525" s="16"/>
      <c r="P525" s="167"/>
      <c r="S525" s="193"/>
      <c r="T525" s="193"/>
      <c r="AS525" s="125" t="s">
        <v>948</v>
      </c>
      <c r="CA525" s="33"/>
    </row>
    <row r="526" spans="3:79" s="13" customFormat="1" ht="26.25" customHeight="1">
      <c r="C526" s="136" t="s">
        <v>1189</v>
      </c>
      <c r="D526" s="15"/>
      <c r="F526" s="42"/>
      <c r="H526" s="15"/>
      <c r="I526" s="15"/>
      <c r="J526" s="15"/>
      <c r="K526" s="15"/>
      <c r="L526" s="17"/>
      <c r="M526" s="17"/>
      <c r="N526" s="17"/>
      <c r="O526" s="16" t="s">
        <v>621</v>
      </c>
      <c r="P526" s="167"/>
      <c r="S526" s="193"/>
      <c r="T526" s="193"/>
      <c r="AS526" s="125" t="s">
        <v>948</v>
      </c>
      <c r="CA526" s="33"/>
    </row>
    <row r="527" spans="3:79" s="13" customFormat="1" ht="26.25" customHeight="1">
      <c r="C527" s="136" t="s">
        <v>884</v>
      </c>
      <c r="D527" s="15"/>
      <c r="F527" s="42"/>
      <c r="H527" s="15"/>
      <c r="I527" s="15"/>
      <c r="J527" s="15"/>
      <c r="K527" s="15"/>
      <c r="L527" s="17"/>
      <c r="M527" s="17"/>
      <c r="N527" s="17"/>
      <c r="O527" s="16" t="s">
        <v>721</v>
      </c>
      <c r="P527" s="167"/>
      <c r="S527" s="193"/>
      <c r="T527" s="193"/>
      <c r="AS527" s="125" t="s">
        <v>948</v>
      </c>
      <c r="CA527" s="33"/>
    </row>
    <row r="528" spans="3:79" s="13" customFormat="1" ht="26.25" customHeight="1">
      <c r="C528" s="136" t="s">
        <v>1190</v>
      </c>
      <c r="D528" s="15"/>
      <c r="F528" s="42"/>
      <c r="H528" s="15"/>
      <c r="I528" s="15"/>
      <c r="J528" s="15"/>
      <c r="K528" s="15"/>
      <c r="L528" s="17"/>
      <c r="M528" s="17"/>
      <c r="N528" s="17"/>
      <c r="O528" s="16" t="s">
        <v>722</v>
      </c>
      <c r="P528" s="167"/>
      <c r="S528" s="193"/>
      <c r="T528" s="193"/>
      <c r="AS528" s="125" t="s">
        <v>948</v>
      </c>
      <c r="CA528" s="33"/>
    </row>
    <row r="529" spans="3:79" s="13" customFormat="1" ht="26.25" customHeight="1">
      <c r="C529" s="136" t="s">
        <v>1191</v>
      </c>
      <c r="D529" s="15"/>
      <c r="F529" s="42"/>
      <c r="H529" s="15"/>
      <c r="I529" s="15"/>
      <c r="J529" s="15"/>
      <c r="K529" s="15"/>
      <c r="L529" s="17"/>
      <c r="M529" s="17"/>
      <c r="N529" s="17"/>
      <c r="O529" s="16" t="s">
        <v>621</v>
      </c>
      <c r="P529" s="167"/>
      <c r="S529" s="193"/>
      <c r="T529" s="193"/>
      <c r="AS529" s="125" t="s">
        <v>948</v>
      </c>
      <c r="CA529" s="33"/>
    </row>
    <row r="530" spans="3:79" s="13" customFormat="1" ht="26.25" customHeight="1">
      <c r="C530" s="136" t="s">
        <v>1192</v>
      </c>
      <c r="D530" s="15"/>
      <c r="F530" s="42"/>
      <c r="H530" s="15"/>
      <c r="I530" s="15"/>
      <c r="J530" s="15"/>
      <c r="K530" s="15"/>
      <c r="L530" s="17"/>
      <c r="M530" s="17"/>
      <c r="N530" s="17"/>
      <c r="O530" s="16" t="s">
        <v>621</v>
      </c>
      <c r="P530" s="167"/>
      <c r="S530" s="193"/>
      <c r="T530" s="193"/>
      <c r="AS530" s="125" t="s">
        <v>948</v>
      </c>
      <c r="CA530" s="33"/>
    </row>
    <row r="531" spans="3:79" s="13" customFormat="1" ht="26.25" customHeight="1">
      <c r="C531" s="136" t="s">
        <v>1193</v>
      </c>
      <c r="D531" s="15"/>
      <c r="F531" s="42"/>
      <c r="H531" s="15"/>
      <c r="I531" s="15"/>
      <c r="J531" s="15"/>
      <c r="K531" s="15"/>
      <c r="L531" s="17"/>
      <c r="M531" s="17"/>
      <c r="N531" s="17"/>
      <c r="O531" s="16" t="s">
        <v>621</v>
      </c>
      <c r="P531" s="167"/>
      <c r="S531" s="193"/>
      <c r="T531" s="193"/>
      <c r="AS531" s="125" t="s">
        <v>948</v>
      </c>
      <c r="CA531" s="33"/>
    </row>
    <row r="532" spans="3:79" s="13" customFormat="1" ht="26.25" customHeight="1">
      <c r="C532" s="136" t="s">
        <v>1194</v>
      </c>
      <c r="D532" s="15"/>
      <c r="F532" s="42"/>
      <c r="H532" s="15"/>
      <c r="I532" s="15"/>
      <c r="J532" s="15"/>
      <c r="K532" s="15"/>
      <c r="L532" s="17"/>
      <c r="M532" s="17"/>
      <c r="N532" s="17"/>
      <c r="O532" s="16" t="s">
        <v>724</v>
      </c>
      <c r="P532" s="167"/>
      <c r="S532" s="193"/>
      <c r="T532" s="193"/>
      <c r="AS532" s="125" t="s">
        <v>948</v>
      </c>
      <c r="CA532" s="33"/>
    </row>
    <row r="533" spans="3:79" s="13" customFormat="1" ht="26.25" customHeight="1">
      <c r="C533" s="136" t="s">
        <v>1195</v>
      </c>
      <c r="D533" s="15"/>
      <c r="F533" s="42"/>
      <c r="H533" s="15"/>
      <c r="I533" s="15"/>
      <c r="J533" s="15"/>
      <c r="K533" s="15"/>
      <c r="L533" s="17"/>
      <c r="M533" s="17"/>
      <c r="N533" s="17"/>
      <c r="O533" s="16" t="s">
        <v>724</v>
      </c>
      <c r="P533" s="167"/>
      <c r="S533" s="193"/>
      <c r="T533" s="193"/>
      <c r="AS533" s="125" t="s">
        <v>948</v>
      </c>
      <c r="CA533" s="33"/>
    </row>
    <row r="534" spans="3:79" s="13" customFormat="1" ht="26.25" customHeight="1">
      <c r="C534" s="136" t="s">
        <v>1196</v>
      </c>
      <c r="D534" s="15"/>
      <c r="F534" s="42"/>
      <c r="H534" s="15"/>
      <c r="I534" s="15"/>
      <c r="J534" s="15"/>
      <c r="K534" s="15"/>
      <c r="L534" s="17"/>
      <c r="M534" s="17"/>
      <c r="N534" s="17"/>
      <c r="O534" s="16"/>
      <c r="P534" s="167"/>
      <c r="S534" s="193"/>
      <c r="T534" s="193"/>
      <c r="AS534" s="125" t="s">
        <v>948</v>
      </c>
      <c r="CA534" s="33"/>
    </row>
    <row r="535" spans="3:79" s="13" customFormat="1" ht="26.25" customHeight="1">
      <c r="C535" s="136" t="s">
        <v>1198</v>
      </c>
      <c r="D535" s="15"/>
      <c r="F535" s="42"/>
      <c r="H535" s="15"/>
      <c r="I535" s="15"/>
      <c r="J535" s="15"/>
      <c r="K535" s="15"/>
      <c r="L535" s="17"/>
      <c r="M535" s="17"/>
      <c r="N535" s="17"/>
      <c r="O535" s="16"/>
      <c r="P535" s="167"/>
      <c r="S535" s="193"/>
      <c r="T535" s="193"/>
      <c r="AS535" s="125" t="s">
        <v>948</v>
      </c>
      <c r="CA535" s="33"/>
    </row>
    <row r="536" spans="3:79" s="13" customFormat="1" ht="26.25" customHeight="1">
      <c r="C536" s="136" t="s">
        <v>1199</v>
      </c>
      <c r="D536" s="15"/>
      <c r="F536" s="42"/>
      <c r="H536" s="15"/>
      <c r="I536" s="15"/>
      <c r="J536" s="15"/>
      <c r="K536" s="15"/>
      <c r="L536" s="17"/>
      <c r="M536" s="17"/>
      <c r="N536" s="17"/>
      <c r="O536" s="16"/>
      <c r="P536" s="167"/>
      <c r="S536" s="193"/>
      <c r="T536" s="193"/>
      <c r="AS536" s="125" t="s">
        <v>948</v>
      </c>
      <c r="CA536" s="33"/>
    </row>
    <row r="537" spans="3:79" s="13" customFormat="1" ht="26.25" customHeight="1">
      <c r="C537" s="136" t="s">
        <v>1091</v>
      </c>
      <c r="D537" s="15"/>
      <c r="F537" s="42"/>
      <c r="H537" s="15"/>
      <c r="I537" s="15"/>
      <c r="J537" s="15"/>
      <c r="K537" s="15"/>
      <c r="L537" s="17"/>
      <c r="M537" s="17"/>
      <c r="N537" s="17"/>
      <c r="O537" s="16"/>
      <c r="P537" s="167"/>
      <c r="S537" s="193"/>
      <c r="T537" s="193"/>
      <c r="AS537" s="125" t="s">
        <v>948</v>
      </c>
      <c r="CA537" s="33"/>
    </row>
    <row r="538" spans="3:79" s="13" customFormat="1" ht="26.25" customHeight="1">
      <c r="C538" s="136" t="s">
        <v>1200</v>
      </c>
      <c r="D538" s="15"/>
      <c r="F538" s="42"/>
      <c r="H538" s="15"/>
      <c r="I538" s="15"/>
      <c r="J538" s="15"/>
      <c r="K538" s="15"/>
      <c r="L538" s="17"/>
      <c r="M538" s="17"/>
      <c r="N538" s="17"/>
      <c r="O538" s="16"/>
      <c r="P538" s="167"/>
      <c r="S538" s="193"/>
      <c r="T538" s="193"/>
      <c r="AS538" s="125" t="s">
        <v>948</v>
      </c>
      <c r="CA538" s="33"/>
    </row>
    <row r="539" spans="3:79" s="13" customFormat="1" ht="26.25" customHeight="1">
      <c r="C539" s="136" t="s">
        <v>1201</v>
      </c>
      <c r="D539" s="15"/>
      <c r="F539" s="42"/>
      <c r="H539" s="15"/>
      <c r="I539" s="15"/>
      <c r="J539" s="15"/>
      <c r="K539" s="15"/>
      <c r="L539" s="17"/>
      <c r="M539" s="17"/>
      <c r="N539" s="17"/>
      <c r="O539" s="16"/>
      <c r="P539" s="167"/>
      <c r="S539" s="193"/>
      <c r="T539" s="193"/>
      <c r="AS539" s="125" t="s">
        <v>948</v>
      </c>
      <c r="CA539" s="33"/>
    </row>
    <row r="540" spans="3:79" s="13" customFormat="1" ht="26.25" customHeight="1">
      <c r="C540" s="136" t="s">
        <v>1203</v>
      </c>
      <c r="D540" s="15"/>
      <c r="F540" s="42"/>
      <c r="H540" s="15"/>
      <c r="I540" s="15"/>
      <c r="J540" s="15"/>
      <c r="K540" s="15"/>
      <c r="L540" s="17"/>
      <c r="M540" s="17"/>
      <c r="N540" s="17"/>
      <c r="O540" s="16"/>
      <c r="P540" s="167"/>
      <c r="S540" s="193"/>
      <c r="T540" s="193"/>
      <c r="AS540" s="125" t="s">
        <v>948</v>
      </c>
      <c r="CA540" s="33"/>
    </row>
    <row r="541" spans="3:79" s="13" customFormat="1" ht="26.25" customHeight="1">
      <c r="C541" s="136" t="s">
        <v>1204</v>
      </c>
      <c r="D541" s="15"/>
      <c r="F541" s="42"/>
      <c r="H541" s="15"/>
      <c r="I541" s="15"/>
      <c r="J541" s="15"/>
      <c r="K541" s="15"/>
      <c r="L541" s="17"/>
      <c r="M541" s="17"/>
      <c r="N541" s="17"/>
      <c r="O541" s="16"/>
      <c r="P541" s="167"/>
      <c r="S541" s="193"/>
      <c r="T541" s="193"/>
      <c r="AS541" s="125" t="s">
        <v>948</v>
      </c>
      <c r="CA541" s="33"/>
    </row>
    <row r="542" spans="3:79" s="13" customFormat="1" ht="26.25" customHeight="1">
      <c r="C542" s="136" t="s">
        <v>1205</v>
      </c>
      <c r="D542" s="15"/>
      <c r="F542" s="42"/>
      <c r="H542" s="15"/>
      <c r="I542" s="15"/>
      <c r="J542" s="15"/>
      <c r="K542" s="15"/>
      <c r="L542" s="17"/>
      <c r="M542" s="17"/>
      <c r="N542" s="17"/>
      <c r="O542" s="16"/>
      <c r="P542" s="167"/>
      <c r="S542" s="193"/>
      <c r="T542" s="193"/>
      <c r="AS542" s="125" t="s">
        <v>948</v>
      </c>
      <c r="CA542" s="33"/>
    </row>
    <row r="543" spans="3:79" s="13" customFormat="1" ht="26.25" customHeight="1">
      <c r="C543" s="136" t="s">
        <v>1206</v>
      </c>
      <c r="D543" s="15"/>
      <c r="F543" s="42"/>
      <c r="H543" s="15"/>
      <c r="I543" s="15"/>
      <c r="J543" s="15"/>
      <c r="K543" s="15"/>
      <c r="L543" s="17"/>
      <c r="M543" s="17"/>
      <c r="N543" s="17"/>
      <c r="O543" s="16"/>
      <c r="P543" s="167"/>
      <c r="S543" s="193"/>
      <c r="T543" s="193"/>
      <c r="AS543" s="125" t="s">
        <v>948</v>
      </c>
      <c r="CA543" s="33"/>
    </row>
    <row r="544" spans="3:79" s="13" customFormat="1" ht="26.25" customHeight="1">
      <c r="C544" s="136" t="s">
        <v>1207</v>
      </c>
      <c r="D544" s="15"/>
      <c r="F544" s="42"/>
      <c r="H544" s="15"/>
      <c r="I544" s="15"/>
      <c r="J544" s="15"/>
      <c r="K544" s="15"/>
      <c r="L544" s="17"/>
      <c r="M544" s="17"/>
      <c r="N544" s="17"/>
      <c r="O544" s="16"/>
      <c r="P544" s="167"/>
      <c r="S544" s="193"/>
      <c r="T544" s="193"/>
      <c r="AS544" s="125" t="s">
        <v>948</v>
      </c>
      <c r="CA544" s="33"/>
    </row>
    <row r="545" spans="3:79" s="13" customFormat="1" ht="26.25" customHeight="1">
      <c r="C545" s="136" t="s">
        <v>1208</v>
      </c>
      <c r="D545" s="15"/>
      <c r="F545" s="42"/>
      <c r="H545" s="15"/>
      <c r="I545" s="15"/>
      <c r="J545" s="15"/>
      <c r="K545" s="15"/>
      <c r="L545" s="17"/>
      <c r="M545" s="17"/>
      <c r="N545" s="17"/>
      <c r="O545" s="16"/>
      <c r="P545" s="167"/>
      <c r="S545" s="193"/>
      <c r="T545" s="193"/>
      <c r="AS545" s="125" t="s">
        <v>948</v>
      </c>
      <c r="CA545" s="33"/>
    </row>
    <row r="546" spans="3:79" s="13" customFormat="1" ht="26.25" customHeight="1">
      <c r="C546" s="136" t="s">
        <v>1209</v>
      </c>
      <c r="D546" s="15"/>
      <c r="F546" s="42"/>
      <c r="H546" s="15"/>
      <c r="I546" s="15"/>
      <c r="J546" s="15"/>
      <c r="K546" s="15"/>
      <c r="L546" s="17"/>
      <c r="M546" s="17"/>
      <c r="N546" s="17"/>
      <c r="O546" s="16"/>
      <c r="P546" s="167"/>
      <c r="S546" s="193"/>
      <c r="T546" s="193"/>
      <c r="AS546" s="125" t="s">
        <v>948</v>
      </c>
      <c r="CA546" s="33"/>
    </row>
    <row r="547" spans="3:79" s="13" customFormat="1" ht="26.25" customHeight="1">
      <c r="C547" s="136" t="s">
        <v>885</v>
      </c>
      <c r="D547" s="15"/>
      <c r="F547" s="42"/>
      <c r="H547" s="15"/>
      <c r="I547" s="15"/>
      <c r="J547" s="15"/>
      <c r="K547" s="15"/>
      <c r="L547" s="17"/>
      <c r="M547" s="17"/>
      <c r="N547" s="17"/>
      <c r="O547" s="16"/>
      <c r="P547" s="167"/>
      <c r="S547" s="193"/>
      <c r="T547" s="193"/>
      <c r="AS547" s="125" t="s">
        <v>948</v>
      </c>
      <c r="CA547" s="33"/>
    </row>
    <row r="548" spans="3:79" s="13" customFormat="1" ht="26.25" customHeight="1">
      <c r="C548" s="136" t="s">
        <v>1210</v>
      </c>
      <c r="D548" s="15"/>
      <c r="F548" s="42"/>
      <c r="H548" s="15"/>
      <c r="I548" s="15"/>
      <c r="J548" s="15"/>
      <c r="K548" s="15"/>
      <c r="L548" s="17"/>
      <c r="M548" s="17"/>
      <c r="N548" s="17"/>
      <c r="O548" s="16"/>
      <c r="P548" s="167"/>
      <c r="S548" s="193"/>
      <c r="T548" s="193"/>
      <c r="AS548" s="125" t="s">
        <v>948</v>
      </c>
      <c r="CA548" s="33"/>
    </row>
    <row r="549" spans="3:79" s="13" customFormat="1" ht="26.25" customHeight="1">
      <c r="C549" s="136" t="s">
        <v>1211</v>
      </c>
      <c r="D549" s="15"/>
      <c r="F549" s="42"/>
      <c r="H549" s="15"/>
      <c r="I549" s="15"/>
      <c r="J549" s="15"/>
      <c r="K549" s="15"/>
      <c r="L549" s="17"/>
      <c r="M549" s="17"/>
      <c r="N549" s="17"/>
      <c r="O549" s="16"/>
      <c r="P549" s="167"/>
      <c r="S549" s="193"/>
      <c r="T549" s="193"/>
      <c r="AS549" s="125" t="s">
        <v>948</v>
      </c>
      <c r="CA549" s="33"/>
    </row>
    <row r="550" spans="3:79" s="13" customFormat="1" ht="26.25" customHeight="1">
      <c r="C550" s="136" t="s">
        <v>1212</v>
      </c>
      <c r="D550" s="15"/>
      <c r="F550" s="42"/>
      <c r="H550" s="15"/>
      <c r="I550" s="15"/>
      <c r="J550" s="15"/>
      <c r="K550" s="15"/>
      <c r="L550" s="17"/>
      <c r="M550" s="17"/>
      <c r="N550" s="17"/>
      <c r="O550" s="16"/>
      <c r="P550" s="167"/>
      <c r="S550" s="193"/>
      <c r="T550" s="193"/>
      <c r="AS550" s="125" t="s">
        <v>948</v>
      </c>
      <c r="CA550" s="33"/>
    </row>
    <row r="551" spans="3:79" s="13" customFormat="1" ht="26.25" customHeight="1">
      <c r="C551" s="136" t="s">
        <v>1093</v>
      </c>
      <c r="D551" s="15"/>
      <c r="F551" s="42"/>
      <c r="H551" s="15"/>
      <c r="I551" s="15"/>
      <c r="J551" s="15"/>
      <c r="K551" s="15"/>
      <c r="L551" s="17"/>
      <c r="M551" s="17"/>
      <c r="N551" s="17"/>
      <c r="O551" s="16"/>
      <c r="P551" s="167"/>
      <c r="S551" s="193"/>
      <c r="T551" s="193"/>
      <c r="AS551" s="125" t="s">
        <v>948</v>
      </c>
      <c r="CA551" s="33"/>
    </row>
    <row r="552" spans="3:79" s="13" customFormat="1" ht="26.25" customHeight="1">
      <c r="C552" s="136" t="s">
        <v>1213</v>
      </c>
      <c r="D552" s="15"/>
      <c r="F552" s="42"/>
      <c r="H552" s="15"/>
      <c r="I552" s="15"/>
      <c r="J552" s="15"/>
      <c r="K552" s="15"/>
      <c r="L552" s="17"/>
      <c r="M552" s="17"/>
      <c r="N552" s="17"/>
      <c r="O552" s="16"/>
      <c r="P552" s="167"/>
      <c r="S552" s="193"/>
      <c r="T552" s="193"/>
      <c r="AS552" s="125" t="s">
        <v>948</v>
      </c>
      <c r="CA552" s="33"/>
    </row>
    <row r="553" spans="3:79" s="13" customFormat="1" ht="26.25" customHeight="1">
      <c r="C553" s="136" t="s">
        <v>1214</v>
      </c>
      <c r="D553" s="15"/>
      <c r="F553" s="42"/>
      <c r="H553" s="15"/>
      <c r="I553" s="15"/>
      <c r="J553" s="15"/>
      <c r="K553" s="15"/>
      <c r="L553" s="17"/>
      <c r="M553" s="17"/>
      <c r="N553" s="17"/>
      <c r="O553" s="16"/>
      <c r="P553" s="167"/>
      <c r="S553" s="193"/>
      <c r="T553" s="193"/>
      <c r="AS553" s="125" t="s">
        <v>948</v>
      </c>
      <c r="CA553" s="33"/>
    </row>
    <row r="554" spans="3:79" s="13" customFormat="1" ht="26.25" customHeight="1">
      <c r="C554" s="136" t="s">
        <v>1215</v>
      </c>
      <c r="D554" s="15"/>
      <c r="F554" s="42"/>
      <c r="H554" s="15"/>
      <c r="I554" s="15"/>
      <c r="J554" s="15"/>
      <c r="K554" s="15"/>
      <c r="L554" s="17"/>
      <c r="M554" s="17"/>
      <c r="N554" s="17"/>
      <c r="O554" s="16"/>
      <c r="P554" s="167"/>
      <c r="S554" s="193"/>
      <c r="T554" s="193"/>
      <c r="AS554" s="125" t="s">
        <v>948</v>
      </c>
      <c r="CA554" s="33"/>
    </row>
    <row r="555" spans="3:79" s="13" customFormat="1" ht="26.25" customHeight="1">
      <c r="C555" s="136" t="s">
        <v>1216</v>
      </c>
      <c r="D555" s="15"/>
      <c r="F555" s="42"/>
      <c r="H555" s="15"/>
      <c r="I555" s="15"/>
      <c r="J555" s="15"/>
      <c r="K555" s="15"/>
      <c r="L555" s="17"/>
      <c r="M555" s="17"/>
      <c r="N555" s="17"/>
      <c r="O555" s="16"/>
      <c r="P555" s="167"/>
      <c r="S555" s="193"/>
      <c r="T555" s="193"/>
      <c r="AS555" s="125" t="s">
        <v>948</v>
      </c>
      <c r="CA555" s="33"/>
    </row>
    <row r="556" spans="3:79" s="13" customFormat="1" ht="26.25" customHeight="1">
      <c r="C556" s="136" t="s">
        <v>1217</v>
      </c>
      <c r="D556" s="15"/>
      <c r="F556" s="42"/>
      <c r="H556" s="15"/>
      <c r="I556" s="15"/>
      <c r="J556" s="15"/>
      <c r="K556" s="15"/>
      <c r="L556" s="17"/>
      <c r="M556" s="17"/>
      <c r="N556" s="17"/>
      <c r="O556" s="16"/>
      <c r="P556" s="167"/>
      <c r="S556" s="193"/>
      <c r="T556" s="193"/>
      <c r="AS556" s="125" t="s">
        <v>948</v>
      </c>
      <c r="CA556" s="33"/>
    </row>
    <row r="557" spans="3:79" s="13" customFormat="1" ht="26.25" customHeight="1">
      <c r="C557" s="136" t="s">
        <v>1218</v>
      </c>
      <c r="D557" s="15"/>
      <c r="F557" s="42"/>
      <c r="H557" s="15"/>
      <c r="I557" s="15"/>
      <c r="J557" s="15"/>
      <c r="K557" s="15"/>
      <c r="L557" s="17"/>
      <c r="M557" s="17"/>
      <c r="N557" s="17"/>
      <c r="O557" s="16"/>
      <c r="P557" s="167"/>
      <c r="S557" s="193"/>
      <c r="T557" s="193"/>
      <c r="AS557" s="125" t="s">
        <v>948</v>
      </c>
      <c r="CA557" s="33"/>
    </row>
    <row r="558" spans="3:79" s="13" customFormat="1" ht="26.25" customHeight="1">
      <c r="C558" s="136" t="s">
        <v>1219</v>
      </c>
      <c r="D558" s="15"/>
      <c r="F558" s="42"/>
      <c r="H558" s="15"/>
      <c r="I558" s="15"/>
      <c r="J558" s="15"/>
      <c r="K558" s="15"/>
      <c r="L558" s="17"/>
      <c r="M558" s="17"/>
      <c r="N558" s="17"/>
      <c r="O558" s="16"/>
      <c r="P558" s="167"/>
      <c r="S558" s="193"/>
      <c r="T558" s="193"/>
      <c r="AS558" s="125" t="s">
        <v>948</v>
      </c>
      <c r="CA558" s="33"/>
    </row>
    <row r="559" spans="3:79" s="13" customFormat="1" ht="26.25" customHeight="1">
      <c r="C559" s="136" t="s">
        <v>1220</v>
      </c>
      <c r="D559" s="15"/>
      <c r="F559" s="42"/>
      <c r="H559" s="15"/>
      <c r="I559" s="15"/>
      <c r="J559" s="15"/>
      <c r="K559" s="15"/>
      <c r="L559" s="17"/>
      <c r="M559" s="17"/>
      <c r="N559" s="17"/>
      <c r="O559" s="16"/>
      <c r="P559" s="167"/>
      <c r="S559" s="193"/>
      <c r="T559" s="193"/>
      <c r="AS559" s="125" t="s">
        <v>948</v>
      </c>
      <c r="CA559" s="33"/>
    </row>
    <row r="560" spans="3:79" s="13" customFormat="1" ht="26.25" customHeight="1">
      <c r="C560" s="136" t="s">
        <v>1221</v>
      </c>
      <c r="D560" s="15"/>
      <c r="F560" s="42"/>
      <c r="H560" s="15"/>
      <c r="I560" s="15"/>
      <c r="J560" s="15"/>
      <c r="K560" s="15"/>
      <c r="L560" s="17"/>
      <c r="M560" s="17"/>
      <c r="N560" s="17"/>
      <c r="O560" s="16"/>
      <c r="P560" s="167"/>
      <c r="S560" s="193"/>
      <c r="T560" s="193"/>
      <c r="AS560" s="125" t="s">
        <v>948</v>
      </c>
      <c r="CA560" s="33"/>
    </row>
    <row r="561" spans="3:79" s="13" customFormat="1" ht="26.25" customHeight="1">
      <c r="C561" s="136" t="s">
        <v>1222</v>
      </c>
      <c r="D561" s="15"/>
      <c r="F561" s="42"/>
      <c r="H561" s="15"/>
      <c r="I561" s="15"/>
      <c r="J561" s="15"/>
      <c r="K561" s="15"/>
      <c r="L561" s="17"/>
      <c r="M561" s="17"/>
      <c r="N561" s="17"/>
      <c r="O561" s="16"/>
      <c r="P561" s="167"/>
      <c r="S561" s="193"/>
      <c r="T561" s="193"/>
      <c r="AS561" s="125" t="s">
        <v>948</v>
      </c>
      <c r="CA561" s="33"/>
    </row>
    <row r="562" spans="3:79" s="13" customFormat="1" ht="26.25" customHeight="1">
      <c r="C562" s="136" t="s">
        <v>1223</v>
      </c>
      <c r="D562" s="15"/>
      <c r="F562" s="42"/>
      <c r="H562" s="15"/>
      <c r="I562" s="15"/>
      <c r="J562" s="15"/>
      <c r="K562" s="15"/>
      <c r="L562" s="17"/>
      <c r="M562" s="17"/>
      <c r="N562" s="17"/>
      <c r="O562" s="16"/>
      <c r="P562" s="167"/>
      <c r="S562" s="193"/>
      <c r="T562" s="193"/>
      <c r="AS562" s="125" t="s">
        <v>948</v>
      </c>
      <c r="CA562" s="33"/>
    </row>
    <row r="563" spans="3:79" s="13" customFormat="1" ht="26.25" customHeight="1">
      <c r="C563" s="136" t="s">
        <v>1224</v>
      </c>
      <c r="D563" s="15"/>
      <c r="F563" s="42"/>
      <c r="H563" s="15"/>
      <c r="I563" s="15"/>
      <c r="J563" s="15"/>
      <c r="K563" s="15"/>
      <c r="L563" s="17"/>
      <c r="M563" s="17"/>
      <c r="N563" s="17"/>
      <c r="O563" s="16"/>
      <c r="P563" s="167"/>
      <c r="S563" s="193"/>
      <c r="T563" s="193"/>
      <c r="AS563" s="125" t="s">
        <v>948</v>
      </c>
      <c r="CA563" s="33"/>
    </row>
    <row r="564" spans="3:79" s="13" customFormat="1" ht="26.25" customHeight="1">
      <c r="C564" s="136" t="s">
        <v>1225</v>
      </c>
      <c r="D564" s="15"/>
      <c r="F564" s="42"/>
      <c r="H564" s="15"/>
      <c r="I564" s="15"/>
      <c r="J564" s="15"/>
      <c r="K564" s="15"/>
      <c r="L564" s="17"/>
      <c r="M564" s="17"/>
      <c r="N564" s="17"/>
      <c r="O564" s="16"/>
      <c r="P564" s="167"/>
      <c r="S564" s="193"/>
      <c r="T564" s="193"/>
      <c r="AS564" s="125" t="s">
        <v>948</v>
      </c>
      <c r="CA564" s="33"/>
    </row>
    <row r="565" spans="3:79" s="13" customFormat="1" ht="26.25" customHeight="1">
      <c r="C565" s="136" t="s">
        <v>1226</v>
      </c>
      <c r="D565" s="15"/>
      <c r="F565" s="42"/>
      <c r="H565" s="15"/>
      <c r="I565" s="15"/>
      <c r="J565" s="15"/>
      <c r="K565" s="15"/>
      <c r="L565" s="17"/>
      <c r="M565" s="17"/>
      <c r="N565" s="17"/>
      <c r="O565" s="16"/>
      <c r="P565" s="167"/>
      <c r="S565" s="193"/>
      <c r="T565" s="193"/>
      <c r="AS565" s="125" t="s">
        <v>948</v>
      </c>
      <c r="CA565" s="33"/>
    </row>
    <row r="566" spans="3:79" s="13" customFormat="1" ht="26.25" customHeight="1">
      <c r="C566" s="136" t="s">
        <v>1227</v>
      </c>
      <c r="D566" s="15"/>
      <c r="F566" s="42"/>
      <c r="H566" s="15"/>
      <c r="I566" s="15"/>
      <c r="J566" s="15"/>
      <c r="K566" s="15"/>
      <c r="L566" s="17"/>
      <c r="M566" s="17"/>
      <c r="N566" s="17"/>
      <c r="O566" s="16"/>
      <c r="P566" s="167"/>
      <c r="S566" s="193"/>
      <c r="T566" s="193"/>
      <c r="AS566" s="125" t="s">
        <v>948</v>
      </c>
      <c r="CA566" s="33"/>
    </row>
    <row r="567" spans="3:79" s="13" customFormat="1" ht="26.25" customHeight="1">
      <c r="C567" s="136" t="s">
        <v>1228</v>
      </c>
      <c r="D567" s="15"/>
      <c r="F567" s="42"/>
      <c r="H567" s="15"/>
      <c r="I567" s="15"/>
      <c r="J567" s="15"/>
      <c r="K567" s="15"/>
      <c r="L567" s="17"/>
      <c r="M567" s="17"/>
      <c r="N567" s="17"/>
      <c r="O567" s="16"/>
      <c r="P567" s="167"/>
      <c r="S567" s="193"/>
      <c r="T567" s="193"/>
      <c r="AS567" s="125" t="s">
        <v>948</v>
      </c>
      <c r="CA567" s="33"/>
    </row>
    <row r="568" spans="3:79" s="13" customFormat="1" ht="26.25" customHeight="1">
      <c r="C568" s="136" t="s">
        <v>1229</v>
      </c>
      <c r="D568" s="15"/>
      <c r="F568" s="42"/>
      <c r="H568" s="15"/>
      <c r="I568" s="15"/>
      <c r="J568" s="15"/>
      <c r="K568" s="15"/>
      <c r="L568" s="17"/>
      <c r="M568" s="17"/>
      <c r="N568" s="17"/>
      <c r="O568" s="16"/>
      <c r="P568" s="167"/>
      <c r="S568" s="193"/>
      <c r="T568" s="193"/>
      <c r="AS568" s="125" t="s">
        <v>948</v>
      </c>
      <c r="CA568" s="33"/>
    </row>
    <row r="569" spans="3:79" s="13" customFormat="1" ht="26.25" customHeight="1">
      <c r="C569" s="136" t="s">
        <v>1230</v>
      </c>
      <c r="D569" s="15"/>
      <c r="F569" s="42"/>
      <c r="H569" s="15"/>
      <c r="I569" s="15"/>
      <c r="J569" s="15"/>
      <c r="K569" s="15"/>
      <c r="L569" s="17"/>
      <c r="M569" s="17"/>
      <c r="N569" s="17"/>
      <c r="O569" s="16"/>
      <c r="P569" s="167"/>
      <c r="S569" s="193"/>
      <c r="T569" s="193"/>
      <c r="AS569" s="125" t="s">
        <v>948</v>
      </c>
      <c r="CA569" s="33"/>
    </row>
    <row r="570" spans="3:79" s="13" customFormat="1" ht="26.25" customHeight="1">
      <c r="C570" s="136" t="s">
        <v>1231</v>
      </c>
      <c r="D570" s="15"/>
      <c r="F570" s="42"/>
      <c r="H570" s="15"/>
      <c r="I570" s="15"/>
      <c r="J570" s="15"/>
      <c r="K570" s="15"/>
      <c r="L570" s="17"/>
      <c r="M570" s="17"/>
      <c r="N570" s="17"/>
      <c r="O570" s="16"/>
      <c r="P570" s="167"/>
      <c r="S570" s="193"/>
      <c r="T570" s="193"/>
      <c r="AS570" s="125" t="s">
        <v>948</v>
      </c>
      <c r="CA570" s="33"/>
    </row>
    <row r="571" spans="3:79" s="13" customFormat="1" ht="26.25" customHeight="1">
      <c r="C571" s="136" t="s">
        <v>1232</v>
      </c>
      <c r="D571" s="15"/>
      <c r="F571" s="42"/>
      <c r="H571" s="15"/>
      <c r="I571" s="15"/>
      <c r="J571" s="15"/>
      <c r="K571" s="15"/>
      <c r="L571" s="17"/>
      <c r="M571" s="17"/>
      <c r="N571" s="17"/>
      <c r="O571" s="16"/>
      <c r="P571" s="167"/>
      <c r="S571" s="193"/>
      <c r="T571" s="193"/>
      <c r="AS571" s="125" t="s">
        <v>948</v>
      </c>
      <c r="CA571" s="33"/>
    </row>
    <row r="572" spans="3:79" s="13" customFormat="1" ht="26.25" customHeight="1">
      <c r="C572" s="136" t="s">
        <v>1018</v>
      </c>
      <c r="D572" s="15"/>
      <c r="F572" s="42"/>
      <c r="H572" s="15"/>
      <c r="I572" s="15"/>
      <c r="J572" s="15"/>
      <c r="K572" s="15"/>
      <c r="L572" s="17"/>
      <c r="M572" s="17"/>
      <c r="N572" s="17"/>
      <c r="O572" s="16"/>
      <c r="P572" s="167"/>
      <c r="S572" s="193"/>
      <c r="T572" s="193"/>
      <c r="AS572" s="125" t="s">
        <v>948</v>
      </c>
      <c r="CA572" s="33"/>
    </row>
    <row r="573" spans="3:79" s="13" customFormat="1" ht="26.25" customHeight="1">
      <c r="C573" s="136" t="s">
        <v>891</v>
      </c>
      <c r="D573" s="15"/>
      <c r="F573" s="42"/>
      <c r="H573" s="15"/>
      <c r="I573" s="15"/>
      <c r="J573" s="15"/>
      <c r="K573" s="15"/>
      <c r="L573" s="17"/>
      <c r="M573" s="17"/>
      <c r="N573" s="17"/>
      <c r="O573" s="16"/>
      <c r="P573" s="167"/>
      <c r="S573" s="193"/>
      <c r="T573" s="193"/>
      <c r="AS573" s="125" t="s">
        <v>948</v>
      </c>
      <c r="CA573" s="33"/>
    </row>
    <row r="574" spans="3:79" s="13" customFormat="1" ht="26.25" customHeight="1">
      <c r="C574" s="136" t="s">
        <v>1233</v>
      </c>
      <c r="D574" s="15"/>
      <c r="F574" s="42"/>
      <c r="H574" s="15"/>
      <c r="I574" s="15"/>
      <c r="J574" s="15"/>
      <c r="K574" s="15"/>
      <c r="L574" s="17"/>
      <c r="M574" s="17"/>
      <c r="N574" s="17"/>
      <c r="O574" s="16"/>
      <c r="P574" s="167"/>
      <c r="S574" s="193"/>
      <c r="T574" s="193"/>
      <c r="AS574" s="125" t="s">
        <v>948</v>
      </c>
      <c r="CA574" s="33"/>
    </row>
    <row r="575" spans="3:79" s="13" customFormat="1" ht="26.25" customHeight="1">
      <c r="C575" s="136" t="s">
        <v>1234</v>
      </c>
      <c r="D575" s="15"/>
      <c r="F575" s="42"/>
      <c r="H575" s="15"/>
      <c r="I575" s="15"/>
      <c r="J575" s="15"/>
      <c r="K575" s="15"/>
      <c r="L575" s="17"/>
      <c r="M575" s="17"/>
      <c r="N575" s="17"/>
      <c r="O575" s="16"/>
      <c r="P575" s="167"/>
      <c r="S575" s="193"/>
      <c r="T575" s="193"/>
      <c r="AS575" s="125" t="s">
        <v>948</v>
      </c>
      <c r="CA575" s="33"/>
    </row>
    <row r="576" spans="3:79" s="13" customFormat="1" ht="26.25" customHeight="1">
      <c r="C576" s="136" t="s">
        <v>1235</v>
      </c>
      <c r="D576" s="15"/>
      <c r="F576" s="42"/>
      <c r="H576" s="15"/>
      <c r="I576" s="15"/>
      <c r="J576" s="15"/>
      <c r="K576" s="15"/>
      <c r="L576" s="17"/>
      <c r="M576" s="17"/>
      <c r="N576" s="17"/>
      <c r="O576" s="16"/>
      <c r="P576" s="167"/>
      <c r="S576" s="193"/>
      <c r="T576" s="193"/>
      <c r="AS576" s="125" t="s">
        <v>948</v>
      </c>
      <c r="CA576" s="33"/>
    </row>
    <row r="577" spans="3:79" s="13" customFormat="1" ht="26.25" customHeight="1">
      <c r="C577" s="136" t="s">
        <v>1236</v>
      </c>
      <c r="D577" s="15"/>
      <c r="F577" s="42"/>
      <c r="H577" s="15"/>
      <c r="I577" s="15"/>
      <c r="J577" s="15"/>
      <c r="K577" s="15"/>
      <c r="L577" s="17"/>
      <c r="M577" s="17"/>
      <c r="N577" s="17"/>
      <c r="O577" s="16"/>
      <c r="P577" s="167"/>
      <c r="S577" s="193"/>
      <c r="T577" s="193"/>
      <c r="AS577" s="125" t="s">
        <v>948</v>
      </c>
      <c r="CA577" s="33"/>
    </row>
    <row r="578" spans="3:79" s="13" customFormat="1" ht="26.25" customHeight="1">
      <c r="C578" s="136" t="s">
        <v>1237</v>
      </c>
      <c r="D578" s="15"/>
      <c r="F578" s="42"/>
      <c r="H578" s="15"/>
      <c r="I578" s="15"/>
      <c r="J578" s="15"/>
      <c r="K578" s="15"/>
      <c r="L578" s="17"/>
      <c r="M578" s="17"/>
      <c r="N578" s="17"/>
      <c r="O578" s="16"/>
      <c r="P578" s="167"/>
      <c r="S578" s="193"/>
      <c r="T578" s="193"/>
      <c r="AS578" s="125" t="s">
        <v>948</v>
      </c>
      <c r="CA578" s="33"/>
    </row>
    <row r="579" spans="3:79" s="13" customFormat="1" ht="26.25" customHeight="1">
      <c r="C579" s="136" t="s">
        <v>1238</v>
      </c>
      <c r="D579" s="15"/>
      <c r="F579" s="42"/>
      <c r="H579" s="15"/>
      <c r="I579" s="15"/>
      <c r="J579" s="15"/>
      <c r="K579" s="15"/>
      <c r="L579" s="17"/>
      <c r="M579" s="17"/>
      <c r="N579" s="17"/>
      <c r="O579" s="16"/>
      <c r="P579" s="167"/>
      <c r="S579" s="193"/>
      <c r="T579" s="193"/>
      <c r="AS579" s="125" t="s">
        <v>948</v>
      </c>
      <c r="CA579" s="33"/>
    </row>
    <row r="580" spans="3:79" s="13" customFormat="1" ht="26.25" customHeight="1">
      <c r="C580" s="136" t="s">
        <v>1239</v>
      </c>
      <c r="D580" s="15"/>
      <c r="F580" s="42"/>
      <c r="H580" s="15"/>
      <c r="I580" s="15"/>
      <c r="J580" s="15"/>
      <c r="K580" s="15"/>
      <c r="L580" s="17"/>
      <c r="M580" s="17"/>
      <c r="N580" s="17"/>
      <c r="O580" s="16"/>
      <c r="P580" s="167"/>
      <c r="S580" s="193"/>
      <c r="T580" s="193"/>
      <c r="AS580" s="125" t="s">
        <v>948</v>
      </c>
      <c r="CA580" s="33"/>
    </row>
    <row r="581" spans="3:79" s="13" customFormat="1" ht="26.25" customHeight="1">
      <c r="C581" s="136" t="s">
        <v>1240</v>
      </c>
      <c r="D581" s="15"/>
      <c r="F581" s="42"/>
      <c r="H581" s="15"/>
      <c r="I581" s="15"/>
      <c r="J581" s="15"/>
      <c r="K581" s="15"/>
      <c r="L581" s="17"/>
      <c r="M581" s="17"/>
      <c r="N581" s="17"/>
      <c r="O581" s="16"/>
      <c r="P581" s="167"/>
      <c r="S581" s="193"/>
      <c r="T581" s="193"/>
      <c r="AS581" s="125" t="s">
        <v>948</v>
      </c>
      <c r="CA581" s="33"/>
    </row>
    <row r="582" spans="3:79" s="13" customFormat="1" ht="26.25" customHeight="1">
      <c r="C582" s="136" t="s">
        <v>1241</v>
      </c>
      <c r="D582" s="15"/>
      <c r="F582" s="42"/>
      <c r="H582" s="15"/>
      <c r="I582" s="15"/>
      <c r="J582" s="15"/>
      <c r="K582" s="15"/>
      <c r="L582" s="17"/>
      <c r="M582" s="17"/>
      <c r="N582" s="17"/>
      <c r="O582" s="16"/>
      <c r="P582" s="167"/>
      <c r="S582" s="193"/>
      <c r="T582" s="193"/>
      <c r="AS582" s="125" t="s">
        <v>948</v>
      </c>
      <c r="CA582" s="33"/>
    </row>
    <row r="583" spans="3:79" s="13" customFormat="1" ht="26.25" customHeight="1">
      <c r="C583" s="136" t="s">
        <v>1242</v>
      </c>
      <c r="D583" s="15"/>
      <c r="F583" s="42"/>
      <c r="H583" s="15"/>
      <c r="I583" s="15"/>
      <c r="J583" s="15"/>
      <c r="K583" s="15"/>
      <c r="L583" s="17"/>
      <c r="M583" s="17"/>
      <c r="N583" s="17"/>
      <c r="O583" s="16"/>
      <c r="P583" s="167"/>
      <c r="S583" s="193"/>
      <c r="T583" s="193"/>
      <c r="AS583" s="125" t="s">
        <v>948</v>
      </c>
      <c r="CA583" s="33"/>
    </row>
    <row r="584" spans="3:79" s="13" customFormat="1" ht="26.25" customHeight="1">
      <c r="C584" s="136" t="s">
        <v>1243</v>
      </c>
      <c r="D584" s="15"/>
      <c r="F584" s="42"/>
      <c r="H584" s="15"/>
      <c r="I584" s="15"/>
      <c r="J584" s="15"/>
      <c r="K584" s="15"/>
      <c r="L584" s="17"/>
      <c r="M584" s="17"/>
      <c r="N584" s="17"/>
      <c r="O584" s="16"/>
      <c r="P584" s="167"/>
      <c r="S584" s="193"/>
      <c r="T584" s="193"/>
      <c r="AS584" s="125" t="s">
        <v>948</v>
      </c>
      <c r="CA584" s="33"/>
    </row>
    <row r="585" spans="3:79" s="13" customFormat="1" ht="26.25" customHeight="1">
      <c r="C585" s="136" t="s">
        <v>1244</v>
      </c>
      <c r="D585" s="15"/>
      <c r="F585" s="42"/>
      <c r="H585" s="15"/>
      <c r="I585" s="15"/>
      <c r="J585" s="15"/>
      <c r="K585" s="15"/>
      <c r="L585" s="17"/>
      <c r="M585" s="17"/>
      <c r="N585" s="17"/>
      <c r="O585" s="16"/>
      <c r="P585" s="167"/>
      <c r="S585" s="193"/>
      <c r="T585" s="193"/>
      <c r="AS585" s="125" t="s">
        <v>948</v>
      </c>
      <c r="CA585" s="33"/>
    </row>
    <row r="586" spans="3:79" s="13" customFormat="1" ht="26.25" customHeight="1">
      <c r="C586" s="136" t="s">
        <v>1245</v>
      </c>
      <c r="D586" s="15"/>
      <c r="F586" s="42"/>
      <c r="H586" s="15"/>
      <c r="I586" s="15"/>
      <c r="J586" s="15"/>
      <c r="K586" s="15"/>
      <c r="L586" s="17"/>
      <c r="M586" s="17"/>
      <c r="N586" s="17"/>
      <c r="O586" s="16"/>
      <c r="P586" s="167"/>
      <c r="S586" s="193"/>
      <c r="T586" s="193"/>
      <c r="AS586" s="125" t="s">
        <v>948</v>
      </c>
      <c r="CA586" s="33"/>
    </row>
    <row r="587" spans="3:79" s="13" customFormat="1" ht="26.25" customHeight="1">
      <c r="C587" s="136" t="s">
        <v>1246</v>
      </c>
      <c r="D587" s="15"/>
      <c r="F587" s="42"/>
      <c r="H587" s="15"/>
      <c r="I587" s="15"/>
      <c r="J587" s="15"/>
      <c r="K587" s="15"/>
      <c r="L587" s="17"/>
      <c r="M587" s="17"/>
      <c r="N587" s="17"/>
      <c r="O587" s="16"/>
      <c r="P587" s="167"/>
      <c r="S587" s="193"/>
      <c r="T587" s="193"/>
      <c r="AS587" s="125" t="s">
        <v>948</v>
      </c>
      <c r="CA587" s="33"/>
    </row>
    <row r="588" spans="3:79" s="13" customFormat="1" ht="26.25" customHeight="1">
      <c r="C588" s="136" t="s">
        <v>1247</v>
      </c>
      <c r="D588" s="15"/>
      <c r="F588" s="42"/>
      <c r="H588" s="15"/>
      <c r="I588" s="15"/>
      <c r="J588" s="15"/>
      <c r="K588" s="15"/>
      <c r="L588" s="17"/>
      <c r="M588" s="17"/>
      <c r="N588" s="17"/>
      <c r="O588" s="16"/>
      <c r="P588" s="167"/>
      <c r="S588" s="193"/>
      <c r="T588" s="193"/>
      <c r="AS588" s="125" t="s">
        <v>948</v>
      </c>
      <c r="CA588" s="33"/>
    </row>
    <row r="589" spans="3:79" s="13" customFormat="1" ht="26.25" customHeight="1">
      <c r="C589" s="136" t="s">
        <v>1248</v>
      </c>
      <c r="D589" s="15"/>
      <c r="F589" s="42"/>
      <c r="H589" s="15"/>
      <c r="I589" s="15"/>
      <c r="J589" s="15"/>
      <c r="K589" s="15"/>
      <c r="L589" s="17"/>
      <c r="M589" s="17"/>
      <c r="N589" s="17"/>
      <c r="O589" s="16"/>
      <c r="P589" s="167"/>
      <c r="S589" s="193"/>
      <c r="T589" s="193"/>
      <c r="AS589" s="125" t="s">
        <v>948</v>
      </c>
      <c r="CA589" s="33"/>
    </row>
    <row r="590" spans="3:79" s="13" customFormat="1" ht="26.25" customHeight="1">
      <c r="C590" s="136" t="s">
        <v>892</v>
      </c>
      <c r="D590" s="15"/>
      <c r="F590" s="42"/>
      <c r="H590" s="15"/>
      <c r="I590" s="15"/>
      <c r="J590" s="15"/>
      <c r="K590" s="15"/>
      <c r="L590" s="17"/>
      <c r="M590" s="17"/>
      <c r="N590" s="17"/>
      <c r="O590" s="16"/>
      <c r="P590" s="167"/>
      <c r="S590" s="193"/>
      <c r="T590" s="193"/>
      <c r="AS590" s="125" t="s">
        <v>948</v>
      </c>
      <c r="CA590" s="33"/>
    </row>
    <row r="591" spans="3:79" s="13" customFormat="1" ht="26.25" customHeight="1">
      <c r="C591" s="136" t="s">
        <v>1249</v>
      </c>
      <c r="D591" s="15"/>
      <c r="F591" s="42"/>
      <c r="H591" s="15"/>
      <c r="I591" s="15"/>
      <c r="J591" s="15"/>
      <c r="K591" s="15"/>
      <c r="L591" s="17"/>
      <c r="M591" s="17"/>
      <c r="N591" s="17"/>
      <c r="O591" s="16"/>
      <c r="P591" s="167"/>
      <c r="S591" s="193"/>
      <c r="T591" s="193"/>
      <c r="AS591" s="125" t="s">
        <v>948</v>
      </c>
      <c r="CA591" s="33"/>
    </row>
    <row r="592" spans="3:79" s="13" customFormat="1" ht="26.25" customHeight="1">
      <c r="C592" s="136" t="s">
        <v>1250</v>
      </c>
      <c r="D592" s="15"/>
      <c r="F592" s="42"/>
      <c r="H592" s="15"/>
      <c r="I592" s="15"/>
      <c r="J592" s="15"/>
      <c r="K592" s="15"/>
      <c r="L592" s="17"/>
      <c r="M592" s="17"/>
      <c r="N592" s="17"/>
      <c r="O592" s="16"/>
      <c r="P592" s="167"/>
      <c r="S592" s="193"/>
      <c r="T592" s="193"/>
      <c r="AS592" s="125" t="s">
        <v>948</v>
      </c>
      <c r="CA592" s="33"/>
    </row>
    <row r="593" spans="3:79" s="13" customFormat="1" ht="26.25" customHeight="1">
      <c r="C593" s="136" t="s">
        <v>1251</v>
      </c>
      <c r="D593" s="15"/>
      <c r="F593" s="42"/>
      <c r="H593" s="15"/>
      <c r="I593" s="15"/>
      <c r="J593" s="15"/>
      <c r="K593" s="15"/>
      <c r="L593" s="17"/>
      <c r="M593" s="17"/>
      <c r="N593" s="17"/>
      <c r="O593" s="16"/>
      <c r="P593" s="167"/>
      <c r="S593" s="193"/>
      <c r="T593" s="193"/>
      <c r="AS593" s="125" t="s">
        <v>948</v>
      </c>
      <c r="CA593" s="33"/>
    </row>
    <row r="594" spans="3:79" s="13" customFormat="1" ht="26.25" customHeight="1">
      <c r="C594" s="136" t="s">
        <v>976</v>
      </c>
      <c r="D594" s="15"/>
      <c r="F594" s="42"/>
      <c r="H594" s="15"/>
      <c r="I594" s="15"/>
      <c r="J594" s="15"/>
      <c r="K594" s="15"/>
      <c r="L594" s="17"/>
      <c r="M594" s="17"/>
      <c r="N594" s="17"/>
      <c r="O594" s="16"/>
      <c r="P594" s="167"/>
      <c r="S594" s="193"/>
      <c r="T594" s="193"/>
      <c r="AS594" s="125" t="s">
        <v>948</v>
      </c>
      <c r="CA594" s="33"/>
    </row>
    <row r="595" spans="3:79" s="13" customFormat="1" ht="26.25" customHeight="1">
      <c r="C595" s="136" t="s">
        <v>1252</v>
      </c>
      <c r="D595" s="15"/>
      <c r="F595" s="42"/>
      <c r="H595" s="15"/>
      <c r="I595" s="15"/>
      <c r="J595" s="15"/>
      <c r="K595" s="15"/>
      <c r="L595" s="17"/>
      <c r="M595" s="17"/>
      <c r="N595" s="17"/>
      <c r="O595" s="16"/>
      <c r="P595" s="167"/>
      <c r="S595" s="193"/>
      <c r="T595" s="193"/>
      <c r="AS595" s="125" t="s">
        <v>948</v>
      </c>
      <c r="CA595" s="33"/>
    </row>
    <row r="596" spans="3:79" s="13" customFormat="1" ht="26.25" customHeight="1">
      <c r="C596" s="136" t="s">
        <v>1253</v>
      </c>
      <c r="D596" s="15"/>
      <c r="F596" s="42"/>
      <c r="H596" s="15"/>
      <c r="I596" s="15"/>
      <c r="J596" s="15"/>
      <c r="K596" s="15"/>
      <c r="L596" s="17"/>
      <c r="M596" s="17"/>
      <c r="N596" s="17"/>
      <c r="O596" s="16"/>
      <c r="P596" s="167"/>
      <c r="S596" s="193"/>
      <c r="T596" s="193"/>
      <c r="AS596" s="125" t="s">
        <v>948</v>
      </c>
      <c r="CA596" s="33"/>
    </row>
    <row r="597" spans="3:79" s="13" customFormat="1" ht="26.25" customHeight="1">
      <c r="C597" s="136" t="s">
        <v>882</v>
      </c>
      <c r="D597" s="15"/>
      <c r="F597" s="42"/>
      <c r="H597" s="15"/>
      <c r="I597" s="15"/>
      <c r="J597" s="15"/>
      <c r="K597" s="15"/>
      <c r="L597" s="17"/>
      <c r="M597" s="17"/>
      <c r="N597" s="17"/>
      <c r="O597" s="16"/>
      <c r="P597" s="167"/>
      <c r="S597" s="193"/>
      <c r="T597" s="193"/>
      <c r="AS597" s="125" t="s">
        <v>948</v>
      </c>
      <c r="CA597" s="33"/>
    </row>
    <row r="598" spans="3:79" s="13" customFormat="1" ht="26.25" customHeight="1">
      <c r="C598" s="136" t="s">
        <v>897</v>
      </c>
      <c r="D598" s="15"/>
      <c r="F598" s="42"/>
      <c r="H598" s="15"/>
      <c r="I598" s="15"/>
      <c r="J598" s="15"/>
      <c r="K598" s="15"/>
      <c r="L598" s="17"/>
      <c r="M598" s="17"/>
      <c r="N598" s="17"/>
      <c r="O598" s="16"/>
      <c r="P598" s="167"/>
      <c r="S598" s="193"/>
      <c r="T598" s="193"/>
      <c r="AS598" s="125" t="s">
        <v>948</v>
      </c>
      <c r="CA598" s="33"/>
    </row>
    <row r="599" spans="3:79" s="13" customFormat="1" ht="26.25" customHeight="1">
      <c r="C599" s="136" t="s">
        <v>1254</v>
      </c>
      <c r="D599" s="15"/>
      <c r="F599" s="42"/>
      <c r="H599" s="15"/>
      <c r="I599" s="15"/>
      <c r="J599" s="15"/>
      <c r="K599" s="15"/>
      <c r="L599" s="17"/>
      <c r="M599" s="17"/>
      <c r="N599" s="17"/>
      <c r="O599" s="16"/>
      <c r="P599" s="167"/>
      <c r="S599" s="193"/>
      <c r="T599" s="193"/>
      <c r="AS599" s="125" t="s">
        <v>948</v>
      </c>
      <c r="CA599" s="33"/>
    </row>
    <row r="600" spans="3:79" s="13" customFormat="1" ht="26.25" customHeight="1">
      <c r="C600" s="136" t="s">
        <v>1255</v>
      </c>
      <c r="D600" s="15"/>
      <c r="F600" s="42"/>
      <c r="H600" s="15"/>
      <c r="I600" s="15"/>
      <c r="J600" s="15"/>
      <c r="K600" s="15"/>
      <c r="L600" s="17"/>
      <c r="M600" s="17"/>
      <c r="N600" s="17"/>
      <c r="O600" s="16"/>
      <c r="P600" s="167"/>
      <c r="S600" s="193"/>
      <c r="T600" s="193"/>
      <c r="AS600" s="125" t="s">
        <v>948</v>
      </c>
      <c r="CA600" s="33"/>
    </row>
    <row r="601" spans="3:79" s="13" customFormat="1" ht="26.25" customHeight="1">
      <c r="C601" s="136" t="s">
        <v>1256</v>
      </c>
      <c r="D601" s="15"/>
      <c r="F601" s="42"/>
      <c r="H601" s="15"/>
      <c r="I601" s="15"/>
      <c r="J601" s="15"/>
      <c r="K601" s="15"/>
      <c r="L601" s="17"/>
      <c r="M601" s="17"/>
      <c r="N601" s="17"/>
      <c r="O601" s="16"/>
      <c r="P601" s="167"/>
      <c r="S601" s="193"/>
      <c r="T601" s="193"/>
      <c r="AS601" s="125" t="s">
        <v>948</v>
      </c>
      <c r="CA601" s="33"/>
    </row>
    <row r="602" spans="3:79" s="13" customFormat="1" ht="26.25" customHeight="1">
      <c r="C602" s="136" t="s">
        <v>1257</v>
      </c>
      <c r="D602" s="15"/>
      <c r="F602" s="42"/>
      <c r="H602" s="15"/>
      <c r="I602" s="15"/>
      <c r="J602" s="15"/>
      <c r="K602" s="15"/>
      <c r="L602" s="17"/>
      <c r="M602" s="17"/>
      <c r="N602" s="17"/>
      <c r="O602" s="16"/>
      <c r="P602" s="167"/>
      <c r="S602" s="193"/>
      <c r="T602" s="193"/>
      <c r="AS602" s="125" t="s">
        <v>948</v>
      </c>
      <c r="CA602" s="33"/>
    </row>
    <row r="603" spans="3:79" s="13" customFormat="1" ht="26.25" customHeight="1">
      <c r="C603" s="136" t="s">
        <v>1258</v>
      </c>
      <c r="D603" s="15"/>
      <c r="F603" s="42"/>
      <c r="H603" s="15"/>
      <c r="I603" s="15"/>
      <c r="J603" s="15"/>
      <c r="K603" s="15"/>
      <c r="L603" s="17"/>
      <c r="M603" s="17"/>
      <c r="N603" s="17"/>
      <c r="O603" s="16"/>
      <c r="P603" s="167"/>
      <c r="S603" s="193"/>
      <c r="T603" s="193"/>
      <c r="AS603" s="125" t="s">
        <v>948</v>
      </c>
      <c r="CA603" s="33"/>
    </row>
    <row r="604" spans="3:79" s="13" customFormat="1" ht="26.25" customHeight="1">
      <c r="C604" s="136" t="s">
        <v>1259</v>
      </c>
      <c r="D604" s="15"/>
      <c r="F604" s="42"/>
      <c r="H604" s="15"/>
      <c r="I604" s="15"/>
      <c r="J604" s="15"/>
      <c r="K604" s="15"/>
      <c r="L604" s="17"/>
      <c r="M604" s="17"/>
      <c r="N604" s="17"/>
      <c r="O604" s="16"/>
      <c r="P604" s="167"/>
      <c r="S604" s="193"/>
      <c r="T604" s="193"/>
      <c r="AS604" s="125" t="s">
        <v>948</v>
      </c>
      <c r="AU604" s="160">
        <v>0</v>
      </c>
      <c r="CA604" s="33"/>
    </row>
    <row r="605" spans="3:79" s="13" customFormat="1" ht="36.75" customHeight="1">
      <c r="C605" s="136" t="s">
        <v>1260</v>
      </c>
      <c r="D605" s="15"/>
      <c r="F605" s="42"/>
      <c r="H605" s="15"/>
      <c r="I605" s="15"/>
      <c r="J605" s="15"/>
      <c r="K605" s="15"/>
      <c r="L605" s="17"/>
      <c r="M605" s="17"/>
      <c r="N605" s="17"/>
      <c r="O605" s="16"/>
      <c r="P605" s="167"/>
      <c r="S605" s="193"/>
      <c r="T605" s="193"/>
      <c r="AS605" s="125" t="s">
        <v>948</v>
      </c>
      <c r="CA605" s="146">
        <v>44596.676990740743</v>
      </c>
    </row>
    <row r="606" spans="3:79" s="13" customFormat="1" ht="26.25" customHeight="1">
      <c r="C606" s="136" t="s">
        <v>1261</v>
      </c>
      <c r="D606" s="15"/>
      <c r="F606" s="42"/>
      <c r="H606" s="15"/>
      <c r="I606" s="15"/>
      <c r="J606" s="15"/>
      <c r="K606" s="15"/>
      <c r="L606" s="17"/>
      <c r="M606" s="17"/>
      <c r="N606" s="17"/>
      <c r="O606" s="16"/>
      <c r="P606" s="167"/>
      <c r="S606" s="193"/>
      <c r="T606" s="193"/>
      <c r="AS606" s="125" t="s">
        <v>948</v>
      </c>
      <c r="CA606" s="33"/>
    </row>
    <row r="607" spans="3:79" s="13" customFormat="1" ht="26.25" customHeight="1">
      <c r="C607" s="136" t="s">
        <v>1262</v>
      </c>
      <c r="D607" s="15"/>
      <c r="F607" s="42"/>
      <c r="H607" s="15"/>
      <c r="I607" s="15"/>
      <c r="J607" s="15"/>
      <c r="K607" s="15"/>
      <c r="L607" s="17"/>
      <c r="M607" s="17"/>
      <c r="N607" s="17"/>
      <c r="O607" s="16"/>
      <c r="P607" s="167"/>
      <c r="S607" s="193"/>
      <c r="T607" s="193"/>
      <c r="AS607" s="125" t="s">
        <v>948</v>
      </c>
      <c r="CA607" s="33"/>
    </row>
    <row r="608" spans="3:79" s="13" customFormat="1" ht="26.25" customHeight="1">
      <c r="C608" s="136" t="s">
        <v>1263</v>
      </c>
      <c r="D608" s="15"/>
      <c r="F608" s="42"/>
      <c r="H608" s="15"/>
      <c r="I608" s="15"/>
      <c r="J608" s="15"/>
      <c r="K608" s="15"/>
      <c r="L608" s="17"/>
      <c r="M608" s="17"/>
      <c r="N608" s="17"/>
      <c r="O608" s="16"/>
      <c r="P608" s="167"/>
      <c r="S608" s="193"/>
      <c r="T608" s="193"/>
      <c r="AS608" s="125" t="s">
        <v>948</v>
      </c>
      <c r="CA608" s="33"/>
    </row>
    <row r="609" spans="3:79" s="13" customFormat="1" ht="26.25" customHeight="1">
      <c r="C609" s="136" t="s">
        <v>1264</v>
      </c>
      <c r="D609" s="15"/>
      <c r="F609" s="42"/>
      <c r="H609" s="15"/>
      <c r="I609" s="15"/>
      <c r="J609" s="15"/>
      <c r="K609" s="15"/>
      <c r="L609" s="17"/>
      <c r="M609" s="17"/>
      <c r="N609" s="17"/>
      <c r="O609" s="16"/>
      <c r="P609" s="167"/>
      <c r="S609" s="193"/>
      <c r="T609" s="193"/>
      <c r="AS609" s="125" t="s">
        <v>948</v>
      </c>
      <c r="CA609" s="33"/>
    </row>
    <row r="610" spans="3:79" s="13" customFormat="1" ht="26.25" customHeight="1">
      <c r="C610" s="136" t="s">
        <v>1265</v>
      </c>
      <c r="D610" s="15"/>
      <c r="F610" s="42"/>
      <c r="H610" s="15"/>
      <c r="I610" s="15"/>
      <c r="J610" s="15"/>
      <c r="K610" s="15"/>
      <c r="L610" s="17"/>
      <c r="M610" s="17"/>
      <c r="N610" s="17"/>
      <c r="O610" s="16"/>
      <c r="P610" s="167"/>
      <c r="S610" s="193"/>
      <c r="T610" s="193"/>
      <c r="AS610" s="125" t="s">
        <v>948</v>
      </c>
      <c r="CA610" s="33"/>
    </row>
    <row r="611" spans="3:79" s="13" customFormat="1" ht="26.25" customHeight="1">
      <c r="C611" s="136" t="s">
        <v>901</v>
      </c>
      <c r="D611" s="15"/>
      <c r="F611" s="42"/>
      <c r="H611" s="15"/>
      <c r="I611" s="15"/>
      <c r="J611" s="15"/>
      <c r="K611" s="15"/>
      <c r="L611" s="17"/>
      <c r="M611" s="17"/>
      <c r="N611" s="17"/>
      <c r="O611" s="16"/>
      <c r="P611" s="167"/>
      <c r="S611" s="193"/>
      <c r="T611" s="193"/>
      <c r="AS611" s="125" t="s">
        <v>948</v>
      </c>
      <c r="CA611" s="33"/>
    </row>
    <row r="612" spans="3:79" s="13" customFormat="1" ht="26.25" customHeight="1">
      <c r="C612" s="136" t="s">
        <v>1266</v>
      </c>
      <c r="D612" s="15"/>
      <c r="F612" s="42"/>
      <c r="H612" s="15"/>
      <c r="I612" s="15"/>
      <c r="J612" s="15"/>
      <c r="K612" s="15"/>
      <c r="L612" s="17"/>
      <c r="M612" s="17"/>
      <c r="N612" s="17"/>
      <c r="O612" s="16"/>
      <c r="P612" s="167"/>
      <c r="S612" s="193"/>
      <c r="T612" s="193"/>
      <c r="AS612" s="125" t="s">
        <v>948</v>
      </c>
      <c r="CA612" s="33"/>
    </row>
    <row r="613" spans="3:79" s="13" customFormat="1" ht="26.25" customHeight="1">
      <c r="C613" s="136" t="s">
        <v>1267</v>
      </c>
      <c r="D613" s="15"/>
      <c r="F613" s="42"/>
      <c r="H613" s="15"/>
      <c r="I613" s="15"/>
      <c r="J613" s="15"/>
      <c r="K613" s="15"/>
      <c r="L613" s="17"/>
      <c r="M613" s="17"/>
      <c r="N613" s="17"/>
      <c r="O613" s="16"/>
      <c r="P613" s="167"/>
      <c r="S613" s="193"/>
      <c r="T613" s="193"/>
      <c r="AS613" s="125" t="s">
        <v>948</v>
      </c>
      <c r="CA613" s="33"/>
    </row>
    <row r="614" spans="3:79" s="13" customFormat="1" ht="26.25" customHeight="1">
      <c r="C614" s="136" t="s">
        <v>902</v>
      </c>
      <c r="D614" s="15"/>
      <c r="F614" s="42"/>
      <c r="H614" s="15"/>
      <c r="I614" s="15"/>
      <c r="J614" s="15"/>
      <c r="K614" s="15"/>
      <c r="L614" s="17"/>
      <c r="M614" s="17"/>
      <c r="N614" s="17"/>
      <c r="O614" s="16"/>
      <c r="P614" s="167"/>
      <c r="S614" s="193"/>
      <c r="T614" s="193"/>
      <c r="AS614" s="125" t="s">
        <v>948</v>
      </c>
      <c r="CA614" s="33"/>
    </row>
    <row r="615" spans="3:79" s="13" customFormat="1" ht="26.25" customHeight="1">
      <c r="C615" s="136" t="s">
        <v>1268</v>
      </c>
      <c r="D615" s="15"/>
      <c r="F615" s="42"/>
      <c r="H615" s="15"/>
      <c r="I615" s="15"/>
      <c r="J615" s="15"/>
      <c r="K615" s="15"/>
      <c r="L615" s="17"/>
      <c r="M615" s="17"/>
      <c r="N615" s="17"/>
      <c r="O615" s="16"/>
      <c r="P615" s="167"/>
      <c r="S615" s="193"/>
      <c r="T615" s="193"/>
      <c r="AS615" s="125" t="s">
        <v>948</v>
      </c>
      <c r="CA615" s="33"/>
    </row>
    <row r="616" spans="3:79" s="13" customFormat="1" ht="26.25" customHeight="1">
      <c r="C616" s="136" t="s">
        <v>1269</v>
      </c>
      <c r="D616" s="15"/>
      <c r="F616" s="42"/>
      <c r="H616" s="15"/>
      <c r="I616" s="15"/>
      <c r="J616" s="15"/>
      <c r="K616" s="15"/>
      <c r="L616" s="17"/>
      <c r="M616" s="17"/>
      <c r="N616" s="17"/>
      <c r="O616" s="16"/>
      <c r="P616" s="167"/>
      <c r="S616" s="193"/>
      <c r="T616" s="193"/>
      <c r="AS616" s="125" t="s">
        <v>948</v>
      </c>
      <c r="CA616" s="33"/>
    </row>
    <row r="617" spans="3:79" s="13" customFormat="1" ht="26.25" customHeight="1">
      <c r="C617" s="136" t="s">
        <v>1270</v>
      </c>
      <c r="D617" s="15"/>
      <c r="F617" s="42"/>
      <c r="H617" s="15"/>
      <c r="I617" s="15"/>
      <c r="J617" s="15"/>
      <c r="K617" s="15"/>
      <c r="L617" s="17"/>
      <c r="M617" s="17"/>
      <c r="N617" s="17"/>
      <c r="O617" s="16"/>
      <c r="P617" s="167"/>
      <c r="S617" s="193"/>
      <c r="T617" s="193"/>
      <c r="AS617" s="125" t="s">
        <v>948</v>
      </c>
      <c r="CA617" s="33"/>
    </row>
    <row r="618" spans="3:79" s="13" customFormat="1" ht="26.25" customHeight="1">
      <c r="C618" s="136" t="s">
        <v>1271</v>
      </c>
      <c r="D618" s="15"/>
      <c r="F618" s="42"/>
      <c r="H618" s="15"/>
      <c r="I618" s="15"/>
      <c r="J618" s="15"/>
      <c r="K618" s="15"/>
      <c r="L618" s="17"/>
      <c r="M618" s="17"/>
      <c r="N618" s="17"/>
      <c r="O618" s="16"/>
      <c r="P618" s="167"/>
      <c r="S618" s="193"/>
      <c r="T618" s="193"/>
      <c r="AS618" s="125" t="s">
        <v>948</v>
      </c>
      <c r="CA618" s="33"/>
    </row>
    <row r="619" spans="3:79" s="13" customFormat="1" ht="26.25" customHeight="1">
      <c r="C619" s="136" t="s">
        <v>903</v>
      </c>
      <c r="D619" s="15"/>
      <c r="F619" s="42"/>
      <c r="H619" s="15"/>
      <c r="I619" s="15"/>
      <c r="J619" s="15"/>
      <c r="K619" s="15"/>
      <c r="L619" s="17"/>
      <c r="M619" s="17"/>
      <c r="N619" s="17"/>
      <c r="O619" s="16"/>
      <c r="P619" s="167"/>
      <c r="S619" s="193"/>
      <c r="T619" s="193"/>
      <c r="AS619" s="125" t="s">
        <v>948</v>
      </c>
      <c r="CA619" s="33"/>
    </row>
    <row r="620" spans="3:79" s="13" customFormat="1" ht="26.25" customHeight="1">
      <c r="C620" s="136" t="s">
        <v>1272</v>
      </c>
      <c r="D620" s="15"/>
      <c r="F620" s="42"/>
      <c r="H620" s="15"/>
      <c r="I620" s="15"/>
      <c r="J620" s="15"/>
      <c r="K620" s="15"/>
      <c r="L620" s="17"/>
      <c r="M620" s="17"/>
      <c r="N620" s="17"/>
      <c r="O620" s="16"/>
      <c r="P620" s="167"/>
      <c r="S620" s="193"/>
      <c r="T620" s="193"/>
      <c r="AS620" s="125" t="s">
        <v>948</v>
      </c>
      <c r="CA620" s="33"/>
    </row>
    <row r="621" spans="3:79" s="13" customFormat="1" ht="26.25" customHeight="1">
      <c r="C621" s="136" t="s">
        <v>904</v>
      </c>
      <c r="D621" s="15"/>
      <c r="F621" s="42"/>
      <c r="H621" s="15"/>
      <c r="I621" s="15"/>
      <c r="J621" s="15"/>
      <c r="K621" s="15"/>
      <c r="L621" s="17"/>
      <c r="M621" s="17"/>
      <c r="N621" s="17"/>
      <c r="O621" s="16"/>
      <c r="P621" s="167"/>
      <c r="S621" s="193"/>
      <c r="T621" s="193"/>
      <c r="AS621" s="125" t="s">
        <v>948</v>
      </c>
      <c r="CA621" s="33"/>
    </row>
    <row r="622" spans="3:79" s="13" customFormat="1" ht="26.25" customHeight="1">
      <c r="C622" s="136" t="s">
        <v>1273</v>
      </c>
      <c r="D622" s="15"/>
      <c r="F622" s="42"/>
      <c r="H622" s="15"/>
      <c r="I622" s="15"/>
      <c r="J622" s="15"/>
      <c r="K622" s="15"/>
      <c r="L622" s="17"/>
      <c r="M622" s="17"/>
      <c r="N622" s="17"/>
      <c r="O622" s="16"/>
      <c r="P622" s="167"/>
      <c r="S622" s="193"/>
      <c r="T622" s="193"/>
      <c r="AS622" s="125" t="s">
        <v>948</v>
      </c>
      <c r="CA622" s="33"/>
    </row>
    <row r="623" spans="3:79" s="13" customFormat="1" ht="26.25" customHeight="1">
      <c r="C623" s="136" t="s">
        <v>1274</v>
      </c>
      <c r="D623" s="15"/>
      <c r="F623" s="42"/>
      <c r="H623" s="15"/>
      <c r="I623" s="15"/>
      <c r="J623" s="15"/>
      <c r="K623" s="15"/>
      <c r="L623" s="17"/>
      <c r="M623" s="17"/>
      <c r="N623" s="17"/>
      <c r="O623" s="16"/>
      <c r="P623" s="167"/>
      <c r="S623" s="193"/>
      <c r="T623" s="193"/>
      <c r="AS623" s="125" t="s">
        <v>948</v>
      </c>
      <c r="CA623" s="33"/>
    </row>
    <row r="624" spans="3:79" s="13" customFormat="1" ht="26.25" customHeight="1">
      <c r="C624" s="136" t="s">
        <v>1276</v>
      </c>
      <c r="D624" s="15"/>
      <c r="F624" s="42"/>
      <c r="H624" s="15"/>
      <c r="I624" s="15"/>
      <c r="J624" s="15"/>
      <c r="K624" s="15"/>
      <c r="L624" s="17"/>
      <c r="M624" s="17"/>
      <c r="N624" s="17"/>
      <c r="O624" s="16"/>
      <c r="P624" s="167"/>
      <c r="S624" s="193"/>
      <c r="T624" s="193"/>
      <c r="AS624" s="125" t="s">
        <v>948</v>
      </c>
      <c r="CA624" s="33"/>
    </row>
    <row r="625" spans="3:79" s="13" customFormat="1" ht="26.25" customHeight="1">
      <c r="C625" s="136" t="s">
        <v>1279</v>
      </c>
      <c r="D625" s="15"/>
      <c r="F625" s="42"/>
      <c r="H625" s="15"/>
      <c r="I625" s="15"/>
      <c r="J625" s="15"/>
      <c r="K625" s="15"/>
      <c r="L625" s="17"/>
      <c r="M625" s="17"/>
      <c r="N625" s="17"/>
      <c r="O625" s="16"/>
      <c r="P625" s="167"/>
      <c r="S625" s="193"/>
      <c r="T625" s="193"/>
      <c r="AS625" s="125" t="s">
        <v>948</v>
      </c>
      <c r="CA625" s="146">
        <v>44604.626631944448</v>
      </c>
    </row>
    <row r="626" spans="3:79" s="13" customFormat="1" ht="26.25" customHeight="1">
      <c r="C626" s="136" t="s">
        <v>1280</v>
      </c>
      <c r="D626" s="15"/>
      <c r="F626" s="42"/>
      <c r="H626" s="15"/>
      <c r="I626" s="15"/>
      <c r="J626" s="15"/>
      <c r="K626" s="15"/>
      <c r="L626" s="17"/>
      <c r="M626" s="17"/>
      <c r="N626" s="17"/>
      <c r="O626" s="16"/>
      <c r="P626" s="167"/>
      <c r="S626" s="193"/>
      <c r="T626" s="193"/>
      <c r="AS626" s="125" t="s">
        <v>948</v>
      </c>
      <c r="CA626" s="33"/>
    </row>
    <row r="627" spans="3:79" s="13" customFormat="1" ht="26.25" customHeight="1">
      <c r="C627" s="136" t="s">
        <v>906</v>
      </c>
      <c r="D627" s="15"/>
      <c r="F627" s="42"/>
      <c r="H627" s="15"/>
      <c r="I627" s="15"/>
      <c r="J627" s="15"/>
      <c r="K627" s="15"/>
      <c r="L627" s="17"/>
      <c r="M627" s="17"/>
      <c r="N627" s="17"/>
      <c r="O627" s="16"/>
      <c r="P627" s="167"/>
      <c r="S627" s="193"/>
      <c r="T627" s="193"/>
      <c r="AS627" s="125" t="s">
        <v>948</v>
      </c>
      <c r="CA627" s="33"/>
    </row>
    <row r="628" spans="3:79" s="13" customFormat="1" ht="26.25" customHeight="1">
      <c r="C628" s="136" t="s">
        <v>1021</v>
      </c>
      <c r="D628" s="15"/>
      <c r="F628" s="42"/>
      <c r="H628" s="15"/>
      <c r="I628" s="15"/>
      <c r="J628" s="15"/>
      <c r="K628" s="15"/>
      <c r="L628" s="17"/>
      <c r="M628" s="17"/>
      <c r="N628" s="17"/>
      <c r="O628" s="16"/>
      <c r="P628" s="167"/>
      <c r="S628" s="193"/>
      <c r="T628" s="193"/>
      <c r="AS628" s="125" t="s">
        <v>948</v>
      </c>
      <c r="CA628" s="33"/>
    </row>
    <row r="629" spans="3:79" s="13" customFormat="1" ht="26.25" customHeight="1">
      <c r="C629" s="136" t="s">
        <v>1281</v>
      </c>
      <c r="D629" s="15"/>
      <c r="F629" s="42"/>
      <c r="H629" s="15"/>
      <c r="I629" s="15"/>
      <c r="J629" s="15"/>
      <c r="K629" s="15"/>
      <c r="L629" s="17"/>
      <c r="M629" s="17"/>
      <c r="N629" s="17"/>
      <c r="O629" s="16"/>
      <c r="P629" s="167"/>
      <c r="S629" s="193"/>
      <c r="T629" s="193"/>
      <c r="AS629" s="125" t="s">
        <v>948</v>
      </c>
      <c r="CA629" s="33"/>
    </row>
    <row r="630" spans="3:79" s="13" customFormat="1" ht="26.25" customHeight="1">
      <c r="C630" s="136" t="s">
        <v>1282</v>
      </c>
      <c r="D630" s="15"/>
      <c r="F630" s="42"/>
      <c r="H630" s="15"/>
      <c r="I630" s="15"/>
      <c r="J630" s="15"/>
      <c r="K630" s="15"/>
      <c r="L630" s="17"/>
      <c r="M630" s="17"/>
      <c r="N630" s="17"/>
      <c r="O630" s="16"/>
      <c r="P630" s="167"/>
      <c r="S630" s="193"/>
      <c r="T630" s="193"/>
      <c r="AS630" s="125" t="s">
        <v>948</v>
      </c>
      <c r="CA630" s="33"/>
    </row>
    <row r="631" spans="3:79" s="13" customFormat="1" ht="26.25" customHeight="1">
      <c r="C631" s="136" t="s">
        <v>1283</v>
      </c>
      <c r="D631" s="15"/>
      <c r="F631" s="42"/>
      <c r="H631" s="15"/>
      <c r="I631" s="15"/>
      <c r="J631" s="15"/>
      <c r="K631" s="15"/>
      <c r="L631" s="17"/>
      <c r="M631" s="17"/>
      <c r="N631" s="17"/>
      <c r="O631" s="16"/>
      <c r="P631" s="167"/>
      <c r="S631" s="193"/>
      <c r="T631" s="193"/>
      <c r="AS631" s="125" t="s">
        <v>948</v>
      </c>
      <c r="CA631" s="33"/>
    </row>
    <row r="632" spans="3:79" s="13" customFormat="1" ht="26.25" customHeight="1">
      <c r="C632" s="136" t="s">
        <v>1284</v>
      </c>
      <c r="D632" s="15"/>
      <c r="F632" s="42"/>
      <c r="H632" s="15"/>
      <c r="I632" s="15"/>
      <c r="J632" s="15"/>
      <c r="K632" s="15"/>
      <c r="L632" s="17"/>
      <c r="M632" s="17"/>
      <c r="N632" s="17"/>
      <c r="O632" s="16"/>
      <c r="P632" s="167"/>
      <c r="S632" s="193"/>
      <c r="T632" s="193"/>
      <c r="AS632" s="125" t="s">
        <v>948</v>
      </c>
      <c r="CA632" s="33"/>
    </row>
    <row r="633" spans="3:79" s="13" customFormat="1" ht="26.25" customHeight="1">
      <c r="C633" s="136" t="s">
        <v>908</v>
      </c>
      <c r="D633" s="15"/>
      <c r="F633" s="42"/>
      <c r="H633" s="15"/>
      <c r="I633" s="15"/>
      <c r="J633" s="15"/>
      <c r="K633" s="15"/>
      <c r="L633" s="17"/>
      <c r="M633" s="17"/>
      <c r="N633" s="17"/>
      <c r="O633" s="16"/>
      <c r="P633" s="167"/>
      <c r="S633" s="193"/>
      <c r="T633" s="193"/>
      <c r="AS633" s="125" t="s">
        <v>948</v>
      </c>
      <c r="CA633" s="33"/>
    </row>
    <row r="634" spans="3:79" s="13" customFormat="1" ht="26.25" customHeight="1">
      <c r="C634" s="136" t="s">
        <v>909</v>
      </c>
      <c r="D634" s="15"/>
      <c r="F634" s="42"/>
      <c r="H634" s="15"/>
      <c r="I634" s="15"/>
      <c r="J634" s="15"/>
      <c r="K634" s="15"/>
      <c r="L634" s="17"/>
      <c r="M634" s="17"/>
      <c r="N634" s="17"/>
      <c r="O634" s="16"/>
      <c r="P634" s="167"/>
      <c r="S634" s="193"/>
      <c r="T634" s="193"/>
      <c r="AS634" s="125" t="s">
        <v>948</v>
      </c>
      <c r="CA634" s="33"/>
    </row>
    <row r="635" spans="3:79" s="13" customFormat="1" ht="26.25" customHeight="1">
      <c r="C635" s="136" t="s">
        <v>1285</v>
      </c>
      <c r="D635" s="15"/>
      <c r="F635" s="42"/>
      <c r="H635" s="15"/>
      <c r="I635" s="15"/>
      <c r="J635" s="15"/>
      <c r="K635" s="15"/>
      <c r="L635" s="17"/>
      <c r="M635" s="17"/>
      <c r="N635" s="17"/>
      <c r="O635" s="16"/>
      <c r="P635" s="167"/>
      <c r="S635" s="193"/>
      <c r="T635" s="193"/>
      <c r="AS635" s="125" t="s">
        <v>948</v>
      </c>
      <c r="CA635" s="33"/>
    </row>
    <row r="636" spans="3:79" s="13" customFormat="1" ht="26.25" customHeight="1">
      <c r="C636" s="136" t="s">
        <v>1286</v>
      </c>
      <c r="D636" s="15"/>
      <c r="F636" s="42"/>
      <c r="H636" s="15"/>
      <c r="I636" s="15"/>
      <c r="J636" s="15"/>
      <c r="K636" s="15"/>
      <c r="L636" s="17"/>
      <c r="M636" s="17"/>
      <c r="N636" s="17"/>
      <c r="O636" s="16"/>
      <c r="P636" s="167"/>
      <c r="S636" s="193"/>
      <c r="T636" s="193"/>
      <c r="AS636" s="125" t="s">
        <v>948</v>
      </c>
      <c r="CA636" s="33"/>
    </row>
    <row r="637" spans="3:79" s="13" customFormat="1" ht="26.25" customHeight="1">
      <c r="C637" s="136" t="s">
        <v>1287</v>
      </c>
      <c r="D637" s="15"/>
      <c r="F637" s="42"/>
      <c r="H637" s="15"/>
      <c r="I637" s="15"/>
      <c r="J637" s="15"/>
      <c r="K637" s="15"/>
      <c r="L637" s="17"/>
      <c r="M637" s="17"/>
      <c r="N637" s="17"/>
      <c r="O637" s="16"/>
      <c r="P637" s="167"/>
      <c r="S637" s="193"/>
      <c r="T637" s="193"/>
      <c r="AS637" s="125" t="s">
        <v>948</v>
      </c>
      <c r="CA637" s="33"/>
    </row>
    <row r="638" spans="3:79" s="13" customFormat="1" ht="26.25" customHeight="1">
      <c r="C638" s="136" t="s">
        <v>910</v>
      </c>
      <c r="D638" s="15"/>
      <c r="F638" s="42"/>
      <c r="H638" s="15"/>
      <c r="I638" s="15"/>
      <c r="J638" s="15"/>
      <c r="K638" s="15"/>
      <c r="L638" s="17"/>
      <c r="M638" s="17"/>
      <c r="N638" s="17"/>
      <c r="O638" s="16"/>
      <c r="P638" s="167"/>
      <c r="S638" s="193"/>
      <c r="T638" s="193"/>
      <c r="AS638" s="125" t="s">
        <v>948</v>
      </c>
      <c r="CA638" s="33"/>
    </row>
    <row r="639" spans="3:79" s="13" customFormat="1" ht="26.25" customHeight="1">
      <c r="C639" s="136" t="s">
        <v>911</v>
      </c>
      <c r="D639" s="15"/>
      <c r="F639" s="42"/>
      <c r="H639" s="15"/>
      <c r="I639" s="15"/>
      <c r="J639" s="15"/>
      <c r="K639" s="15"/>
      <c r="L639" s="17"/>
      <c r="M639" s="17"/>
      <c r="N639" s="17"/>
      <c r="O639" s="16"/>
      <c r="P639" s="167"/>
      <c r="S639" s="193"/>
      <c r="T639" s="193"/>
      <c r="AS639" s="125" t="s">
        <v>948</v>
      </c>
      <c r="CA639" s="33"/>
    </row>
    <row r="640" spans="3:79" s="13" customFormat="1" ht="26.25" customHeight="1">
      <c r="C640" s="136" t="s">
        <v>1288</v>
      </c>
      <c r="D640" s="15"/>
      <c r="F640" s="42"/>
      <c r="H640" s="15"/>
      <c r="I640" s="15"/>
      <c r="J640" s="15"/>
      <c r="K640" s="15"/>
      <c r="L640" s="17"/>
      <c r="M640" s="17"/>
      <c r="N640" s="17"/>
      <c r="O640" s="16"/>
      <c r="P640" s="167"/>
      <c r="S640" s="193"/>
      <c r="T640" s="193"/>
      <c r="AS640" s="125" t="s">
        <v>948</v>
      </c>
      <c r="CA640" s="33"/>
    </row>
    <row r="641" spans="3:79" s="13" customFormat="1" ht="26.25" customHeight="1">
      <c r="C641" s="136" t="s">
        <v>1289</v>
      </c>
      <c r="D641" s="15"/>
      <c r="F641" s="42"/>
      <c r="H641" s="15"/>
      <c r="I641" s="15"/>
      <c r="J641" s="15"/>
      <c r="K641" s="15"/>
      <c r="L641" s="17"/>
      <c r="M641" s="17"/>
      <c r="N641" s="17"/>
      <c r="O641" s="16"/>
      <c r="P641" s="167"/>
      <c r="S641" s="193"/>
      <c r="T641" s="193"/>
      <c r="AS641" s="125" t="s">
        <v>948</v>
      </c>
      <c r="CA641" s="33"/>
    </row>
    <row r="642" spans="3:79" s="13" customFormat="1" ht="26.25" customHeight="1">
      <c r="C642" s="136" t="s">
        <v>1290</v>
      </c>
      <c r="D642" s="15"/>
      <c r="F642" s="42"/>
      <c r="H642" s="15"/>
      <c r="I642" s="15"/>
      <c r="J642" s="15"/>
      <c r="K642" s="15"/>
      <c r="L642" s="17"/>
      <c r="M642" s="17"/>
      <c r="N642" s="17"/>
      <c r="O642" s="16"/>
      <c r="P642" s="167"/>
      <c r="S642" s="193"/>
      <c r="T642" s="193"/>
      <c r="AS642" s="125" t="s">
        <v>948</v>
      </c>
      <c r="CA642" s="33"/>
    </row>
    <row r="643" spans="3:79" s="13" customFormat="1" ht="26.25" customHeight="1">
      <c r="C643" s="136" t="s">
        <v>1292</v>
      </c>
      <c r="D643" s="15"/>
      <c r="F643" s="42"/>
      <c r="H643" s="15"/>
      <c r="I643" s="15"/>
      <c r="J643" s="15"/>
      <c r="K643" s="15"/>
      <c r="L643" s="17"/>
      <c r="M643" s="17"/>
      <c r="N643" s="17"/>
      <c r="O643" s="16"/>
      <c r="P643" s="167"/>
      <c r="S643" s="193"/>
      <c r="T643" s="193"/>
      <c r="AS643" s="125" t="s">
        <v>948</v>
      </c>
      <c r="CA643" s="33"/>
    </row>
    <row r="644" spans="3:79" s="13" customFormat="1" ht="26.25" customHeight="1">
      <c r="C644" s="136" t="s">
        <v>1293</v>
      </c>
      <c r="D644" s="15"/>
      <c r="F644" s="42"/>
      <c r="H644" s="15"/>
      <c r="I644" s="15"/>
      <c r="J644" s="15"/>
      <c r="K644" s="15"/>
      <c r="L644" s="17"/>
      <c r="M644" s="17"/>
      <c r="N644" s="17"/>
      <c r="O644" s="16"/>
      <c r="P644" s="167"/>
      <c r="S644" s="193"/>
      <c r="T644" s="193"/>
      <c r="AS644" s="125" t="s">
        <v>948</v>
      </c>
      <c r="CA644" s="33"/>
    </row>
    <row r="645" spans="3:79" s="13" customFormat="1" ht="26.25" customHeight="1">
      <c r="C645" s="136" t="s">
        <v>1294</v>
      </c>
      <c r="D645" s="15"/>
      <c r="F645" s="42"/>
      <c r="H645" s="15"/>
      <c r="I645" s="15"/>
      <c r="J645" s="15"/>
      <c r="K645" s="15"/>
      <c r="L645" s="17"/>
      <c r="M645" s="17"/>
      <c r="N645" s="17"/>
      <c r="O645" s="16"/>
      <c r="P645" s="167"/>
      <c r="S645" s="193"/>
      <c r="T645" s="193"/>
      <c r="AS645" s="125" t="s">
        <v>948</v>
      </c>
      <c r="CA645" s="33"/>
    </row>
    <row r="646" spans="3:79" s="13" customFormat="1" ht="26.25" customHeight="1">
      <c r="C646" s="136" t="s">
        <v>913</v>
      </c>
      <c r="D646" s="15"/>
      <c r="F646" s="42"/>
      <c r="H646" s="15"/>
      <c r="I646" s="15"/>
      <c r="J646" s="15"/>
      <c r="K646" s="15"/>
      <c r="L646" s="17"/>
      <c r="M646" s="17"/>
      <c r="N646" s="17"/>
      <c r="O646" s="16"/>
      <c r="P646" s="167"/>
      <c r="S646" s="193"/>
      <c r="T646" s="193"/>
      <c r="AS646" s="125" t="s">
        <v>948</v>
      </c>
      <c r="CA646" s="33"/>
    </row>
    <row r="647" spans="3:79" s="13" customFormat="1" ht="26.25" customHeight="1">
      <c r="C647" s="136" t="s">
        <v>1295</v>
      </c>
      <c r="D647" s="15"/>
      <c r="F647" s="42"/>
      <c r="H647" s="15"/>
      <c r="I647" s="15"/>
      <c r="J647" s="15"/>
      <c r="K647" s="15"/>
      <c r="L647" s="17"/>
      <c r="M647" s="17"/>
      <c r="N647" s="17"/>
      <c r="O647" s="16"/>
      <c r="P647" s="167"/>
      <c r="S647" s="193"/>
      <c r="T647" s="193"/>
      <c r="AS647" s="125" t="s">
        <v>948</v>
      </c>
      <c r="CA647" s="33"/>
    </row>
    <row r="648" spans="3:79" s="13" customFormat="1" ht="26.25" customHeight="1">
      <c r="C648" s="136" t="s">
        <v>914</v>
      </c>
      <c r="D648" s="15"/>
      <c r="F648" s="42"/>
      <c r="H648" s="15"/>
      <c r="I648" s="15"/>
      <c r="J648" s="15"/>
      <c r="K648" s="15"/>
      <c r="L648" s="17"/>
      <c r="M648" s="17"/>
      <c r="N648" s="17"/>
      <c r="O648" s="16"/>
      <c r="P648" s="167"/>
      <c r="S648" s="193"/>
      <c r="T648" s="193"/>
      <c r="AS648" s="125" t="s">
        <v>948</v>
      </c>
      <c r="CA648" s="33"/>
    </row>
    <row r="649" spans="3:79" s="13" customFormat="1" ht="26.25" customHeight="1">
      <c r="C649" s="136" t="s">
        <v>1297</v>
      </c>
      <c r="D649" s="15"/>
      <c r="F649" s="42"/>
      <c r="H649" s="15"/>
      <c r="I649" s="15"/>
      <c r="J649" s="15"/>
      <c r="K649" s="15"/>
      <c r="L649" s="17"/>
      <c r="M649" s="17"/>
      <c r="N649" s="17"/>
      <c r="O649" s="16"/>
      <c r="P649" s="167"/>
      <c r="S649" s="193"/>
      <c r="T649" s="193"/>
      <c r="AS649" s="125" t="s">
        <v>948</v>
      </c>
      <c r="CA649" s="33"/>
    </row>
    <row r="650" spans="3:79" s="13" customFormat="1" ht="26.25" customHeight="1">
      <c r="C650" s="136" t="s">
        <v>1298</v>
      </c>
      <c r="D650" s="15"/>
      <c r="F650" s="42"/>
      <c r="H650" s="15"/>
      <c r="I650" s="15"/>
      <c r="J650" s="15"/>
      <c r="K650" s="15"/>
      <c r="L650" s="17"/>
      <c r="M650" s="17"/>
      <c r="N650" s="17"/>
      <c r="O650" s="16"/>
      <c r="P650" s="167"/>
      <c r="S650" s="193"/>
      <c r="T650" s="193"/>
      <c r="AS650" s="125" t="s">
        <v>948</v>
      </c>
      <c r="CA650" s="33"/>
    </row>
    <row r="651" spans="3:79" s="13" customFormat="1" ht="26.25" customHeight="1">
      <c r="C651" s="136" t="s">
        <v>1299</v>
      </c>
      <c r="D651" s="15"/>
      <c r="F651" s="42"/>
      <c r="H651" s="15"/>
      <c r="I651" s="15"/>
      <c r="J651" s="15"/>
      <c r="K651" s="15"/>
      <c r="L651" s="17"/>
      <c r="M651" s="17"/>
      <c r="N651" s="17"/>
      <c r="O651" s="16"/>
      <c r="P651" s="167"/>
      <c r="S651" s="193"/>
      <c r="T651" s="193"/>
      <c r="AS651" s="125" t="s">
        <v>948</v>
      </c>
      <c r="CA651" s="33"/>
    </row>
    <row r="652" spans="3:79" s="13" customFormat="1" ht="26.25" customHeight="1">
      <c r="C652" s="136" t="s">
        <v>1300</v>
      </c>
      <c r="D652" s="15"/>
      <c r="F652" s="42"/>
      <c r="H652" s="15"/>
      <c r="I652" s="15"/>
      <c r="J652" s="15"/>
      <c r="K652" s="15"/>
      <c r="L652" s="17"/>
      <c r="M652" s="17"/>
      <c r="N652" s="17"/>
      <c r="O652" s="16"/>
      <c r="P652" s="167"/>
      <c r="S652" s="193"/>
      <c r="T652" s="193"/>
      <c r="AS652" s="125" t="s">
        <v>948</v>
      </c>
      <c r="CA652" s="33"/>
    </row>
    <row r="653" spans="3:79" s="13" customFormat="1" ht="26.25" customHeight="1">
      <c r="C653" s="136" t="s">
        <v>1301</v>
      </c>
      <c r="D653" s="15"/>
      <c r="F653" s="42"/>
      <c r="H653" s="15"/>
      <c r="I653" s="15"/>
      <c r="J653" s="15"/>
      <c r="K653" s="15"/>
      <c r="L653" s="17"/>
      <c r="M653" s="17"/>
      <c r="N653" s="17"/>
      <c r="O653" s="16"/>
      <c r="P653" s="167"/>
      <c r="S653" s="193"/>
      <c r="T653" s="193"/>
      <c r="AS653" s="125" t="s">
        <v>948</v>
      </c>
      <c r="CA653" s="33"/>
    </row>
    <row r="654" spans="3:79" s="13" customFormat="1" ht="26.25" customHeight="1">
      <c r="C654" s="136" t="s">
        <v>1302</v>
      </c>
      <c r="D654" s="15"/>
      <c r="F654" s="42"/>
      <c r="H654" s="15"/>
      <c r="I654" s="15"/>
      <c r="J654" s="15"/>
      <c r="K654" s="15"/>
      <c r="L654" s="17"/>
      <c r="M654" s="17"/>
      <c r="N654" s="17"/>
      <c r="O654" s="16"/>
      <c r="P654" s="167"/>
      <c r="S654" s="193"/>
      <c r="T654" s="193"/>
      <c r="AS654" s="125" t="s">
        <v>948</v>
      </c>
      <c r="CA654" s="33"/>
    </row>
    <row r="655" spans="3:79" s="13" customFormat="1" ht="26.25" customHeight="1">
      <c r="C655" s="136" t="s">
        <v>1303</v>
      </c>
      <c r="D655" s="15"/>
      <c r="F655" s="42"/>
      <c r="H655" s="15"/>
      <c r="I655" s="15"/>
      <c r="J655" s="15"/>
      <c r="K655" s="15"/>
      <c r="L655" s="17"/>
      <c r="M655" s="17"/>
      <c r="N655" s="17"/>
      <c r="O655" s="16"/>
      <c r="P655" s="167"/>
      <c r="S655" s="193"/>
      <c r="T655" s="193"/>
      <c r="AS655" s="125" t="s">
        <v>948</v>
      </c>
      <c r="CA655" s="33"/>
    </row>
    <row r="656" spans="3:79" s="13" customFormat="1" ht="26.25" customHeight="1">
      <c r="C656" s="136" t="s">
        <v>1304</v>
      </c>
      <c r="D656" s="15"/>
      <c r="F656" s="42"/>
      <c r="H656" s="15"/>
      <c r="I656" s="15"/>
      <c r="J656" s="15"/>
      <c r="K656" s="15"/>
      <c r="L656" s="17"/>
      <c r="M656" s="17"/>
      <c r="N656" s="17"/>
      <c r="O656" s="16"/>
      <c r="P656" s="167"/>
      <c r="S656" s="193"/>
      <c r="T656" s="193"/>
      <c r="AS656" s="125" t="s">
        <v>948</v>
      </c>
      <c r="CA656" s="33"/>
    </row>
    <row r="657" spans="3:79" s="13" customFormat="1" ht="26.25" customHeight="1">
      <c r="C657" s="136" t="s">
        <v>1025</v>
      </c>
      <c r="D657" s="15"/>
      <c r="F657" s="42"/>
      <c r="H657" s="15"/>
      <c r="I657" s="15"/>
      <c r="J657" s="15"/>
      <c r="K657" s="15"/>
      <c r="L657" s="17"/>
      <c r="M657" s="17"/>
      <c r="N657" s="17"/>
      <c r="O657" s="16"/>
      <c r="P657" s="167"/>
      <c r="S657" s="193"/>
      <c r="T657" s="193"/>
      <c r="AS657" s="125" t="s">
        <v>948</v>
      </c>
      <c r="CA657" s="33"/>
    </row>
    <row r="658" spans="3:79" s="13" customFormat="1" ht="26.25" customHeight="1">
      <c r="C658" s="136" t="s">
        <v>1307</v>
      </c>
      <c r="D658" s="15"/>
      <c r="F658" s="42"/>
      <c r="H658" s="15"/>
      <c r="I658" s="15"/>
      <c r="J658" s="15"/>
      <c r="K658" s="15"/>
      <c r="L658" s="17"/>
      <c r="M658" s="17"/>
      <c r="N658" s="17"/>
      <c r="O658" s="16"/>
      <c r="P658" s="167"/>
      <c r="S658" s="193"/>
      <c r="T658" s="193"/>
      <c r="AS658" s="125" t="s">
        <v>948</v>
      </c>
      <c r="CA658" s="33"/>
    </row>
    <row r="659" spans="3:79" s="13" customFormat="1" ht="26.25" customHeight="1">
      <c r="C659" s="136" t="s">
        <v>1309</v>
      </c>
      <c r="D659" s="15"/>
      <c r="F659" s="42"/>
      <c r="H659" s="15"/>
      <c r="I659" s="15"/>
      <c r="J659" s="15"/>
      <c r="K659" s="15"/>
      <c r="L659" s="17"/>
      <c r="M659" s="17"/>
      <c r="N659" s="17"/>
      <c r="O659" s="16"/>
      <c r="P659" s="167"/>
      <c r="S659" s="193"/>
      <c r="T659" s="193"/>
      <c r="AS659" s="125" t="s">
        <v>948</v>
      </c>
      <c r="CA659" s="33"/>
    </row>
    <row r="660" spans="3:79" s="13" customFormat="1" ht="26.25" customHeight="1">
      <c r="C660" s="136" t="s">
        <v>1310</v>
      </c>
      <c r="D660" s="15"/>
      <c r="F660" s="42"/>
      <c r="H660" s="15"/>
      <c r="I660" s="15"/>
      <c r="J660" s="15"/>
      <c r="K660" s="15"/>
      <c r="L660" s="17"/>
      <c r="M660" s="17"/>
      <c r="N660" s="17"/>
      <c r="O660" s="16"/>
      <c r="P660" s="167"/>
      <c r="S660" s="193"/>
      <c r="T660" s="193"/>
      <c r="AS660" s="125" t="s">
        <v>948</v>
      </c>
      <c r="CA660" s="33"/>
    </row>
    <row r="661" spans="3:79" s="13" customFormat="1" ht="26.25" customHeight="1">
      <c r="C661" s="136" t="s">
        <v>1311</v>
      </c>
      <c r="D661" s="15"/>
      <c r="F661" s="42"/>
      <c r="H661" s="15"/>
      <c r="I661" s="15"/>
      <c r="J661" s="15"/>
      <c r="K661" s="15"/>
      <c r="L661" s="17"/>
      <c r="M661" s="17"/>
      <c r="N661" s="17"/>
      <c r="O661" s="16"/>
      <c r="P661" s="167"/>
      <c r="S661" s="193"/>
      <c r="T661" s="193"/>
      <c r="AS661" s="125" t="s">
        <v>948</v>
      </c>
      <c r="CA661" s="33"/>
    </row>
    <row r="662" spans="3:79" s="13" customFormat="1" ht="26.25" customHeight="1">
      <c r="C662" s="136" t="s">
        <v>1312</v>
      </c>
      <c r="D662" s="15"/>
      <c r="F662" s="42"/>
      <c r="H662" s="15"/>
      <c r="I662" s="15"/>
      <c r="J662" s="15"/>
      <c r="K662" s="15"/>
      <c r="L662" s="17"/>
      <c r="M662" s="17"/>
      <c r="N662" s="17"/>
      <c r="O662" s="16"/>
      <c r="P662" s="167"/>
      <c r="S662" s="193"/>
      <c r="T662" s="193"/>
      <c r="AS662" s="125" t="s">
        <v>948</v>
      </c>
      <c r="CA662" s="33"/>
    </row>
    <row r="663" spans="3:79" s="13" customFormat="1" ht="26.25" customHeight="1">
      <c r="C663" s="136" t="s">
        <v>1313</v>
      </c>
      <c r="D663" s="15"/>
      <c r="F663" s="42"/>
      <c r="H663" s="15"/>
      <c r="I663" s="15"/>
      <c r="J663" s="15"/>
      <c r="K663" s="15"/>
      <c r="L663" s="17"/>
      <c r="M663" s="17"/>
      <c r="N663" s="17"/>
      <c r="O663" s="16"/>
      <c r="P663" s="167"/>
      <c r="S663" s="193"/>
      <c r="T663" s="193"/>
      <c r="AS663" s="125" t="s">
        <v>948</v>
      </c>
      <c r="CA663" s="33"/>
    </row>
    <row r="664" spans="3:79" s="13" customFormat="1" ht="26.25" customHeight="1">
      <c r="C664" s="136" t="s">
        <v>1314</v>
      </c>
      <c r="D664" s="15"/>
      <c r="F664" s="42"/>
      <c r="H664" s="15"/>
      <c r="I664" s="15"/>
      <c r="J664" s="15"/>
      <c r="K664" s="15"/>
      <c r="L664" s="17"/>
      <c r="M664" s="17"/>
      <c r="N664" s="17"/>
      <c r="O664" s="16"/>
      <c r="P664" s="167"/>
      <c r="S664" s="193"/>
      <c r="T664" s="193"/>
      <c r="AS664" s="125" t="s">
        <v>948</v>
      </c>
      <c r="CA664" s="33"/>
    </row>
    <row r="665" spans="3:79" s="13" customFormat="1" ht="26.25" customHeight="1">
      <c r="C665" s="136" t="s">
        <v>1315</v>
      </c>
      <c r="D665" s="15"/>
      <c r="F665" s="42"/>
      <c r="H665" s="15"/>
      <c r="I665" s="15"/>
      <c r="J665" s="15"/>
      <c r="K665" s="15"/>
      <c r="L665" s="17"/>
      <c r="M665" s="17"/>
      <c r="N665" s="17"/>
      <c r="O665" s="16"/>
      <c r="P665" s="167"/>
      <c r="S665" s="193"/>
      <c r="T665" s="193"/>
      <c r="AS665" s="125" t="s">
        <v>948</v>
      </c>
      <c r="CA665" s="33"/>
    </row>
    <row r="666" spans="3:79" s="13" customFormat="1" ht="26.25" customHeight="1">
      <c r="C666" s="136" t="s">
        <v>1316</v>
      </c>
      <c r="D666" s="15"/>
      <c r="F666" s="42"/>
      <c r="H666" s="15"/>
      <c r="I666" s="15"/>
      <c r="J666" s="15"/>
      <c r="K666" s="15"/>
      <c r="L666" s="17"/>
      <c r="M666" s="17"/>
      <c r="N666" s="17"/>
      <c r="O666" s="16"/>
      <c r="P666" s="167"/>
      <c r="S666" s="193"/>
      <c r="T666" s="193"/>
      <c r="AS666" s="125" t="s">
        <v>948</v>
      </c>
      <c r="CA666" s="33"/>
    </row>
    <row r="667" spans="3:79" s="13" customFormat="1" ht="26.25" customHeight="1">
      <c r="C667" s="136" t="s">
        <v>1317</v>
      </c>
      <c r="D667" s="15"/>
      <c r="F667" s="42"/>
      <c r="H667" s="15"/>
      <c r="I667" s="15"/>
      <c r="J667" s="15"/>
      <c r="K667" s="15"/>
      <c r="L667" s="17"/>
      <c r="M667" s="17"/>
      <c r="N667" s="17"/>
      <c r="O667" s="16"/>
      <c r="P667" s="167"/>
      <c r="S667" s="193"/>
      <c r="T667" s="193"/>
      <c r="AS667" s="125" t="s">
        <v>948</v>
      </c>
      <c r="CA667" s="33"/>
    </row>
    <row r="668" spans="3:79" s="13" customFormat="1" ht="26.25" customHeight="1">
      <c r="C668" s="136" t="s">
        <v>1014</v>
      </c>
      <c r="D668" s="15"/>
      <c r="F668" s="42"/>
      <c r="H668" s="15"/>
      <c r="I668" s="15"/>
      <c r="J668" s="15"/>
      <c r="K668" s="15"/>
      <c r="L668" s="17"/>
      <c r="M668" s="17"/>
      <c r="N668" s="17"/>
      <c r="O668" s="16"/>
      <c r="P668" s="167"/>
      <c r="S668" s="193"/>
      <c r="T668" s="193"/>
      <c r="AS668" s="125" t="s">
        <v>948</v>
      </c>
      <c r="AT668" s="160">
        <v>0</v>
      </c>
      <c r="CA668" s="33"/>
    </row>
    <row r="669" spans="3:79" s="13" customFormat="1" ht="26.25" customHeight="1">
      <c r="C669" s="136" t="s">
        <v>1318</v>
      </c>
      <c r="D669" s="15"/>
      <c r="F669" s="42"/>
      <c r="H669" s="15"/>
      <c r="I669" s="15"/>
      <c r="J669" s="15"/>
      <c r="K669" s="15"/>
      <c r="L669" s="17"/>
      <c r="M669" s="17"/>
      <c r="N669" s="17"/>
      <c r="O669" s="16"/>
      <c r="P669" s="167"/>
      <c r="S669" s="193"/>
      <c r="T669" s="193"/>
      <c r="AS669" s="125" t="s">
        <v>948</v>
      </c>
      <c r="CA669" s="146">
        <v>44596.666342592594</v>
      </c>
    </row>
    <row r="670" spans="3:79" s="13" customFormat="1" ht="26.25" customHeight="1">
      <c r="C670" s="136" t="s">
        <v>1319</v>
      </c>
      <c r="D670" s="15"/>
      <c r="F670" s="42"/>
      <c r="H670" s="15"/>
      <c r="I670" s="15"/>
      <c r="J670" s="15"/>
      <c r="K670" s="15"/>
      <c r="L670" s="17"/>
      <c r="M670" s="17"/>
      <c r="N670" s="17"/>
      <c r="O670" s="16"/>
      <c r="P670" s="167"/>
      <c r="S670" s="193"/>
      <c r="T670" s="193"/>
      <c r="AS670" s="125" t="s">
        <v>948</v>
      </c>
      <c r="CA670" s="33"/>
    </row>
    <row r="671" spans="3:79" s="13" customFormat="1" ht="26.25" customHeight="1">
      <c r="C671" s="136" t="s">
        <v>1320</v>
      </c>
      <c r="D671" s="15"/>
      <c r="F671" s="42"/>
      <c r="H671" s="15"/>
      <c r="I671" s="15"/>
      <c r="J671" s="15"/>
      <c r="K671" s="15"/>
      <c r="L671" s="17"/>
      <c r="M671" s="17"/>
      <c r="N671" s="17"/>
      <c r="O671" s="16"/>
      <c r="P671" s="167"/>
      <c r="S671" s="193"/>
      <c r="T671" s="193"/>
      <c r="AS671" s="125" t="s">
        <v>948</v>
      </c>
      <c r="CA671" s="146">
        <v>44604.587847222225</v>
      </c>
    </row>
    <row r="672" spans="3:79" s="13" customFormat="1" ht="26.25" customHeight="1">
      <c r="C672" s="136" t="s">
        <v>1321</v>
      </c>
      <c r="D672" s="15"/>
      <c r="F672" s="42"/>
      <c r="H672" s="15"/>
      <c r="I672" s="15"/>
      <c r="J672" s="15"/>
      <c r="K672" s="15"/>
      <c r="L672" s="17"/>
      <c r="M672" s="17"/>
      <c r="N672" s="17"/>
      <c r="O672" s="16"/>
      <c r="P672" s="167"/>
      <c r="S672" s="193"/>
      <c r="T672" s="193"/>
      <c r="AS672" s="125" t="s">
        <v>948</v>
      </c>
      <c r="CA672" s="33"/>
    </row>
    <row r="673" spans="3:80" s="13" customFormat="1" ht="26.25" customHeight="1">
      <c r="C673" s="136" t="s">
        <v>1322</v>
      </c>
      <c r="D673" s="15"/>
      <c r="F673" s="42"/>
      <c r="H673" s="15"/>
      <c r="I673" s="15"/>
      <c r="J673" s="15"/>
      <c r="K673" s="15"/>
      <c r="L673" s="17"/>
      <c r="M673" s="17"/>
      <c r="N673" s="17"/>
      <c r="O673" s="16"/>
      <c r="P673" s="167"/>
      <c r="S673" s="193"/>
      <c r="T673" s="193"/>
      <c r="AS673" s="125" t="s">
        <v>948</v>
      </c>
      <c r="CA673" s="33"/>
    </row>
    <row r="674" spans="3:80" s="13" customFormat="1" ht="26.25" customHeight="1">
      <c r="C674" s="136" t="s">
        <v>1323</v>
      </c>
      <c r="D674" s="15" t="s">
        <v>2458</v>
      </c>
      <c r="F674" s="42"/>
      <c r="H674" s="15"/>
      <c r="I674" s="15" t="s">
        <v>2474</v>
      </c>
      <c r="J674" s="15"/>
      <c r="K674" s="15"/>
      <c r="L674" s="17"/>
      <c r="M674" s="17"/>
      <c r="N674" s="17"/>
      <c r="O674" s="16"/>
      <c r="P674" s="167"/>
      <c r="S674" s="193"/>
      <c r="T674" s="193"/>
      <c r="AR674" s="160">
        <v>0</v>
      </c>
      <c r="AS674" s="125"/>
      <c r="AV674" s="160">
        <v>0</v>
      </c>
      <c r="CA674" s="146">
        <v>44604.63422453704</v>
      </c>
    </row>
    <row r="675" spans="3:80" s="13" customFormat="1" ht="26.25" customHeight="1">
      <c r="C675" s="136" t="s">
        <v>2473</v>
      </c>
      <c r="D675" s="15" t="s">
        <v>2458</v>
      </c>
      <c r="F675" s="42"/>
      <c r="H675" s="15"/>
      <c r="I675" s="15" t="s">
        <v>2474</v>
      </c>
      <c r="J675" s="15"/>
      <c r="K675" s="15"/>
      <c r="L675" s="17"/>
      <c r="M675" s="17"/>
      <c r="N675" s="17" t="s">
        <v>2476</v>
      </c>
      <c r="O675" s="16" t="s">
        <v>2475</v>
      </c>
      <c r="P675" s="167">
        <v>42979</v>
      </c>
      <c r="S675" s="193">
        <v>69.900000000000006</v>
      </c>
      <c r="T675" s="193">
        <v>2.99</v>
      </c>
      <c r="AS675" s="125"/>
      <c r="AT675" s="160">
        <v>0</v>
      </c>
      <c r="AV675" s="160">
        <v>0</v>
      </c>
      <c r="CA675" s="146">
        <v>44604.585925925923</v>
      </c>
    </row>
    <row r="676" spans="3:80" s="13" customFormat="1" ht="26.25" customHeight="1">
      <c r="C676" s="136" t="s">
        <v>1324</v>
      </c>
      <c r="D676" s="15"/>
      <c r="F676" s="42"/>
      <c r="H676" s="15"/>
      <c r="I676" s="15"/>
      <c r="J676" s="15"/>
      <c r="K676" s="15"/>
      <c r="L676" s="17"/>
      <c r="M676" s="17"/>
      <c r="N676" s="17"/>
      <c r="O676" s="16"/>
      <c r="P676" s="167"/>
      <c r="S676" s="193"/>
      <c r="T676" s="193"/>
      <c r="AS676" s="125" t="s">
        <v>948</v>
      </c>
      <c r="CA676" s="146">
        <v>44596.669502314813</v>
      </c>
      <c r="CB676" s="221">
        <v>44604.588599537034</v>
      </c>
    </row>
    <row r="677" spans="3:80" s="13" customFormat="1" ht="26.25" customHeight="1">
      <c r="C677" s="136" t="s">
        <v>890</v>
      </c>
      <c r="D677" s="15"/>
      <c r="F677" s="42"/>
      <c r="H677" s="15"/>
      <c r="I677" s="15"/>
      <c r="J677" s="15"/>
      <c r="K677" s="15"/>
      <c r="L677" s="17"/>
      <c r="M677" s="17"/>
      <c r="N677" s="17"/>
      <c r="O677" s="16"/>
      <c r="P677" s="167"/>
      <c r="S677" s="193"/>
      <c r="T677" s="193"/>
      <c r="AS677" s="125" t="s">
        <v>948</v>
      </c>
      <c r="CA677" s="33"/>
    </row>
    <row r="678" spans="3:80" s="13" customFormat="1" ht="26.25" customHeight="1">
      <c r="C678" s="136" t="s">
        <v>1325</v>
      </c>
      <c r="D678" s="15"/>
      <c r="F678" s="42"/>
      <c r="H678" s="15"/>
      <c r="I678" s="15"/>
      <c r="J678" s="15"/>
      <c r="K678" s="15"/>
      <c r="L678" s="17"/>
      <c r="M678" s="17"/>
      <c r="N678" s="17"/>
      <c r="O678" s="16"/>
      <c r="P678" s="167"/>
      <c r="S678" s="193"/>
      <c r="T678" s="193"/>
      <c r="AS678" s="125" t="s">
        <v>948</v>
      </c>
      <c r="CA678" s="33"/>
    </row>
    <row r="679" spans="3:80" s="13" customFormat="1" ht="26.25" customHeight="1">
      <c r="C679" s="136" t="s">
        <v>1326</v>
      </c>
      <c r="D679" s="15"/>
      <c r="F679" s="42"/>
      <c r="H679" s="15"/>
      <c r="I679" s="15"/>
      <c r="J679" s="15"/>
      <c r="K679" s="15"/>
      <c r="L679" s="17"/>
      <c r="M679" s="17"/>
      <c r="N679" s="17"/>
      <c r="O679" s="16"/>
      <c r="P679" s="167"/>
      <c r="S679" s="193"/>
      <c r="T679" s="193"/>
      <c r="AS679" s="125" t="s">
        <v>948</v>
      </c>
      <c r="CA679" s="33"/>
    </row>
    <row r="680" spans="3:80" s="13" customFormat="1" ht="26.25" customHeight="1">
      <c r="C680" s="136" t="s">
        <v>1327</v>
      </c>
      <c r="D680" s="15"/>
      <c r="F680" s="42"/>
      <c r="H680" s="15"/>
      <c r="I680" s="15"/>
      <c r="J680" s="15"/>
      <c r="K680" s="15"/>
      <c r="L680" s="17"/>
      <c r="M680" s="17"/>
      <c r="N680" s="17"/>
      <c r="O680" s="16"/>
      <c r="P680" s="167"/>
      <c r="S680" s="193"/>
      <c r="T680" s="193"/>
      <c r="AS680" s="125" t="s">
        <v>948</v>
      </c>
      <c r="CA680" s="33"/>
    </row>
    <row r="681" spans="3:80" s="13" customFormat="1" ht="26.25" customHeight="1">
      <c r="C681" s="136" t="s">
        <v>1328</v>
      </c>
      <c r="D681" s="15"/>
      <c r="F681" s="42"/>
      <c r="H681" s="15"/>
      <c r="I681" s="15"/>
      <c r="J681" s="15"/>
      <c r="K681" s="15"/>
      <c r="L681" s="17"/>
      <c r="M681" s="17"/>
      <c r="N681" s="17"/>
      <c r="O681" s="16"/>
      <c r="P681" s="167"/>
      <c r="S681" s="193"/>
      <c r="T681" s="193"/>
      <c r="AS681" s="125" t="s">
        <v>948</v>
      </c>
      <c r="CA681" s="33"/>
    </row>
    <row r="682" spans="3:80" s="13" customFormat="1" ht="26.25" customHeight="1">
      <c r="C682" s="136" t="s">
        <v>1329</v>
      </c>
      <c r="D682" s="15"/>
      <c r="F682" s="42"/>
      <c r="H682" s="15"/>
      <c r="I682" s="15"/>
      <c r="J682" s="15"/>
      <c r="K682" s="15"/>
      <c r="L682" s="17"/>
      <c r="M682" s="17"/>
      <c r="N682" s="17"/>
      <c r="O682" s="16"/>
      <c r="P682" s="167"/>
      <c r="S682" s="193"/>
      <c r="T682" s="193"/>
      <c r="AS682" s="125" t="s">
        <v>948</v>
      </c>
      <c r="CA682" s="33"/>
    </row>
    <row r="683" spans="3:80" s="13" customFormat="1" ht="26.25" customHeight="1">
      <c r="C683" s="136" t="s">
        <v>1330</v>
      </c>
      <c r="D683" s="15"/>
      <c r="F683" s="42"/>
      <c r="H683" s="15"/>
      <c r="I683" s="15"/>
      <c r="J683" s="15"/>
      <c r="K683" s="15"/>
      <c r="L683" s="17"/>
      <c r="M683" s="17"/>
      <c r="N683" s="17"/>
      <c r="O683" s="16"/>
      <c r="P683" s="167"/>
      <c r="S683" s="193"/>
      <c r="T683" s="193"/>
      <c r="AS683" s="125" t="s">
        <v>948</v>
      </c>
      <c r="CA683" s="33"/>
    </row>
    <row r="684" spans="3:80" s="13" customFormat="1" ht="26.25" customHeight="1">
      <c r="C684" s="136" t="s">
        <v>918</v>
      </c>
      <c r="D684" s="15"/>
      <c r="F684" s="42"/>
      <c r="H684" s="15"/>
      <c r="I684" s="15"/>
      <c r="J684" s="15"/>
      <c r="K684" s="15"/>
      <c r="L684" s="17"/>
      <c r="M684" s="17"/>
      <c r="N684" s="17"/>
      <c r="O684" s="16"/>
      <c r="P684" s="167"/>
      <c r="S684" s="193"/>
      <c r="T684" s="193"/>
      <c r="AS684" s="125" t="s">
        <v>948</v>
      </c>
      <c r="CA684" s="33"/>
    </row>
    <row r="685" spans="3:80" s="13" customFormat="1" ht="26.25" customHeight="1">
      <c r="C685" s="136" t="s">
        <v>1331</v>
      </c>
      <c r="D685" s="15"/>
      <c r="F685" s="42"/>
      <c r="H685" s="15"/>
      <c r="I685" s="15"/>
      <c r="J685" s="15"/>
      <c r="K685" s="15"/>
      <c r="L685" s="17"/>
      <c r="M685" s="17"/>
      <c r="N685" s="17"/>
      <c r="O685" s="16"/>
      <c r="P685" s="167"/>
      <c r="S685" s="193"/>
      <c r="T685" s="193"/>
      <c r="AS685" s="125" t="s">
        <v>948</v>
      </c>
      <c r="CA685" s="33"/>
    </row>
    <row r="686" spans="3:80" s="13" customFormat="1" ht="26.25" customHeight="1">
      <c r="C686" s="136" t="s">
        <v>1332</v>
      </c>
      <c r="D686" s="15"/>
      <c r="F686" s="42"/>
      <c r="H686" s="15"/>
      <c r="I686" s="15"/>
      <c r="J686" s="15"/>
      <c r="K686" s="15"/>
      <c r="L686" s="17"/>
      <c r="M686" s="17"/>
      <c r="N686" s="17"/>
      <c r="O686" s="16"/>
      <c r="P686" s="167"/>
      <c r="S686" s="193"/>
      <c r="T686" s="193"/>
      <c r="AS686" s="125" t="s">
        <v>948</v>
      </c>
      <c r="CA686" s="33"/>
    </row>
    <row r="687" spans="3:80" s="13" customFormat="1" ht="26.25" customHeight="1">
      <c r="C687" s="136" t="s">
        <v>920</v>
      </c>
      <c r="D687" s="15"/>
      <c r="F687" s="42"/>
      <c r="H687" s="15"/>
      <c r="I687" s="15"/>
      <c r="J687" s="15"/>
      <c r="K687" s="15"/>
      <c r="L687" s="17"/>
      <c r="M687" s="17"/>
      <c r="N687" s="17"/>
      <c r="O687" s="16"/>
      <c r="P687" s="167"/>
      <c r="S687" s="193"/>
      <c r="T687" s="193"/>
      <c r="AS687" s="125" t="s">
        <v>948</v>
      </c>
      <c r="CA687" s="33"/>
    </row>
    <row r="688" spans="3:80" s="13" customFormat="1" ht="26.25" customHeight="1">
      <c r="C688" s="136" t="s">
        <v>1334</v>
      </c>
      <c r="D688" s="15"/>
      <c r="F688" s="42"/>
      <c r="H688" s="15"/>
      <c r="I688" s="15"/>
      <c r="J688" s="15"/>
      <c r="K688" s="15"/>
      <c r="L688" s="17"/>
      <c r="M688" s="17"/>
      <c r="N688" s="17"/>
      <c r="O688" s="16"/>
      <c r="P688" s="167"/>
      <c r="S688" s="193"/>
      <c r="T688" s="193"/>
      <c r="AS688" s="125" t="s">
        <v>948</v>
      </c>
      <c r="CA688" s="33"/>
    </row>
    <row r="689" spans="3:79" s="13" customFormat="1" ht="26.25" customHeight="1">
      <c r="C689" s="136" t="s">
        <v>1335</v>
      </c>
      <c r="D689" s="15"/>
      <c r="F689" s="42"/>
      <c r="H689" s="15"/>
      <c r="I689" s="15"/>
      <c r="J689" s="15"/>
      <c r="K689" s="15"/>
      <c r="L689" s="17"/>
      <c r="M689" s="17"/>
      <c r="N689" s="17"/>
      <c r="O689" s="16"/>
      <c r="P689" s="167"/>
      <c r="S689" s="193"/>
      <c r="T689" s="193"/>
      <c r="AS689" s="125" t="s">
        <v>948</v>
      </c>
      <c r="CA689" s="33"/>
    </row>
    <row r="690" spans="3:79" s="13" customFormat="1" ht="26.25" customHeight="1">
      <c r="C690" s="136" t="s">
        <v>1336</v>
      </c>
      <c r="D690" s="15"/>
      <c r="F690" s="42"/>
      <c r="H690" s="15"/>
      <c r="I690" s="15"/>
      <c r="J690" s="15"/>
      <c r="K690" s="15"/>
      <c r="L690" s="17"/>
      <c r="M690" s="17"/>
      <c r="N690" s="17"/>
      <c r="O690" s="16"/>
      <c r="P690" s="167"/>
      <c r="S690" s="193"/>
      <c r="T690" s="193"/>
      <c r="AS690" s="125" t="s">
        <v>948</v>
      </c>
      <c r="CA690" s="33"/>
    </row>
    <row r="691" spans="3:79" s="13" customFormat="1" ht="26.25" customHeight="1">
      <c r="C691" s="136" t="s">
        <v>921</v>
      </c>
      <c r="D691" s="15"/>
      <c r="F691" s="42"/>
      <c r="H691" s="15"/>
      <c r="I691" s="15"/>
      <c r="J691" s="15"/>
      <c r="K691" s="15"/>
      <c r="L691" s="17"/>
      <c r="M691" s="17"/>
      <c r="N691" s="17"/>
      <c r="O691" s="16"/>
      <c r="P691" s="167"/>
      <c r="S691" s="193"/>
      <c r="T691" s="193"/>
      <c r="AS691" s="125" t="s">
        <v>948</v>
      </c>
      <c r="CA691" s="33"/>
    </row>
    <row r="692" spans="3:79" s="13" customFormat="1" ht="26.25" customHeight="1">
      <c r="C692" s="136" t="s">
        <v>1337</v>
      </c>
      <c r="D692" s="15"/>
      <c r="F692" s="42"/>
      <c r="H692" s="15"/>
      <c r="I692" s="15"/>
      <c r="J692" s="15"/>
      <c r="K692" s="15"/>
      <c r="L692" s="17"/>
      <c r="M692" s="17"/>
      <c r="N692" s="17"/>
      <c r="O692" s="16"/>
      <c r="P692" s="167"/>
      <c r="S692" s="193"/>
      <c r="T692" s="193"/>
      <c r="AS692" s="125" t="s">
        <v>948</v>
      </c>
      <c r="CA692" s="33"/>
    </row>
    <row r="693" spans="3:79" s="13" customFormat="1" ht="26.25" customHeight="1">
      <c r="C693" s="136" t="s">
        <v>1338</v>
      </c>
      <c r="D693" s="15"/>
      <c r="F693" s="42"/>
      <c r="H693" s="15"/>
      <c r="I693" s="15"/>
      <c r="J693" s="15"/>
      <c r="K693" s="15"/>
      <c r="L693" s="17"/>
      <c r="M693" s="17"/>
      <c r="N693" s="17"/>
      <c r="O693" s="16"/>
      <c r="P693" s="167"/>
      <c r="S693" s="193"/>
      <c r="T693" s="193"/>
      <c r="AS693" s="125" t="s">
        <v>948</v>
      </c>
      <c r="CA693" s="33"/>
    </row>
    <row r="694" spans="3:79" s="13" customFormat="1" ht="26.25" customHeight="1">
      <c r="C694" s="136" t="s">
        <v>1339</v>
      </c>
      <c r="D694" s="15"/>
      <c r="F694" s="42"/>
      <c r="H694" s="15"/>
      <c r="I694" s="15"/>
      <c r="J694" s="15"/>
      <c r="K694" s="15"/>
      <c r="L694" s="17"/>
      <c r="M694" s="17"/>
      <c r="N694" s="17"/>
      <c r="O694" s="16"/>
      <c r="P694" s="167"/>
      <c r="S694" s="193"/>
      <c r="T694" s="193"/>
      <c r="AS694" s="125" t="s">
        <v>948</v>
      </c>
      <c r="CA694" s="33"/>
    </row>
    <row r="695" spans="3:79" s="13" customFormat="1" ht="26.25" customHeight="1">
      <c r="C695" s="136" t="s">
        <v>1340</v>
      </c>
      <c r="D695" s="15"/>
      <c r="F695" s="42"/>
      <c r="H695" s="15"/>
      <c r="I695" s="15"/>
      <c r="J695" s="15"/>
      <c r="K695" s="15"/>
      <c r="L695" s="17"/>
      <c r="M695" s="17"/>
      <c r="N695" s="17"/>
      <c r="O695" s="16"/>
      <c r="P695" s="167"/>
      <c r="S695" s="193"/>
      <c r="T695" s="193"/>
      <c r="AS695" s="125" t="s">
        <v>948</v>
      </c>
      <c r="CA695" s="33"/>
    </row>
    <row r="696" spans="3:79" s="13" customFormat="1" ht="26.25" customHeight="1">
      <c r="C696" s="136" t="s">
        <v>922</v>
      </c>
      <c r="D696" s="15"/>
      <c r="F696" s="42"/>
      <c r="H696" s="15"/>
      <c r="I696" s="15"/>
      <c r="J696" s="15"/>
      <c r="K696" s="15"/>
      <c r="L696" s="17"/>
      <c r="M696" s="17"/>
      <c r="N696" s="17"/>
      <c r="O696" s="16"/>
      <c r="P696" s="167"/>
      <c r="S696" s="193"/>
      <c r="T696" s="193"/>
      <c r="AS696" s="125" t="s">
        <v>948</v>
      </c>
      <c r="CA696" s="33"/>
    </row>
    <row r="697" spans="3:79" s="13" customFormat="1" ht="26.25" customHeight="1">
      <c r="C697" s="136" t="s">
        <v>1341</v>
      </c>
      <c r="D697" s="15"/>
      <c r="F697" s="42"/>
      <c r="H697" s="15"/>
      <c r="I697" s="15"/>
      <c r="J697" s="15"/>
      <c r="K697" s="15"/>
      <c r="L697" s="17"/>
      <c r="M697" s="17"/>
      <c r="N697" s="17"/>
      <c r="O697" s="16"/>
      <c r="P697" s="167"/>
      <c r="S697" s="193"/>
      <c r="T697" s="193"/>
      <c r="AS697" s="125" t="s">
        <v>948</v>
      </c>
      <c r="CA697" s="33"/>
    </row>
    <row r="698" spans="3:79" s="13" customFormat="1" ht="26.25" customHeight="1">
      <c r="C698" s="136" t="s">
        <v>923</v>
      </c>
      <c r="D698" s="15"/>
      <c r="F698" s="42"/>
      <c r="H698" s="15"/>
      <c r="I698" s="15"/>
      <c r="J698" s="15"/>
      <c r="K698" s="15"/>
      <c r="L698" s="17"/>
      <c r="M698" s="17"/>
      <c r="N698" s="17"/>
      <c r="O698" s="16"/>
      <c r="P698" s="167"/>
      <c r="S698" s="193"/>
      <c r="T698" s="193"/>
      <c r="AS698" s="125" t="s">
        <v>948</v>
      </c>
      <c r="CA698" s="33"/>
    </row>
    <row r="699" spans="3:79" s="13" customFormat="1" ht="26.25" customHeight="1">
      <c r="C699" s="136" t="s">
        <v>925</v>
      </c>
      <c r="D699" s="15"/>
      <c r="F699" s="42"/>
      <c r="H699" s="15"/>
      <c r="I699" s="15"/>
      <c r="J699" s="15"/>
      <c r="K699" s="15"/>
      <c r="L699" s="17"/>
      <c r="M699" s="17"/>
      <c r="N699" s="17"/>
      <c r="O699" s="16"/>
      <c r="P699" s="167"/>
      <c r="S699" s="193"/>
      <c r="T699" s="193"/>
      <c r="AS699" s="125" t="s">
        <v>948</v>
      </c>
      <c r="CA699" s="33"/>
    </row>
    <row r="700" spans="3:79" s="13" customFormat="1" ht="26.25" customHeight="1">
      <c r="C700" s="136" t="s">
        <v>924</v>
      </c>
      <c r="D700" s="15"/>
      <c r="F700" s="42"/>
      <c r="H700" s="15"/>
      <c r="I700" s="15"/>
      <c r="J700" s="15"/>
      <c r="K700" s="15"/>
      <c r="L700" s="17"/>
      <c r="M700" s="17"/>
      <c r="N700" s="17"/>
      <c r="O700" s="16"/>
      <c r="P700" s="167"/>
      <c r="S700" s="193"/>
      <c r="T700" s="193"/>
      <c r="AS700" s="125" t="s">
        <v>948</v>
      </c>
      <c r="CA700" s="33"/>
    </row>
    <row r="701" spans="3:79" s="13" customFormat="1" ht="26.25" customHeight="1">
      <c r="C701" s="136" t="s">
        <v>1342</v>
      </c>
      <c r="D701" s="15"/>
      <c r="F701" s="42"/>
      <c r="H701" s="15"/>
      <c r="I701" s="15"/>
      <c r="J701" s="15"/>
      <c r="K701" s="15"/>
      <c r="L701" s="17"/>
      <c r="M701" s="17"/>
      <c r="N701" s="17"/>
      <c r="O701" s="16"/>
      <c r="P701" s="167"/>
      <c r="S701" s="193"/>
      <c r="T701" s="193"/>
      <c r="AS701" s="125" t="s">
        <v>948</v>
      </c>
      <c r="CA701" s="33"/>
    </row>
    <row r="702" spans="3:79" s="13" customFormat="1" ht="26.25" customHeight="1">
      <c r="C702" s="136" t="s">
        <v>1343</v>
      </c>
      <c r="D702" s="15"/>
      <c r="F702" s="42"/>
      <c r="H702" s="15"/>
      <c r="I702" s="15"/>
      <c r="J702" s="15"/>
      <c r="K702" s="15"/>
      <c r="L702" s="17"/>
      <c r="M702" s="17"/>
      <c r="N702" s="17"/>
      <c r="O702" s="16"/>
      <c r="P702" s="167"/>
      <c r="S702" s="193"/>
      <c r="T702" s="193"/>
      <c r="AS702" s="125" t="s">
        <v>948</v>
      </c>
      <c r="CA702" s="33"/>
    </row>
    <row r="703" spans="3:79" s="13" customFormat="1" ht="26.25" customHeight="1">
      <c r="C703" s="136" t="s">
        <v>1344</v>
      </c>
      <c r="D703" s="15"/>
      <c r="F703" s="42"/>
      <c r="H703" s="15"/>
      <c r="I703" s="15"/>
      <c r="J703" s="15"/>
      <c r="K703" s="15"/>
      <c r="L703" s="17"/>
      <c r="M703" s="17"/>
      <c r="N703" s="17"/>
      <c r="O703" s="16"/>
      <c r="P703" s="167"/>
      <c r="S703" s="193"/>
      <c r="T703" s="193"/>
      <c r="AS703" s="125" t="s">
        <v>948</v>
      </c>
      <c r="CA703" s="33"/>
    </row>
    <row r="704" spans="3:79" s="13" customFormat="1" ht="26.25" customHeight="1">
      <c r="C704" s="136" t="s">
        <v>1345</v>
      </c>
      <c r="D704" s="15"/>
      <c r="F704" s="42"/>
      <c r="H704" s="15"/>
      <c r="I704" s="15"/>
      <c r="J704" s="15"/>
      <c r="K704" s="15"/>
      <c r="L704" s="17"/>
      <c r="M704" s="17"/>
      <c r="N704" s="17"/>
      <c r="O704" s="16"/>
      <c r="P704" s="167"/>
      <c r="S704" s="193"/>
      <c r="T704" s="193"/>
      <c r="AS704" s="125" t="s">
        <v>948</v>
      </c>
      <c r="CA704" s="33"/>
    </row>
    <row r="705" spans="3:79" s="13" customFormat="1" ht="26.25" customHeight="1">
      <c r="C705" s="136" t="s">
        <v>927</v>
      </c>
      <c r="D705" s="15"/>
      <c r="F705" s="42"/>
      <c r="H705" s="15"/>
      <c r="I705" s="15"/>
      <c r="J705" s="15"/>
      <c r="K705" s="15"/>
      <c r="L705" s="17"/>
      <c r="M705" s="17"/>
      <c r="N705" s="17"/>
      <c r="O705" s="16"/>
      <c r="P705" s="167"/>
      <c r="S705" s="193"/>
      <c r="T705" s="193"/>
      <c r="AS705" s="125" t="s">
        <v>948</v>
      </c>
      <c r="CA705" s="33"/>
    </row>
    <row r="706" spans="3:79" s="13" customFormat="1" ht="26.25" customHeight="1">
      <c r="C706" s="136" t="s">
        <v>1346</v>
      </c>
      <c r="D706" s="15"/>
      <c r="F706" s="42"/>
      <c r="H706" s="15"/>
      <c r="I706" s="15"/>
      <c r="J706" s="15"/>
      <c r="K706" s="15"/>
      <c r="L706" s="17"/>
      <c r="M706" s="17"/>
      <c r="N706" s="17"/>
      <c r="O706" s="16"/>
      <c r="P706" s="167"/>
      <c r="S706" s="193"/>
      <c r="T706" s="193"/>
      <c r="AS706" s="125" t="s">
        <v>948</v>
      </c>
      <c r="CA706" s="33"/>
    </row>
    <row r="707" spans="3:79" s="13" customFormat="1" ht="26.25" customHeight="1">
      <c r="C707" s="136" t="s">
        <v>1347</v>
      </c>
      <c r="D707" s="15"/>
      <c r="F707" s="42"/>
      <c r="H707" s="15"/>
      <c r="I707" s="15"/>
      <c r="J707" s="15"/>
      <c r="K707" s="15"/>
      <c r="L707" s="17"/>
      <c r="M707" s="17"/>
      <c r="N707" s="17"/>
      <c r="O707" s="16"/>
      <c r="P707" s="167"/>
      <c r="S707" s="193"/>
      <c r="T707" s="193"/>
      <c r="AS707" s="125" t="s">
        <v>948</v>
      </c>
      <c r="CA707" s="33"/>
    </row>
    <row r="708" spans="3:79" s="13" customFormat="1" ht="26.25" customHeight="1">
      <c r="C708" s="136" t="s">
        <v>1348</v>
      </c>
      <c r="D708" s="15"/>
      <c r="F708" s="42"/>
      <c r="H708" s="15"/>
      <c r="I708" s="15"/>
      <c r="J708" s="15"/>
      <c r="K708" s="15"/>
      <c r="L708" s="17"/>
      <c r="M708" s="17"/>
      <c r="N708" s="17"/>
      <c r="O708" s="16"/>
      <c r="P708" s="167"/>
      <c r="S708" s="193"/>
      <c r="T708" s="193"/>
      <c r="AS708" s="125" t="s">
        <v>948</v>
      </c>
      <c r="CA708" s="33"/>
    </row>
    <row r="709" spans="3:79" s="13" customFormat="1" ht="26.25" customHeight="1">
      <c r="C709" s="136" t="s">
        <v>928</v>
      </c>
      <c r="D709" s="15"/>
      <c r="F709" s="42"/>
      <c r="H709" s="15"/>
      <c r="I709" s="15"/>
      <c r="J709" s="15"/>
      <c r="K709" s="15"/>
      <c r="L709" s="17"/>
      <c r="M709" s="17"/>
      <c r="N709" s="17"/>
      <c r="O709" s="16"/>
      <c r="P709" s="167"/>
      <c r="S709" s="193"/>
      <c r="T709" s="193"/>
      <c r="AS709" s="125" t="s">
        <v>948</v>
      </c>
      <c r="CA709" s="33"/>
    </row>
    <row r="710" spans="3:79" s="13" customFormat="1" ht="26.25" customHeight="1">
      <c r="C710" s="136" t="s">
        <v>825</v>
      </c>
      <c r="D710" s="15"/>
      <c r="F710" s="42"/>
      <c r="H710" s="15"/>
      <c r="I710" s="15"/>
      <c r="J710" s="15"/>
      <c r="K710" s="15"/>
      <c r="L710" s="17"/>
      <c r="M710" s="17"/>
      <c r="N710" s="17"/>
      <c r="O710" s="16"/>
      <c r="P710" s="167"/>
      <c r="S710" s="193"/>
      <c r="T710" s="193"/>
      <c r="AS710" s="125" t="s">
        <v>948</v>
      </c>
      <c r="CA710" s="33"/>
    </row>
    <row r="711" spans="3:79" s="13" customFormat="1" ht="26.25" customHeight="1">
      <c r="C711" s="136" t="s">
        <v>1349</v>
      </c>
      <c r="D711" s="15"/>
      <c r="F711" s="42"/>
      <c r="H711" s="15"/>
      <c r="I711" s="15"/>
      <c r="J711" s="15"/>
      <c r="K711" s="15"/>
      <c r="L711" s="17"/>
      <c r="M711" s="17"/>
      <c r="N711" s="17"/>
      <c r="O711" s="16"/>
      <c r="P711" s="167"/>
      <c r="S711" s="193"/>
      <c r="T711" s="193"/>
      <c r="AS711" s="125" t="s">
        <v>948</v>
      </c>
      <c r="CA711" s="33"/>
    </row>
    <row r="712" spans="3:79" s="13" customFormat="1" ht="26.25" customHeight="1">
      <c r="C712" s="136" t="s">
        <v>1350</v>
      </c>
      <c r="D712" s="15"/>
      <c r="F712" s="42"/>
      <c r="H712" s="15"/>
      <c r="I712" s="15"/>
      <c r="J712" s="15"/>
      <c r="K712" s="15"/>
      <c r="L712" s="17"/>
      <c r="M712" s="17"/>
      <c r="N712" s="17"/>
      <c r="O712" s="16"/>
      <c r="P712" s="167"/>
      <c r="S712" s="193"/>
      <c r="T712" s="193"/>
      <c r="AS712" s="125" t="s">
        <v>948</v>
      </c>
      <c r="CA712" s="33"/>
    </row>
    <row r="713" spans="3:79" s="13" customFormat="1" ht="26.25" customHeight="1">
      <c r="C713" s="136" t="s">
        <v>1351</v>
      </c>
      <c r="D713" s="15"/>
      <c r="F713" s="42"/>
      <c r="H713" s="15"/>
      <c r="I713" s="15"/>
      <c r="J713" s="15"/>
      <c r="K713" s="15"/>
      <c r="L713" s="17"/>
      <c r="M713" s="17"/>
      <c r="N713" s="17"/>
      <c r="O713" s="16"/>
      <c r="P713" s="167"/>
      <c r="S713" s="193"/>
      <c r="T713" s="193"/>
      <c r="AS713" s="125" t="s">
        <v>948</v>
      </c>
      <c r="CA713" s="33"/>
    </row>
    <row r="714" spans="3:79" s="13" customFormat="1" ht="26.25" customHeight="1">
      <c r="C714" s="136" t="s">
        <v>1352</v>
      </c>
      <c r="D714" s="15"/>
      <c r="F714" s="42"/>
      <c r="H714" s="15"/>
      <c r="I714" s="15"/>
      <c r="J714" s="15"/>
      <c r="K714" s="15"/>
      <c r="L714" s="17"/>
      <c r="M714" s="17"/>
      <c r="N714" s="17"/>
      <c r="O714" s="16"/>
      <c r="P714" s="167"/>
      <c r="S714" s="193"/>
      <c r="T714" s="193"/>
      <c r="AS714" s="125" t="s">
        <v>948</v>
      </c>
      <c r="CA714" s="33"/>
    </row>
    <row r="715" spans="3:79" s="13" customFormat="1" ht="26.25" customHeight="1">
      <c r="C715" s="136" t="s">
        <v>1353</v>
      </c>
      <c r="D715" s="15"/>
      <c r="F715" s="42"/>
      <c r="H715" s="15"/>
      <c r="I715" s="15"/>
      <c r="J715" s="15"/>
      <c r="K715" s="15"/>
      <c r="L715" s="17"/>
      <c r="M715" s="17"/>
      <c r="N715" s="17"/>
      <c r="O715" s="16"/>
      <c r="P715" s="167"/>
      <c r="S715" s="193"/>
      <c r="T715" s="193"/>
      <c r="AS715" s="125" t="s">
        <v>948</v>
      </c>
      <c r="CA715" s="33"/>
    </row>
    <row r="716" spans="3:79" s="13" customFormat="1" ht="26.25" customHeight="1">
      <c r="C716" s="136" t="s">
        <v>1354</v>
      </c>
      <c r="D716" s="15"/>
      <c r="F716" s="42"/>
      <c r="H716" s="15"/>
      <c r="I716" s="15"/>
      <c r="J716" s="15"/>
      <c r="K716" s="15"/>
      <c r="L716" s="17"/>
      <c r="M716" s="17"/>
      <c r="N716" s="17"/>
      <c r="O716" s="16"/>
      <c r="P716" s="167"/>
      <c r="S716" s="193"/>
      <c r="T716" s="193"/>
      <c r="AS716" s="125" t="s">
        <v>948</v>
      </c>
      <c r="CA716" s="33"/>
    </row>
    <row r="717" spans="3:79" s="13" customFormat="1" ht="26.25" customHeight="1">
      <c r="C717" s="136" t="s">
        <v>998</v>
      </c>
      <c r="D717" s="15"/>
      <c r="F717" s="42"/>
      <c r="H717" s="15"/>
      <c r="I717" s="15"/>
      <c r="J717" s="15"/>
      <c r="K717" s="15"/>
      <c r="L717" s="17"/>
      <c r="M717" s="17"/>
      <c r="N717" s="17"/>
      <c r="O717" s="16"/>
      <c r="P717" s="167"/>
      <c r="S717" s="193"/>
      <c r="T717" s="193"/>
      <c r="AS717" s="125" t="s">
        <v>948</v>
      </c>
      <c r="CA717" s="33"/>
    </row>
    <row r="718" spans="3:79" s="13" customFormat="1" ht="26.25" customHeight="1">
      <c r="C718" s="136" t="s">
        <v>865</v>
      </c>
      <c r="D718" s="15"/>
      <c r="F718" s="42"/>
      <c r="H718" s="15"/>
      <c r="I718" s="15"/>
      <c r="J718" s="15"/>
      <c r="K718" s="15"/>
      <c r="L718" s="17"/>
      <c r="M718" s="17"/>
      <c r="N718" s="17"/>
      <c r="O718" s="16"/>
      <c r="P718" s="167"/>
      <c r="S718" s="193"/>
      <c r="T718" s="193"/>
      <c r="AS718" s="125" t="s">
        <v>948</v>
      </c>
      <c r="CA718" s="33"/>
    </row>
    <row r="719" spans="3:79" s="13" customFormat="1" ht="26.25" customHeight="1">
      <c r="C719" s="136" t="s">
        <v>1356</v>
      </c>
      <c r="D719" s="15"/>
      <c r="F719" s="42"/>
      <c r="H719" s="15"/>
      <c r="I719" s="15"/>
      <c r="J719" s="15"/>
      <c r="K719" s="15"/>
      <c r="L719" s="17"/>
      <c r="M719" s="17"/>
      <c r="N719" s="17"/>
      <c r="O719" s="16"/>
      <c r="P719" s="167"/>
      <c r="S719" s="193"/>
      <c r="T719" s="193"/>
      <c r="AS719" s="125" t="s">
        <v>948</v>
      </c>
      <c r="CA719" s="33"/>
    </row>
    <row r="720" spans="3:79" s="13" customFormat="1" ht="26.25" customHeight="1">
      <c r="C720" s="136" t="s">
        <v>1357</v>
      </c>
      <c r="D720" s="15"/>
      <c r="F720" s="42"/>
      <c r="H720" s="15"/>
      <c r="I720" s="15"/>
      <c r="J720" s="15"/>
      <c r="K720" s="15"/>
      <c r="L720" s="17"/>
      <c r="M720" s="17"/>
      <c r="N720" s="17"/>
      <c r="O720" s="16"/>
      <c r="P720" s="167"/>
      <c r="S720" s="193"/>
      <c r="T720" s="193"/>
      <c r="AS720" s="125" t="s">
        <v>948</v>
      </c>
      <c r="CA720" s="33"/>
    </row>
    <row r="721" spans="3:79" s="13" customFormat="1" ht="26.25" customHeight="1">
      <c r="C721" s="136" t="s">
        <v>1358</v>
      </c>
      <c r="D721" s="15"/>
      <c r="F721" s="42"/>
      <c r="H721" s="15"/>
      <c r="I721" s="15"/>
      <c r="J721" s="15"/>
      <c r="K721" s="15"/>
      <c r="L721" s="17"/>
      <c r="M721" s="17"/>
      <c r="N721" s="17"/>
      <c r="O721" s="16"/>
      <c r="P721" s="167"/>
      <c r="S721" s="193"/>
      <c r="T721" s="193"/>
      <c r="AS721" s="125" t="s">
        <v>948</v>
      </c>
      <c r="CA721" s="33"/>
    </row>
    <row r="722" spans="3:79" s="13" customFormat="1" ht="26.25" customHeight="1">
      <c r="C722" s="136" t="s">
        <v>1359</v>
      </c>
      <c r="D722" s="15"/>
      <c r="F722" s="42"/>
      <c r="H722" s="15"/>
      <c r="I722" s="15"/>
      <c r="J722" s="15"/>
      <c r="K722" s="15"/>
      <c r="L722" s="17"/>
      <c r="M722" s="17"/>
      <c r="N722" s="17"/>
      <c r="O722" s="16"/>
      <c r="P722" s="167"/>
      <c r="S722" s="193"/>
      <c r="T722" s="193"/>
      <c r="AS722" s="125" t="s">
        <v>948</v>
      </c>
      <c r="CA722" s="33"/>
    </row>
    <row r="723" spans="3:79" s="13" customFormat="1" ht="26.25" customHeight="1">
      <c r="C723" s="136" t="s">
        <v>1360</v>
      </c>
      <c r="D723" s="15"/>
      <c r="F723" s="42"/>
      <c r="H723" s="15"/>
      <c r="I723" s="15"/>
      <c r="J723" s="15"/>
      <c r="K723" s="15"/>
      <c r="L723" s="17"/>
      <c r="M723" s="17"/>
      <c r="N723" s="17"/>
      <c r="O723" s="16"/>
      <c r="P723" s="167"/>
      <c r="S723" s="193"/>
      <c r="T723" s="193"/>
      <c r="AS723" s="125" t="s">
        <v>948</v>
      </c>
      <c r="CA723" s="33"/>
    </row>
    <row r="724" spans="3:79" s="13" customFormat="1" ht="26.25" customHeight="1">
      <c r="C724" s="136" t="s">
        <v>1361</v>
      </c>
      <c r="D724" s="15"/>
      <c r="F724" s="42"/>
      <c r="H724" s="15"/>
      <c r="I724" s="15"/>
      <c r="J724" s="15"/>
      <c r="K724" s="15"/>
      <c r="L724" s="17"/>
      <c r="M724" s="17"/>
      <c r="N724" s="17"/>
      <c r="O724" s="16"/>
      <c r="P724" s="167"/>
      <c r="S724" s="193"/>
      <c r="T724" s="193"/>
      <c r="AS724" s="125" t="s">
        <v>948</v>
      </c>
      <c r="CA724" s="33"/>
    </row>
    <row r="725" spans="3:79" s="13" customFormat="1" ht="26.25" customHeight="1">
      <c r="C725" s="136" t="s">
        <v>1362</v>
      </c>
      <c r="D725" s="15"/>
      <c r="F725" s="42"/>
      <c r="H725" s="15"/>
      <c r="I725" s="15"/>
      <c r="J725" s="15"/>
      <c r="K725" s="15"/>
      <c r="L725" s="17"/>
      <c r="M725" s="17"/>
      <c r="N725" s="17"/>
      <c r="O725" s="16"/>
      <c r="P725" s="167"/>
      <c r="S725" s="193"/>
      <c r="T725" s="193"/>
      <c r="AS725" s="125" t="s">
        <v>948</v>
      </c>
      <c r="CA725" s="33"/>
    </row>
    <row r="726" spans="3:79" s="13" customFormat="1" ht="26.25" customHeight="1">
      <c r="C726" s="136" t="s">
        <v>1363</v>
      </c>
      <c r="D726" s="15"/>
      <c r="F726" s="42"/>
      <c r="H726" s="15"/>
      <c r="I726" s="15"/>
      <c r="J726" s="15"/>
      <c r="K726" s="15"/>
      <c r="L726" s="17"/>
      <c r="M726" s="17"/>
      <c r="N726" s="17"/>
      <c r="O726" s="16"/>
      <c r="P726" s="167"/>
      <c r="S726" s="193"/>
      <c r="T726" s="193"/>
      <c r="AS726" s="125" t="s">
        <v>948</v>
      </c>
      <c r="CA726" s="33"/>
    </row>
    <row r="727" spans="3:79" s="13" customFormat="1" ht="26.25" customHeight="1">
      <c r="C727" s="136" t="s">
        <v>866</v>
      </c>
      <c r="D727" s="15"/>
      <c r="F727" s="42"/>
      <c r="H727" s="15"/>
      <c r="I727" s="15"/>
      <c r="J727" s="15"/>
      <c r="K727" s="15"/>
      <c r="L727" s="17"/>
      <c r="M727" s="17"/>
      <c r="N727" s="17"/>
      <c r="O727" s="16"/>
      <c r="P727" s="167"/>
      <c r="S727" s="193"/>
      <c r="T727" s="193"/>
      <c r="AS727" s="125" t="s">
        <v>948</v>
      </c>
      <c r="CA727" s="33"/>
    </row>
    <row r="728" spans="3:79" s="13" customFormat="1" ht="26.25" customHeight="1">
      <c r="C728" s="136" t="s">
        <v>1364</v>
      </c>
      <c r="D728" s="15"/>
      <c r="F728" s="42"/>
      <c r="H728" s="15"/>
      <c r="I728" s="15"/>
      <c r="J728" s="15"/>
      <c r="K728" s="15"/>
      <c r="L728" s="17"/>
      <c r="M728" s="17"/>
      <c r="N728" s="17"/>
      <c r="O728" s="16"/>
      <c r="P728" s="167"/>
      <c r="S728" s="193"/>
      <c r="T728" s="193"/>
      <c r="AS728" s="125" t="s">
        <v>948</v>
      </c>
      <c r="CA728" s="33"/>
    </row>
    <row r="729" spans="3:79" s="13" customFormat="1" ht="26.25" customHeight="1">
      <c r="C729" s="136" t="s">
        <v>1365</v>
      </c>
      <c r="D729" s="15"/>
      <c r="F729" s="42"/>
      <c r="H729" s="15"/>
      <c r="I729" s="15"/>
      <c r="J729" s="15"/>
      <c r="K729" s="15"/>
      <c r="L729" s="17"/>
      <c r="M729" s="17"/>
      <c r="N729" s="17"/>
      <c r="O729" s="16"/>
      <c r="P729" s="167"/>
      <c r="S729" s="193"/>
      <c r="T729" s="193"/>
      <c r="AS729" s="125" t="s">
        <v>948</v>
      </c>
      <c r="CA729" s="33"/>
    </row>
    <row r="730" spans="3:79" s="13" customFormat="1" ht="26.25" customHeight="1">
      <c r="C730" s="136" t="s">
        <v>1366</v>
      </c>
      <c r="D730" s="15"/>
      <c r="F730" s="42"/>
      <c r="H730" s="15"/>
      <c r="I730" s="15"/>
      <c r="J730" s="15"/>
      <c r="K730" s="15"/>
      <c r="L730" s="17"/>
      <c r="M730" s="17"/>
      <c r="N730" s="17"/>
      <c r="O730" s="16"/>
      <c r="P730" s="167"/>
      <c r="S730" s="193"/>
      <c r="T730" s="193"/>
      <c r="AS730" s="125" t="s">
        <v>948</v>
      </c>
      <c r="CA730" s="33"/>
    </row>
    <row r="731" spans="3:79" s="13" customFormat="1" ht="26.25" customHeight="1">
      <c r="C731" s="136" t="s">
        <v>1367</v>
      </c>
      <c r="D731" s="15"/>
      <c r="F731" s="42"/>
      <c r="H731" s="15"/>
      <c r="I731" s="15"/>
      <c r="J731" s="15"/>
      <c r="K731" s="15"/>
      <c r="L731" s="17"/>
      <c r="M731" s="17"/>
      <c r="N731" s="17"/>
      <c r="O731" s="16"/>
      <c r="P731" s="167"/>
      <c r="S731" s="193"/>
      <c r="T731" s="193"/>
      <c r="AS731" s="125" t="s">
        <v>948</v>
      </c>
      <c r="CA731" s="33"/>
    </row>
    <row r="732" spans="3:79" s="13" customFormat="1" ht="26.25" customHeight="1">
      <c r="C732" s="136" t="s">
        <v>869</v>
      </c>
      <c r="D732" s="15"/>
      <c r="F732" s="42"/>
      <c r="H732" s="15"/>
      <c r="I732" s="15"/>
      <c r="J732" s="15"/>
      <c r="K732" s="15"/>
      <c r="L732" s="17"/>
      <c r="M732" s="17"/>
      <c r="N732" s="17"/>
      <c r="O732" s="16"/>
      <c r="P732" s="167"/>
      <c r="S732" s="193"/>
      <c r="T732" s="193"/>
      <c r="AS732" s="125" t="s">
        <v>948</v>
      </c>
      <c r="CA732" s="33"/>
    </row>
    <row r="733" spans="3:79" s="13" customFormat="1" ht="26.25" customHeight="1">
      <c r="C733" s="136" t="s">
        <v>1368</v>
      </c>
      <c r="D733" s="15"/>
      <c r="F733" s="42"/>
      <c r="H733" s="15"/>
      <c r="I733" s="15"/>
      <c r="J733" s="15"/>
      <c r="K733" s="15"/>
      <c r="L733" s="17"/>
      <c r="M733" s="17"/>
      <c r="N733" s="17"/>
      <c r="O733" s="16"/>
      <c r="P733" s="167"/>
      <c r="S733" s="193"/>
      <c r="T733" s="193"/>
      <c r="AS733" s="125" t="s">
        <v>948</v>
      </c>
      <c r="CA733" s="33"/>
    </row>
    <row r="734" spans="3:79" s="13" customFormat="1" ht="26.25" customHeight="1">
      <c r="C734" s="136" t="s">
        <v>870</v>
      </c>
      <c r="D734" s="15"/>
      <c r="F734" s="42"/>
      <c r="H734" s="15"/>
      <c r="I734" s="15"/>
      <c r="J734" s="15"/>
      <c r="K734" s="15"/>
      <c r="L734" s="17"/>
      <c r="M734" s="17"/>
      <c r="N734" s="17"/>
      <c r="O734" s="16"/>
      <c r="P734" s="167"/>
      <c r="S734" s="193"/>
      <c r="T734" s="193"/>
      <c r="AS734" s="125" t="s">
        <v>948</v>
      </c>
      <c r="CA734" s="33"/>
    </row>
    <row r="735" spans="3:79" s="13" customFormat="1" ht="26.25" customHeight="1">
      <c r="C735" s="136" t="s">
        <v>1369</v>
      </c>
      <c r="D735" s="15"/>
      <c r="F735" s="42"/>
      <c r="H735" s="15"/>
      <c r="I735" s="15"/>
      <c r="J735" s="15"/>
      <c r="K735" s="15"/>
      <c r="L735" s="17"/>
      <c r="M735" s="17"/>
      <c r="N735" s="17"/>
      <c r="O735" s="16"/>
      <c r="P735" s="167"/>
      <c r="S735" s="193"/>
      <c r="T735" s="193"/>
      <c r="AS735" s="125" t="s">
        <v>948</v>
      </c>
      <c r="CA735" s="33"/>
    </row>
    <row r="736" spans="3:79" s="13" customFormat="1" ht="26.25" customHeight="1">
      <c r="C736" s="136" t="s">
        <v>1370</v>
      </c>
      <c r="D736" s="15"/>
      <c r="F736" s="42"/>
      <c r="H736" s="15"/>
      <c r="I736" s="15"/>
      <c r="J736" s="15"/>
      <c r="K736" s="15"/>
      <c r="L736" s="17"/>
      <c r="M736" s="17"/>
      <c r="N736" s="17"/>
      <c r="O736" s="16"/>
      <c r="P736" s="167"/>
      <c r="S736" s="193"/>
      <c r="T736" s="193"/>
      <c r="AS736" s="125" t="s">
        <v>948</v>
      </c>
      <c r="CA736" s="33"/>
    </row>
    <row r="737" spans="3:79" s="13" customFormat="1" ht="26.25" customHeight="1">
      <c r="C737" s="136" t="s">
        <v>1371</v>
      </c>
      <c r="D737" s="15"/>
      <c r="F737" s="42"/>
      <c r="H737" s="15"/>
      <c r="I737" s="15"/>
      <c r="J737" s="15"/>
      <c r="K737" s="15"/>
      <c r="L737" s="17"/>
      <c r="M737" s="17"/>
      <c r="N737" s="17"/>
      <c r="O737" s="16"/>
      <c r="P737" s="167"/>
      <c r="S737" s="193"/>
      <c r="T737" s="193"/>
      <c r="AS737" s="125" t="s">
        <v>948</v>
      </c>
      <c r="CA737" s="33"/>
    </row>
    <row r="738" spans="3:79" s="13" customFormat="1" ht="26.25" customHeight="1">
      <c r="C738" s="136" t="s">
        <v>872</v>
      </c>
      <c r="D738" s="15"/>
      <c r="F738" s="42"/>
      <c r="H738" s="15"/>
      <c r="I738" s="15"/>
      <c r="J738" s="15"/>
      <c r="K738" s="15"/>
      <c r="L738" s="17"/>
      <c r="M738" s="17"/>
      <c r="N738" s="17"/>
      <c r="O738" s="16"/>
      <c r="P738" s="167"/>
      <c r="S738" s="193"/>
      <c r="T738" s="193"/>
      <c r="AS738" s="125" t="s">
        <v>948</v>
      </c>
      <c r="CA738" s="33"/>
    </row>
    <row r="739" spans="3:79" s="13" customFormat="1" ht="26.25" customHeight="1">
      <c r="C739" s="136" t="s">
        <v>1372</v>
      </c>
      <c r="D739" s="15"/>
      <c r="F739" s="42"/>
      <c r="H739" s="15"/>
      <c r="I739" s="15"/>
      <c r="J739" s="15"/>
      <c r="K739" s="15"/>
      <c r="L739" s="17"/>
      <c r="M739" s="17"/>
      <c r="N739" s="17"/>
      <c r="O739" s="16"/>
      <c r="P739" s="167"/>
      <c r="S739" s="193"/>
      <c r="T739" s="193"/>
      <c r="AS739" s="125" t="s">
        <v>948</v>
      </c>
      <c r="CA739" s="33"/>
    </row>
    <row r="740" spans="3:79" s="13" customFormat="1" ht="26.25" customHeight="1">
      <c r="C740" s="136" t="s">
        <v>1373</v>
      </c>
      <c r="D740" s="15"/>
      <c r="F740" s="42"/>
      <c r="H740" s="15"/>
      <c r="I740" s="15"/>
      <c r="J740" s="15"/>
      <c r="K740" s="15"/>
      <c r="L740" s="17"/>
      <c r="M740" s="17"/>
      <c r="N740" s="17"/>
      <c r="O740" s="16"/>
      <c r="P740" s="167"/>
      <c r="S740" s="193"/>
      <c r="T740" s="193"/>
      <c r="AS740" s="125" t="s">
        <v>948</v>
      </c>
      <c r="CA740" s="33"/>
    </row>
    <row r="741" spans="3:79" s="13" customFormat="1" ht="26.25" customHeight="1">
      <c r="C741" s="136" t="s">
        <v>873</v>
      </c>
      <c r="D741" s="15"/>
      <c r="F741" s="42"/>
      <c r="H741" s="15"/>
      <c r="I741" s="15"/>
      <c r="J741" s="15"/>
      <c r="K741" s="15"/>
      <c r="L741" s="17"/>
      <c r="M741" s="17"/>
      <c r="N741" s="17"/>
      <c r="O741" s="16"/>
      <c r="P741" s="167"/>
      <c r="S741" s="193"/>
      <c r="T741" s="193"/>
      <c r="AS741" s="125" t="s">
        <v>948</v>
      </c>
      <c r="CA741" s="33"/>
    </row>
    <row r="742" spans="3:79" s="13" customFormat="1" ht="26.25" customHeight="1">
      <c r="C742" s="136" t="s">
        <v>1374</v>
      </c>
      <c r="D742" s="15"/>
      <c r="F742" s="42"/>
      <c r="H742" s="15"/>
      <c r="I742" s="15"/>
      <c r="J742" s="15"/>
      <c r="K742" s="15"/>
      <c r="L742" s="17"/>
      <c r="M742" s="17"/>
      <c r="N742" s="17"/>
      <c r="O742" s="16"/>
      <c r="P742" s="167"/>
      <c r="S742" s="193"/>
      <c r="T742" s="193"/>
      <c r="AS742" s="125" t="s">
        <v>948</v>
      </c>
      <c r="CA742" s="33"/>
    </row>
    <row r="743" spans="3:79" s="13" customFormat="1" ht="26.25" customHeight="1">
      <c r="C743" s="136" t="s">
        <v>874</v>
      </c>
      <c r="D743" s="15"/>
      <c r="F743" s="42"/>
      <c r="H743" s="15"/>
      <c r="I743" s="15"/>
      <c r="J743" s="15"/>
      <c r="K743" s="15"/>
      <c r="L743" s="17"/>
      <c r="M743" s="17"/>
      <c r="N743" s="17"/>
      <c r="O743" s="16"/>
      <c r="P743" s="167"/>
      <c r="S743" s="193"/>
      <c r="T743" s="193"/>
      <c r="AS743" s="125" t="s">
        <v>948</v>
      </c>
      <c r="CA743" s="33"/>
    </row>
    <row r="744" spans="3:79" s="13" customFormat="1" ht="26.25" customHeight="1">
      <c r="C744" s="136" t="s">
        <v>1375</v>
      </c>
      <c r="D744" s="15"/>
      <c r="F744" s="42"/>
      <c r="H744" s="15"/>
      <c r="I744" s="15"/>
      <c r="J744" s="15"/>
      <c r="K744" s="15"/>
      <c r="L744" s="17"/>
      <c r="M744" s="17"/>
      <c r="N744" s="17"/>
      <c r="O744" s="16"/>
      <c r="P744" s="167"/>
      <c r="S744" s="193"/>
      <c r="T744" s="193"/>
      <c r="AS744" s="125" t="s">
        <v>948</v>
      </c>
      <c r="CA744" s="33"/>
    </row>
    <row r="745" spans="3:79" s="13" customFormat="1" ht="26.25" customHeight="1">
      <c r="C745" s="136" t="s">
        <v>1376</v>
      </c>
      <c r="D745" s="15"/>
      <c r="F745" s="42"/>
      <c r="H745" s="15"/>
      <c r="I745" s="15"/>
      <c r="J745" s="15"/>
      <c r="K745" s="15"/>
      <c r="L745" s="17"/>
      <c r="M745" s="17"/>
      <c r="N745" s="17"/>
      <c r="O745" s="16"/>
      <c r="P745" s="167"/>
      <c r="S745" s="193"/>
      <c r="T745" s="193"/>
      <c r="AS745" s="125" t="s">
        <v>948</v>
      </c>
      <c r="CA745" s="33"/>
    </row>
    <row r="746" spans="3:79" s="13" customFormat="1" ht="26.25" customHeight="1">
      <c r="C746" s="136" t="s">
        <v>1377</v>
      </c>
      <c r="D746" s="15"/>
      <c r="F746" s="42"/>
      <c r="H746" s="15"/>
      <c r="I746" s="15"/>
      <c r="J746" s="15"/>
      <c r="K746" s="15"/>
      <c r="L746" s="17"/>
      <c r="M746" s="17"/>
      <c r="N746" s="17"/>
      <c r="O746" s="16"/>
      <c r="P746" s="167"/>
      <c r="S746" s="193"/>
      <c r="T746" s="193"/>
      <c r="AS746" s="125" t="s">
        <v>948</v>
      </c>
      <c r="CA746" s="33"/>
    </row>
    <row r="747" spans="3:79" s="13" customFormat="1" ht="26.25" customHeight="1">
      <c r="C747" s="136" t="s">
        <v>1378</v>
      </c>
      <c r="D747" s="15"/>
      <c r="F747" s="42"/>
      <c r="H747" s="15"/>
      <c r="I747" s="15"/>
      <c r="J747" s="15"/>
      <c r="K747" s="15"/>
      <c r="L747" s="17"/>
      <c r="M747" s="17"/>
      <c r="N747" s="17"/>
      <c r="O747" s="16"/>
      <c r="P747" s="167"/>
      <c r="S747" s="193"/>
      <c r="T747" s="193"/>
      <c r="AS747" s="125" t="s">
        <v>948</v>
      </c>
      <c r="CA747" s="33"/>
    </row>
    <row r="748" spans="3:79" s="13" customFormat="1" ht="26.25" customHeight="1">
      <c r="C748" s="136" t="s">
        <v>1379</v>
      </c>
      <c r="D748" s="15"/>
      <c r="F748" s="42"/>
      <c r="H748" s="15"/>
      <c r="I748" s="15"/>
      <c r="J748" s="15"/>
      <c r="K748" s="15"/>
      <c r="L748" s="17"/>
      <c r="M748" s="17"/>
      <c r="N748" s="17"/>
      <c r="O748" s="16"/>
      <c r="P748" s="167"/>
      <c r="S748" s="193"/>
      <c r="T748" s="193"/>
      <c r="AS748" s="125" t="s">
        <v>948</v>
      </c>
      <c r="CA748" s="33"/>
    </row>
    <row r="749" spans="3:79" s="13" customFormat="1" ht="26.25" customHeight="1">
      <c r="C749" s="136" t="s">
        <v>1380</v>
      </c>
      <c r="D749" s="15"/>
      <c r="F749" s="42"/>
      <c r="H749" s="15"/>
      <c r="I749" s="15"/>
      <c r="J749" s="15"/>
      <c r="K749" s="15"/>
      <c r="L749" s="17"/>
      <c r="M749" s="17"/>
      <c r="N749" s="17"/>
      <c r="O749" s="16"/>
      <c r="P749" s="167"/>
      <c r="S749" s="193"/>
      <c r="T749" s="193"/>
      <c r="AS749" s="125" t="s">
        <v>948</v>
      </c>
      <c r="CA749" s="33"/>
    </row>
    <row r="750" spans="3:79" s="13" customFormat="1" ht="26.25" customHeight="1">
      <c r="C750" s="136" t="s">
        <v>876</v>
      </c>
      <c r="D750" s="15"/>
      <c r="F750" s="42"/>
      <c r="H750" s="15"/>
      <c r="I750" s="15"/>
      <c r="J750" s="15"/>
      <c r="K750" s="15"/>
      <c r="L750" s="17"/>
      <c r="M750" s="17"/>
      <c r="N750" s="17"/>
      <c r="O750" s="16"/>
      <c r="P750" s="167"/>
      <c r="S750" s="193"/>
      <c r="T750" s="193"/>
      <c r="AS750" s="125" t="s">
        <v>948</v>
      </c>
      <c r="CA750" s="33"/>
    </row>
    <row r="751" spans="3:79" s="13" customFormat="1" ht="26.25" customHeight="1">
      <c r="C751" s="136" t="s">
        <v>877</v>
      </c>
      <c r="D751" s="15"/>
      <c r="F751" s="42"/>
      <c r="H751" s="15"/>
      <c r="I751" s="15"/>
      <c r="J751" s="15"/>
      <c r="K751" s="15"/>
      <c r="L751" s="17"/>
      <c r="M751" s="17"/>
      <c r="N751" s="17"/>
      <c r="O751" s="16"/>
      <c r="P751" s="167"/>
      <c r="S751" s="193"/>
      <c r="T751" s="193"/>
      <c r="AS751" s="125" t="s">
        <v>948</v>
      </c>
      <c r="CA751" s="33"/>
    </row>
    <row r="752" spans="3:79" s="13" customFormat="1" ht="26.25" customHeight="1">
      <c r="C752" s="136" t="s">
        <v>1381</v>
      </c>
      <c r="D752" s="15"/>
      <c r="F752" s="42"/>
      <c r="H752" s="15"/>
      <c r="I752" s="15"/>
      <c r="J752" s="15"/>
      <c r="K752" s="15"/>
      <c r="L752" s="17"/>
      <c r="M752" s="17"/>
      <c r="N752" s="17"/>
      <c r="O752" s="16"/>
      <c r="P752" s="167"/>
      <c r="S752" s="193"/>
      <c r="T752" s="193"/>
      <c r="AS752" s="125" t="s">
        <v>948</v>
      </c>
      <c r="CA752" s="33"/>
    </row>
    <row r="753" spans="3:79" s="13" customFormat="1" ht="26.25" customHeight="1">
      <c r="C753" s="136" t="s">
        <v>1382</v>
      </c>
      <c r="D753" s="15"/>
      <c r="F753" s="42"/>
      <c r="H753" s="15"/>
      <c r="I753" s="15"/>
      <c r="J753" s="15"/>
      <c r="K753" s="15"/>
      <c r="L753" s="17"/>
      <c r="M753" s="17"/>
      <c r="N753" s="17"/>
      <c r="O753" s="16"/>
      <c r="P753" s="167"/>
      <c r="S753" s="193"/>
      <c r="T753" s="193"/>
      <c r="AS753" s="125" t="s">
        <v>948</v>
      </c>
      <c r="CA753" s="33"/>
    </row>
    <row r="754" spans="3:79" s="13" customFormat="1" ht="26.25" customHeight="1">
      <c r="C754" s="136" t="s">
        <v>1383</v>
      </c>
      <c r="D754" s="15"/>
      <c r="F754" s="42"/>
      <c r="H754" s="15"/>
      <c r="I754" s="15"/>
      <c r="J754" s="15"/>
      <c r="K754" s="15"/>
      <c r="L754" s="17"/>
      <c r="M754" s="17"/>
      <c r="N754" s="17"/>
      <c r="O754" s="16"/>
      <c r="P754" s="167"/>
      <c r="S754" s="193"/>
      <c r="T754" s="193"/>
      <c r="AS754" s="125" t="s">
        <v>948</v>
      </c>
      <c r="CA754" s="33"/>
    </row>
    <row r="755" spans="3:79" s="13" customFormat="1" ht="26.25" customHeight="1">
      <c r="C755" s="136" t="s">
        <v>1384</v>
      </c>
      <c r="D755" s="15"/>
      <c r="F755" s="42"/>
      <c r="H755" s="15"/>
      <c r="I755" s="15"/>
      <c r="J755" s="15"/>
      <c r="K755" s="15"/>
      <c r="L755" s="17"/>
      <c r="M755" s="17"/>
      <c r="N755" s="17"/>
      <c r="O755" s="16"/>
      <c r="P755" s="167"/>
      <c r="S755" s="193"/>
      <c r="T755" s="193"/>
      <c r="AS755" s="125" t="s">
        <v>948</v>
      </c>
      <c r="CA755" s="33"/>
    </row>
    <row r="756" spans="3:79" s="13" customFormat="1" ht="26.25" customHeight="1">
      <c r="C756" s="136" t="s">
        <v>984</v>
      </c>
      <c r="D756" s="15"/>
      <c r="F756" s="42"/>
      <c r="H756" s="15"/>
      <c r="I756" s="15"/>
      <c r="J756" s="15"/>
      <c r="K756" s="15"/>
      <c r="L756" s="17"/>
      <c r="M756" s="17"/>
      <c r="N756" s="17"/>
      <c r="O756" s="16"/>
      <c r="P756" s="167"/>
      <c r="S756" s="193"/>
      <c r="T756" s="193"/>
      <c r="AS756" s="125" t="s">
        <v>948</v>
      </c>
      <c r="CA756" s="33"/>
    </row>
    <row r="757" spans="3:79" s="13" customFormat="1" ht="26.25" customHeight="1">
      <c r="C757" s="136" t="s">
        <v>1385</v>
      </c>
      <c r="D757" s="15"/>
      <c r="F757" s="42"/>
      <c r="H757" s="15"/>
      <c r="I757" s="15"/>
      <c r="J757" s="15"/>
      <c r="K757" s="15"/>
      <c r="L757" s="17"/>
      <c r="M757" s="17"/>
      <c r="N757" s="17"/>
      <c r="O757" s="16"/>
      <c r="P757" s="167"/>
      <c r="S757" s="193"/>
      <c r="T757" s="193"/>
      <c r="AS757" s="125" t="s">
        <v>948</v>
      </c>
      <c r="CA757" s="33"/>
    </row>
    <row r="758" spans="3:79" s="13" customFormat="1" ht="26.25" customHeight="1">
      <c r="C758" s="136" t="s">
        <v>1387</v>
      </c>
      <c r="D758" s="15"/>
      <c r="F758" s="42"/>
      <c r="H758" s="15"/>
      <c r="I758" s="15"/>
      <c r="J758" s="15"/>
      <c r="K758" s="15"/>
      <c r="L758" s="17"/>
      <c r="M758" s="17"/>
      <c r="N758" s="17"/>
      <c r="O758" s="16"/>
      <c r="P758" s="167"/>
      <c r="S758" s="193"/>
      <c r="T758" s="193"/>
      <c r="AS758" s="125" t="s">
        <v>948</v>
      </c>
      <c r="CA758" s="33"/>
    </row>
    <row r="759" spans="3:79" s="13" customFormat="1" ht="26.25" customHeight="1">
      <c r="C759" s="136" t="s">
        <v>1388</v>
      </c>
      <c r="D759" s="15"/>
      <c r="F759" s="42"/>
      <c r="H759" s="15"/>
      <c r="I759" s="15"/>
      <c r="J759" s="15"/>
      <c r="K759" s="15"/>
      <c r="L759" s="17"/>
      <c r="M759" s="17"/>
      <c r="N759" s="17"/>
      <c r="O759" s="16"/>
      <c r="P759" s="167"/>
      <c r="S759" s="193"/>
      <c r="T759" s="193"/>
      <c r="AS759" s="125" t="s">
        <v>948</v>
      </c>
      <c r="CA759" s="33"/>
    </row>
    <row r="760" spans="3:79" s="13" customFormat="1" ht="26.25" customHeight="1">
      <c r="C760" s="136" t="s">
        <v>1390</v>
      </c>
      <c r="D760" s="15"/>
      <c r="F760" s="42"/>
      <c r="H760" s="15"/>
      <c r="I760" s="15"/>
      <c r="J760" s="15"/>
      <c r="K760" s="15"/>
      <c r="L760" s="17"/>
      <c r="M760" s="17"/>
      <c r="N760" s="17"/>
      <c r="O760" s="16"/>
      <c r="P760" s="167"/>
      <c r="S760" s="193"/>
      <c r="T760" s="193"/>
      <c r="AS760" s="125" t="s">
        <v>948</v>
      </c>
      <c r="CA760" s="33"/>
    </row>
    <row r="761" spans="3:79" s="13" customFormat="1" ht="26.25" customHeight="1">
      <c r="C761" s="136" t="s">
        <v>1391</v>
      </c>
      <c r="D761" s="15"/>
      <c r="F761" s="42"/>
      <c r="H761" s="15"/>
      <c r="I761" s="15"/>
      <c r="J761" s="15"/>
      <c r="K761" s="15"/>
      <c r="L761" s="17"/>
      <c r="M761" s="17"/>
      <c r="N761" s="17"/>
      <c r="O761" s="16"/>
      <c r="P761" s="167"/>
      <c r="S761" s="193"/>
      <c r="T761" s="193"/>
      <c r="AS761" s="125" t="s">
        <v>948</v>
      </c>
      <c r="CA761" s="33"/>
    </row>
    <row r="762" spans="3:79" s="13" customFormat="1" ht="26.25" customHeight="1">
      <c r="C762" s="136" t="s">
        <v>1392</v>
      </c>
      <c r="D762" s="15"/>
      <c r="F762" s="42"/>
      <c r="H762" s="15"/>
      <c r="I762" s="15"/>
      <c r="J762" s="15"/>
      <c r="K762" s="15"/>
      <c r="L762" s="17"/>
      <c r="M762" s="17"/>
      <c r="N762" s="17"/>
      <c r="O762" s="16"/>
      <c r="P762" s="167"/>
      <c r="S762" s="193"/>
      <c r="T762" s="193"/>
      <c r="AS762" s="125" t="s">
        <v>948</v>
      </c>
      <c r="CA762" s="33"/>
    </row>
    <row r="763" spans="3:79" s="13" customFormat="1" ht="26.25" customHeight="1">
      <c r="C763" s="136" t="s">
        <v>1393</v>
      </c>
      <c r="D763" s="15"/>
      <c r="F763" s="42"/>
      <c r="H763" s="15"/>
      <c r="I763" s="15"/>
      <c r="J763" s="15"/>
      <c r="K763" s="15"/>
      <c r="L763" s="17"/>
      <c r="M763" s="17"/>
      <c r="N763" s="17"/>
      <c r="O763" s="16"/>
      <c r="P763" s="167"/>
      <c r="S763" s="193"/>
      <c r="T763" s="193"/>
      <c r="AS763" s="125" t="s">
        <v>948</v>
      </c>
      <c r="CA763" s="33"/>
    </row>
    <row r="764" spans="3:79" s="13" customFormat="1" ht="26.25" customHeight="1">
      <c r="C764" s="136" t="s">
        <v>1394</v>
      </c>
      <c r="D764" s="15"/>
      <c r="F764" s="42"/>
      <c r="H764" s="15"/>
      <c r="I764" s="15"/>
      <c r="J764" s="15"/>
      <c r="K764" s="15"/>
      <c r="L764" s="17"/>
      <c r="M764" s="17"/>
      <c r="N764" s="17"/>
      <c r="O764" s="16"/>
      <c r="P764" s="167"/>
      <c r="S764" s="193"/>
      <c r="T764" s="193"/>
      <c r="AS764" s="125" t="s">
        <v>948</v>
      </c>
      <c r="CA764" s="33"/>
    </row>
    <row r="765" spans="3:79" s="13" customFormat="1" ht="26.25" customHeight="1">
      <c r="C765" s="136" t="s">
        <v>1395</v>
      </c>
      <c r="D765" s="15"/>
      <c r="F765" s="42"/>
      <c r="H765" s="15"/>
      <c r="I765" s="15"/>
      <c r="J765" s="15"/>
      <c r="K765" s="15"/>
      <c r="L765" s="17"/>
      <c r="M765" s="17"/>
      <c r="N765" s="17"/>
      <c r="O765" s="16"/>
      <c r="P765" s="167"/>
      <c r="S765" s="193"/>
      <c r="T765" s="193"/>
      <c r="AS765" s="125" t="s">
        <v>948</v>
      </c>
      <c r="CA765" s="33"/>
    </row>
    <row r="766" spans="3:79" s="13" customFormat="1" ht="26.25" customHeight="1">
      <c r="C766" s="136" t="s">
        <v>1396</v>
      </c>
      <c r="D766" s="15"/>
      <c r="F766" s="42"/>
      <c r="H766" s="15"/>
      <c r="I766" s="15"/>
      <c r="J766" s="15"/>
      <c r="K766" s="15"/>
      <c r="L766" s="17"/>
      <c r="M766" s="17"/>
      <c r="N766" s="17"/>
      <c r="O766" s="16"/>
      <c r="P766" s="167"/>
      <c r="S766" s="193"/>
      <c r="T766" s="193"/>
      <c r="AS766" s="125" t="s">
        <v>948</v>
      </c>
      <c r="CA766" s="33"/>
    </row>
    <row r="767" spans="3:79" s="13" customFormat="1" ht="26.25" customHeight="1">
      <c r="C767" s="136" t="s">
        <v>1397</v>
      </c>
      <c r="D767" s="15"/>
      <c r="F767" s="42"/>
      <c r="H767" s="15"/>
      <c r="I767" s="15"/>
      <c r="J767" s="15"/>
      <c r="K767" s="15"/>
      <c r="L767" s="17"/>
      <c r="M767" s="17"/>
      <c r="N767" s="17"/>
      <c r="O767" s="16"/>
      <c r="P767" s="167"/>
      <c r="S767" s="193"/>
      <c r="T767" s="193"/>
      <c r="AS767" s="125" t="s">
        <v>948</v>
      </c>
      <c r="CA767" s="33"/>
    </row>
    <row r="768" spans="3:79" s="13" customFormat="1" ht="26.25" customHeight="1">
      <c r="C768" s="136" t="s">
        <v>826</v>
      </c>
      <c r="D768" s="15"/>
      <c r="F768" s="42"/>
      <c r="H768" s="15"/>
      <c r="I768" s="15"/>
      <c r="J768" s="15"/>
      <c r="K768" s="15"/>
      <c r="L768" s="17"/>
      <c r="M768" s="17"/>
      <c r="N768" s="17"/>
      <c r="O768" s="16"/>
      <c r="P768" s="167"/>
      <c r="S768" s="193"/>
      <c r="T768" s="193"/>
      <c r="AS768" s="125" t="s">
        <v>948</v>
      </c>
      <c r="CA768" s="33"/>
    </row>
    <row r="769" spans="3:79" s="13" customFormat="1" ht="26.25" customHeight="1">
      <c r="C769" s="136" t="s">
        <v>1086</v>
      </c>
      <c r="D769" s="15"/>
      <c r="F769" s="42"/>
      <c r="H769" s="15"/>
      <c r="I769" s="15"/>
      <c r="J769" s="15"/>
      <c r="K769" s="15"/>
      <c r="L769" s="17"/>
      <c r="M769" s="17"/>
      <c r="N769" s="17"/>
      <c r="O769" s="16"/>
      <c r="P769" s="167"/>
      <c r="S769" s="193"/>
      <c r="T769" s="193"/>
      <c r="AS769" s="125" t="s">
        <v>948</v>
      </c>
      <c r="CA769" s="33"/>
    </row>
    <row r="770" spans="3:79" s="13" customFormat="1" ht="26.25" customHeight="1">
      <c r="C770" s="136" t="s">
        <v>1398</v>
      </c>
      <c r="D770" s="15"/>
      <c r="F770" s="42"/>
      <c r="H770" s="15"/>
      <c r="I770" s="15"/>
      <c r="J770" s="15"/>
      <c r="K770" s="15"/>
      <c r="L770" s="17"/>
      <c r="M770" s="17"/>
      <c r="N770" s="17"/>
      <c r="O770" s="16"/>
      <c r="P770" s="167"/>
      <c r="S770" s="193"/>
      <c r="T770" s="193"/>
      <c r="AS770" s="125" t="s">
        <v>948</v>
      </c>
      <c r="CA770" s="33"/>
    </row>
    <row r="771" spans="3:79" s="13" customFormat="1" ht="26.25" customHeight="1">
      <c r="C771" s="136" t="s">
        <v>1399</v>
      </c>
      <c r="D771" s="15"/>
      <c r="F771" s="42"/>
      <c r="H771" s="15"/>
      <c r="I771" s="15"/>
      <c r="J771" s="15"/>
      <c r="K771" s="15"/>
      <c r="L771" s="17"/>
      <c r="M771" s="17"/>
      <c r="N771" s="17"/>
      <c r="O771" s="16"/>
      <c r="P771" s="167"/>
      <c r="S771" s="193"/>
      <c r="T771" s="193"/>
      <c r="AS771" s="125" t="s">
        <v>948</v>
      </c>
      <c r="CA771" s="33"/>
    </row>
    <row r="772" spans="3:79" s="13" customFormat="1" ht="26.25" customHeight="1">
      <c r="C772" s="136" t="s">
        <v>1400</v>
      </c>
      <c r="D772" s="15"/>
      <c r="F772" s="42"/>
      <c r="H772" s="15"/>
      <c r="I772" s="15"/>
      <c r="J772" s="15"/>
      <c r="K772" s="15"/>
      <c r="L772" s="17"/>
      <c r="M772" s="17"/>
      <c r="N772" s="17"/>
      <c r="O772" s="16"/>
      <c r="P772" s="167"/>
      <c r="S772" s="193"/>
      <c r="T772" s="193"/>
      <c r="AS772" s="125" t="s">
        <v>948</v>
      </c>
      <c r="CA772" s="33"/>
    </row>
    <row r="773" spans="3:79" s="13" customFormat="1" ht="26.25" customHeight="1">
      <c r="C773" s="136" t="s">
        <v>829</v>
      </c>
      <c r="D773" s="15"/>
      <c r="F773" s="42"/>
      <c r="H773" s="15"/>
      <c r="I773" s="15"/>
      <c r="J773" s="15"/>
      <c r="K773" s="15"/>
      <c r="L773" s="17"/>
      <c r="M773" s="17"/>
      <c r="N773" s="17"/>
      <c r="O773" s="16"/>
      <c r="P773" s="167"/>
      <c r="S773" s="193"/>
      <c r="T773" s="193"/>
      <c r="AS773" s="125" t="s">
        <v>948</v>
      </c>
      <c r="CA773" s="33"/>
    </row>
    <row r="774" spans="3:79" s="13" customFormat="1" ht="26.25" customHeight="1">
      <c r="C774" s="136" t="s">
        <v>831</v>
      </c>
      <c r="D774" s="15"/>
      <c r="F774" s="42"/>
      <c r="H774" s="15"/>
      <c r="I774" s="15"/>
      <c r="J774" s="15"/>
      <c r="K774" s="15"/>
      <c r="L774" s="17"/>
      <c r="M774" s="17"/>
      <c r="N774" s="17"/>
      <c r="O774" s="16"/>
      <c r="P774" s="167"/>
      <c r="S774" s="193"/>
      <c r="T774" s="193"/>
      <c r="AS774" s="125" t="s">
        <v>948</v>
      </c>
      <c r="CA774" s="33"/>
    </row>
    <row r="775" spans="3:79" s="13" customFormat="1" ht="26.25" customHeight="1">
      <c r="C775" s="136" t="s">
        <v>833</v>
      </c>
      <c r="D775" s="15"/>
      <c r="F775" s="42"/>
      <c r="H775" s="15"/>
      <c r="I775" s="15"/>
      <c r="J775" s="15"/>
      <c r="K775" s="15"/>
      <c r="L775" s="17"/>
      <c r="M775" s="17"/>
      <c r="N775" s="17"/>
      <c r="O775" s="16"/>
      <c r="P775" s="167"/>
      <c r="S775" s="193"/>
      <c r="T775" s="193"/>
      <c r="AS775" s="125" t="s">
        <v>948</v>
      </c>
      <c r="CA775" s="33"/>
    </row>
    <row r="776" spans="3:79" s="13" customFormat="1" ht="26.25" customHeight="1">
      <c r="C776" s="136" t="s">
        <v>864</v>
      </c>
      <c r="D776" s="15"/>
      <c r="F776" s="42"/>
      <c r="H776" s="15"/>
      <c r="I776" s="15"/>
      <c r="J776" s="15"/>
      <c r="K776" s="15"/>
      <c r="L776" s="17"/>
      <c r="M776" s="17"/>
      <c r="N776" s="17"/>
      <c r="O776" s="16"/>
      <c r="P776" s="167"/>
      <c r="S776" s="193"/>
      <c r="T776" s="193"/>
      <c r="AS776" s="125" t="s">
        <v>948</v>
      </c>
      <c r="CA776" s="33"/>
    </row>
    <row r="777" spans="3:79" s="13" customFormat="1" ht="26.25" customHeight="1">
      <c r="C777" s="136" t="s">
        <v>1146</v>
      </c>
      <c r="D777" s="15"/>
      <c r="F777" s="42"/>
      <c r="H777" s="15"/>
      <c r="I777" s="15"/>
      <c r="J777" s="15"/>
      <c r="K777" s="15"/>
      <c r="L777" s="17"/>
      <c r="M777" s="17"/>
      <c r="N777" s="17"/>
      <c r="O777" s="16"/>
      <c r="P777" s="167"/>
      <c r="S777" s="193"/>
      <c r="T777" s="193"/>
      <c r="AS777" s="125" t="s">
        <v>948</v>
      </c>
      <c r="CA777" s="33"/>
    </row>
    <row r="778" spans="3:79" s="13" customFormat="1" ht="26.25" customHeight="1">
      <c r="C778" s="136" t="s">
        <v>1116</v>
      </c>
      <c r="D778" s="15"/>
      <c r="F778" s="42"/>
      <c r="H778" s="15"/>
      <c r="I778" s="15"/>
      <c r="J778" s="15"/>
      <c r="K778" s="15"/>
      <c r="L778" s="17"/>
      <c r="M778" s="17"/>
      <c r="N778" s="17"/>
      <c r="O778" s="16"/>
      <c r="P778" s="167"/>
      <c r="S778" s="193"/>
      <c r="T778" s="193"/>
      <c r="AS778" s="125" t="s">
        <v>948</v>
      </c>
      <c r="CA778" s="33"/>
    </row>
    <row r="779" spans="3:79" s="13" customFormat="1" ht="26.25" customHeight="1">
      <c r="C779" s="136" t="s">
        <v>1144</v>
      </c>
      <c r="D779" s="15"/>
      <c r="F779" s="42"/>
      <c r="H779" s="15"/>
      <c r="I779" s="15"/>
      <c r="J779" s="15"/>
      <c r="K779" s="15"/>
      <c r="L779" s="17"/>
      <c r="M779" s="17"/>
      <c r="N779" s="17"/>
      <c r="O779" s="16" t="s">
        <v>621</v>
      </c>
      <c r="P779" s="167"/>
      <c r="S779" s="193"/>
      <c r="T779" s="193"/>
      <c r="AS779" s="125" t="s">
        <v>948</v>
      </c>
      <c r="CA779" s="33"/>
    </row>
    <row r="780" spans="3:79" s="13" customFormat="1" ht="26.25" customHeight="1">
      <c r="C780" s="136" t="s">
        <v>1031</v>
      </c>
      <c r="D780" s="15"/>
      <c r="F780" s="42"/>
      <c r="H780" s="15"/>
      <c r="I780" s="15"/>
      <c r="J780" s="15"/>
      <c r="K780" s="15"/>
      <c r="L780" s="17"/>
      <c r="M780" s="17"/>
      <c r="N780" s="17"/>
      <c r="O780" s="16"/>
      <c r="P780" s="167"/>
      <c r="S780" s="193"/>
      <c r="T780" s="193"/>
      <c r="AS780" s="123" t="s">
        <v>949</v>
      </c>
      <c r="CA780" s="33"/>
    </row>
    <row r="781" spans="3:79" s="13" customFormat="1" ht="26.25" customHeight="1">
      <c r="C781" s="136" t="s">
        <v>1401</v>
      </c>
      <c r="D781" s="15"/>
      <c r="F781" s="42"/>
      <c r="H781" s="15"/>
      <c r="I781" s="15"/>
      <c r="J781" s="15"/>
      <c r="K781" s="15"/>
      <c r="L781" s="17"/>
      <c r="M781" s="17"/>
      <c r="N781" s="17"/>
      <c r="O781" s="16"/>
      <c r="P781" s="167"/>
      <c r="S781" s="193"/>
      <c r="T781" s="193"/>
      <c r="AS781" s="125" t="s">
        <v>948</v>
      </c>
      <c r="CA781" s="33"/>
    </row>
    <row r="782" spans="3:79" s="13" customFormat="1" ht="26.25" customHeight="1">
      <c r="C782" s="136" t="s">
        <v>1402</v>
      </c>
      <c r="D782" s="15"/>
      <c r="F782" s="42"/>
      <c r="H782" s="15"/>
      <c r="I782" s="15"/>
      <c r="J782" s="15"/>
      <c r="K782" s="15"/>
      <c r="L782" s="17"/>
      <c r="M782" s="17"/>
      <c r="N782" s="17"/>
      <c r="O782" s="16"/>
      <c r="P782" s="167"/>
      <c r="S782" s="193"/>
      <c r="T782" s="193"/>
      <c r="AS782" s="125" t="s">
        <v>948</v>
      </c>
      <c r="CA782" s="33"/>
    </row>
    <row r="783" spans="3:79" s="13" customFormat="1" ht="26.25" customHeight="1">
      <c r="C783" s="136" t="s">
        <v>1403</v>
      </c>
      <c r="D783" s="15"/>
      <c r="F783" s="42"/>
      <c r="H783" s="15"/>
      <c r="I783" s="15"/>
      <c r="J783" s="15"/>
      <c r="K783" s="15"/>
      <c r="L783" s="17"/>
      <c r="M783" s="17"/>
      <c r="N783" s="17"/>
      <c r="O783" s="16"/>
      <c r="P783" s="167"/>
      <c r="S783" s="193"/>
      <c r="T783" s="193"/>
      <c r="AS783" s="125" t="s">
        <v>948</v>
      </c>
      <c r="CA783" s="33"/>
    </row>
    <row r="784" spans="3:79" s="13" customFormat="1" ht="26.25" customHeight="1">
      <c r="C784" s="136" t="s">
        <v>1404</v>
      </c>
      <c r="D784" s="15"/>
      <c r="F784" s="42"/>
      <c r="H784" s="15"/>
      <c r="I784" s="15"/>
      <c r="J784" s="15"/>
      <c r="K784" s="15"/>
      <c r="L784" s="17"/>
      <c r="M784" s="17"/>
      <c r="N784" s="17"/>
      <c r="O784" s="16" t="s">
        <v>621</v>
      </c>
      <c r="P784" s="167"/>
      <c r="S784" s="193"/>
      <c r="T784" s="193"/>
      <c r="AS784" s="125" t="s">
        <v>948</v>
      </c>
      <c r="CA784" s="33"/>
    </row>
    <row r="785" spans="3:79" s="13" customFormat="1" ht="26.25" customHeight="1">
      <c r="C785" s="136" t="s">
        <v>1405</v>
      </c>
      <c r="D785" s="15"/>
      <c r="F785" s="42"/>
      <c r="H785" s="15"/>
      <c r="I785" s="15"/>
      <c r="J785" s="15"/>
      <c r="K785" s="15"/>
      <c r="L785" s="17"/>
      <c r="M785" s="17"/>
      <c r="N785" s="17"/>
      <c r="O785" s="16" t="s">
        <v>621</v>
      </c>
      <c r="P785" s="167"/>
      <c r="S785" s="193"/>
      <c r="T785" s="193"/>
      <c r="AS785" s="125" t="s">
        <v>948</v>
      </c>
      <c r="CA785" s="33"/>
    </row>
    <row r="786" spans="3:79" s="13" customFormat="1" ht="26.25" customHeight="1">
      <c r="C786" s="136" t="s">
        <v>1145</v>
      </c>
      <c r="D786" s="15"/>
      <c r="F786" s="42"/>
      <c r="H786" s="15"/>
      <c r="I786" s="15"/>
      <c r="J786" s="15"/>
      <c r="K786" s="15"/>
      <c r="L786" s="17"/>
      <c r="M786" s="17"/>
      <c r="N786" s="17"/>
      <c r="O786" s="16" t="s">
        <v>724</v>
      </c>
      <c r="P786" s="167"/>
      <c r="S786" s="193"/>
      <c r="T786" s="193"/>
      <c r="AS786" s="125" t="s">
        <v>948</v>
      </c>
      <c r="CA786" s="33"/>
    </row>
    <row r="787" spans="3:79" s="13" customFormat="1" ht="26.25" customHeight="1">
      <c r="C787" s="136" t="s">
        <v>867</v>
      </c>
      <c r="D787" s="15"/>
      <c r="F787" s="42"/>
      <c r="H787" s="15"/>
      <c r="I787" s="15"/>
      <c r="J787" s="15"/>
      <c r="K787" s="15"/>
      <c r="L787" s="17"/>
      <c r="M787" s="17"/>
      <c r="N787" s="17"/>
      <c r="O787" s="16" t="s">
        <v>722</v>
      </c>
      <c r="P787" s="167"/>
      <c r="S787" s="193"/>
      <c r="T787" s="193"/>
      <c r="AS787" s="125" t="s">
        <v>948</v>
      </c>
      <c r="CA787" s="33"/>
    </row>
    <row r="788" spans="3:79" s="13" customFormat="1" ht="26.25" customHeight="1">
      <c r="C788" s="136" t="s">
        <v>1147</v>
      </c>
      <c r="D788" s="15"/>
      <c r="F788" s="42"/>
      <c r="H788" s="15"/>
      <c r="I788" s="15"/>
      <c r="J788" s="15"/>
      <c r="K788" s="15"/>
      <c r="L788" s="17"/>
      <c r="M788" s="17"/>
      <c r="N788" s="17"/>
      <c r="O788" s="16" t="s">
        <v>722</v>
      </c>
      <c r="P788" s="167"/>
      <c r="S788" s="193"/>
      <c r="T788" s="193"/>
      <c r="AS788" s="125" t="s">
        <v>948</v>
      </c>
      <c r="CA788" s="33"/>
    </row>
    <row r="789" spans="3:79" s="13" customFormat="1" ht="26.25" customHeight="1">
      <c r="C789" s="136" t="s">
        <v>868</v>
      </c>
      <c r="D789" s="15"/>
      <c r="F789" s="42"/>
      <c r="H789" s="15"/>
      <c r="I789" s="15"/>
      <c r="J789" s="15"/>
      <c r="K789" s="15"/>
      <c r="L789" s="17"/>
      <c r="M789" s="17"/>
      <c r="N789" s="17"/>
      <c r="O789" s="16" t="s">
        <v>724</v>
      </c>
      <c r="P789" s="167"/>
      <c r="S789" s="193"/>
      <c r="T789" s="193"/>
      <c r="AS789" s="125" t="s">
        <v>948</v>
      </c>
      <c r="CA789" s="33"/>
    </row>
    <row r="790" spans="3:79" s="13" customFormat="1" ht="26.25" customHeight="1">
      <c r="C790" s="136" t="s">
        <v>871</v>
      </c>
      <c r="D790" s="15"/>
      <c r="F790" s="42"/>
      <c r="H790" s="15"/>
      <c r="I790" s="15"/>
      <c r="J790" s="15"/>
      <c r="K790" s="15"/>
      <c r="L790" s="17"/>
      <c r="M790" s="17"/>
      <c r="N790" s="17"/>
      <c r="O790" s="16" t="s">
        <v>721</v>
      </c>
      <c r="P790" s="167"/>
      <c r="S790" s="193"/>
      <c r="T790" s="193"/>
      <c r="AS790" s="125" t="s">
        <v>948</v>
      </c>
      <c r="CA790" s="33"/>
    </row>
    <row r="791" spans="3:79" s="13" customFormat="1" ht="26.25" customHeight="1">
      <c r="C791" s="136" t="s">
        <v>881</v>
      </c>
      <c r="D791" s="15"/>
      <c r="F791" s="42"/>
      <c r="H791" s="15"/>
      <c r="I791" s="15"/>
      <c r="J791" s="15"/>
      <c r="K791" s="15"/>
      <c r="L791" s="17"/>
      <c r="M791" s="17"/>
      <c r="N791" s="17"/>
      <c r="O791" s="16" t="s">
        <v>722</v>
      </c>
      <c r="P791" s="167"/>
      <c r="S791" s="193"/>
      <c r="T791" s="193"/>
      <c r="AS791" s="125" t="s">
        <v>948</v>
      </c>
      <c r="CA791" s="33"/>
    </row>
    <row r="792" spans="3:79" s="13" customFormat="1" ht="26.25" customHeight="1">
      <c r="C792" s="136" t="s">
        <v>1412</v>
      </c>
      <c r="D792" s="15"/>
      <c r="F792" s="42"/>
      <c r="H792" s="15"/>
      <c r="I792" s="15"/>
      <c r="J792" s="15"/>
      <c r="K792" s="15"/>
      <c r="L792" s="17"/>
      <c r="M792" s="17"/>
      <c r="N792" s="17"/>
      <c r="O792" s="16" t="s">
        <v>724</v>
      </c>
      <c r="P792" s="167"/>
      <c r="S792" s="193"/>
      <c r="T792" s="193"/>
      <c r="AS792" s="125" t="s">
        <v>948</v>
      </c>
      <c r="CA792" s="33"/>
    </row>
    <row r="793" spans="3:79" s="13" customFormat="1" ht="26.25" customHeight="1">
      <c r="C793" s="136" t="s">
        <v>1413</v>
      </c>
      <c r="D793" s="15"/>
      <c r="F793" s="42"/>
      <c r="H793" s="15"/>
      <c r="I793" s="15"/>
      <c r="J793" s="15"/>
      <c r="K793" s="15"/>
      <c r="L793" s="17"/>
      <c r="M793" s="17"/>
      <c r="N793" s="17"/>
      <c r="O793" s="16" t="s">
        <v>621</v>
      </c>
      <c r="P793" s="167"/>
      <c r="S793" s="193"/>
      <c r="T793" s="193"/>
      <c r="AS793" s="125" t="s">
        <v>948</v>
      </c>
      <c r="CA793" s="33"/>
    </row>
    <row r="794" spans="3:79" s="13" customFormat="1" ht="26.25" customHeight="1">
      <c r="C794" s="136" t="s">
        <v>1414</v>
      </c>
      <c r="D794" s="15"/>
      <c r="F794" s="42"/>
      <c r="H794" s="15"/>
      <c r="I794" s="15"/>
      <c r="J794" s="15"/>
      <c r="K794" s="15"/>
      <c r="L794" s="17"/>
      <c r="M794" s="17"/>
      <c r="N794" s="17"/>
      <c r="O794" s="16" t="s">
        <v>621</v>
      </c>
      <c r="P794" s="167"/>
      <c r="S794" s="193"/>
      <c r="T794" s="193"/>
      <c r="AS794" s="125" t="s">
        <v>948</v>
      </c>
      <c r="CA794" s="33"/>
    </row>
    <row r="795" spans="3:79" s="13" customFormat="1" ht="26.25" customHeight="1">
      <c r="C795" s="136" t="s">
        <v>1415</v>
      </c>
      <c r="D795" s="15"/>
      <c r="F795" s="42"/>
      <c r="H795" s="15"/>
      <c r="I795" s="15"/>
      <c r="J795" s="15"/>
      <c r="K795" s="15"/>
      <c r="L795" s="17"/>
      <c r="M795" s="17"/>
      <c r="N795" s="17"/>
      <c r="O795" s="16"/>
      <c r="P795" s="167"/>
      <c r="S795" s="193"/>
      <c r="T795" s="193"/>
      <c r="AS795" s="125" t="s">
        <v>948</v>
      </c>
      <c r="CA795" s="33"/>
    </row>
    <row r="796" spans="3:79" s="13" customFormat="1" ht="26.25" customHeight="1">
      <c r="C796" s="136" t="s">
        <v>1416</v>
      </c>
      <c r="D796" s="15"/>
      <c r="F796" s="42"/>
      <c r="H796" s="15"/>
      <c r="I796" s="15"/>
      <c r="J796" s="15"/>
      <c r="K796" s="15"/>
      <c r="L796" s="17"/>
      <c r="M796" s="17"/>
      <c r="N796" s="17"/>
      <c r="O796" s="16" t="s">
        <v>621</v>
      </c>
      <c r="P796" s="167"/>
      <c r="S796" s="193"/>
      <c r="T796" s="193"/>
      <c r="AS796" s="125" t="s">
        <v>948</v>
      </c>
      <c r="CA796" s="33"/>
    </row>
    <row r="797" spans="3:79" s="13" customFormat="1" ht="26.25" customHeight="1">
      <c r="C797" s="136" t="s">
        <v>1417</v>
      </c>
      <c r="D797" s="15"/>
      <c r="F797" s="42"/>
      <c r="H797" s="15"/>
      <c r="I797" s="15"/>
      <c r="J797" s="15"/>
      <c r="K797" s="15"/>
      <c r="L797" s="17"/>
      <c r="M797" s="17"/>
      <c r="N797" s="17"/>
      <c r="O797" s="16" t="s">
        <v>621</v>
      </c>
      <c r="P797" s="167"/>
      <c r="S797" s="193"/>
      <c r="T797" s="193"/>
      <c r="AS797" s="125" t="s">
        <v>948</v>
      </c>
      <c r="CA797" s="33"/>
    </row>
    <row r="798" spans="3:79" s="13" customFormat="1" ht="26.25" customHeight="1">
      <c r="C798" s="136" t="s">
        <v>1418</v>
      </c>
      <c r="D798" s="15"/>
      <c r="F798" s="42"/>
      <c r="H798" s="15"/>
      <c r="I798" s="15"/>
      <c r="J798" s="15"/>
      <c r="K798" s="15"/>
      <c r="L798" s="17"/>
      <c r="M798" s="17"/>
      <c r="N798" s="17"/>
      <c r="O798" s="16" t="s">
        <v>621</v>
      </c>
      <c r="P798" s="167"/>
      <c r="S798" s="193"/>
      <c r="T798" s="193"/>
      <c r="AS798" s="125" t="s">
        <v>948</v>
      </c>
      <c r="CA798" s="33"/>
    </row>
    <row r="799" spans="3:79" s="13" customFormat="1" ht="26.25" customHeight="1">
      <c r="C799" s="136" t="s">
        <v>1419</v>
      </c>
      <c r="D799" s="15"/>
      <c r="F799" s="42"/>
      <c r="H799" s="15"/>
      <c r="I799" s="15"/>
      <c r="J799" s="15"/>
      <c r="K799" s="15"/>
      <c r="L799" s="17"/>
      <c r="M799" s="17"/>
      <c r="N799" s="17"/>
      <c r="O799" s="16" t="s">
        <v>621</v>
      </c>
      <c r="P799" s="167"/>
      <c r="S799" s="193"/>
      <c r="T799" s="193"/>
      <c r="AS799" s="125" t="s">
        <v>948</v>
      </c>
      <c r="CA799" s="33"/>
    </row>
    <row r="800" spans="3:79" s="13" customFormat="1" ht="26.25" customHeight="1">
      <c r="C800" s="136" t="s">
        <v>1420</v>
      </c>
      <c r="D800" s="15"/>
      <c r="F800" s="42"/>
      <c r="H800" s="15"/>
      <c r="I800" s="15"/>
      <c r="J800" s="15"/>
      <c r="K800" s="15"/>
      <c r="L800" s="17"/>
      <c r="M800" s="17"/>
      <c r="N800" s="17"/>
      <c r="O800" s="16" t="s">
        <v>621</v>
      </c>
      <c r="P800" s="167"/>
      <c r="S800" s="193"/>
      <c r="T800" s="193"/>
      <c r="AS800" s="125" t="s">
        <v>948</v>
      </c>
      <c r="CA800" s="33"/>
    </row>
    <row r="801" spans="3:79" s="13" customFormat="1" ht="26.25" customHeight="1">
      <c r="C801" s="136" t="s">
        <v>1421</v>
      </c>
      <c r="D801" s="15"/>
      <c r="F801" s="42"/>
      <c r="H801" s="15"/>
      <c r="I801" s="15"/>
      <c r="J801" s="15"/>
      <c r="K801" s="15"/>
      <c r="L801" s="17"/>
      <c r="M801" s="17"/>
      <c r="N801" s="17"/>
      <c r="O801" s="16" t="s">
        <v>621</v>
      </c>
      <c r="P801" s="167"/>
      <c r="S801" s="193"/>
      <c r="T801" s="193"/>
      <c r="AS801" s="125" t="s">
        <v>948</v>
      </c>
      <c r="CA801" s="33"/>
    </row>
    <row r="802" spans="3:79" s="13" customFormat="1" ht="26.25" customHeight="1">
      <c r="C802" s="136" t="s">
        <v>1422</v>
      </c>
      <c r="D802" s="15"/>
      <c r="F802" s="42"/>
      <c r="H802" s="15"/>
      <c r="I802" s="15"/>
      <c r="J802" s="15"/>
      <c r="K802" s="15"/>
      <c r="L802" s="17"/>
      <c r="M802" s="17"/>
      <c r="N802" s="17"/>
      <c r="O802" s="16" t="s">
        <v>621</v>
      </c>
      <c r="P802" s="167"/>
      <c r="S802" s="193"/>
      <c r="T802" s="193"/>
      <c r="AS802" s="125" t="s">
        <v>948</v>
      </c>
      <c r="CA802" s="33"/>
    </row>
    <row r="803" spans="3:79" s="13" customFormat="1" ht="26.25" customHeight="1">
      <c r="C803" s="136" t="s">
        <v>888</v>
      </c>
      <c r="D803" s="15"/>
      <c r="F803" s="42"/>
      <c r="H803" s="15"/>
      <c r="I803" s="15"/>
      <c r="J803" s="15"/>
      <c r="K803" s="15"/>
      <c r="L803" s="17"/>
      <c r="M803" s="17"/>
      <c r="N803" s="17"/>
      <c r="O803" s="16" t="s">
        <v>621</v>
      </c>
      <c r="P803" s="167"/>
      <c r="S803" s="193"/>
      <c r="T803" s="193"/>
      <c r="AS803" s="125" t="s">
        <v>948</v>
      </c>
      <c r="CA803" s="33"/>
    </row>
    <row r="804" spans="3:79" s="13" customFormat="1" ht="26.25" customHeight="1">
      <c r="C804" s="136" t="s">
        <v>1423</v>
      </c>
      <c r="D804" s="15"/>
      <c r="F804" s="42"/>
      <c r="H804" s="15"/>
      <c r="I804" s="15"/>
      <c r="J804" s="15"/>
      <c r="K804" s="15"/>
      <c r="L804" s="17"/>
      <c r="M804" s="17"/>
      <c r="N804" s="17"/>
      <c r="O804" s="16"/>
      <c r="P804" s="167"/>
      <c r="S804" s="193"/>
      <c r="T804" s="193"/>
      <c r="AS804" s="125" t="s">
        <v>948</v>
      </c>
      <c r="CA804" s="33"/>
    </row>
    <row r="805" spans="3:79" s="13" customFormat="1" ht="26.25" customHeight="1">
      <c r="C805" s="136" t="s">
        <v>889</v>
      </c>
      <c r="D805" s="15"/>
      <c r="F805" s="42"/>
      <c r="H805" s="15"/>
      <c r="I805" s="15"/>
      <c r="J805" s="15"/>
      <c r="K805" s="15"/>
      <c r="L805" s="17"/>
      <c r="M805" s="17"/>
      <c r="N805" s="17"/>
      <c r="O805" s="16" t="s">
        <v>621</v>
      </c>
      <c r="P805" s="167"/>
      <c r="S805" s="193"/>
      <c r="T805" s="193"/>
      <c r="AS805" s="125" t="s">
        <v>948</v>
      </c>
      <c r="CA805" s="33"/>
    </row>
    <row r="806" spans="3:79" s="13" customFormat="1" ht="26.25" customHeight="1">
      <c r="C806" s="136" t="s">
        <v>1150</v>
      </c>
      <c r="D806" s="15"/>
      <c r="F806" s="42"/>
      <c r="H806" s="15"/>
      <c r="I806" s="15"/>
      <c r="J806" s="15"/>
      <c r="K806" s="15"/>
      <c r="L806" s="17"/>
      <c r="M806" s="17"/>
      <c r="N806" s="17"/>
      <c r="O806" s="16" t="s">
        <v>621</v>
      </c>
      <c r="P806" s="167"/>
      <c r="S806" s="193"/>
      <c r="T806" s="193"/>
      <c r="AS806" s="125" t="s">
        <v>948</v>
      </c>
      <c r="CA806" s="33"/>
    </row>
    <row r="807" spans="3:79" s="13" customFormat="1" ht="26.25" customHeight="1">
      <c r="C807" s="136" t="s">
        <v>1001</v>
      </c>
      <c r="D807" s="15"/>
      <c r="F807" s="42"/>
      <c r="H807" s="15"/>
      <c r="I807" s="15"/>
      <c r="J807" s="15"/>
      <c r="K807" s="15"/>
      <c r="L807" s="17"/>
      <c r="M807" s="17"/>
      <c r="N807" s="17"/>
      <c r="O807" s="16" t="s">
        <v>621</v>
      </c>
      <c r="P807" s="167"/>
      <c r="S807" s="193"/>
      <c r="T807" s="193"/>
      <c r="AS807" s="125" t="s">
        <v>948</v>
      </c>
      <c r="CA807" s="33"/>
    </row>
    <row r="808" spans="3:79" s="13" customFormat="1" ht="26.25" customHeight="1">
      <c r="C808" s="136" t="s">
        <v>893</v>
      </c>
      <c r="D808" s="15"/>
      <c r="F808" s="42"/>
      <c r="H808" s="15"/>
      <c r="I808" s="15"/>
      <c r="J808" s="15"/>
      <c r="K808" s="15"/>
      <c r="L808" s="17"/>
      <c r="M808" s="17"/>
      <c r="N808" s="17"/>
      <c r="O808" s="16" t="s">
        <v>621</v>
      </c>
      <c r="P808" s="167"/>
      <c r="S808" s="193"/>
      <c r="T808" s="193"/>
      <c r="AS808" s="125" t="s">
        <v>948</v>
      </c>
      <c r="CA808" s="33"/>
    </row>
    <row r="809" spans="3:79" s="13" customFormat="1" ht="33.75" customHeight="1">
      <c r="C809" s="136" t="s">
        <v>1151</v>
      </c>
      <c r="D809" s="15"/>
      <c r="F809" s="42"/>
      <c r="H809" s="15"/>
      <c r="I809" s="15"/>
      <c r="J809" s="15"/>
      <c r="K809" s="15"/>
      <c r="L809" s="17"/>
      <c r="M809" s="17"/>
      <c r="N809" s="17"/>
      <c r="O809" s="16"/>
      <c r="P809" s="167"/>
      <c r="S809" s="193"/>
      <c r="T809" s="193"/>
      <c r="AS809" s="125" t="s">
        <v>948</v>
      </c>
      <c r="CA809" s="33"/>
    </row>
    <row r="810" spans="3:79" s="13" customFormat="1" ht="26.25" customHeight="1">
      <c r="C810" s="136" t="s">
        <v>1152</v>
      </c>
      <c r="D810" s="15"/>
      <c r="F810" s="42"/>
      <c r="H810" s="15"/>
      <c r="I810" s="15"/>
      <c r="J810" s="15"/>
      <c r="K810" s="15"/>
      <c r="L810" s="17"/>
      <c r="M810" s="17"/>
      <c r="N810" s="17"/>
      <c r="O810" s="16" t="s">
        <v>621</v>
      </c>
      <c r="P810" s="167"/>
      <c r="S810" s="193"/>
      <c r="T810" s="193"/>
      <c r="AS810" s="125" t="s">
        <v>948</v>
      </c>
      <c r="CA810" s="33"/>
    </row>
    <row r="811" spans="3:79" s="13" customFormat="1" ht="26.25" customHeight="1">
      <c r="C811" s="136" t="s">
        <v>1424</v>
      </c>
      <c r="D811" s="15"/>
      <c r="F811" s="42"/>
      <c r="H811" s="15"/>
      <c r="I811" s="15"/>
      <c r="J811" s="15"/>
      <c r="K811" s="15"/>
      <c r="L811" s="17"/>
      <c r="M811" s="17"/>
      <c r="N811" s="17"/>
      <c r="O811" s="16"/>
      <c r="P811" s="167"/>
      <c r="S811" s="193"/>
      <c r="T811" s="193"/>
      <c r="AS811" s="125" t="s">
        <v>948</v>
      </c>
      <c r="CA811" s="33"/>
    </row>
    <row r="812" spans="3:79" s="13" customFormat="1" ht="26.25" customHeight="1">
      <c r="C812" s="136" t="s">
        <v>1153</v>
      </c>
      <c r="D812" s="15"/>
      <c r="F812" s="42"/>
      <c r="H812" s="15"/>
      <c r="I812" s="15"/>
      <c r="J812" s="15"/>
      <c r="K812" s="15"/>
      <c r="L812" s="17"/>
      <c r="M812" s="17"/>
      <c r="N812" s="17"/>
      <c r="O812" s="16"/>
      <c r="P812" s="167"/>
      <c r="S812" s="193"/>
      <c r="T812" s="193"/>
      <c r="AS812" s="125" t="s">
        <v>948</v>
      </c>
      <c r="CA812" s="33"/>
    </row>
    <row r="813" spans="3:79" s="13" customFormat="1" ht="26.25" customHeight="1">
      <c r="C813" s="136" t="s">
        <v>1154</v>
      </c>
      <c r="D813" s="15"/>
      <c r="F813" s="42"/>
      <c r="H813" s="15"/>
      <c r="I813" s="15"/>
      <c r="J813" s="15"/>
      <c r="K813" s="15"/>
      <c r="L813" s="17"/>
      <c r="M813" s="17"/>
      <c r="N813" s="17"/>
      <c r="O813" s="16" t="s">
        <v>621</v>
      </c>
      <c r="P813" s="167"/>
      <c r="S813" s="193"/>
      <c r="T813" s="193"/>
      <c r="AS813" s="125" t="s">
        <v>948</v>
      </c>
      <c r="CA813" s="33"/>
    </row>
    <row r="814" spans="3:79" s="13" customFormat="1" ht="26.25" customHeight="1">
      <c r="C814" s="136" t="s">
        <v>1155</v>
      </c>
      <c r="D814" s="15"/>
      <c r="F814" s="42"/>
      <c r="H814" s="15"/>
      <c r="I814" s="15"/>
      <c r="J814" s="15"/>
      <c r="K814" s="15"/>
      <c r="L814" s="17"/>
      <c r="M814" s="17"/>
      <c r="N814" s="17"/>
      <c r="O814" s="16"/>
      <c r="P814" s="167"/>
      <c r="S814" s="193"/>
      <c r="T814" s="193"/>
      <c r="AS814" s="125" t="s">
        <v>948</v>
      </c>
      <c r="CA814" s="33"/>
    </row>
    <row r="815" spans="3:79" s="13" customFormat="1" ht="26.25" customHeight="1">
      <c r="C815" s="136" t="s">
        <v>895</v>
      </c>
      <c r="D815" s="15"/>
      <c r="F815" s="42"/>
      <c r="H815" s="15"/>
      <c r="I815" s="15"/>
      <c r="J815" s="15"/>
      <c r="K815" s="15"/>
      <c r="L815" s="17"/>
      <c r="M815" s="17"/>
      <c r="N815" s="17"/>
      <c r="O815" s="16"/>
      <c r="P815" s="167"/>
      <c r="S815" s="193"/>
      <c r="T815" s="193"/>
      <c r="AS815" s="125" t="s">
        <v>948</v>
      </c>
      <c r="CA815" s="33"/>
    </row>
    <row r="816" spans="3:79" s="13" customFormat="1" ht="26.25" customHeight="1">
      <c r="C816" s="136" t="s">
        <v>1156</v>
      </c>
      <c r="D816" s="15"/>
      <c r="F816" s="42"/>
      <c r="H816" s="15"/>
      <c r="I816" s="15"/>
      <c r="J816" s="15"/>
      <c r="K816" s="15"/>
      <c r="L816" s="17"/>
      <c r="M816" s="17"/>
      <c r="N816" s="17"/>
      <c r="O816" s="16"/>
      <c r="P816" s="167"/>
      <c r="S816" s="193"/>
      <c r="T816" s="193"/>
      <c r="AS816" s="125" t="s">
        <v>948</v>
      </c>
      <c r="CA816" s="33"/>
    </row>
    <row r="817" spans="3:79" s="13" customFormat="1" ht="26.25" customHeight="1">
      <c r="C817" s="136" t="s">
        <v>1157</v>
      </c>
      <c r="D817" s="15"/>
      <c r="F817" s="42"/>
      <c r="H817" s="15"/>
      <c r="I817" s="15"/>
      <c r="J817" s="15"/>
      <c r="K817" s="15"/>
      <c r="L817" s="17"/>
      <c r="M817" s="17"/>
      <c r="N817" s="17"/>
      <c r="O817" s="16" t="s">
        <v>639</v>
      </c>
      <c r="P817" s="167"/>
      <c r="S817" s="193"/>
      <c r="T817" s="193"/>
      <c r="AS817" s="125" t="s">
        <v>948</v>
      </c>
      <c r="CA817" s="33"/>
    </row>
    <row r="818" spans="3:79" s="13" customFormat="1" ht="26.25" customHeight="1">
      <c r="C818" s="136" t="s">
        <v>1159</v>
      </c>
      <c r="D818" s="15"/>
      <c r="F818" s="42"/>
      <c r="H818" s="15"/>
      <c r="I818" s="15"/>
      <c r="J818" s="15"/>
      <c r="K818" s="15"/>
      <c r="L818" s="17"/>
      <c r="M818" s="17"/>
      <c r="N818" s="17"/>
      <c r="O818" s="16"/>
      <c r="P818" s="167"/>
      <c r="S818" s="193"/>
      <c r="T818" s="193"/>
      <c r="AS818" s="125" t="s">
        <v>948</v>
      </c>
      <c r="CA818" s="33"/>
    </row>
    <row r="819" spans="3:79" s="13" customFormat="1" ht="26.25" customHeight="1">
      <c r="C819" s="136" t="s">
        <v>1160</v>
      </c>
      <c r="D819" s="15"/>
      <c r="F819" s="42"/>
      <c r="H819" s="15"/>
      <c r="I819" s="15"/>
      <c r="J819" s="15"/>
      <c r="K819" s="15"/>
      <c r="L819" s="17"/>
      <c r="M819" s="17"/>
      <c r="N819" s="17"/>
      <c r="O819" s="16"/>
      <c r="P819" s="167"/>
      <c r="S819" s="193"/>
      <c r="T819" s="193"/>
      <c r="AS819" s="125" t="s">
        <v>948</v>
      </c>
      <c r="CA819" s="33"/>
    </row>
    <row r="820" spans="3:79" s="13" customFormat="1" ht="26.25" customHeight="1">
      <c r="C820" s="136" t="s">
        <v>1425</v>
      </c>
      <c r="D820" s="15"/>
      <c r="F820" s="42"/>
      <c r="H820" s="15"/>
      <c r="I820" s="15"/>
      <c r="J820" s="15"/>
      <c r="K820" s="15"/>
      <c r="L820" s="17"/>
      <c r="M820" s="17"/>
      <c r="N820" s="17"/>
      <c r="O820" s="16"/>
      <c r="P820" s="167"/>
      <c r="S820" s="193"/>
      <c r="T820" s="193"/>
      <c r="AS820" s="125" t="s">
        <v>948</v>
      </c>
      <c r="CA820" s="33"/>
    </row>
    <row r="821" spans="3:79" s="13" customFormat="1" ht="26.25" customHeight="1">
      <c r="C821" s="136" t="s">
        <v>1161</v>
      </c>
      <c r="D821" s="15"/>
      <c r="F821" s="42"/>
      <c r="H821" s="15"/>
      <c r="I821" s="15"/>
      <c r="J821" s="15"/>
      <c r="K821" s="15"/>
      <c r="L821" s="17"/>
      <c r="M821" s="17"/>
      <c r="N821" s="17"/>
      <c r="O821" s="16"/>
      <c r="P821" s="167"/>
      <c r="S821" s="193"/>
      <c r="T821" s="193"/>
      <c r="AS821" s="125" t="s">
        <v>948</v>
      </c>
      <c r="CA821" s="33"/>
    </row>
    <row r="822" spans="3:79" s="13" customFormat="1" ht="26.25" customHeight="1">
      <c r="C822" s="136" t="s">
        <v>1162</v>
      </c>
      <c r="D822" s="15"/>
      <c r="F822" s="42"/>
      <c r="H822" s="15"/>
      <c r="I822" s="15"/>
      <c r="J822" s="15"/>
      <c r="K822" s="15"/>
      <c r="L822" s="17"/>
      <c r="M822" s="17"/>
      <c r="N822" s="17"/>
      <c r="O822" s="16"/>
      <c r="P822" s="167"/>
      <c r="S822" s="193"/>
      <c r="T822" s="193"/>
      <c r="AS822" s="125" t="s">
        <v>948</v>
      </c>
      <c r="CA822" s="33"/>
    </row>
    <row r="823" spans="3:79" s="13" customFormat="1" ht="26.25" customHeight="1">
      <c r="C823" s="136" t="s">
        <v>1163</v>
      </c>
      <c r="D823" s="15"/>
      <c r="F823" s="42"/>
      <c r="H823" s="15"/>
      <c r="I823" s="15"/>
      <c r="J823" s="15"/>
      <c r="K823" s="15"/>
      <c r="L823" s="17"/>
      <c r="M823" s="17"/>
      <c r="N823" s="17"/>
      <c r="O823" s="16"/>
      <c r="P823" s="167"/>
      <c r="S823" s="193"/>
      <c r="T823" s="193"/>
      <c r="AS823" s="125" t="s">
        <v>948</v>
      </c>
      <c r="CA823" s="33"/>
    </row>
    <row r="824" spans="3:79" s="13" customFormat="1" ht="26.25" customHeight="1">
      <c r="C824" s="136" t="s">
        <v>1158</v>
      </c>
      <c r="D824" s="15"/>
      <c r="F824" s="42"/>
      <c r="H824" s="15"/>
      <c r="I824" s="15"/>
      <c r="J824" s="15"/>
      <c r="K824" s="15"/>
      <c r="L824" s="17"/>
      <c r="M824" s="17"/>
      <c r="N824" s="17"/>
      <c r="O824" s="16"/>
      <c r="P824" s="167"/>
      <c r="S824" s="193"/>
      <c r="T824" s="193"/>
      <c r="AS824" s="125" t="s">
        <v>948</v>
      </c>
      <c r="CA824" s="33"/>
    </row>
    <row r="825" spans="3:79" s="13" customFormat="1" ht="26.25" customHeight="1">
      <c r="C825" s="136" t="s">
        <v>1165</v>
      </c>
      <c r="D825" s="15"/>
      <c r="F825" s="42"/>
      <c r="H825" s="15"/>
      <c r="I825" s="15"/>
      <c r="J825" s="15"/>
      <c r="K825" s="15"/>
      <c r="L825" s="17"/>
      <c r="M825" s="17"/>
      <c r="N825" s="17"/>
      <c r="O825" s="16"/>
      <c r="P825" s="167"/>
      <c r="S825" s="193"/>
      <c r="T825" s="193"/>
      <c r="AS825" s="125" t="s">
        <v>948</v>
      </c>
      <c r="CA825" s="33"/>
    </row>
    <row r="826" spans="3:79" s="13" customFormat="1" ht="26.25" customHeight="1">
      <c r="C826" s="136" t="s">
        <v>1426</v>
      </c>
      <c r="D826" s="15"/>
      <c r="F826" s="42"/>
      <c r="H826" s="15"/>
      <c r="I826" s="15"/>
      <c r="J826" s="15"/>
      <c r="K826" s="15"/>
      <c r="L826" s="17"/>
      <c r="M826" s="17"/>
      <c r="N826" s="17"/>
      <c r="O826" s="16"/>
      <c r="P826" s="167"/>
      <c r="S826" s="193"/>
      <c r="T826" s="193"/>
      <c r="AS826" s="125" t="s">
        <v>948</v>
      </c>
      <c r="CA826" s="33"/>
    </row>
    <row r="827" spans="3:79" s="13" customFormat="1" ht="26.25" customHeight="1">
      <c r="C827" s="136" t="s">
        <v>1166</v>
      </c>
      <c r="D827" s="15"/>
      <c r="F827" s="42"/>
      <c r="H827" s="15"/>
      <c r="I827" s="15"/>
      <c r="J827" s="15"/>
      <c r="K827" s="15"/>
      <c r="L827" s="17"/>
      <c r="M827" s="17"/>
      <c r="N827" s="17"/>
      <c r="O827" s="16"/>
      <c r="P827" s="167"/>
      <c r="S827" s="193"/>
      <c r="T827" s="193"/>
      <c r="AS827" s="125" t="s">
        <v>948</v>
      </c>
      <c r="CA827" s="33"/>
    </row>
    <row r="828" spans="3:79" s="13" customFormat="1" ht="26.25" customHeight="1">
      <c r="C828" s="136" t="s">
        <v>1164</v>
      </c>
      <c r="D828" s="15"/>
      <c r="F828" s="42"/>
      <c r="H828" s="15"/>
      <c r="I828" s="15"/>
      <c r="J828" s="15"/>
      <c r="K828" s="15"/>
      <c r="L828" s="17"/>
      <c r="M828" s="17"/>
      <c r="N828" s="17"/>
      <c r="O828" s="16"/>
      <c r="P828" s="167"/>
      <c r="S828" s="193"/>
      <c r="T828" s="193"/>
      <c r="AS828" s="125" t="s">
        <v>948</v>
      </c>
      <c r="CA828" s="33"/>
    </row>
    <row r="829" spans="3:79" s="13" customFormat="1" ht="26.25" customHeight="1">
      <c r="C829" s="136" t="s">
        <v>1168</v>
      </c>
      <c r="D829" s="15"/>
      <c r="F829" s="42"/>
      <c r="H829" s="15"/>
      <c r="I829" s="15"/>
      <c r="J829" s="15"/>
      <c r="K829" s="15"/>
      <c r="L829" s="17"/>
      <c r="M829" s="17"/>
      <c r="N829" s="17"/>
      <c r="O829" s="16"/>
      <c r="P829" s="167"/>
      <c r="S829" s="193"/>
      <c r="T829" s="193"/>
      <c r="AS829" s="125" t="s">
        <v>948</v>
      </c>
      <c r="CA829" s="33"/>
    </row>
    <row r="830" spans="3:79" s="13" customFormat="1" ht="26.25" customHeight="1">
      <c r="C830" s="136" t="s">
        <v>1167</v>
      </c>
      <c r="D830" s="15"/>
      <c r="F830" s="42"/>
      <c r="H830" s="15"/>
      <c r="I830" s="15"/>
      <c r="J830" s="15"/>
      <c r="K830" s="15"/>
      <c r="L830" s="17"/>
      <c r="M830" s="17"/>
      <c r="N830" s="17"/>
      <c r="O830" s="16"/>
      <c r="P830" s="167"/>
      <c r="S830" s="193"/>
      <c r="T830" s="193"/>
      <c r="AS830" s="125" t="s">
        <v>948</v>
      </c>
      <c r="CA830" s="33"/>
    </row>
    <row r="831" spans="3:79" s="13" customFormat="1" ht="26.25" customHeight="1">
      <c r="C831" s="136" t="s">
        <v>1169</v>
      </c>
      <c r="D831" s="15"/>
      <c r="F831" s="42"/>
      <c r="H831" s="15"/>
      <c r="I831" s="15"/>
      <c r="J831" s="15"/>
      <c r="K831" s="15"/>
      <c r="L831" s="17"/>
      <c r="M831" s="17"/>
      <c r="N831" s="17"/>
      <c r="O831" s="16"/>
      <c r="P831" s="167"/>
      <c r="S831" s="193"/>
      <c r="T831" s="193"/>
      <c r="AS831" s="125" t="s">
        <v>948</v>
      </c>
      <c r="CA831" s="33"/>
    </row>
    <row r="832" spans="3:79" s="13" customFormat="1" ht="26.25" customHeight="1">
      <c r="C832" s="136" t="s">
        <v>1170</v>
      </c>
      <c r="D832" s="15"/>
      <c r="F832" s="42"/>
      <c r="H832" s="15"/>
      <c r="I832" s="15"/>
      <c r="J832" s="15"/>
      <c r="K832" s="15"/>
      <c r="L832" s="17"/>
      <c r="M832" s="17"/>
      <c r="N832" s="17"/>
      <c r="O832" s="16"/>
      <c r="P832" s="167"/>
      <c r="S832" s="193"/>
      <c r="T832" s="193"/>
      <c r="AS832" s="125" t="s">
        <v>948</v>
      </c>
      <c r="CA832" s="33"/>
    </row>
    <row r="833" spans="3:79" s="13" customFormat="1" ht="26.25" customHeight="1">
      <c r="C833" s="136" t="s">
        <v>1145</v>
      </c>
      <c r="D833" s="15"/>
      <c r="F833" s="42"/>
      <c r="H833" s="15"/>
      <c r="I833" s="15"/>
      <c r="J833" s="15"/>
      <c r="K833" s="15"/>
      <c r="L833" s="17"/>
      <c r="M833" s="17"/>
      <c r="N833" s="17"/>
      <c r="O833" s="16"/>
      <c r="P833" s="167"/>
      <c r="S833" s="193"/>
      <c r="T833" s="193"/>
      <c r="AS833" s="125" t="s">
        <v>948</v>
      </c>
      <c r="CA833" s="33"/>
    </row>
    <row r="834" spans="3:79" s="13" customFormat="1" ht="26.25" customHeight="1">
      <c r="C834" s="136" t="s">
        <v>916</v>
      </c>
      <c r="D834" s="15"/>
      <c r="F834" s="42"/>
      <c r="H834" s="15"/>
      <c r="I834" s="15"/>
      <c r="J834" s="15"/>
      <c r="K834" s="15"/>
      <c r="L834" s="17"/>
      <c r="M834" s="17"/>
      <c r="N834" s="17"/>
      <c r="O834" s="16"/>
      <c r="P834" s="167"/>
      <c r="S834" s="193"/>
      <c r="T834" s="193"/>
      <c r="AS834" s="125" t="s">
        <v>948</v>
      </c>
      <c r="CA834" s="33"/>
    </row>
    <row r="835" spans="3:79" s="20" customFormat="1" ht="27">
      <c r="C835" s="136" t="s">
        <v>1427</v>
      </c>
      <c r="F835" s="43"/>
      <c r="G835" s="21"/>
      <c r="L835" s="22"/>
      <c r="M835" s="22"/>
      <c r="N835" s="22"/>
      <c r="P835" s="172"/>
      <c r="S835" s="197"/>
      <c r="T835" s="197"/>
      <c r="AY835" s="20" t="s">
        <v>1124</v>
      </c>
      <c r="CA835" s="149"/>
    </row>
    <row r="836" spans="3:79" s="20" customFormat="1">
      <c r="C836" s="136" t="s">
        <v>1428</v>
      </c>
      <c r="F836" s="43"/>
      <c r="G836" s="21"/>
      <c r="L836" s="22"/>
      <c r="M836" s="22"/>
      <c r="N836" s="22"/>
      <c r="P836" s="172"/>
      <c r="S836" s="197"/>
      <c r="T836" s="197"/>
      <c r="AY836" s="20" t="s">
        <v>1124</v>
      </c>
      <c r="CA836" s="149"/>
    </row>
    <row r="837" spans="3:79" s="20" customFormat="1">
      <c r="C837" s="136" t="s">
        <v>1429</v>
      </c>
      <c r="F837" s="43"/>
      <c r="G837" s="21"/>
      <c r="L837" s="22"/>
      <c r="M837" s="22"/>
      <c r="N837" s="22"/>
      <c r="P837" s="172"/>
      <c r="S837" s="197"/>
      <c r="T837" s="197"/>
      <c r="AY837" s="20" t="s">
        <v>1124</v>
      </c>
      <c r="CA837" s="149"/>
    </row>
    <row r="838" spans="3:79" s="20" customFormat="1" ht="27">
      <c r="C838" s="136" t="s">
        <v>1430</v>
      </c>
      <c r="F838" s="43"/>
      <c r="G838" s="21"/>
      <c r="L838" s="22"/>
      <c r="M838" s="22"/>
      <c r="N838" s="22"/>
      <c r="P838" s="172"/>
      <c r="S838" s="197"/>
      <c r="T838" s="197"/>
      <c r="AY838" s="20" t="s">
        <v>1124</v>
      </c>
      <c r="CA838" s="149"/>
    </row>
    <row r="839" spans="3:79" s="20" customFormat="1">
      <c r="C839" s="136" t="s">
        <v>1431</v>
      </c>
      <c r="F839" s="43"/>
      <c r="G839" s="21"/>
      <c r="L839" s="22"/>
      <c r="M839" s="22"/>
      <c r="N839" s="22"/>
      <c r="P839" s="172"/>
      <c r="S839" s="197"/>
      <c r="T839" s="197"/>
      <c r="AY839" s="20" t="s">
        <v>1124</v>
      </c>
      <c r="CA839" s="149"/>
    </row>
    <row r="840" spans="3:79" s="20" customFormat="1">
      <c r="C840" s="136" t="s">
        <v>1432</v>
      </c>
      <c r="F840" s="43"/>
      <c r="G840" s="21"/>
      <c r="L840" s="22"/>
      <c r="M840" s="22"/>
      <c r="N840" s="22"/>
      <c r="P840" s="172"/>
      <c r="S840" s="197"/>
      <c r="T840" s="197"/>
      <c r="AY840" s="20" t="s">
        <v>1124</v>
      </c>
      <c r="CA840" s="149"/>
    </row>
    <row r="841" spans="3:79" s="20" customFormat="1">
      <c r="C841" s="136" t="s">
        <v>1433</v>
      </c>
      <c r="F841" s="43"/>
      <c r="G841" s="21"/>
      <c r="L841" s="22"/>
      <c r="M841" s="22"/>
      <c r="N841" s="22"/>
      <c r="P841" s="172"/>
      <c r="S841" s="197"/>
      <c r="T841" s="197"/>
      <c r="AY841" s="20" t="s">
        <v>1124</v>
      </c>
      <c r="CA841" s="149"/>
    </row>
    <row r="842" spans="3:79" s="20" customFormat="1">
      <c r="C842" s="136" t="s">
        <v>1434</v>
      </c>
      <c r="F842" s="43"/>
      <c r="G842" s="21"/>
      <c r="L842" s="22"/>
      <c r="M842" s="22"/>
      <c r="N842" s="22"/>
      <c r="P842" s="172"/>
      <c r="S842" s="197"/>
      <c r="T842" s="197"/>
      <c r="AY842" s="20" t="s">
        <v>1124</v>
      </c>
      <c r="CA842" s="149"/>
    </row>
    <row r="843" spans="3:79" s="20" customFormat="1">
      <c r="C843" s="136" t="s">
        <v>1435</v>
      </c>
      <c r="F843" s="43"/>
      <c r="G843" s="21"/>
      <c r="L843" s="22"/>
      <c r="M843" s="22"/>
      <c r="N843" s="22"/>
      <c r="P843" s="172"/>
      <c r="S843" s="197"/>
      <c r="T843" s="197"/>
      <c r="AY843" s="20" t="s">
        <v>1124</v>
      </c>
      <c r="CA843" s="149"/>
    </row>
    <row r="844" spans="3:79" s="20" customFormat="1" ht="27">
      <c r="C844" s="136" t="s">
        <v>1436</v>
      </c>
      <c r="F844" s="43"/>
      <c r="G844" s="21"/>
      <c r="L844" s="22"/>
      <c r="M844" s="22"/>
      <c r="N844" s="22"/>
      <c r="P844" s="172"/>
      <c r="S844" s="197"/>
      <c r="T844" s="197"/>
      <c r="AY844" s="20" t="s">
        <v>1124</v>
      </c>
      <c r="CA844" s="149"/>
    </row>
    <row r="845" spans="3:79" s="20" customFormat="1" ht="27">
      <c r="C845" s="136" t="s">
        <v>1437</v>
      </c>
      <c r="F845" s="43"/>
      <c r="G845" s="21"/>
      <c r="L845" s="22"/>
      <c r="M845" s="22"/>
      <c r="N845" s="22"/>
      <c r="P845" s="172"/>
      <c r="S845" s="197"/>
      <c r="T845" s="197"/>
      <c r="AY845" s="20" t="s">
        <v>1124</v>
      </c>
      <c r="CA845" s="149"/>
    </row>
    <row r="846" spans="3:79" s="20" customFormat="1" ht="27">
      <c r="C846" s="136" t="s">
        <v>1438</v>
      </c>
      <c r="F846" s="43"/>
      <c r="G846" s="21"/>
      <c r="L846" s="22"/>
      <c r="M846" s="22"/>
      <c r="N846" s="22"/>
      <c r="P846" s="172"/>
      <c r="S846" s="197"/>
      <c r="T846" s="197"/>
      <c r="AY846" s="20" t="s">
        <v>1124</v>
      </c>
      <c r="CA846" s="149"/>
    </row>
    <row r="847" spans="3:79" s="20" customFormat="1" ht="27">
      <c r="C847" s="136" t="s">
        <v>1439</v>
      </c>
      <c r="F847" s="43"/>
      <c r="G847" s="21"/>
      <c r="L847" s="22"/>
      <c r="M847" s="22"/>
      <c r="N847" s="22"/>
      <c r="P847" s="172"/>
      <c r="S847" s="197"/>
      <c r="T847" s="197"/>
      <c r="AY847" s="20" t="s">
        <v>1124</v>
      </c>
      <c r="CA847" s="149"/>
    </row>
    <row r="848" spans="3:79" s="20" customFormat="1" ht="27">
      <c r="C848" s="136" t="s">
        <v>1440</v>
      </c>
      <c r="F848" s="43"/>
      <c r="G848" s="21"/>
      <c r="L848" s="22"/>
      <c r="M848" s="22"/>
      <c r="N848" s="22"/>
      <c r="P848" s="172"/>
      <c r="S848" s="197"/>
      <c r="T848" s="197"/>
      <c r="AY848" s="20" t="s">
        <v>1124</v>
      </c>
      <c r="CA848" s="149"/>
    </row>
    <row r="849" spans="3:79" s="20" customFormat="1" ht="27">
      <c r="C849" s="136" t="s">
        <v>1441</v>
      </c>
      <c r="F849" s="43"/>
      <c r="G849" s="21"/>
      <c r="L849" s="22"/>
      <c r="M849" s="22"/>
      <c r="N849" s="22"/>
      <c r="P849" s="172"/>
      <c r="S849" s="197"/>
      <c r="T849" s="197"/>
      <c r="AY849" s="20" t="s">
        <v>1124</v>
      </c>
      <c r="CA849" s="149"/>
    </row>
    <row r="850" spans="3:79" s="20" customFormat="1" ht="27">
      <c r="C850" s="136" t="s">
        <v>1442</v>
      </c>
      <c r="F850" s="43"/>
      <c r="G850" s="21"/>
      <c r="L850" s="22"/>
      <c r="M850" s="22"/>
      <c r="N850" s="22"/>
      <c r="P850" s="172"/>
      <c r="S850" s="197"/>
      <c r="T850" s="197"/>
      <c r="AY850" s="20" t="s">
        <v>1124</v>
      </c>
      <c r="CA850" s="149"/>
    </row>
    <row r="851" spans="3:79" s="20" customFormat="1">
      <c r="C851" s="136" t="s">
        <v>1443</v>
      </c>
      <c r="F851" s="43"/>
      <c r="G851" s="21"/>
      <c r="L851" s="22"/>
      <c r="M851" s="22"/>
      <c r="N851" s="22"/>
      <c r="P851" s="172"/>
      <c r="S851" s="197"/>
      <c r="T851" s="197"/>
      <c r="AY851" s="20" t="s">
        <v>1124</v>
      </c>
      <c r="CA851" s="149"/>
    </row>
    <row r="852" spans="3:79" s="20" customFormat="1">
      <c r="C852" s="136" t="s">
        <v>1444</v>
      </c>
      <c r="F852" s="43"/>
      <c r="G852" s="21"/>
      <c r="L852" s="22"/>
      <c r="M852" s="22"/>
      <c r="N852" s="22"/>
      <c r="P852" s="172"/>
      <c r="S852" s="197"/>
      <c r="T852" s="197"/>
      <c r="AY852" s="20" t="s">
        <v>1124</v>
      </c>
      <c r="CA852" s="149"/>
    </row>
    <row r="853" spans="3:79" s="20" customFormat="1">
      <c r="C853" s="136" t="s">
        <v>1445</v>
      </c>
      <c r="F853" s="43"/>
      <c r="G853" s="21"/>
      <c r="L853" s="22"/>
      <c r="M853" s="22"/>
      <c r="N853" s="22"/>
      <c r="P853" s="172"/>
      <c r="S853" s="197"/>
      <c r="T853" s="197"/>
      <c r="AY853" s="20" t="s">
        <v>1124</v>
      </c>
      <c r="CA853" s="149"/>
    </row>
    <row r="854" spans="3:79" s="20" customFormat="1">
      <c r="C854" s="136" t="s">
        <v>1446</v>
      </c>
      <c r="D854" s="163"/>
      <c r="F854" s="43"/>
      <c r="G854" s="21"/>
      <c r="H854" s="23"/>
      <c r="I854" s="163"/>
      <c r="J854" s="163"/>
      <c r="K854" s="163"/>
      <c r="L854" s="22"/>
      <c r="M854" s="22"/>
      <c r="N854" s="22"/>
      <c r="P854" s="172"/>
      <c r="S854" s="197"/>
      <c r="T854" s="197"/>
      <c r="AY854" s="20" t="s">
        <v>1124</v>
      </c>
      <c r="CA854" s="149"/>
    </row>
    <row r="855" spans="3:79" s="20" customFormat="1">
      <c r="C855" s="136"/>
      <c r="D855" s="163"/>
      <c r="F855" s="43"/>
      <c r="G855" s="21"/>
      <c r="H855" s="24"/>
      <c r="I855" s="163"/>
      <c r="J855" s="163"/>
      <c r="K855" s="163"/>
      <c r="L855" s="22"/>
      <c r="M855" s="22"/>
      <c r="N855" s="22"/>
      <c r="P855" s="172"/>
      <c r="S855" s="197"/>
      <c r="T855" s="197"/>
      <c r="AY855" s="20" t="s">
        <v>1124</v>
      </c>
      <c r="CA855" s="149"/>
    </row>
    <row r="856" spans="3:79" s="20" customFormat="1">
      <c r="C856" s="136" t="s">
        <v>1447</v>
      </c>
      <c r="F856" s="43"/>
      <c r="G856" s="21"/>
      <c r="L856" s="22"/>
      <c r="M856" s="22"/>
      <c r="N856" s="22"/>
      <c r="P856" s="172"/>
      <c r="S856" s="197"/>
      <c r="T856" s="197"/>
      <c r="AY856" s="20" t="s">
        <v>1124</v>
      </c>
      <c r="CA856" s="149"/>
    </row>
    <row r="857" spans="3:79" s="20" customFormat="1">
      <c r="C857" s="136" t="s">
        <v>1448</v>
      </c>
      <c r="F857" s="43"/>
      <c r="G857" s="21"/>
      <c r="L857" s="22"/>
      <c r="M857" s="22"/>
      <c r="N857" s="22"/>
      <c r="P857" s="172"/>
      <c r="S857" s="197"/>
      <c r="T857" s="197"/>
      <c r="AY857" s="20" t="s">
        <v>1124</v>
      </c>
      <c r="CA857" s="149"/>
    </row>
    <row r="858" spans="3:79" s="20" customFormat="1">
      <c r="C858" s="136" t="s">
        <v>1449</v>
      </c>
      <c r="F858" s="43"/>
      <c r="G858" s="21"/>
      <c r="L858" s="22"/>
      <c r="M858" s="22"/>
      <c r="N858" s="22"/>
      <c r="P858" s="172"/>
      <c r="S858" s="197"/>
      <c r="T858" s="197"/>
      <c r="AY858" s="20" t="s">
        <v>1124</v>
      </c>
      <c r="CA858" s="149"/>
    </row>
    <row r="859" spans="3:79" s="20" customFormat="1">
      <c r="C859" s="136" t="s">
        <v>1450</v>
      </c>
      <c r="F859" s="43"/>
      <c r="G859" s="21"/>
      <c r="L859" s="22"/>
      <c r="M859" s="22"/>
      <c r="N859" s="22"/>
      <c r="P859" s="172"/>
      <c r="S859" s="197"/>
      <c r="T859" s="197"/>
      <c r="AY859" s="20" t="s">
        <v>1124</v>
      </c>
      <c r="CA859" s="149"/>
    </row>
    <row r="860" spans="3:79" s="20" customFormat="1" ht="27">
      <c r="C860" s="136" t="s">
        <v>1451</v>
      </c>
      <c r="F860" s="43"/>
      <c r="G860" s="21"/>
      <c r="L860" s="22"/>
      <c r="M860" s="22"/>
      <c r="N860" s="22"/>
      <c r="P860" s="172"/>
      <c r="S860" s="197"/>
      <c r="T860" s="197"/>
      <c r="AY860" s="20" t="s">
        <v>1124</v>
      </c>
      <c r="CA860" s="149"/>
    </row>
    <row r="861" spans="3:79" s="20" customFormat="1">
      <c r="C861" s="136" t="s">
        <v>1452</v>
      </c>
      <c r="F861" s="43"/>
      <c r="G861" s="21"/>
      <c r="L861" s="22"/>
      <c r="M861" s="22"/>
      <c r="N861" s="22"/>
      <c r="P861" s="172"/>
      <c r="S861" s="197"/>
      <c r="T861" s="197"/>
      <c r="AY861" s="20" t="s">
        <v>1124</v>
      </c>
      <c r="CA861" s="149"/>
    </row>
    <row r="862" spans="3:79" s="20" customFormat="1" ht="27">
      <c r="C862" s="136" t="s">
        <v>1453</v>
      </c>
      <c r="F862" s="43"/>
      <c r="G862" s="21"/>
      <c r="L862" s="22"/>
      <c r="M862" s="22"/>
      <c r="N862" s="22"/>
      <c r="P862" s="172"/>
      <c r="S862" s="197"/>
      <c r="T862" s="197"/>
      <c r="AY862" s="20" t="s">
        <v>1124</v>
      </c>
      <c r="CA862" s="149"/>
    </row>
    <row r="863" spans="3:79" s="20" customFormat="1">
      <c r="C863" s="136" t="s">
        <v>1454</v>
      </c>
      <c r="F863" s="43"/>
      <c r="G863" s="21"/>
      <c r="L863" s="22"/>
      <c r="M863" s="22"/>
      <c r="N863" s="22"/>
      <c r="P863" s="172"/>
      <c r="S863" s="197"/>
      <c r="T863" s="197"/>
      <c r="AY863" s="20" t="s">
        <v>1124</v>
      </c>
      <c r="CA863" s="149"/>
    </row>
    <row r="864" spans="3:79" s="20" customFormat="1">
      <c r="C864" s="136" t="s">
        <v>1455</v>
      </c>
      <c r="F864" s="43"/>
      <c r="G864" s="21"/>
      <c r="L864" s="22"/>
      <c r="M864" s="22"/>
      <c r="N864" s="22"/>
      <c r="P864" s="172"/>
      <c r="S864" s="197"/>
      <c r="T864" s="197"/>
      <c r="AY864" s="20" t="s">
        <v>1124</v>
      </c>
      <c r="CA864" s="149"/>
    </row>
    <row r="865" spans="3:79" s="20" customFormat="1">
      <c r="C865" s="136" t="s">
        <v>1456</v>
      </c>
      <c r="F865" s="43"/>
      <c r="G865" s="21"/>
      <c r="L865" s="22"/>
      <c r="M865" s="22"/>
      <c r="N865" s="22"/>
      <c r="P865" s="172"/>
      <c r="S865" s="197"/>
      <c r="T865" s="197"/>
      <c r="AY865" s="20" t="s">
        <v>1124</v>
      </c>
      <c r="CA865" s="149"/>
    </row>
    <row r="866" spans="3:79" s="20" customFormat="1">
      <c r="C866" s="136" t="s">
        <v>1457</v>
      </c>
      <c r="F866" s="43"/>
      <c r="G866" s="21"/>
      <c r="L866" s="22"/>
      <c r="M866" s="22"/>
      <c r="N866" s="22"/>
      <c r="P866" s="172"/>
      <c r="S866" s="197"/>
      <c r="T866" s="197"/>
      <c r="AY866" s="20" t="s">
        <v>1124</v>
      </c>
      <c r="CA866" s="149"/>
    </row>
    <row r="867" spans="3:79" s="20" customFormat="1">
      <c r="C867" s="136" t="s">
        <v>1458</v>
      </c>
      <c r="F867" s="43"/>
      <c r="G867" s="21"/>
      <c r="L867" s="22"/>
      <c r="M867" s="22"/>
      <c r="N867" s="22"/>
      <c r="P867" s="172"/>
      <c r="S867" s="197"/>
      <c r="T867" s="197"/>
      <c r="AY867" s="20" t="s">
        <v>1124</v>
      </c>
      <c r="CA867" s="149"/>
    </row>
    <row r="868" spans="3:79" s="20" customFormat="1">
      <c r="C868" s="136" t="s">
        <v>1459</v>
      </c>
      <c r="F868" s="43"/>
      <c r="G868" s="21"/>
      <c r="L868" s="22"/>
      <c r="M868" s="22"/>
      <c r="N868" s="22"/>
      <c r="P868" s="172"/>
      <c r="S868" s="197"/>
      <c r="T868" s="197"/>
      <c r="AY868" s="20" t="s">
        <v>1124</v>
      </c>
      <c r="CA868" s="149"/>
    </row>
    <row r="869" spans="3:79" s="20" customFormat="1">
      <c r="C869" s="136" t="s">
        <v>1460</v>
      </c>
      <c r="F869" s="43"/>
      <c r="G869" s="21"/>
      <c r="L869" s="22"/>
      <c r="M869" s="22"/>
      <c r="N869" s="22"/>
      <c r="P869" s="172"/>
      <c r="S869" s="197"/>
      <c r="T869" s="197"/>
      <c r="AY869" s="20" t="s">
        <v>1124</v>
      </c>
      <c r="CA869" s="149"/>
    </row>
    <row r="870" spans="3:79" s="20" customFormat="1">
      <c r="C870" s="136" t="s">
        <v>1461</v>
      </c>
      <c r="F870" s="43"/>
      <c r="G870" s="21"/>
      <c r="L870" s="22"/>
      <c r="M870" s="22"/>
      <c r="N870" s="22"/>
      <c r="P870" s="172"/>
      <c r="S870" s="197"/>
      <c r="T870" s="197"/>
      <c r="AY870" s="20" t="s">
        <v>1124</v>
      </c>
      <c r="CA870" s="149"/>
    </row>
    <row r="871" spans="3:79" s="20" customFormat="1">
      <c r="C871" s="136" t="s">
        <v>1462</v>
      </c>
      <c r="F871" s="43"/>
      <c r="G871" s="21"/>
      <c r="L871" s="22"/>
      <c r="M871" s="22"/>
      <c r="N871" s="22"/>
      <c r="P871" s="172"/>
      <c r="S871" s="197"/>
      <c r="T871" s="197"/>
      <c r="AY871" s="20" t="s">
        <v>1124</v>
      </c>
      <c r="CA871" s="149"/>
    </row>
    <row r="872" spans="3:79" s="20" customFormat="1">
      <c r="C872" s="136" t="s">
        <v>1463</v>
      </c>
      <c r="F872" s="43"/>
      <c r="G872" s="21"/>
      <c r="L872" s="22"/>
      <c r="M872" s="22"/>
      <c r="N872" s="22"/>
      <c r="P872" s="172"/>
      <c r="S872" s="197"/>
      <c r="T872" s="197"/>
      <c r="AY872" s="20" t="s">
        <v>1124</v>
      </c>
      <c r="CA872" s="149"/>
    </row>
    <row r="873" spans="3:79" s="20" customFormat="1">
      <c r="C873" s="136" t="s">
        <v>1464</v>
      </c>
      <c r="F873" s="43"/>
      <c r="G873" s="21"/>
      <c r="L873" s="22"/>
      <c r="M873" s="22"/>
      <c r="N873" s="22"/>
      <c r="P873" s="172"/>
      <c r="S873" s="197"/>
      <c r="T873" s="197"/>
      <c r="AY873" s="20" t="s">
        <v>1124</v>
      </c>
      <c r="CA873" s="149"/>
    </row>
    <row r="874" spans="3:79" s="20" customFormat="1">
      <c r="C874" s="136" t="s">
        <v>1465</v>
      </c>
      <c r="F874" s="43"/>
      <c r="G874" s="21"/>
      <c r="L874" s="22"/>
      <c r="M874" s="22"/>
      <c r="N874" s="22"/>
      <c r="P874" s="172"/>
      <c r="S874" s="197"/>
      <c r="T874" s="197"/>
      <c r="AY874" s="20" t="s">
        <v>1124</v>
      </c>
      <c r="CA874" s="149"/>
    </row>
    <row r="875" spans="3:79" s="20" customFormat="1">
      <c r="C875" s="136" t="s">
        <v>1466</v>
      </c>
      <c r="F875" s="43"/>
      <c r="G875" s="21"/>
      <c r="L875" s="22"/>
      <c r="M875" s="22"/>
      <c r="N875" s="22"/>
      <c r="P875" s="172"/>
      <c r="S875" s="197"/>
      <c r="T875" s="197"/>
      <c r="AY875" s="20" t="s">
        <v>1124</v>
      </c>
      <c r="CA875" s="149"/>
    </row>
    <row r="876" spans="3:79" s="20" customFormat="1">
      <c r="C876" s="136" t="s">
        <v>1467</v>
      </c>
      <c r="F876" s="43"/>
      <c r="G876" s="21"/>
      <c r="L876" s="22"/>
      <c r="M876" s="22"/>
      <c r="N876" s="22"/>
      <c r="P876" s="172"/>
      <c r="S876" s="197"/>
      <c r="T876" s="197"/>
      <c r="AY876" s="20" t="s">
        <v>1124</v>
      </c>
      <c r="CA876" s="149"/>
    </row>
    <row r="877" spans="3:79" s="20" customFormat="1">
      <c r="C877" s="136" t="s">
        <v>1468</v>
      </c>
      <c r="F877" s="43"/>
      <c r="G877" s="21"/>
      <c r="L877" s="22"/>
      <c r="M877" s="22"/>
      <c r="N877" s="22"/>
      <c r="P877" s="172"/>
      <c r="S877" s="197"/>
      <c r="T877" s="197"/>
      <c r="AY877" s="20" t="s">
        <v>1124</v>
      </c>
      <c r="CA877" s="149"/>
    </row>
    <row r="878" spans="3:79" s="20" customFormat="1">
      <c r="C878" s="136" t="s">
        <v>1469</v>
      </c>
      <c r="F878" s="43"/>
      <c r="G878" s="21"/>
      <c r="L878" s="22"/>
      <c r="M878" s="22"/>
      <c r="N878" s="22"/>
      <c r="P878" s="172"/>
      <c r="S878" s="197"/>
      <c r="T878" s="197"/>
      <c r="AY878" s="20" t="s">
        <v>1124</v>
      </c>
      <c r="CA878" s="149"/>
    </row>
    <row r="879" spans="3:79" s="20" customFormat="1" ht="37.5">
      <c r="C879" s="136" t="s">
        <v>1470</v>
      </c>
      <c r="F879" s="43"/>
      <c r="G879" s="21"/>
      <c r="L879" s="22"/>
      <c r="M879" s="22"/>
      <c r="N879" s="22"/>
      <c r="P879" s="172"/>
      <c r="S879" s="197"/>
      <c r="T879" s="197"/>
      <c r="AY879" s="20" t="s">
        <v>1124</v>
      </c>
      <c r="CA879" s="149"/>
    </row>
    <row r="880" spans="3:79" s="20" customFormat="1" ht="27">
      <c r="C880" s="136" t="s">
        <v>1471</v>
      </c>
      <c r="F880" s="43"/>
      <c r="G880" s="21"/>
      <c r="L880" s="22"/>
      <c r="M880" s="22"/>
      <c r="N880" s="22"/>
      <c r="P880" s="172"/>
      <c r="S880" s="197"/>
      <c r="T880" s="197"/>
      <c r="AY880" s="20" t="s">
        <v>1124</v>
      </c>
      <c r="CA880" s="149"/>
    </row>
    <row r="881" spans="3:79" s="20" customFormat="1">
      <c r="C881" s="136" t="s">
        <v>1472</v>
      </c>
      <c r="F881" s="43"/>
      <c r="G881" s="21"/>
      <c r="L881" s="22"/>
      <c r="M881" s="22"/>
      <c r="N881" s="22"/>
      <c r="P881" s="172"/>
      <c r="S881" s="197"/>
      <c r="T881" s="197"/>
      <c r="AY881" s="20" t="s">
        <v>1124</v>
      </c>
      <c r="CA881" s="149"/>
    </row>
    <row r="882" spans="3:79" s="20" customFormat="1" ht="27">
      <c r="C882" s="136" t="s">
        <v>1473</v>
      </c>
      <c r="F882" s="43"/>
      <c r="G882" s="21"/>
      <c r="L882" s="22"/>
      <c r="M882" s="22"/>
      <c r="N882" s="22"/>
      <c r="P882" s="172"/>
      <c r="S882" s="197"/>
      <c r="T882" s="197"/>
      <c r="AY882" s="20" t="s">
        <v>1124</v>
      </c>
      <c r="CA882" s="149"/>
    </row>
    <row r="883" spans="3:79" s="20" customFormat="1">
      <c r="C883" s="136" t="s">
        <v>1474</v>
      </c>
      <c r="F883" s="43"/>
      <c r="G883" s="21"/>
      <c r="L883" s="22"/>
      <c r="M883" s="22"/>
      <c r="N883" s="22"/>
      <c r="P883" s="172"/>
      <c r="S883" s="197"/>
      <c r="T883" s="197"/>
      <c r="AY883" s="20" t="s">
        <v>1124</v>
      </c>
      <c r="CA883" s="149"/>
    </row>
    <row r="884" spans="3:79" s="20" customFormat="1" ht="27">
      <c r="C884" s="136" t="s">
        <v>1475</v>
      </c>
      <c r="F884" s="43"/>
      <c r="G884" s="21"/>
      <c r="L884" s="22"/>
      <c r="M884" s="22"/>
      <c r="N884" s="22"/>
      <c r="P884" s="172"/>
      <c r="S884" s="197"/>
      <c r="T884" s="197"/>
      <c r="AY884" s="20" t="s">
        <v>1124</v>
      </c>
      <c r="CA884" s="149"/>
    </row>
    <row r="885" spans="3:79" s="20" customFormat="1" ht="37.5">
      <c r="C885" s="136" t="s">
        <v>1476</v>
      </c>
      <c r="F885" s="43"/>
      <c r="G885" s="21"/>
      <c r="L885" s="22"/>
      <c r="M885" s="22"/>
      <c r="N885" s="22"/>
      <c r="P885" s="172"/>
      <c r="S885" s="197"/>
      <c r="T885" s="197"/>
      <c r="AY885" s="20" t="s">
        <v>1124</v>
      </c>
      <c r="CA885" s="149"/>
    </row>
    <row r="886" spans="3:79" s="20" customFormat="1" ht="37.5">
      <c r="C886" s="136" t="s">
        <v>1477</v>
      </c>
      <c r="F886" s="43"/>
      <c r="G886" s="21"/>
      <c r="L886" s="22"/>
      <c r="M886" s="22"/>
      <c r="N886" s="22"/>
      <c r="P886" s="172"/>
      <c r="S886" s="197"/>
      <c r="T886" s="197"/>
      <c r="AY886" s="20" t="s">
        <v>1124</v>
      </c>
      <c r="CA886" s="149"/>
    </row>
    <row r="887" spans="3:79" s="20" customFormat="1" ht="37.5">
      <c r="C887" s="136" t="s">
        <v>1478</v>
      </c>
      <c r="F887" s="43"/>
      <c r="G887" s="21"/>
      <c r="L887" s="22"/>
      <c r="M887" s="22"/>
      <c r="N887" s="22"/>
      <c r="P887" s="172"/>
      <c r="S887" s="197"/>
      <c r="T887" s="197"/>
      <c r="AY887" s="20" t="s">
        <v>1124</v>
      </c>
      <c r="CA887" s="149"/>
    </row>
    <row r="888" spans="3:79" s="20" customFormat="1">
      <c r="C888" s="136" t="s">
        <v>1479</v>
      </c>
      <c r="F888" s="43"/>
      <c r="G888" s="21"/>
      <c r="L888" s="22"/>
      <c r="M888" s="22"/>
      <c r="N888" s="22"/>
      <c r="P888" s="172"/>
      <c r="S888" s="197"/>
      <c r="T888" s="197"/>
      <c r="AY888" s="20" t="s">
        <v>1124</v>
      </c>
      <c r="CA888" s="149"/>
    </row>
    <row r="889" spans="3:79" s="20" customFormat="1">
      <c r="C889" s="136" t="s">
        <v>1480</v>
      </c>
      <c r="F889" s="43"/>
      <c r="G889" s="21"/>
      <c r="L889" s="22"/>
      <c r="M889" s="22"/>
      <c r="N889" s="22"/>
      <c r="P889" s="172"/>
      <c r="S889" s="197"/>
      <c r="T889" s="197"/>
      <c r="AY889" s="20" t="s">
        <v>1124</v>
      </c>
      <c r="CA889" s="149"/>
    </row>
    <row r="890" spans="3:79" s="20" customFormat="1">
      <c r="C890" s="136" t="s">
        <v>1481</v>
      </c>
      <c r="F890" s="43"/>
      <c r="G890" s="21"/>
      <c r="L890" s="22"/>
      <c r="M890" s="22"/>
      <c r="N890" s="22"/>
      <c r="P890" s="172"/>
      <c r="S890" s="197"/>
      <c r="T890" s="197"/>
      <c r="AY890" s="20" t="s">
        <v>1124</v>
      </c>
      <c r="CA890" s="149"/>
    </row>
    <row r="891" spans="3:79" s="20" customFormat="1">
      <c r="C891" s="136" t="s">
        <v>1482</v>
      </c>
      <c r="F891" s="43"/>
      <c r="G891" s="21"/>
      <c r="L891" s="22"/>
      <c r="M891" s="22"/>
      <c r="N891" s="22"/>
      <c r="P891" s="172"/>
      <c r="S891" s="197"/>
      <c r="T891" s="197"/>
      <c r="AY891" s="20" t="s">
        <v>1124</v>
      </c>
      <c r="CA891" s="149"/>
    </row>
    <row r="892" spans="3:79" s="20" customFormat="1" ht="27">
      <c r="C892" s="136" t="s">
        <v>1483</v>
      </c>
      <c r="F892" s="43"/>
      <c r="G892" s="21"/>
      <c r="L892" s="22"/>
      <c r="M892" s="22"/>
      <c r="N892" s="22"/>
      <c r="P892" s="172"/>
      <c r="S892" s="197"/>
      <c r="T892" s="197"/>
      <c r="AY892" s="20" t="s">
        <v>1124</v>
      </c>
      <c r="CA892" s="149"/>
    </row>
    <row r="893" spans="3:79" s="20" customFormat="1" ht="27">
      <c r="C893" s="136" t="s">
        <v>1484</v>
      </c>
      <c r="F893" s="43"/>
      <c r="G893" s="21"/>
      <c r="L893" s="22"/>
      <c r="M893" s="22"/>
      <c r="N893" s="22"/>
      <c r="P893" s="172"/>
      <c r="S893" s="197"/>
      <c r="T893" s="197"/>
      <c r="AY893" s="20" t="s">
        <v>1124</v>
      </c>
      <c r="CA893" s="149"/>
    </row>
    <row r="894" spans="3:79" s="20" customFormat="1">
      <c r="C894" s="136" t="s">
        <v>1485</v>
      </c>
      <c r="F894" s="43"/>
      <c r="G894" s="21"/>
      <c r="L894" s="22"/>
      <c r="M894" s="22"/>
      <c r="N894" s="22"/>
      <c r="P894" s="172"/>
      <c r="S894" s="197"/>
      <c r="T894" s="197"/>
      <c r="AY894" s="20" t="s">
        <v>1124</v>
      </c>
      <c r="CA894" s="149"/>
    </row>
    <row r="895" spans="3:79" s="20" customFormat="1" ht="27">
      <c r="C895" s="136" t="s">
        <v>1486</v>
      </c>
      <c r="F895" s="43"/>
      <c r="G895" s="21"/>
      <c r="L895" s="22"/>
      <c r="M895" s="22"/>
      <c r="N895" s="22"/>
      <c r="P895" s="172"/>
      <c r="S895" s="197"/>
      <c r="T895" s="197"/>
      <c r="AY895" s="20" t="s">
        <v>1124</v>
      </c>
      <c r="CA895" s="149"/>
    </row>
    <row r="896" spans="3:79" s="20" customFormat="1" ht="27">
      <c r="C896" s="136" t="s">
        <v>1487</v>
      </c>
      <c r="F896" s="43"/>
      <c r="G896" s="21"/>
      <c r="L896" s="22"/>
      <c r="M896" s="22"/>
      <c r="N896" s="22"/>
      <c r="P896" s="172"/>
      <c r="S896" s="197"/>
      <c r="T896" s="197"/>
      <c r="AY896" s="20" t="s">
        <v>1124</v>
      </c>
      <c r="CA896" s="149"/>
    </row>
    <row r="897" spans="3:79" s="20" customFormat="1" ht="27">
      <c r="C897" s="136" t="s">
        <v>1488</v>
      </c>
      <c r="F897" s="43"/>
      <c r="G897" s="21"/>
      <c r="L897" s="22"/>
      <c r="M897" s="22"/>
      <c r="N897" s="22"/>
      <c r="P897" s="172"/>
      <c r="S897" s="197"/>
      <c r="T897" s="197"/>
      <c r="AY897" s="20" t="s">
        <v>1124</v>
      </c>
      <c r="CA897" s="149"/>
    </row>
    <row r="898" spans="3:79" s="20" customFormat="1" ht="27">
      <c r="C898" s="136" t="s">
        <v>1489</v>
      </c>
      <c r="F898" s="43"/>
      <c r="G898" s="21"/>
      <c r="L898" s="22"/>
      <c r="M898" s="22"/>
      <c r="N898" s="22"/>
      <c r="P898" s="172"/>
      <c r="S898" s="197"/>
      <c r="T898" s="197"/>
      <c r="AY898" s="20" t="s">
        <v>1124</v>
      </c>
      <c r="CA898" s="149"/>
    </row>
    <row r="899" spans="3:79" s="20" customFormat="1" ht="27">
      <c r="C899" s="136" t="s">
        <v>1490</v>
      </c>
      <c r="F899" s="43"/>
      <c r="G899" s="21"/>
      <c r="L899" s="22"/>
      <c r="M899" s="22"/>
      <c r="N899" s="22"/>
      <c r="P899" s="172"/>
      <c r="S899" s="197"/>
      <c r="T899" s="197"/>
      <c r="AY899" s="20" t="s">
        <v>1124</v>
      </c>
      <c r="CA899" s="149"/>
    </row>
    <row r="900" spans="3:79" s="20" customFormat="1">
      <c r="C900" s="136" t="s">
        <v>1491</v>
      </c>
      <c r="F900" s="43"/>
      <c r="G900" s="21"/>
      <c r="L900" s="22"/>
      <c r="M900" s="22"/>
      <c r="N900" s="22"/>
      <c r="P900" s="172"/>
      <c r="S900" s="197"/>
      <c r="T900" s="197"/>
      <c r="AY900" s="20" t="s">
        <v>1124</v>
      </c>
      <c r="CA900" s="149"/>
    </row>
    <row r="901" spans="3:79" s="20" customFormat="1" ht="27">
      <c r="C901" s="136" t="s">
        <v>1492</v>
      </c>
      <c r="F901" s="43"/>
      <c r="G901" s="21"/>
      <c r="L901" s="22"/>
      <c r="M901" s="22"/>
      <c r="N901" s="22"/>
      <c r="P901" s="172"/>
      <c r="S901" s="197"/>
      <c r="T901" s="197"/>
      <c r="AY901" s="20" t="s">
        <v>1124</v>
      </c>
      <c r="CA901" s="149"/>
    </row>
    <row r="902" spans="3:79" s="20" customFormat="1">
      <c r="C902" s="136" t="s">
        <v>1493</v>
      </c>
      <c r="F902" s="43"/>
      <c r="G902" s="21"/>
      <c r="L902" s="22"/>
      <c r="M902" s="22"/>
      <c r="N902" s="22"/>
      <c r="P902" s="172"/>
      <c r="S902" s="197"/>
      <c r="T902" s="197"/>
      <c r="AY902" s="20" t="s">
        <v>1124</v>
      </c>
      <c r="CA902" s="149"/>
    </row>
    <row r="903" spans="3:79" s="20" customFormat="1" ht="37.5">
      <c r="C903" s="136" t="s">
        <v>1494</v>
      </c>
      <c r="F903" s="43"/>
      <c r="G903" s="21"/>
      <c r="L903" s="22"/>
      <c r="M903" s="22"/>
      <c r="N903" s="22"/>
      <c r="P903" s="172"/>
      <c r="S903" s="197"/>
      <c r="T903" s="197"/>
      <c r="AY903" s="20" t="s">
        <v>1124</v>
      </c>
      <c r="CA903" s="149"/>
    </row>
    <row r="904" spans="3:79" s="20" customFormat="1">
      <c r="C904" s="136" t="s">
        <v>1495</v>
      </c>
      <c r="F904" s="43"/>
      <c r="G904" s="21"/>
      <c r="L904" s="22"/>
      <c r="M904" s="22"/>
      <c r="N904" s="22"/>
      <c r="P904" s="172"/>
      <c r="S904" s="197"/>
      <c r="T904" s="197"/>
      <c r="AY904" s="20" t="s">
        <v>1124</v>
      </c>
      <c r="CA904" s="149"/>
    </row>
    <row r="905" spans="3:79" s="20" customFormat="1">
      <c r="C905" s="136" t="s">
        <v>1496</v>
      </c>
      <c r="F905" s="43"/>
      <c r="G905" s="21"/>
      <c r="L905" s="22"/>
      <c r="M905" s="22"/>
      <c r="N905" s="22"/>
      <c r="P905" s="172"/>
      <c r="S905" s="197"/>
      <c r="T905" s="197"/>
      <c r="AY905" s="20" t="s">
        <v>1124</v>
      </c>
      <c r="CA905" s="149"/>
    </row>
    <row r="906" spans="3:79" s="20" customFormat="1">
      <c r="C906" s="136" t="s">
        <v>1497</v>
      </c>
      <c r="F906" s="43"/>
      <c r="G906" s="21"/>
      <c r="L906" s="22"/>
      <c r="M906" s="22"/>
      <c r="N906" s="22"/>
      <c r="P906" s="172"/>
      <c r="S906" s="197"/>
      <c r="T906" s="197"/>
      <c r="AY906" s="20" t="s">
        <v>1124</v>
      </c>
      <c r="CA906" s="149"/>
    </row>
    <row r="907" spans="3:79" s="20" customFormat="1">
      <c r="C907" s="136" t="s">
        <v>1498</v>
      </c>
      <c r="F907" s="43"/>
      <c r="G907" s="21"/>
      <c r="L907" s="22"/>
      <c r="M907" s="22"/>
      <c r="N907" s="22"/>
      <c r="P907" s="172"/>
      <c r="S907" s="197"/>
      <c r="T907" s="197"/>
      <c r="AY907" s="20" t="s">
        <v>1124</v>
      </c>
      <c r="CA907" s="149"/>
    </row>
    <row r="908" spans="3:79" s="20" customFormat="1">
      <c r="C908" s="136" t="s">
        <v>1499</v>
      </c>
      <c r="F908" s="43"/>
      <c r="G908" s="21"/>
      <c r="L908" s="22"/>
      <c r="M908" s="22"/>
      <c r="N908" s="22"/>
      <c r="P908" s="172"/>
      <c r="S908" s="197"/>
      <c r="T908" s="197"/>
      <c r="AY908" s="20" t="s">
        <v>1124</v>
      </c>
      <c r="CA908" s="149"/>
    </row>
    <row r="909" spans="3:79" s="20" customFormat="1">
      <c r="C909" s="136" t="s">
        <v>1500</v>
      </c>
      <c r="F909" s="43"/>
      <c r="G909" s="21"/>
      <c r="L909" s="22"/>
      <c r="M909" s="22"/>
      <c r="N909" s="22"/>
      <c r="P909" s="172"/>
      <c r="S909" s="197"/>
      <c r="T909" s="197"/>
      <c r="AY909" s="20" t="s">
        <v>1124</v>
      </c>
      <c r="CA909" s="149"/>
    </row>
    <row r="910" spans="3:79" s="20" customFormat="1" ht="27">
      <c r="C910" s="136" t="s">
        <v>1501</v>
      </c>
      <c r="F910" s="43"/>
      <c r="G910" s="21"/>
      <c r="L910" s="22"/>
      <c r="M910" s="22"/>
      <c r="N910" s="22"/>
      <c r="P910" s="172"/>
      <c r="S910" s="197"/>
      <c r="T910" s="197"/>
      <c r="AY910" s="20" t="s">
        <v>1124</v>
      </c>
      <c r="CA910" s="149"/>
    </row>
    <row r="911" spans="3:79" s="20" customFormat="1">
      <c r="C911" s="136" t="s">
        <v>1502</v>
      </c>
      <c r="F911" s="43"/>
      <c r="G911" s="21"/>
      <c r="L911" s="22"/>
      <c r="M911" s="22"/>
      <c r="N911" s="22"/>
      <c r="P911" s="172"/>
      <c r="S911" s="197"/>
      <c r="T911" s="197"/>
      <c r="AY911" s="20" t="s">
        <v>1124</v>
      </c>
      <c r="CA911" s="149"/>
    </row>
    <row r="912" spans="3:79" s="20" customFormat="1">
      <c r="C912" s="136" t="s">
        <v>1503</v>
      </c>
      <c r="F912" s="43"/>
      <c r="G912" s="21"/>
      <c r="L912" s="22"/>
      <c r="M912" s="22"/>
      <c r="N912" s="22"/>
      <c r="P912" s="172"/>
      <c r="S912" s="197"/>
      <c r="T912" s="197"/>
      <c r="AY912" s="20" t="s">
        <v>1124</v>
      </c>
      <c r="CA912" s="149"/>
    </row>
    <row r="913" spans="3:79" s="20" customFormat="1">
      <c r="C913" s="136" t="s">
        <v>1504</v>
      </c>
      <c r="F913" s="43"/>
      <c r="G913" s="21"/>
      <c r="L913" s="22"/>
      <c r="M913" s="22"/>
      <c r="N913" s="22"/>
      <c r="P913" s="172"/>
      <c r="S913" s="197"/>
      <c r="T913" s="197"/>
      <c r="AY913" s="20" t="s">
        <v>1124</v>
      </c>
      <c r="CA913" s="149"/>
    </row>
    <row r="914" spans="3:79" s="20" customFormat="1">
      <c r="C914" s="136" t="s">
        <v>1505</v>
      </c>
      <c r="F914" s="43"/>
      <c r="G914" s="21"/>
      <c r="L914" s="22"/>
      <c r="M914" s="22"/>
      <c r="N914" s="22"/>
      <c r="P914" s="172"/>
      <c r="S914" s="197"/>
      <c r="T914" s="197"/>
      <c r="AY914" s="20" t="s">
        <v>1124</v>
      </c>
      <c r="CA914" s="149"/>
    </row>
    <row r="915" spans="3:79" s="20" customFormat="1">
      <c r="C915" s="136" t="s">
        <v>1506</v>
      </c>
      <c r="F915" s="43"/>
      <c r="G915" s="21"/>
      <c r="L915" s="22"/>
      <c r="M915" s="22"/>
      <c r="N915" s="22"/>
      <c r="P915" s="172"/>
      <c r="S915" s="197"/>
      <c r="T915" s="197"/>
      <c r="AY915" s="20" t="s">
        <v>1124</v>
      </c>
      <c r="CA915" s="149"/>
    </row>
    <row r="916" spans="3:79" s="20" customFormat="1">
      <c r="C916" s="136" t="s">
        <v>1507</v>
      </c>
      <c r="F916" s="43"/>
      <c r="G916" s="21"/>
      <c r="L916" s="22"/>
      <c r="M916" s="22"/>
      <c r="N916" s="22"/>
      <c r="P916" s="172"/>
      <c r="S916" s="197"/>
      <c r="T916" s="197"/>
      <c r="AY916" s="20" t="s">
        <v>1124</v>
      </c>
      <c r="CA916" s="149"/>
    </row>
    <row r="917" spans="3:79" s="20" customFormat="1" ht="27">
      <c r="C917" s="136" t="s">
        <v>1508</v>
      </c>
      <c r="F917" s="43"/>
      <c r="G917" s="21"/>
      <c r="L917" s="22"/>
      <c r="M917" s="22"/>
      <c r="N917" s="22"/>
      <c r="P917" s="172"/>
      <c r="S917" s="197"/>
      <c r="T917" s="197"/>
      <c r="AY917" s="20" t="s">
        <v>1124</v>
      </c>
      <c r="CA917" s="149"/>
    </row>
    <row r="918" spans="3:79" s="20" customFormat="1" ht="27">
      <c r="C918" s="136" t="s">
        <v>1509</v>
      </c>
      <c r="F918" s="43"/>
      <c r="G918" s="21"/>
      <c r="L918" s="22"/>
      <c r="M918" s="22"/>
      <c r="N918" s="22"/>
      <c r="P918" s="172"/>
      <c r="S918" s="197"/>
      <c r="T918" s="197"/>
      <c r="AY918" s="20" t="s">
        <v>1124</v>
      </c>
      <c r="CA918" s="149"/>
    </row>
    <row r="919" spans="3:79" s="20" customFormat="1" ht="27">
      <c r="C919" s="136" t="s">
        <v>1510</v>
      </c>
      <c r="F919" s="43"/>
      <c r="G919" s="21"/>
      <c r="L919" s="22"/>
      <c r="M919" s="22"/>
      <c r="N919" s="22"/>
      <c r="P919" s="172"/>
      <c r="S919" s="197"/>
      <c r="T919" s="197"/>
      <c r="AY919" s="20" t="s">
        <v>1124</v>
      </c>
      <c r="CA919" s="149"/>
    </row>
    <row r="920" spans="3:79" s="20" customFormat="1" ht="27">
      <c r="C920" s="136" t="s">
        <v>1511</v>
      </c>
      <c r="F920" s="43"/>
      <c r="G920" s="21"/>
      <c r="L920" s="22"/>
      <c r="M920" s="22"/>
      <c r="N920" s="22"/>
      <c r="P920" s="172"/>
      <c r="S920" s="197"/>
      <c r="T920" s="197"/>
      <c r="AY920" s="20" t="s">
        <v>1124</v>
      </c>
      <c r="CA920" s="149"/>
    </row>
    <row r="921" spans="3:79" s="20" customFormat="1">
      <c r="C921" s="136" t="s">
        <v>1512</v>
      </c>
      <c r="F921" s="43"/>
      <c r="G921" s="21"/>
      <c r="L921" s="22"/>
      <c r="M921" s="22"/>
      <c r="N921" s="22"/>
      <c r="P921" s="172"/>
      <c r="S921" s="197"/>
      <c r="T921" s="197"/>
      <c r="AY921" s="20" t="s">
        <v>1124</v>
      </c>
      <c r="CA921" s="149"/>
    </row>
    <row r="922" spans="3:79" s="20" customFormat="1">
      <c r="C922" s="136" t="s">
        <v>1513</v>
      </c>
      <c r="F922" s="43"/>
      <c r="G922" s="21"/>
      <c r="L922" s="22"/>
      <c r="M922" s="22"/>
      <c r="N922" s="22"/>
      <c r="P922" s="172"/>
      <c r="S922" s="197"/>
      <c r="T922" s="197"/>
      <c r="AY922" s="20" t="s">
        <v>1124</v>
      </c>
      <c r="CA922" s="149"/>
    </row>
    <row r="923" spans="3:79" s="20" customFormat="1" ht="27">
      <c r="C923" s="136" t="s">
        <v>1514</v>
      </c>
      <c r="F923" s="43"/>
      <c r="G923" s="21"/>
      <c r="L923" s="22"/>
      <c r="M923" s="22"/>
      <c r="N923" s="22"/>
      <c r="P923" s="172"/>
      <c r="S923" s="197"/>
      <c r="T923" s="197"/>
      <c r="AY923" s="20" t="s">
        <v>1124</v>
      </c>
      <c r="CA923" s="149"/>
    </row>
    <row r="924" spans="3:79" s="20" customFormat="1" ht="27">
      <c r="C924" s="136" t="s">
        <v>1515</v>
      </c>
      <c r="F924" s="43"/>
      <c r="G924" s="21"/>
      <c r="L924" s="22"/>
      <c r="M924" s="22"/>
      <c r="N924" s="22"/>
      <c r="P924" s="172"/>
      <c r="S924" s="197"/>
      <c r="T924" s="197"/>
      <c r="AY924" s="20" t="s">
        <v>1124</v>
      </c>
      <c r="CA924" s="149"/>
    </row>
    <row r="925" spans="3:79" s="20" customFormat="1">
      <c r="C925" s="136" t="s">
        <v>1516</v>
      </c>
      <c r="F925" s="43"/>
      <c r="G925" s="21"/>
      <c r="L925" s="22"/>
      <c r="M925" s="22"/>
      <c r="N925" s="22"/>
      <c r="P925" s="172"/>
      <c r="S925" s="197"/>
      <c r="T925" s="197"/>
      <c r="AY925" s="20" t="s">
        <v>1124</v>
      </c>
      <c r="CA925" s="149"/>
    </row>
    <row r="926" spans="3:79" s="20" customFormat="1">
      <c r="C926" s="136" t="s">
        <v>1517</v>
      </c>
      <c r="F926" s="43"/>
      <c r="G926" s="21"/>
      <c r="L926" s="22"/>
      <c r="M926" s="22"/>
      <c r="N926" s="22"/>
      <c r="P926" s="172"/>
      <c r="S926" s="197"/>
      <c r="T926" s="197"/>
      <c r="AY926" s="20" t="s">
        <v>1124</v>
      </c>
      <c r="CA926" s="149"/>
    </row>
    <row r="927" spans="3:79" s="20" customFormat="1" ht="27">
      <c r="C927" s="136" t="s">
        <v>1518</v>
      </c>
      <c r="F927" s="43"/>
      <c r="G927" s="21"/>
      <c r="L927" s="22"/>
      <c r="M927" s="22"/>
      <c r="N927" s="22"/>
      <c r="P927" s="172"/>
      <c r="S927" s="197"/>
      <c r="T927" s="197"/>
      <c r="AY927" s="20" t="s">
        <v>1124</v>
      </c>
      <c r="CA927" s="149"/>
    </row>
    <row r="928" spans="3:79" s="20" customFormat="1">
      <c r="C928" s="136" t="s">
        <v>1519</v>
      </c>
      <c r="F928" s="43"/>
      <c r="G928" s="21"/>
      <c r="L928" s="22"/>
      <c r="M928" s="22"/>
      <c r="N928" s="22"/>
      <c r="P928" s="172"/>
      <c r="S928" s="197"/>
      <c r="T928" s="197"/>
      <c r="AY928" s="20" t="s">
        <v>1124</v>
      </c>
      <c r="CA928" s="149"/>
    </row>
    <row r="929" spans="3:79" s="20" customFormat="1">
      <c r="C929" s="136" t="s">
        <v>1520</v>
      </c>
      <c r="F929" s="43"/>
      <c r="G929" s="21"/>
      <c r="L929" s="22"/>
      <c r="M929" s="22"/>
      <c r="N929" s="22"/>
      <c r="P929" s="172"/>
      <c r="S929" s="197"/>
      <c r="T929" s="197"/>
      <c r="AY929" s="20" t="s">
        <v>1124</v>
      </c>
      <c r="CA929" s="149"/>
    </row>
    <row r="930" spans="3:79" s="20" customFormat="1">
      <c r="C930" s="136" t="s">
        <v>1521</v>
      </c>
      <c r="F930" s="43"/>
      <c r="G930" s="21"/>
      <c r="L930" s="22"/>
      <c r="M930" s="22"/>
      <c r="N930" s="22"/>
      <c r="P930" s="172"/>
      <c r="S930" s="197"/>
      <c r="T930" s="197"/>
      <c r="AY930" s="20" t="s">
        <v>1124</v>
      </c>
      <c r="CA930" s="149"/>
    </row>
    <row r="931" spans="3:79" s="20" customFormat="1">
      <c r="C931" s="136" t="s">
        <v>1522</v>
      </c>
      <c r="F931" s="43"/>
      <c r="G931" s="21"/>
      <c r="L931" s="22"/>
      <c r="M931" s="22"/>
      <c r="N931" s="22"/>
      <c r="P931" s="172"/>
      <c r="S931" s="197"/>
      <c r="T931" s="197"/>
      <c r="AY931" s="20" t="s">
        <v>1124</v>
      </c>
      <c r="CA931" s="149"/>
    </row>
    <row r="932" spans="3:79" s="20" customFormat="1">
      <c r="C932" s="136" t="s">
        <v>1523</v>
      </c>
      <c r="F932" s="43"/>
      <c r="G932" s="21"/>
      <c r="L932" s="22"/>
      <c r="M932" s="22"/>
      <c r="N932" s="22"/>
      <c r="P932" s="172"/>
      <c r="S932" s="197"/>
      <c r="T932" s="197"/>
      <c r="AY932" s="20" t="s">
        <v>1124</v>
      </c>
      <c r="CA932" s="149"/>
    </row>
    <row r="933" spans="3:79" s="20" customFormat="1">
      <c r="C933" s="136" t="s">
        <v>1524</v>
      </c>
      <c r="F933" s="43"/>
      <c r="G933" s="21"/>
      <c r="L933" s="22"/>
      <c r="M933" s="22"/>
      <c r="N933" s="22"/>
      <c r="P933" s="172"/>
      <c r="S933" s="197"/>
      <c r="T933" s="197"/>
      <c r="AY933" s="20" t="s">
        <v>1124</v>
      </c>
      <c r="CA933" s="149"/>
    </row>
    <row r="934" spans="3:79" s="20" customFormat="1">
      <c r="C934" s="136" t="s">
        <v>1525</v>
      </c>
      <c r="F934" s="43"/>
      <c r="G934" s="21"/>
      <c r="L934" s="22"/>
      <c r="M934" s="22"/>
      <c r="N934" s="22"/>
      <c r="P934" s="172"/>
      <c r="S934" s="197"/>
      <c r="T934" s="197"/>
      <c r="AY934" s="20" t="s">
        <v>1124</v>
      </c>
      <c r="CA934" s="149"/>
    </row>
    <row r="935" spans="3:79" s="20" customFormat="1">
      <c r="C935" s="136" t="s">
        <v>1526</v>
      </c>
      <c r="F935" s="43"/>
      <c r="G935" s="21"/>
      <c r="L935" s="22"/>
      <c r="M935" s="22"/>
      <c r="N935" s="22"/>
      <c r="P935" s="172"/>
      <c r="S935" s="197"/>
      <c r="T935" s="197"/>
      <c r="AY935" s="20" t="s">
        <v>1124</v>
      </c>
      <c r="CA935" s="149"/>
    </row>
    <row r="936" spans="3:79" s="20" customFormat="1">
      <c r="C936" s="136" t="s">
        <v>1527</v>
      </c>
      <c r="F936" s="43"/>
      <c r="G936" s="21"/>
      <c r="L936" s="22"/>
      <c r="M936" s="22"/>
      <c r="N936" s="22"/>
      <c r="P936" s="172"/>
      <c r="S936" s="197"/>
      <c r="T936" s="197"/>
      <c r="AY936" s="20" t="s">
        <v>1124</v>
      </c>
      <c r="CA936" s="149"/>
    </row>
    <row r="937" spans="3:79" s="20" customFormat="1">
      <c r="C937" s="136" t="s">
        <v>1528</v>
      </c>
      <c r="F937" s="43"/>
      <c r="G937" s="21"/>
      <c r="L937" s="22"/>
      <c r="M937" s="22"/>
      <c r="N937" s="22"/>
      <c r="P937" s="172"/>
      <c r="S937" s="197"/>
      <c r="T937" s="197"/>
      <c r="AY937" s="20" t="s">
        <v>1124</v>
      </c>
      <c r="CA937" s="149"/>
    </row>
    <row r="938" spans="3:79" s="20" customFormat="1">
      <c r="C938" s="136" t="s">
        <v>1529</v>
      </c>
      <c r="F938" s="43"/>
      <c r="G938" s="21"/>
      <c r="L938" s="22"/>
      <c r="M938" s="22"/>
      <c r="N938" s="22"/>
      <c r="P938" s="172"/>
      <c r="S938" s="197"/>
      <c r="T938" s="197"/>
      <c r="AY938" s="20" t="s">
        <v>1124</v>
      </c>
      <c r="CA938" s="149"/>
    </row>
    <row r="939" spans="3:79" s="20" customFormat="1">
      <c r="C939" s="136" t="s">
        <v>1530</v>
      </c>
      <c r="F939" s="43"/>
      <c r="G939" s="21"/>
      <c r="L939" s="22"/>
      <c r="M939" s="22"/>
      <c r="N939" s="22"/>
      <c r="P939" s="172"/>
      <c r="S939" s="197"/>
      <c r="T939" s="197"/>
      <c r="AY939" s="20" t="s">
        <v>1124</v>
      </c>
      <c r="CA939" s="149"/>
    </row>
    <row r="940" spans="3:79" s="20" customFormat="1">
      <c r="C940" s="136" t="s">
        <v>1531</v>
      </c>
      <c r="F940" s="43"/>
      <c r="G940" s="21"/>
      <c r="L940" s="22"/>
      <c r="M940" s="22"/>
      <c r="N940" s="22"/>
      <c r="P940" s="172"/>
      <c r="S940" s="197"/>
      <c r="T940" s="197"/>
      <c r="AY940" s="20" t="s">
        <v>1124</v>
      </c>
      <c r="CA940" s="149"/>
    </row>
    <row r="941" spans="3:79" s="20" customFormat="1">
      <c r="C941" s="136" t="s">
        <v>1532</v>
      </c>
      <c r="F941" s="43"/>
      <c r="G941" s="21"/>
      <c r="L941" s="22"/>
      <c r="M941" s="22"/>
      <c r="N941" s="22"/>
      <c r="P941" s="172"/>
      <c r="S941" s="197"/>
      <c r="T941" s="197"/>
      <c r="AY941" s="20" t="s">
        <v>1124</v>
      </c>
      <c r="CA941" s="149"/>
    </row>
    <row r="942" spans="3:79" s="20" customFormat="1">
      <c r="C942" s="136" t="s">
        <v>1533</v>
      </c>
      <c r="F942" s="43"/>
      <c r="G942" s="21"/>
      <c r="L942" s="22"/>
      <c r="M942" s="22"/>
      <c r="N942" s="22"/>
      <c r="P942" s="172"/>
      <c r="S942" s="197"/>
      <c r="T942" s="197"/>
      <c r="AY942" s="20" t="s">
        <v>1124</v>
      </c>
      <c r="CA942" s="149"/>
    </row>
    <row r="943" spans="3:79" s="20" customFormat="1">
      <c r="C943" s="136" t="s">
        <v>1534</v>
      </c>
      <c r="F943" s="43"/>
      <c r="G943" s="21"/>
      <c r="L943" s="22"/>
      <c r="M943" s="22"/>
      <c r="N943" s="22"/>
      <c r="P943" s="172"/>
      <c r="S943" s="197"/>
      <c r="T943" s="197"/>
      <c r="AY943" s="20" t="s">
        <v>1124</v>
      </c>
      <c r="CA943" s="149"/>
    </row>
    <row r="944" spans="3:79" s="20" customFormat="1" ht="27">
      <c r="C944" s="136" t="s">
        <v>1535</v>
      </c>
      <c r="F944" s="43"/>
      <c r="G944" s="21"/>
      <c r="L944" s="22"/>
      <c r="M944" s="22"/>
      <c r="N944" s="22"/>
      <c r="P944" s="172"/>
      <c r="S944" s="197"/>
      <c r="T944" s="197"/>
      <c r="AY944" s="20" t="s">
        <v>1124</v>
      </c>
      <c r="CA944" s="149"/>
    </row>
    <row r="945" spans="3:79" s="20" customFormat="1" ht="27">
      <c r="C945" s="136" t="s">
        <v>1536</v>
      </c>
      <c r="F945" s="43"/>
      <c r="G945" s="21"/>
      <c r="L945" s="22"/>
      <c r="M945" s="22"/>
      <c r="N945" s="22"/>
      <c r="P945" s="172"/>
      <c r="S945" s="197"/>
      <c r="T945" s="197"/>
      <c r="AY945" s="20" t="s">
        <v>1124</v>
      </c>
      <c r="CA945" s="149"/>
    </row>
    <row r="946" spans="3:79" s="20" customFormat="1" ht="27">
      <c r="C946" s="136" t="s">
        <v>1537</v>
      </c>
      <c r="F946" s="43"/>
      <c r="G946" s="21"/>
      <c r="L946" s="22"/>
      <c r="M946" s="22"/>
      <c r="N946" s="22"/>
      <c r="P946" s="172"/>
      <c r="S946" s="197"/>
      <c r="T946" s="197"/>
      <c r="AY946" s="20" t="s">
        <v>1124</v>
      </c>
      <c r="CA946" s="149"/>
    </row>
    <row r="947" spans="3:79" s="20" customFormat="1">
      <c r="C947" s="136" t="s">
        <v>1538</v>
      </c>
      <c r="F947" s="43"/>
      <c r="G947" s="21"/>
      <c r="L947" s="22"/>
      <c r="M947" s="22"/>
      <c r="N947" s="22"/>
      <c r="P947" s="172"/>
      <c r="S947" s="197"/>
      <c r="T947" s="197"/>
      <c r="AY947" s="20" t="s">
        <v>1124</v>
      </c>
      <c r="CA947" s="149"/>
    </row>
    <row r="948" spans="3:79" s="20" customFormat="1">
      <c r="C948" s="136" t="s">
        <v>1539</v>
      </c>
      <c r="F948" s="43"/>
      <c r="G948" s="21"/>
      <c r="L948" s="22"/>
      <c r="M948" s="22"/>
      <c r="N948" s="22"/>
      <c r="P948" s="172"/>
      <c r="S948" s="197"/>
      <c r="T948" s="197"/>
      <c r="AY948" s="20" t="s">
        <v>1124</v>
      </c>
      <c r="CA948" s="149"/>
    </row>
    <row r="949" spans="3:79" s="20" customFormat="1">
      <c r="C949" s="136" t="s">
        <v>1540</v>
      </c>
      <c r="F949" s="43"/>
      <c r="G949" s="21"/>
      <c r="L949" s="22"/>
      <c r="M949" s="22"/>
      <c r="N949" s="22"/>
      <c r="P949" s="172"/>
      <c r="S949" s="197"/>
      <c r="T949" s="197"/>
      <c r="AY949" s="20" t="s">
        <v>1124</v>
      </c>
      <c r="CA949" s="149"/>
    </row>
    <row r="950" spans="3:79" s="20" customFormat="1">
      <c r="C950" s="136" t="s">
        <v>1541</v>
      </c>
      <c r="F950" s="43"/>
      <c r="G950" s="21"/>
      <c r="L950" s="22"/>
      <c r="M950" s="22"/>
      <c r="N950" s="22"/>
      <c r="P950" s="172"/>
      <c r="S950" s="197"/>
      <c r="T950" s="197"/>
      <c r="AY950" s="20" t="s">
        <v>1124</v>
      </c>
      <c r="CA950" s="149"/>
    </row>
    <row r="951" spans="3:79" s="20" customFormat="1">
      <c r="C951" s="136" t="s">
        <v>1542</v>
      </c>
      <c r="F951" s="43"/>
      <c r="G951" s="21"/>
      <c r="L951" s="22"/>
      <c r="M951" s="22"/>
      <c r="N951" s="22"/>
      <c r="P951" s="172"/>
      <c r="S951" s="197"/>
      <c r="T951" s="197"/>
      <c r="AY951" s="20" t="s">
        <v>1124</v>
      </c>
      <c r="CA951" s="149"/>
    </row>
    <row r="952" spans="3:79" s="20" customFormat="1">
      <c r="C952" s="136" t="s">
        <v>1543</v>
      </c>
      <c r="F952" s="43"/>
      <c r="G952" s="21"/>
      <c r="L952" s="22"/>
      <c r="M952" s="22"/>
      <c r="N952" s="22"/>
      <c r="P952" s="172"/>
      <c r="S952" s="197"/>
      <c r="T952" s="197"/>
      <c r="AY952" s="20" t="s">
        <v>1124</v>
      </c>
      <c r="CA952" s="149"/>
    </row>
    <row r="953" spans="3:79" s="20" customFormat="1" ht="40.5">
      <c r="C953" s="136" t="s">
        <v>1544</v>
      </c>
      <c r="F953" s="43"/>
      <c r="G953" s="21"/>
      <c r="L953" s="22"/>
      <c r="M953" s="22"/>
      <c r="N953" s="22"/>
      <c r="P953" s="172"/>
      <c r="S953" s="197"/>
      <c r="T953" s="197"/>
      <c r="AY953" s="20" t="s">
        <v>1124</v>
      </c>
      <c r="CA953" s="149"/>
    </row>
    <row r="954" spans="3:79" s="20" customFormat="1">
      <c r="C954" s="136" t="s">
        <v>1545</v>
      </c>
      <c r="F954" s="43"/>
      <c r="G954" s="21"/>
      <c r="L954" s="22"/>
      <c r="M954" s="22"/>
      <c r="N954" s="22"/>
      <c r="P954" s="172"/>
      <c r="S954" s="197"/>
      <c r="T954" s="197"/>
      <c r="AY954" s="20" t="s">
        <v>1124</v>
      </c>
      <c r="CA954" s="149"/>
    </row>
    <row r="955" spans="3:79" s="20" customFormat="1">
      <c r="C955" s="136" t="s">
        <v>1546</v>
      </c>
      <c r="F955" s="43"/>
      <c r="G955" s="21"/>
      <c r="L955" s="22"/>
      <c r="M955" s="22"/>
      <c r="N955" s="22"/>
      <c r="P955" s="172"/>
      <c r="S955" s="197"/>
      <c r="T955" s="197"/>
      <c r="AY955" s="20" t="s">
        <v>1124</v>
      </c>
      <c r="CA955" s="149"/>
    </row>
    <row r="956" spans="3:79" s="20" customFormat="1" ht="27">
      <c r="C956" s="136" t="s">
        <v>1547</v>
      </c>
      <c r="F956" s="43"/>
      <c r="G956" s="21"/>
      <c r="L956" s="22"/>
      <c r="M956" s="22"/>
      <c r="N956" s="22"/>
      <c r="P956" s="172"/>
      <c r="S956" s="197"/>
      <c r="T956" s="197"/>
      <c r="AY956" s="20" t="s">
        <v>1124</v>
      </c>
      <c r="CA956" s="149"/>
    </row>
    <row r="957" spans="3:79" s="20" customFormat="1" ht="27">
      <c r="C957" s="136" t="s">
        <v>1548</v>
      </c>
      <c r="F957" s="43"/>
      <c r="G957" s="21"/>
      <c r="L957" s="22"/>
      <c r="M957" s="22"/>
      <c r="N957" s="22"/>
      <c r="P957" s="172"/>
      <c r="S957" s="197"/>
      <c r="T957" s="197"/>
      <c r="AY957" s="20" t="s">
        <v>1124</v>
      </c>
      <c r="CA957" s="149"/>
    </row>
    <row r="958" spans="3:79" s="25" customFormat="1" ht="19.5" thickBot="1">
      <c r="C958" s="136" t="s">
        <v>1549</v>
      </c>
      <c r="D958" s="164"/>
      <c r="F958" s="44"/>
      <c r="G958" s="21"/>
      <c r="H958" s="26" t="s">
        <v>775</v>
      </c>
      <c r="I958" s="164"/>
      <c r="J958" s="164"/>
      <c r="K958" s="164"/>
      <c r="O958" s="26"/>
      <c r="P958" s="173"/>
      <c r="S958" s="198"/>
      <c r="T958" s="198"/>
      <c r="W958" s="25">
        <v>329.94</v>
      </c>
      <c r="AY958" s="25" t="s">
        <v>1124</v>
      </c>
      <c r="CA958" s="150"/>
    </row>
    <row r="959" spans="3:79" s="25" customFormat="1" ht="19.5" thickBot="1">
      <c r="C959" s="136" t="s">
        <v>1550</v>
      </c>
      <c r="D959" s="164"/>
      <c r="F959" s="45"/>
      <c r="G959" s="21"/>
      <c r="H959" s="27" t="s">
        <v>757</v>
      </c>
      <c r="I959" s="164"/>
      <c r="J959" s="164"/>
      <c r="K959" s="164"/>
      <c r="O959" s="27"/>
      <c r="P959" s="173"/>
      <c r="S959" s="198"/>
      <c r="T959" s="198"/>
      <c r="W959" s="25">
        <v>327.2</v>
      </c>
      <c r="AY959" s="25" t="s">
        <v>1124</v>
      </c>
      <c r="CA959" s="150"/>
    </row>
    <row r="960" spans="3:79" s="25" customFormat="1" ht="32.25" thickBot="1">
      <c r="C960" s="136" t="s">
        <v>1551</v>
      </c>
      <c r="D960" s="164"/>
      <c r="F960" s="45"/>
      <c r="G960" s="21"/>
      <c r="H960" s="27" t="s">
        <v>776</v>
      </c>
      <c r="I960" s="164"/>
      <c r="J960" s="164"/>
      <c r="K960" s="164"/>
      <c r="O960" s="27"/>
      <c r="P960" s="173"/>
      <c r="S960" s="198"/>
      <c r="T960" s="198"/>
      <c r="W960" s="25">
        <v>329.9</v>
      </c>
      <c r="AY960" s="25" t="s">
        <v>1124</v>
      </c>
      <c r="CA960" s="150"/>
    </row>
    <row r="961" spans="3:79" s="25" customFormat="1" ht="19.5" thickBot="1">
      <c r="C961" s="136" t="s">
        <v>1545</v>
      </c>
      <c r="D961" s="164"/>
      <c r="F961" s="45"/>
      <c r="G961" s="21"/>
      <c r="H961" s="27" t="s">
        <v>777</v>
      </c>
      <c r="I961" s="164"/>
      <c r="J961" s="164"/>
      <c r="K961" s="164"/>
      <c r="O961" s="27"/>
      <c r="P961" s="173"/>
      <c r="S961" s="198"/>
      <c r="T961" s="198"/>
      <c r="W961" s="25">
        <v>336.17</v>
      </c>
      <c r="AY961" s="25" t="s">
        <v>1124</v>
      </c>
      <c r="CA961" s="150"/>
    </row>
    <row r="962" spans="3:79" s="25" customFormat="1" ht="19.5" thickBot="1">
      <c r="C962" s="136" t="s">
        <v>1529</v>
      </c>
      <c r="D962" s="164"/>
      <c r="F962" s="45"/>
      <c r="G962" s="21"/>
      <c r="H962" s="27" t="s">
        <v>503</v>
      </c>
      <c r="I962" s="164"/>
      <c r="J962" s="164"/>
      <c r="K962" s="164"/>
      <c r="O962" s="27"/>
      <c r="P962" s="173"/>
      <c r="S962" s="198"/>
      <c r="T962" s="198"/>
      <c r="W962" s="25">
        <v>7.13</v>
      </c>
      <c r="AY962" s="25" t="s">
        <v>1124</v>
      </c>
      <c r="CA962" s="150"/>
    </row>
    <row r="963" spans="3:79" s="25" customFormat="1" ht="19.5" thickBot="1">
      <c r="C963" s="136" t="s">
        <v>1552</v>
      </c>
      <c r="D963" s="164"/>
      <c r="F963" s="45"/>
      <c r="G963" s="21"/>
      <c r="H963" s="27" t="s">
        <v>778</v>
      </c>
      <c r="I963" s="164"/>
      <c r="J963" s="164"/>
      <c r="K963" s="164"/>
      <c r="O963" s="27"/>
      <c r="P963" s="173"/>
      <c r="S963" s="198"/>
      <c r="T963" s="198"/>
      <c r="W963" s="25">
        <v>336.57</v>
      </c>
      <c r="AY963" s="25" t="s">
        <v>1124</v>
      </c>
      <c r="CA963" s="150"/>
    </row>
    <row r="964" spans="3:79" s="25" customFormat="1" ht="38.25" thickBot="1">
      <c r="C964" s="136" t="s">
        <v>1553</v>
      </c>
      <c r="D964" s="164"/>
      <c r="F964" s="45"/>
      <c r="G964" s="21"/>
      <c r="H964" s="27" t="s">
        <v>603</v>
      </c>
      <c r="I964" s="164"/>
      <c r="J964" s="164"/>
      <c r="K964" s="164"/>
      <c r="O964" s="27"/>
      <c r="P964" s="173"/>
      <c r="S964" s="198"/>
      <c r="T964" s="198"/>
      <c r="W964" s="25">
        <v>366.15</v>
      </c>
      <c r="AY964" s="25" t="s">
        <v>1124</v>
      </c>
      <c r="CA964" s="150"/>
    </row>
    <row r="965" spans="3:79" s="25" customFormat="1" ht="19.5" thickBot="1">
      <c r="C965" s="136" t="s">
        <v>1554</v>
      </c>
      <c r="D965" s="164"/>
      <c r="F965" s="45"/>
      <c r="G965" s="21"/>
      <c r="H965" s="27" t="s">
        <v>604</v>
      </c>
      <c r="I965" s="164"/>
      <c r="J965" s="164"/>
      <c r="K965" s="164"/>
      <c r="O965" s="27"/>
      <c r="P965" s="173"/>
      <c r="S965" s="198"/>
      <c r="T965" s="198"/>
      <c r="W965" s="25">
        <v>327</v>
      </c>
      <c r="AY965" s="25" t="s">
        <v>1124</v>
      </c>
      <c r="CA965" s="150"/>
    </row>
    <row r="966" spans="3:79" s="25" customFormat="1" ht="19.5" thickBot="1">
      <c r="C966" s="136" t="s">
        <v>1555</v>
      </c>
      <c r="D966" s="164"/>
      <c r="F966" s="45"/>
      <c r="G966" s="21"/>
      <c r="H966" s="27" t="s">
        <v>758</v>
      </c>
      <c r="I966" s="164"/>
      <c r="J966" s="164"/>
      <c r="K966" s="164"/>
      <c r="O966" s="27"/>
      <c r="P966" s="173"/>
      <c r="S966" s="198"/>
      <c r="T966" s="198"/>
      <c r="W966" s="25">
        <v>327.02999999999997</v>
      </c>
      <c r="AY966" s="25" t="s">
        <v>1124</v>
      </c>
      <c r="CA966" s="150"/>
    </row>
    <row r="967" spans="3:79" s="25" customFormat="1" ht="27.75" thickBot="1">
      <c r="C967" s="136" t="s">
        <v>1556</v>
      </c>
      <c r="D967" s="164"/>
      <c r="F967" s="45"/>
      <c r="G967" s="21"/>
      <c r="H967" s="27" t="s">
        <v>759</v>
      </c>
      <c r="I967" s="164"/>
      <c r="J967" s="164"/>
      <c r="K967" s="164"/>
      <c r="O967" s="27"/>
      <c r="P967" s="173"/>
      <c r="S967" s="198"/>
      <c r="T967" s="198"/>
      <c r="W967" s="25">
        <v>7.609</v>
      </c>
      <c r="AY967" s="25" t="s">
        <v>1124</v>
      </c>
      <c r="CA967" s="150"/>
    </row>
    <row r="968" spans="3:79" s="25" customFormat="1" ht="27.75" thickBot="1">
      <c r="C968" s="136" t="s">
        <v>1557</v>
      </c>
      <c r="D968" s="164"/>
      <c r="F968" s="45"/>
      <c r="G968" s="21"/>
      <c r="H968" s="27" t="s">
        <v>269</v>
      </c>
      <c r="I968" s="164"/>
      <c r="J968" s="164"/>
      <c r="K968" s="164"/>
      <c r="O968" s="27"/>
      <c r="P968" s="173"/>
      <c r="S968" s="198"/>
      <c r="T968" s="198"/>
      <c r="W968" s="25">
        <v>694.6</v>
      </c>
      <c r="AY968" s="25" t="s">
        <v>1124</v>
      </c>
      <c r="CA968" s="150"/>
    </row>
    <row r="969" spans="3:79" s="25" customFormat="1" ht="19.5" thickBot="1">
      <c r="C969" s="136" t="s">
        <v>1558</v>
      </c>
      <c r="D969" s="164"/>
      <c r="F969" s="45"/>
      <c r="G969" s="21"/>
      <c r="H969" s="27" t="s">
        <v>779</v>
      </c>
      <c r="I969" s="164"/>
      <c r="J969" s="164"/>
      <c r="K969" s="164"/>
      <c r="O969" s="27"/>
      <c r="P969" s="173"/>
      <c r="S969" s="198"/>
      <c r="T969" s="198"/>
      <c r="W969" s="25">
        <v>7.64</v>
      </c>
      <c r="AY969" s="25" t="s">
        <v>1124</v>
      </c>
      <c r="CA969" s="150"/>
    </row>
    <row r="970" spans="3:79" s="25" customFormat="1" ht="27.75" thickBot="1">
      <c r="C970" s="136" t="s">
        <v>1536</v>
      </c>
      <c r="D970" s="164"/>
      <c r="F970" s="45"/>
      <c r="G970" s="21"/>
      <c r="H970" s="27" t="s">
        <v>780</v>
      </c>
      <c r="I970" s="164"/>
      <c r="J970" s="164"/>
      <c r="K970" s="164"/>
      <c r="O970" s="27"/>
      <c r="P970" s="173"/>
      <c r="S970" s="198"/>
      <c r="T970" s="198"/>
      <c r="W970" s="25">
        <v>675.3</v>
      </c>
      <c r="AY970" s="25" t="s">
        <v>1124</v>
      </c>
      <c r="CA970" s="150"/>
    </row>
    <row r="971" spans="3:79" s="25" customFormat="1" ht="40.5">
      <c r="C971" s="136" t="s">
        <v>1559</v>
      </c>
      <c r="D971" s="164"/>
      <c r="F971" s="45"/>
      <c r="G971" s="21"/>
      <c r="H971" s="27" t="s">
        <v>767</v>
      </c>
      <c r="I971" s="164"/>
      <c r="J971" s="164"/>
      <c r="K971" s="164"/>
      <c r="O971" s="27"/>
      <c r="P971" s="173"/>
      <c r="S971" s="198"/>
      <c r="T971" s="198"/>
      <c r="W971" s="25">
        <v>366.14</v>
      </c>
      <c r="AY971" s="25" t="s">
        <v>1124</v>
      </c>
      <c r="CA971" s="150"/>
    </row>
    <row r="972" spans="3:79" s="19" customFormat="1" ht="27">
      <c r="C972" s="136" t="s">
        <v>1560</v>
      </c>
      <c r="F972" s="46"/>
      <c r="G972" s="21"/>
      <c r="H972" s="19" t="s">
        <v>748</v>
      </c>
      <c r="L972" s="22"/>
      <c r="M972" s="22"/>
      <c r="N972" s="22"/>
      <c r="P972" s="174"/>
      <c r="S972" s="199"/>
      <c r="T972" s="199"/>
      <c r="W972" s="19">
        <v>547.48329999999999</v>
      </c>
      <c r="AY972" s="19" t="s">
        <v>1124</v>
      </c>
      <c r="CA972" s="151"/>
    </row>
    <row r="973" spans="3:79" s="19" customFormat="1" ht="27">
      <c r="C973" s="136" t="s">
        <v>1561</v>
      </c>
      <c r="F973" s="46"/>
      <c r="G973" s="21"/>
      <c r="H973" s="19" t="s">
        <v>750</v>
      </c>
      <c r="L973" s="22"/>
      <c r="M973" s="22"/>
      <c r="N973" s="22"/>
      <c r="P973" s="174"/>
      <c r="S973" s="199"/>
      <c r="T973" s="199"/>
      <c r="W973" s="19">
        <v>7</v>
      </c>
      <c r="AY973" s="19" t="s">
        <v>1124</v>
      </c>
      <c r="CA973" s="151"/>
    </row>
    <row r="974" spans="3:79" s="19" customFormat="1" ht="27">
      <c r="C974" s="136" t="s">
        <v>1440</v>
      </c>
      <c r="F974" s="46"/>
      <c r="G974" s="21"/>
      <c r="H974" s="19" t="s">
        <v>751</v>
      </c>
      <c r="L974" s="22"/>
      <c r="M974" s="22"/>
      <c r="N974" s="22"/>
      <c r="P974" s="174"/>
      <c r="S974" s="199"/>
      <c r="T974" s="199"/>
      <c r="W974" s="19">
        <v>547.48329999999999</v>
      </c>
      <c r="AY974" s="19" t="s">
        <v>1124</v>
      </c>
      <c r="CA974" s="151"/>
    </row>
    <row r="975" spans="3:79" s="19" customFormat="1">
      <c r="C975" s="136" t="s">
        <v>1435</v>
      </c>
      <c r="F975" s="46"/>
      <c r="G975" s="21"/>
      <c r="H975" s="19" t="s">
        <v>561</v>
      </c>
      <c r="L975" s="22"/>
      <c r="M975" s="22"/>
      <c r="N975" s="22"/>
      <c r="P975" s="174"/>
      <c r="S975" s="199"/>
      <c r="T975" s="199"/>
      <c r="W975" s="19">
        <v>837</v>
      </c>
      <c r="AY975" s="19" t="s">
        <v>1124</v>
      </c>
      <c r="CA975" s="151"/>
    </row>
    <row r="976" spans="3:79" s="19" customFormat="1" ht="40.5">
      <c r="C976" s="136" t="s">
        <v>1562</v>
      </c>
      <c r="F976" s="46"/>
      <c r="G976" s="21"/>
      <c r="H976" s="19" t="s">
        <v>694</v>
      </c>
      <c r="L976" s="22"/>
      <c r="M976" s="22"/>
      <c r="N976" s="22"/>
      <c r="P976" s="174"/>
      <c r="S976" s="199"/>
      <c r="T976" s="199"/>
      <c r="W976" s="19">
        <v>338</v>
      </c>
      <c r="AY976" s="19" t="s">
        <v>1124</v>
      </c>
      <c r="CA976" s="151"/>
    </row>
    <row r="977" spans="3:79" s="19" customFormat="1" ht="27">
      <c r="C977" s="136" t="s">
        <v>1563</v>
      </c>
      <c r="F977" s="46"/>
      <c r="G977" s="21"/>
      <c r="H977" s="19" t="s">
        <v>754</v>
      </c>
      <c r="L977" s="22"/>
      <c r="M977" s="22"/>
      <c r="N977" s="22"/>
      <c r="P977" s="174"/>
      <c r="S977" s="199"/>
      <c r="T977" s="199"/>
      <c r="W977" s="19">
        <v>7.609</v>
      </c>
      <c r="AY977" s="19" t="s">
        <v>1124</v>
      </c>
      <c r="CA977" s="151"/>
    </row>
    <row r="978" spans="3:79" s="19" customFormat="1">
      <c r="C978" s="136" t="s">
        <v>1434</v>
      </c>
      <c r="F978" s="46"/>
      <c r="G978" s="21"/>
      <c r="H978" s="19" t="s">
        <v>123</v>
      </c>
      <c r="L978" s="22"/>
      <c r="M978" s="22"/>
      <c r="N978" s="22"/>
      <c r="P978" s="174"/>
      <c r="S978" s="199"/>
      <c r="T978" s="199"/>
      <c r="W978" s="19">
        <v>7.64</v>
      </c>
      <c r="AY978" s="19" t="s">
        <v>1124</v>
      </c>
      <c r="CA978" s="151"/>
    </row>
    <row r="979" spans="3:79" s="19" customFormat="1">
      <c r="C979" s="136" t="s">
        <v>1564</v>
      </c>
      <c r="F979" s="46"/>
      <c r="G979" s="21"/>
      <c r="H979" s="19" t="s">
        <v>756</v>
      </c>
      <c r="L979" s="22"/>
      <c r="M979" s="22"/>
      <c r="N979" s="22"/>
      <c r="P979" s="174"/>
      <c r="S979" s="199"/>
      <c r="T979" s="199"/>
      <c r="W979" s="19">
        <v>327.2</v>
      </c>
      <c r="AY979" s="19" t="s">
        <v>1124</v>
      </c>
      <c r="CA979" s="151"/>
    </row>
    <row r="980" spans="3:79" s="19" customFormat="1" ht="27">
      <c r="C980" s="136" t="s">
        <v>1565</v>
      </c>
      <c r="F980" s="46"/>
      <c r="G980" s="21"/>
      <c r="H980" s="19" t="s">
        <v>761</v>
      </c>
      <c r="L980" s="22"/>
      <c r="M980" s="22"/>
      <c r="N980" s="22"/>
      <c r="P980" s="174"/>
      <c r="S980" s="199"/>
      <c r="T980" s="199"/>
      <c r="W980" s="19">
        <v>673.99</v>
      </c>
      <c r="AY980" s="19" t="s">
        <v>1124</v>
      </c>
      <c r="CA980" s="151"/>
    </row>
    <row r="981" spans="3:79" s="19" customFormat="1" ht="27">
      <c r="C981" s="136" t="s">
        <v>1441</v>
      </c>
      <c r="F981" s="46"/>
      <c r="G981" s="21"/>
      <c r="H981" s="19" t="s">
        <v>762</v>
      </c>
      <c r="L981" s="22"/>
      <c r="M981" s="22"/>
      <c r="N981" s="22"/>
      <c r="P981" s="174"/>
      <c r="S981" s="199"/>
      <c r="T981" s="199"/>
      <c r="W981" s="19">
        <v>7.63</v>
      </c>
      <c r="AY981" s="19" t="s">
        <v>1124</v>
      </c>
      <c r="CA981" s="151"/>
    </row>
    <row r="982" spans="3:79" s="19" customFormat="1" ht="27">
      <c r="C982" s="136" t="s">
        <v>1438</v>
      </c>
      <c r="F982" s="46"/>
      <c r="G982" s="21"/>
      <c r="H982" s="19" t="s">
        <v>763</v>
      </c>
      <c r="L982" s="22"/>
      <c r="M982" s="22"/>
      <c r="N982" s="22"/>
      <c r="P982" s="174"/>
      <c r="S982" s="199"/>
      <c r="T982" s="199"/>
      <c r="W982" s="19">
        <v>338.5</v>
      </c>
      <c r="AY982" s="19" t="s">
        <v>1124</v>
      </c>
      <c r="CA982" s="151"/>
    </row>
    <row r="983" spans="3:79" s="19" customFormat="1">
      <c r="C983" s="136" t="s">
        <v>1432</v>
      </c>
      <c r="F983" s="46"/>
      <c r="G983" s="21"/>
      <c r="H983" s="19" t="s">
        <v>764</v>
      </c>
      <c r="L983" s="22"/>
      <c r="M983" s="22"/>
      <c r="N983" s="22"/>
      <c r="P983" s="174"/>
      <c r="S983" s="199"/>
      <c r="T983" s="199"/>
      <c r="W983" s="19">
        <v>336.4</v>
      </c>
      <c r="AY983" s="19" t="s">
        <v>1124</v>
      </c>
      <c r="CA983" s="151"/>
    </row>
    <row r="984" spans="3:79" s="19" customFormat="1" ht="27">
      <c r="C984" s="136" t="s">
        <v>1566</v>
      </c>
      <c r="F984" s="46"/>
      <c r="G984" s="21"/>
      <c r="H984" s="19" t="s">
        <v>766</v>
      </c>
      <c r="L984" s="22"/>
      <c r="M984" s="22"/>
      <c r="N984" s="22"/>
      <c r="P984" s="174"/>
      <c r="S984" s="199"/>
      <c r="T984" s="199"/>
      <c r="W984" s="19">
        <v>335</v>
      </c>
      <c r="AY984" s="19" t="s">
        <v>1124</v>
      </c>
      <c r="CA984" s="151"/>
    </row>
    <row r="985" spans="3:79" s="19" customFormat="1">
      <c r="C985" s="136" t="s">
        <v>1567</v>
      </c>
      <c r="F985" s="46"/>
      <c r="G985" s="21"/>
      <c r="H985" s="19" t="s">
        <v>769</v>
      </c>
      <c r="L985" s="22"/>
      <c r="M985" s="22"/>
      <c r="N985" s="22"/>
      <c r="P985" s="174"/>
      <c r="S985" s="199"/>
      <c r="T985" s="199"/>
      <c r="W985" s="19">
        <v>7.35</v>
      </c>
      <c r="AY985" s="19" t="s">
        <v>1124</v>
      </c>
      <c r="CA985" s="151"/>
    </row>
    <row r="986" spans="3:79" s="20" customFormat="1" ht="27.75" thickBot="1">
      <c r="C986" s="136" t="s">
        <v>1568</v>
      </c>
      <c r="D986" s="164"/>
      <c r="F986" s="44"/>
      <c r="G986" s="21"/>
      <c r="H986" s="26" t="s">
        <v>693</v>
      </c>
      <c r="I986" s="164"/>
      <c r="J986" s="164"/>
      <c r="K986" s="164"/>
      <c r="L986" s="22"/>
      <c r="M986" s="22"/>
      <c r="N986" s="22"/>
      <c r="O986" s="23"/>
      <c r="P986" s="172"/>
      <c r="S986" s="197"/>
      <c r="T986" s="197"/>
      <c r="W986" s="20">
        <v>338</v>
      </c>
      <c r="AY986" s="20" t="s">
        <v>1124</v>
      </c>
      <c r="CA986" s="149"/>
    </row>
    <row r="987" spans="3:79" s="20" customFormat="1" ht="27.75" thickBot="1">
      <c r="C987" s="136" t="s">
        <v>1569</v>
      </c>
      <c r="D987" s="164"/>
      <c r="F987" s="45"/>
      <c r="G987" s="21"/>
      <c r="H987" s="27" t="s">
        <v>694</v>
      </c>
      <c r="I987" s="164"/>
      <c r="J987" s="164"/>
      <c r="K987" s="164"/>
      <c r="L987" s="22"/>
      <c r="M987" s="22"/>
      <c r="N987" s="22"/>
      <c r="P987" s="172"/>
      <c r="S987" s="197"/>
      <c r="T987" s="197"/>
      <c r="W987" s="20">
        <v>547.48329999999999</v>
      </c>
      <c r="AY987" s="20" t="s">
        <v>1124</v>
      </c>
      <c r="CA987" s="149"/>
    </row>
    <row r="988" spans="3:79" s="20" customFormat="1" ht="27.75" thickBot="1">
      <c r="C988" s="136" t="s">
        <v>1570</v>
      </c>
      <c r="D988" s="164"/>
      <c r="F988" s="45"/>
      <c r="G988" s="21"/>
      <c r="H988" s="27" t="s">
        <v>695</v>
      </c>
      <c r="I988" s="164"/>
      <c r="J988" s="164"/>
      <c r="K988" s="164"/>
      <c r="L988" s="22"/>
      <c r="M988" s="22"/>
      <c r="N988" s="22"/>
      <c r="P988" s="172"/>
      <c r="S988" s="197"/>
      <c r="T988" s="197"/>
      <c r="W988" s="20">
        <v>7.35</v>
      </c>
      <c r="AY988" s="20" t="s">
        <v>1124</v>
      </c>
      <c r="CA988" s="149"/>
    </row>
    <row r="989" spans="3:79" s="20" customFormat="1" ht="27.75" thickBot="1">
      <c r="C989" s="136" t="s">
        <v>1571</v>
      </c>
      <c r="D989" s="164"/>
      <c r="F989" s="45"/>
      <c r="G989" s="21"/>
      <c r="H989" s="27" t="s">
        <v>713</v>
      </c>
      <c r="I989" s="164"/>
      <c r="J989" s="164"/>
      <c r="K989" s="164"/>
      <c r="L989" s="22"/>
      <c r="M989" s="22"/>
      <c r="N989" s="22"/>
      <c r="P989" s="172"/>
      <c r="S989" s="197"/>
      <c r="T989" s="197"/>
      <c r="W989" s="20">
        <v>681.6</v>
      </c>
      <c r="AY989" s="20" t="s">
        <v>1124</v>
      </c>
      <c r="CA989" s="149"/>
    </row>
    <row r="990" spans="3:79" s="20" customFormat="1" ht="19.5" thickBot="1">
      <c r="C990" s="136" t="s">
        <v>1572</v>
      </c>
      <c r="D990" s="164"/>
      <c r="F990" s="45"/>
      <c r="G990" s="21"/>
      <c r="H990" s="27" t="s">
        <v>696</v>
      </c>
      <c r="I990" s="164"/>
      <c r="J990" s="164"/>
      <c r="K990" s="164"/>
      <c r="L990" s="22"/>
      <c r="M990" s="22"/>
      <c r="N990" s="22"/>
      <c r="P990" s="172"/>
      <c r="S990" s="197"/>
      <c r="T990" s="197"/>
      <c r="W990" s="20">
        <v>7.35</v>
      </c>
      <c r="AY990" s="20" t="s">
        <v>1124</v>
      </c>
      <c r="CA990" s="149"/>
    </row>
    <row r="991" spans="3:79" s="20" customFormat="1" ht="19.5" thickBot="1">
      <c r="C991" s="136" t="s">
        <v>1573</v>
      </c>
      <c r="D991" s="164"/>
      <c r="F991" s="45"/>
      <c r="G991" s="21"/>
      <c r="H991" s="27" t="s">
        <v>664</v>
      </c>
      <c r="I991" s="164"/>
      <c r="J991" s="164"/>
      <c r="K991" s="164"/>
      <c r="L991" s="22"/>
      <c r="M991" s="22"/>
      <c r="N991" s="22"/>
      <c r="P991" s="172"/>
      <c r="S991" s="197"/>
      <c r="T991" s="197"/>
      <c r="W991" s="20">
        <v>7.6</v>
      </c>
      <c r="AY991" s="20" t="s">
        <v>1124</v>
      </c>
      <c r="CA991" s="149"/>
    </row>
    <row r="992" spans="3:79" s="20" customFormat="1" ht="27.75" thickBot="1">
      <c r="C992" s="136" t="s">
        <v>1574</v>
      </c>
      <c r="D992" s="164"/>
      <c r="F992" s="45"/>
      <c r="G992" s="21"/>
      <c r="H992" s="27" t="s">
        <v>671</v>
      </c>
      <c r="I992" s="164"/>
      <c r="J992" s="164"/>
      <c r="K992" s="164"/>
      <c r="L992" s="22"/>
      <c r="M992" s="22"/>
      <c r="N992" s="22"/>
      <c r="P992" s="172"/>
      <c r="S992" s="197"/>
      <c r="T992" s="197"/>
      <c r="W992" s="20">
        <v>7.13</v>
      </c>
      <c r="AY992" s="20" t="s">
        <v>1124</v>
      </c>
      <c r="CA992" s="149"/>
    </row>
    <row r="993" spans="3:79" s="20" customFormat="1" ht="27.75" thickBot="1">
      <c r="C993" s="136" t="s">
        <v>1575</v>
      </c>
      <c r="D993" s="164"/>
      <c r="F993" s="45"/>
      <c r="G993" s="21"/>
      <c r="H993" s="27" t="s">
        <v>672</v>
      </c>
      <c r="I993" s="164"/>
      <c r="J993" s="164"/>
      <c r="K993" s="164"/>
      <c r="L993" s="22"/>
      <c r="M993" s="22"/>
      <c r="N993" s="22"/>
      <c r="P993" s="172"/>
      <c r="S993" s="197"/>
      <c r="T993" s="197"/>
      <c r="W993" s="20">
        <v>673.93</v>
      </c>
      <c r="AY993" s="20" t="s">
        <v>1124</v>
      </c>
      <c r="CA993" s="149"/>
    </row>
    <row r="994" spans="3:79" s="20" customFormat="1" ht="27.75" thickBot="1">
      <c r="C994" s="136" t="s">
        <v>1576</v>
      </c>
      <c r="D994" s="164"/>
      <c r="F994" s="45"/>
      <c r="G994" s="21"/>
      <c r="H994" s="27" t="s">
        <v>670</v>
      </c>
      <c r="I994" s="164"/>
      <c r="J994" s="164"/>
      <c r="K994" s="164"/>
      <c r="L994" s="22"/>
      <c r="M994" s="22"/>
      <c r="N994" s="22"/>
      <c r="P994" s="172"/>
      <c r="S994" s="197"/>
      <c r="T994" s="197"/>
      <c r="W994" s="20">
        <v>547.48329999999999</v>
      </c>
      <c r="AY994" s="20" t="s">
        <v>1124</v>
      </c>
      <c r="CA994" s="149"/>
    </row>
    <row r="995" spans="3:79" s="20" customFormat="1" ht="19.5" thickBot="1">
      <c r="C995" s="136" t="s">
        <v>1577</v>
      </c>
      <c r="D995" s="164"/>
      <c r="F995" s="45"/>
      <c r="G995" s="21"/>
      <c r="H995" s="27" t="s">
        <v>697</v>
      </c>
      <c r="I995" s="164"/>
      <c r="J995" s="164"/>
      <c r="K995" s="164"/>
      <c r="L995" s="22"/>
      <c r="M995" s="22"/>
      <c r="N995" s="22"/>
      <c r="P995" s="172"/>
      <c r="S995" s="197"/>
      <c r="T995" s="197"/>
      <c r="W995" s="20">
        <v>7.63</v>
      </c>
      <c r="AY995" s="20" t="s">
        <v>1124</v>
      </c>
      <c r="CA995" s="149"/>
    </row>
    <row r="996" spans="3:79" s="20" customFormat="1" ht="19.5" thickBot="1">
      <c r="C996" s="136" t="s">
        <v>1578</v>
      </c>
      <c r="D996" s="164"/>
      <c r="F996" s="45"/>
      <c r="G996" s="21"/>
      <c r="H996" s="27" t="s">
        <v>698</v>
      </c>
      <c r="I996" s="164"/>
      <c r="J996" s="164"/>
      <c r="K996" s="164"/>
      <c r="L996" s="22"/>
      <c r="M996" s="22"/>
      <c r="N996" s="22"/>
      <c r="P996" s="172"/>
      <c r="S996" s="197"/>
      <c r="T996" s="197"/>
      <c r="W996" s="20">
        <v>7.6</v>
      </c>
      <c r="AY996" s="20" t="s">
        <v>1124</v>
      </c>
      <c r="CA996" s="149"/>
    </row>
    <row r="997" spans="3:79" s="20" customFormat="1" ht="19.5" thickBot="1">
      <c r="C997" s="136" t="s">
        <v>1579</v>
      </c>
      <c r="D997" s="164"/>
      <c r="F997" s="45"/>
      <c r="G997" s="21"/>
      <c r="H997" s="27" t="s">
        <v>699</v>
      </c>
      <c r="I997" s="164"/>
      <c r="J997" s="164"/>
      <c r="K997" s="164"/>
      <c r="L997" s="22"/>
      <c r="M997" s="22"/>
      <c r="N997" s="22"/>
      <c r="P997" s="172"/>
      <c r="S997" s="197"/>
      <c r="T997" s="197"/>
      <c r="W997" s="20">
        <v>7.6</v>
      </c>
      <c r="AY997" s="20" t="s">
        <v>1124</v>
      </c>
      <c r="CA997" s="149"/>
    </row>
    <row r="998" spans="3:79" s="20" customFormat="1" ht="27.75" thickBot="1">
      <c r="C998" s="136" t="s">
        <v>1580</v>
      </c>
      <c r="D998" s="164"/>
      <c r="F998" s="45"/>
      <c r="G998" s="21"/>
      <c r="H998" s="27" t="s">
        <v>503</v>
      </c>
      <c r="I998" s="164"/>
      <c r="J998" s="164"/>
      <c r="K998" s="164"/>
      <c r="L998" s="22"/>
      <c r="M998" s="22"/>
      <c r="N998" s="22"/>
      <c r="P998" s="172"/>
      <c r="S998" s="197"/>
      <c r="T998" s="197"/>
      <c r="W998" s="20">
        <v>7.13</v>
      </c>
      <c r="AY998" s="20" t="s">
        <v>1124</v>
      </c>
      <c r="CA998" s="149"/>
    </row>
    <row r="999" spans="3:79" s="20" customFormat="1" ht="27.75" thickBot="1">
      <c r="C999" s="136" t="s">
        <v>1535</v>
      </c>
      <c r="D999" s="164"/>
      <c r="F999" s="45"/>
      <c r="G999" s="21"/>
      <c r="H999" s="27" t="s">
        <v>681</v>
      </c>
      <c r="I999" s="164"/>
      <c r="J999" s="164"/>
      <c r="K999" s="164"/>
      <c r="L999" s="22"/>
      <c r="M999" s="22"/>
      <c r="N999" s="22"/>
      <c r="P999" s="172"/>
      <c r="S999" s="197"/>
      <c r="T999" s="197"/>
      <c r="W999" s="20">
        <v>673.7</v>
      </c>
      <c r="AY999" s="20" t="s">
        <v>1124</v>
      </c>
      <c r="CA999" s="149"/>
    </row>
    <row r="1000" spans="3:79" s="20" customFormat="1" ht="19.5" thickBot="1">
      <c r="C1000" s="136" t="s">
        <v>1581</v>
      </c>
      <c r="D1000" s="164"/>
      <c r="F1000" s="45"/>
      <c r="G1000" s="21"/>
      <c r="H1000" s="27" t="s">
        <v>680</v>
      </c>
      <c r="I1000" s="164"/>
      <c r="J1000" s="164"/>
      <c r="K1000" s="164"/>
      <c r="L1000" s="22"/>
      <c r="M1000" s="22"/>
      <c r="N1000" s="22"/>
      <c r="P1000" s="172"/>
      <c r="S1000" s="197"/>
      <c r="T1000" s="197"/>
      <c r="W1000" s="20">
        <v>7.64</v>
      </c>
      <c r="AY1000" s="20" t="s">
        <v>1124</v>
      </c>
      <c r="CA1000" s="149"/>
    </row>
    <row r="1001" spans="3:79" s="20" customFormat="1">
      <c r="C1001" s="136" t="s">
        <v>1582</v>
      </c>
      <c r="D1001" s="164"/>
      <c r="F1001" s="45"/>
      <c r="G1001" s="21"/>
      <c r="H1001" s="27" t="s">
        <v>587</v>
      </c>
      <c r="I1001" s="164"/>
      <c r="J1001" s="164"/>
      <c r="K1001" s="164"/>
      <c r="L1001" s="22"/>
      <c r="M1001" s="22"/>
      <c r="N1001" s="22"/>
      <c r="P1001" s="172"/>
      <c r="S1001" s="197"/>
      <c r="T1001" s="197"/>
      <c r="W1001" s="20">
        <v>7.64</v>
      </c>
      <c r="AY1001" s="20" t="s">
        <v>1124</v>
      </c>
      <c r="CA1001" s="149"/>
    </row>
    <row r="1002" spans="3:79" s="20" customFormat="1">
      <c r="C1002" s="136" t="s">
        <v>1583</v>
      </c>
      <c r="F1002" s="43"/>
      <c r="G1002" s="21"/>
      <c r="H1002" s="20" t="s">
        <v>666</v>
      </c>
      <c r="L1002" s="22"/>
      <c r="M1002" s="22"/>
      <c r="N1002" s="22"/>
      <c r="O1002" s="20" t="s">
        <v>657</v>
      </c>
      <c r="P1002" s="172"/>
      <c r="S1002" s="197"/>
      <c r="T1002" s="197"/>
      <c r="W1002" s="20">
        <v>933.7</v>
      </c>
      <c r="AY1002" s="20" t="s">
        <v>1124</v>
      </c>
      <c r="CA1002" s="149"/>
    </row>
    <row r="1003" spans="3:79" s="20" customFormat="1" ht="27">
      <c r="C1003" s="136" t="s">
        <v>1584</v>
      </c>
      <c r="F1003" s="43"/>
      <c r="G1003" s="21"/>
      <c r="H1003" s="20" t="s">
        <v>174</v>
      </c>
      <c r="L1003" s="22"/>
      <c r="M1003" s="22"/>
      <c r="N1003" s="22"/>
      <c r="O1003" s="20" t="s">
        <v>657</v>
      </c>
      <c r="P1003" s="172"/>
      <c r="S1003" s="197"/>
      <c r="T1003" s="197"/>
      <c r="W1003" s="20">
        <v>7.13</v>
      </c>
      <c r="AY1003" s="20" t="s">
        <v>1124</v>
      </c>
      <c r="CA1003" s="149"/>
    </row>
    <row r="1004" spans="3:79" s="20" customFormat="1">
      <c r="C1004" s="136" t="s">
        <v>1585</v>
      </c>
      <c r="F1004" s="43"/>
      <c r="G1004" s="21"/>
      <c r="H1004" s="20" t="s">
        <v>669</v>
      </c>
      <c r="L1004" s="22"/>
      <c r="M1004" s="22"/>
      <c r="N1004" s="22"/>
      <c r="O1004" s="20" t="s">
        <v>657</v>
      </c>
      <c r="P1004" s="172"/>
      <c r="S1004" s="197"/>
      <c r="T1004" s="197"/>
      <c r="W1004" s="20">
        <v>7.6</v>
      </c>
      <c r="AY1004" s="20" t="s">
        <v>1124</v>
      </c>
      <c r="CA1004" s="149"/>
    </row>
    <row r="1005" spans="3:79" s="20" customFormat="1">
      <c r="C1005" s="136" t="s">
        <v>1586</v>
      </c>
      <c r="F1005" s="43"/>
      <c r="G1005" s="21"/>
      <c r="H1005" s="20" t="s">
        <v>674</v>
      </c>
      <c r="L1005" s="22"/>
      <c r="M1005" s="22"/>
      <c r="N1005" s="22"/>
      <c r="O1005" s="20" t="s">
        <v>657</v>
      </c>
      <c r="P1005" s="172"/>
      <c r="S1005" s="197"/>
      <c r="T1005" s="197"/>
      <c r="W1005" s="20">
        <v>509.21</v>
      </c>
      <c r="AY1005" s="20" t="s">
        <v>1124</v>
      </c>
      <c r="CA1005" s="149"/>
    </row>
    <row r="1006" spans="3:79" s="20" customFormat="1">
      <c r="C1006" s="136" t="s">
        <v>1587</v>
      </c>
      <c r="F1006" s="43"/>
      <c r="G1006" s="21"/>
      <c r="H1006" s="20" t="s">
        <v>606</v>
      </c>
      <c r="L1006" s="22"/>
      <c r="M1006" s="22"/>
      <c r="N1006" s="22"/>
      <c r="O1006" s="20" t="s">
        <v>657</v>
      </c>
      <c r="P1006" s="172"/>
      <c r="S1006" s="197"/>
      <c r="T1006" s="197"/>
      <c r="W1006" s="20">
        <v>7.6340000000000003</v>
      </c>
      <c r="AY1006" s="20" t="s">
        <v>1124</v>
      </c>
      <c r="CA1006" s="149"/>
    </row>
    <row r="1007" spans="3:79" s="20" customFormat="1" ht="27">
      <c r="C1007" s="136" t="s">
        <v>1588</v>
      </c>
      <c r="F1007" s="43"/>
      <c r="G1007" s="21"/>
      <c r="H1007" s="20" t="s">
        <v>607</v>
      </c>
      <c r="L1007" s="22"/>
      <c r="M1007" s="22"/>
      <c r="N1007" s="22"/>
      <c r="O1007" s="20" t="s">
        <v>657</v>
      </c>
      <c r="P1007" s="172"/>
      <c r="S1007" s="197"/>
      <c r="T1007" s="197"/>
      <c r="W1007" s="20">
        <v>366.67</v>
      </c>
      <c r="AY1007" s="20" t="s">
        <v>1124</v>
      </c>
      <c r="CA1007" s="149"/>
    </row>
    <row r="1008" spans="3:79" s="20" customFormat="1" ht="27">
      <c r="C1008" s="136" t="s">
        <v>1589</v>
      </c>
      <c r="F1008" s="43"/>
      <c r="G1008" s="21"/>
      <c r="H1008" s="20" t="s">
        <v>677</v>
      </c>
      <c r="L1008" s="22"/>
      <c r="M1008" s="22"/>
      <c r="N1008" s="22"/>
      <c r="O1008" s="20" t="s">
        <v>657</v>
      </c>
      <c r="P1008" s="172"/>
      <c r="S1008" s="197"/>
      <c r="T1008" s="197"/>
      <c r="W1008" s="20">
        <v>7.63</v>
      </c>
      <c r="AY1008" s="20" t="s">
        <v>1124</v>
      </c>
      <c r="CA1008" s="149"/>
    </row>
    <row r="1009" spans="3:79" s="20" customFormat="1" ht="27">
      <c r="C1009" s="136" t="s">
        <v>1590</v>
      </c>
      <c r="F1009" s="43"/>
      <c r="G1009" s="21"/>
      <c r="H1009" s="20" t="s">
        <v>428</v>
      </c>
      <c r="L1009" s="22"/>
      <c r="M1009" s="22"/>
      <c r="N1009" s="22"/>
      <c r="O1009" s="20" t="s">
        <v>657</v>
      </c>
      <c r="P1009" s="172"/>
      <c r="S1009" s="197"/>
      <c r="T1009" s="197"/>
      <c r="W1009" s="20">
        <v>336.9</v>
      </c>
      <c r="AY1009" s="20" t="s">
        <v>1124</v>
      </c>
      <c r="CA1009" s="149"/>
    </row>
    <row r="1010" spans="3:79" s="20" customFormat="1">
      <c r="C1010" s="136" t="s">
        <v>1591</v>
      </c>
      <c r="F1010" s="43"/>
      <c r="G1010" s="21"/>
      <c r="H1010" s="20" t="s">
        <v>605</v>
      </c>
      <c r="L1010" s="22"/>
      <c r="M1010" s="22"/>
      <c r="N1010" s="22"/>
      <c r="O1010" s="20" t="s">
        <v>657</v>
      </c>
      <c r="P1010" s="172"/>
      <c r="S1010" s="197"/>
      <c r="T1010" s="197"/>
      <c r="W1010" s="20">
        <v>7.6340000000000003</v>
      </c>
      <c r="AY1010" s="20" t="s">
        <v>1124</v>
      </c>
      <c r="CA1010" s="149"/>
    </row>
    <row r="1011" spans="3:79" s="20" customFormat="1">
      <c r="C1011" s="136" t="s">
        <v>1592</v>
      </c>
      <c r="F1011" s="43"/>
      <c r="G1011" s="21"/>
      <c r="H1011" s="20" t="s">
        <v>684</v>
      </c>
      <c r="L1011" s="22"/>
      <c r="M1011" s="22"/>
      <c r="N1011" s="22"/>
      <c r="O1011" s="20" t="s">
        <v>657</v>
      </c>
      <c r="P1011" s="172"/>
      <c r="S1011" s="197"/>
      <c r="T1011" s="197"/>
      <c r="W1011" s="20">
        <v>7.609</v>
      </c>
      <c r="AY1011" s="20" t="s">
        <v>1124</v>
      </c>
      <c r="CA1011" s="149"/>
    </row>
    <row r="1012" spans="3:79" s="20" customFormat="1" ht="27">
      <c r="C1012" s="136" t="s">
        <v>1593</v>
      </c>
      <c r="F1012" s="43"/>
      <c r="G1012" s="21"/>
      <c r="H1012" s="20" t="s">
        <v>589</v>
      </c>
      <c r="L1012" s="22"/>
      <c r="M1012" s="22"/>
      <c r="N1012" s="22"/>
      <c r="O1012" s="20" t="s">
        <v>657</v>
      </c>
      <c r="P1012" s="172"/>
      <c r="S1012" s="197"/>
      <c r="T1012" s="197"/>
      <c r="W1012" s="20">
        <v>333.6</v>
      </c>
      <c r="AY1012" s="20" t="s">
        <v>1124</v>
      </c>
      <c r="CA1012" s="149"/>
    </row>
    <row r="1013" spans="3:79" s="20" customFormat="1" ht="27">
      <c r="C1013" s="136" t="s">
        <v>1594</v>
      </c>
      <c r="F1013" s="43"/>
      <c r="G1013" s="21"/>
      <c r="H1013" s="20" t="s">
        <v>590</v>
      </c>
      <c r="L1013" s="22"/>
      <c r="M1013" s="22"/>
      <c r="N1013" s="22"/>
      <c r="O1013" s="20" t="s">
        <v>657</v>
      </c>
      <c r="P1013" s="172"/>
      <c r="S1013" s="197"/>
      <c r="T1013" s="197"/>
      <c r="W1013" s="20">
        <v>915.5</v>
      </c>
      <c r="AY1013" s="20" t="s">
        <v>1124</v>
      </c>
      <c r="CA1013" s="149"/>
    </row>
    <row r="1014" spans="3:79" s="20" customFormat="1" ht="19.5" thickBot="1">
      <c r="C1014" s="136" t="s">
        <v>1595</v>
      </c>
      <c r="F1014" s="43"/>
      <c r="G1014" s="21"/>
      <c r="H1014" s="20" t="s">
        <v>587</v>
      </c>
      <c r="L1014" s="22"/>
      <c r="M1014" s="22"/>
      <c r="N1014" s="22"/>
      <c r="O1014" s="20" t="s">
        <v>657</v>
      </c>
      <c r="P1014" s="172"/>
      <c r="S1014" s="197"/>
      <c r="T1014" s="197"/>
      <c r="W1014" s="20">
        <v>7.64</v>
      </c>
      <c r="AY1014" s="20" t="s">
        <v>1124</v>
      </c>
      <c r="CA1014" s="149"/>
    </row>
    <row r="1015" spans="3:79" s="19" customFormat="1" ht="27.75" thickBot="1">
      <c r="C1015" s="136" t="s">
        <v>1596</v>
      </c>
      <c r="D1015" s="165"/>
      <c r="F1015" s="47"/>
      <c r="G1015" s="21"/>
      <c r="H1015" s="28" t="s">
        <v>616</v>
      </c>
      <c r="I1015" s="165"/>
      <c r="J1015" s="165"/>
      <c r="K1015" s="165"/>
      <c r="L1015" s="22"/>
      <c r="M1015" s="22"/>
      <c r="N1015" s="22"/>
      <c r="O1015" s="29"/>
      <c r="P1015" s="174"/>
      <c r="S1015" s="199"/>
      <c r="T1015" s="199"/>
      <c r="W1015" s="19">
        <v>336</v>
      </c>
      <c r="AY1015" s="19" t="s">
        <v>1124</v>
      </c>
      <c r="CA1015" s="151"/>
    </row>
    <row r="1016" spans="3:79" s="19" customFormat="1" ht="19.5" thickBot="1">
      <c r="C1016" s="136" t="s">
        <v>1597</v>
      </c>
      <c r="D1016" s="165"/>
      <c r="F1016" s="47"/>
      <c r="G1016" s="21"/>
      <c r="H1016" s="28" t="s">
        <v>614</v>
      </c>
      <c r="I1016" s="165"/>
      <c r="J1016" s="165"/>
      <c r="K1016" s="165"/>
      <c r="L1016" s="22"/>
      <c r="M1016" s="22"/>
      <c r="N1016" s="22"/>
      <c r="O1016" s="29"/>
      <c r="P1016" s="174"/>
      <c r="S1016" s="199"/>
      <c r="T1016" s="199"/>
      <c r="W1016" s="19">
        <v>336</v>
      </c>
      <c r="AY1016" s="19" t="s">
        <v>1124</v>
      </c>
      <c r="CA1016" s="151"/>
    </row>
    <row r="1017" spans="3:79" s="19" customFormat="1" ht="27.75" thickBot="1">
      <c r="C1017" s="136" t="s">
        <v>1598</v>
      </c>
      <c r="D1017" s="165"/>
      <c r="F1017" s="47"/>
      <c r="G1017" s="21"/>
      <c r="H1017" s="28" t="s">
        <v>612</v>
      </c>
      <c r="I1017" s="165"/>
      <c r="J1017" s="165"/>
      <c r="K1017" s="165"/>
      <c r="L1017" s="22"/>
      <c r="M1017" s="22"/>
      <c r="N1017" s="22"/>
      <c r="O1017" s="29"/>
      <c r="P1017" s="174"/>
      <c r="S1017" s="199"/>
      <c r="T1017" s="199"/>
      <c r="W1017" s="19">
        <v>336</v>
      </c>
      <c r="AY1017" s="19" t="s">
        <v>1124</v>
      </c>
      <c r="CA1017" s="151"/>
    </row>
    <row r="1018" spans="3:79" s="19" customFormat="1" ht="19.5" thickBot="1">
      <c r="C1018" s="136" t="s">
        <v>1599</v>
      </c>
      <c r="D1018" s="165"/>
      <c r="F1018" s="47"/>
      <c r="G1018" s="21"/>
      <c r="H1018" s="28" t="s">
        <v>561</v>
      </c>
      <c r="I1018" s="165"/>
      <c r="J1018" s="165"/>
      <c r="K1018" s="165"/>
      <c r="L1018" s="22"/>
      <c r="M1018" s="22"/>
      <c r="N1018" s="22"/>
      <c r="O1018" s="29"/>
      <c r="P1018" s="174"/>
      <c r="S1018" s="199"/>
      <c r="T1018" s="199"/>
      <c r="W1018" s="19">
        <v>837</v>
      </c>
      <c r="AY1018" s="19" t="s">
        <v>1124</v>
      </c>
      <c r="CA1018" s="151"/>
    </row>
    <row r="1019" spans="3:79" s="19" customFormat="1" ht="19.5" thickBot="1">
      <c r="C1019" s="136" t="s">
        <v>1600</v>
      </c>
      <c r="D1019" s="165"/>
      <c r="F1019" s="47"/>
      <c r="G1019" s="21"/>
      <c r="H1019" s="28" t="s">
        <v>609</v>
      </c>
      <c r="I1019" s="165"/>
      <c r="J1019" s="165"/>
      <c r="K1019" s="165"/>
      <c r="L1019" s="22"/>
      <c r="M1019" s="22"/>
      <c r="N1019" s="22"/>
      <c r="O1019" s="29"/>
      <c r="P1019" s="174"/>
      <c r="S1019" s="199"/>
      <c r="T1019" s="199"/>
      <c r="W1019" s="19">
        <v>953.6</v>
      </c>
      <c r="AY1019" s="19" t="s">
        <v>1124</v>
      </c>
      <c r="CA1019" s="151"/>
    </row>
    <row r="1020" spans="3:79" s="19" customFormat="1" ht="27.75" thickBot="1">
      <c r="C1020" s="136" t="s">
        <v>1601</v>
      </c>
      <c r="D1020" s="165"/>
      <c r="F1020" s="47"/>
      <c r="G1020" s="21"/>
      <c r="H1020" s="28" t="s">
        <v>607</v>
      </c>
      <c r="I1020" s="165"/>
      <c r="J1020" s="165"/>
      <c r="K1020" s="165"/>
      <c r="L1020" s="22"/>
      <c r="M1020" s="22"/>
      <c r="N1020" s="22"/>
      <c r="O1020" s="29"/>
      <c r="P1020" s="174"/>
      <c r="S1020" s="199"/>
      <c r="T1020" s="199"/>
      <c r="W1020" s="19">
        <v>366.67</v>
      </c>
      <c r="AY1020" s="19" t="s">
        <v>1124</v>
      </c>
      <c r="CA1020" s="151"/>
    </row>
    <row r="1021" spans="3:79" s="19" customFormat="1" ht="27.75" thickBot="1">
      <c r="C1021" s="136" t="s">
        <v>1602</v>
      </c>
      <c r="D1021" s="165"/>
      <c r="F1021" s="47"/>
      <c r="G1021" s="21"/>
      <c r="H1021" s="28" t="s">
        <v>555</v>
      </c>
      <c r="I1021" s="165"/>
      <c r="J1021" s="165"/>
      <c r="K1021" s="165"/>
      <c r="L1021" s="22"/>
      <c r="M1021" s="22"/>
      <c r="N1021" s="22"/>
      <c r="O1021" s="29"/>
      <c r="P1021" s="174"/>
      <c r="S1021" s="199"/>
      <c r="T1021" s="199"/>
      <c r="W1021" s="19">
        <v>366.15</v>
      </c>
      <c r="AY1021" s="19" t="s">
        <v>1124</v>
      </c>
      <c r="CA1021" s="151"/>
    </row>
    <row r="1022" spans="3:79" s="19" customFormat="1" ht="19.5" thickBot="1">
      <c r="C1022" s="136" t="s">
        <v>1603</v>
      </c>
      <c r="D1022" s="165"/>
      <c r="F1022" s="47"/>
      <c r="G1022" s="21"/>
      <c r="H1022" s="28" t="s">
        <v>600</v>
      </c>
      <c r="I1022" s="165"/>
      <c r="J1022" s="165"/>
      <c r="K1022" s="165"/>
      <c r="L1022" s="22"/>
      <c r="M1022" s="22"/>
      <c r="N1022" s="22"/>
      <c r="O1022" s="29"/>
      <c r="P1022" s="174"/>
      <c r="S1022" s="199"/>
      <c r="T1022" s="199"/>
      <c r="W1022" s="19">
        <v>7.64</v>
      </c>
      <c r="AY1022" s="19" t="s">
        <v>1124</v>
      </c>
      <c r="CA1022" s="151"/>
    </row>
    <row r="1023" spans="3:79" s="19" customFormat="1" ht="41.25" thickBot="1">
      <c r="C1023" s="136" t="s">
        <v>1604</v>
      </c>
      <c r="D1023" s="165"/>
      <c r="F1023" s="47"/>
      <c r="G1023" s="21"/>
      <c r="H1023" s="28" t="s">
        <v>598</v>
      </c>
      <c r="I1023" s="165"/>
      <c r="J1023" s="165"/>
      <c r="K1023" s="165"/>
      <c r="L1023" s="22"/>
      <c r="M1023" s="22"/>
      <c r="N1023" s="22"/>
      <c r="O1023" s="29"/>
      <c r="P1023" s="174"/>
      <c r="S1023" s="199"/>
      <c r="T1023" s="199"/>
      <c r="W1023" s="19">
        <v>830.7</v>
      </c>
      <c r="AY1023" s="19" t="s">
        <v>1124</v>
      </c>
      <c r="CA1023" s="151"/>
    </row>
    <row r="1024" spans="3:79" s="19" customFormat="1" ht="27.75" thickBot="1">
      <c r="C1024" s="136" t="s">
        <v>1605</v>
      </c>
      <c r="D1024" s="165"/>
      <c r="F1024" s="47"/>
      <c r="G1024" s="21"/>
      <c r="H1024" s="28" t="s">
        <v>596</v>
      </c>
      <c r="I1024" s="165"/>
      <c r="J1024" s="165"/>
      <c r="K1024" s="165"/>
      <c r="L1024" s="22"/>
      <c r="M1024" s="22"/>
      <c r="N1024" s="22"/>
      <c r="O1024" s="29"/>
      <c r="P1024" s="174"/>
      <c r="S1024" s="199"/>
      <c r="T1024" s="199"/>
      <c r="W1024" s="19">
        <v>694.6</v>
      </c>
      <c r="AY1024" s="19" t="s">
        <v>1124</v>
      </c>
      <c r="CA1024" s="151"/>
    </row>
    <row r="1025" spans="3:79" s="19" customFormat="1" ht="19.5" thickBot="1">
      <c r="C1025" s="136" t="s">
        <v>1606</v>
      </c>
      <c r="D1025" s="165"/>
      <c r="F1025" s="47"/>
      <c r="G1025" s="21"/>
      <c r="H1025" s="28" t="s">
        <v>594</v>
      </c>
      <c r="I1025" s="165"/>
      <c r="J1025" s="165"/>
      <c r="K1025" s="165"/>
      <c r="L1025" s="22"/>
      <c r="M1025" s="22"/>
      <c r="N1025" s="22"/>
      <c r="O1025" s="29"/>
      <c r="P1025" s="174"/>
      <c r="S1025" s="199"/>
      <c r="T1025" s="199"/>
      <c r="W1025" s="19">
        <v>7.64</v>
      </c>
      <c r="AY1025" s="19" t="s">
        <v>1124</v>
      </c>
      <c r="CA1025" s="151"/>
    </row>
    <row r="1026" spans="3:79" s="19" customFormat="1" ht="19.5" thickBot="1">
      <c r="C1026" s="136" t="s">
        <v>1607</v>
      </c>
      <c r="D1026" s="165"/>
      <c r="F1026" s="47"/>
      <c r="G1026" s="21"/>
      <c r="H1026" s="28" t="s">
        <v>592</v>
      </c>
      <c r="I1026" s="165"/>
      <c r="J1026" s="165"/>
      <c r="K1026" s="165"/>
      <c r="L1026" s="22"/>
      <c r="M1026" s="22"/>
      <c r="N1026" s="22"/>
      <c r="O1026" s="29"/>
      <c r="P1026" s="174"/>
      <c r="S1026" s="199"/>
      <c r="T1026" s="199"/>
      <c r="W1026" s="19">
        <v>366.14</v>
      </c>
      <c r="AY1026" s="19" t="s">
        <v>1124</v>
      </c>
      <c r="CA1026" s="151"/>
    </row>
    <row r="1027" spans="3:79" s="19" customFormat="1" ht="19.5" thickBot="1">
      <c r="C1027" s="136" t="s">
        <v>1608</v>
      </c>
      <c r="D1027" s="165"/>
      <c r="F1027" s="47"/>
      <c r="G1027" s="21"/>
      <c r="H1027" s="28" t="s">
        <v>561</v>
      </c>
      <c r="I1027" s="165"/>
      <c r="J1027" s="165"/>
      <c r="K1027" s="165"/>
      <c r="L1027" s="22"/>
      <c r="M1027" s="22"/>
      <c r="N1027" s="22"/>
      <c r="O1027" s="29"/>
      <c r="P1027" s="174"/>
      <c r="S1027" s="199"/>
      <c r="T1027" s="199"/>
      <c r="W1027" s="19">
        <v>837</v>
      </c>
      <c r="AY1027" s="19" t="s">
        <v>1124</v>
      </c>
      <c r="CA1027" s="151"/>
    </row>
    <row r="1028" spans="3:79" s="19" customFormat="1" ht="19.5" thickBot="1">
      <c r="C1028" s="136" t="s">
        <v>1609</v>
      </c>
      <c r="D1028" s="165"/>
      <c r="F1028" s="47"/>
      <c r="G1028" s="21"/>
      <c r="H1028" s="28" t="s">
        <v>587</v>
      </c>
      <c r="I1028" s="165"/>
      <c r="J1028" s="165"/>
      <c r="K1028" s="165"/>
      <c r="L1028" s="22"/>
      <c r="M1028" s="22"/>
      <c r="N1028" s="22"/>
      <c r="O1028" s="29"/>
      <c r="P1028" s="174"/>
      <c r="S1028" s="199"/>
      <c r="T1028" s="199"/>
      <c r="W1028" s="19">
        <v>7.64</v>
      </c>
      <c r="AY1028" s="19" t="s">
        <v>1124</v>
      </c>
      <c r="CA1028" s="151"/>
    </row>
    <row r="1029" spans="3:79" s="19" customFormat="1" ht="19.5" thickBot="1">
      <c r="C1029" s="136" t="s">
        <v>1610</v>
      </c>
      <c r="D1029" s="165"/>
      <c r="F1029" s="47"/>
      <c r="G1029" s="21"/>
      <c r="H1029" s="28" t="s">
        <v>585</v>
      </c>
      <c r="I1029" s="165"/>
      <c r="J1029" s="165"/>
      <c r="K1029" s="165"/>
      <c r="L1029" s="22"/>
      <c r="M1029" s="22"/>
      <c r="N1029" s="22"/>
      <c r="O1029" s="29"/>
      <c r="P1029" s="174"/>
      <c r="S1029" s="199"/>
      <c r="T1029" s="199"/>
      <c r="W1029" s="19">
        <v>7.64</v>
      </c>
      <c r="AY1029" s="19" t="s">
        <v>1124</v>
      </c>
      <c r="CA1029" s="151"/>
    </row>
    <row r="1030" spans="3:79" s="19" customFormat="1" ht="19.5" thickBot="1">
      <c r="C1030" s="136" t="s">
        <v>1611</v>
      </c>
      <c r="D1030" s="165"/>
      <c r="F1030" s="47"/>
      <c r="G1030" s="21"/>
      <c r="H1030" s="28" t="s">
        <v>561</v>
      </c>
      <c r="I1030" s="165"/>
      <c r="J1030" s="165"/>
      <c r="K1030" s="165"/>
      <c r="L1030" s="22"/>
      <c r="M1030" s="22"/>
      <c r="N1030" s="22"/>
      <c r="O1030" s="29"/>
      <c r="P1030" s="174"/>
      <c r="S1030" s="199"/>
      <c r="T1030" s="199"/>
      <c r="W1030" s="19">
        <v>837</v>
      </c>
      <c r="AY1030" s="19" t="s">
        <v>1124</v>
      </c>
      <c r="CA1030" s="151"/>
    </row>
    <row r="1031" spans="3:79" s="19" customFormat="1" ht="19.5" thickBot="1">
      <c r="C1031" s="136" t="s">
        <v>1612</v>
      </c>
      <c r="D1031" s="165"/>
      <c r="F1031" s="47"/>
      <c r="G1031" s="21"/>
      <c r="H1031" s="28" t="s">
        <v>582</v>
      </c>
      <c r="I1031" s="165"/>
      <c r="J1031" s="165"/>
      <c r="K1031" s="165"/>
      <c r="L1031" s="22"/>
      <c r="M1031" s="22"/>
      <c r="N1031" s="22"/>
      <c r="O1031" s="29"/>
      <c r="P1031" s="174"/>
      <c r="S1031" s="199"/>
      <c r="T1031" s="199"/>
      <c r="W1031" s="19">
        <v>7.64</v>
      </c>
      <c r="AY1031" s="19" t="s">
        <v>1124</v>
      </c>
      <c r="CA1031" s="151"/>
    </row>
    <row r="1032" spans="3:79" s="19" customFormat="1" ht="19.5" thickBot="1">
      <c r="C1032" s="136" t="s">
        <v>1613</v>
      </c>
      <c r="D1032" s="165"/>
      <c r="F1032" s="47"/>
      <c r="G1032" s="21"/>
      <c r="H1032" s="28" t="s">
        <v>580</v>
      </c>
      <c r="I1032" s="165"/>
      <c r="J1032" s="165"/>
      <c r="K1032" s="165"/>
      <c r="L1032" s="22"/>
      <c r="M1032" s="22"/>
      <c r="N1032" s="22"/>
      <c r="O1032" s="29"/>
      <c r="P1032" s="174"/>
      <c r="S1032" s="199"/>
      <c r="T1032" s="199"/>
      <c r="W1032" s="19">
        <v>7.64</v>
      </c>
      <c r="AY1032" s="19" t="s">
        <v>1124</v>
      </c>
      <c r="CA1032" s="151"/>
    </row>
    <row r="1033" spans="3:79" s="19" customFormat="1" ht="19.5" thickBot="1">
      <c r="C1033" s="136" t="s">
        <v>1614</v>
      </c>
      <c r="D1033" s="165"/>
      <c r="F1033" s="47"/>
      <c r="G1033" s="21"/>
      <c r="H1033" s="28" t="s">
        <v>578</v>
      </c>
      <c r="I1033" s="165"/>
      <c r="J1033" s="165"/>
      <c r="K1033" s="165"/>
      <c r="L1033" s="22"/>
      <c r="M1033" s="22"/>
      <c r="N1033" s="22"/>
      <c r="O1033" s="29"/>
      <c r="P1033" s="174"/>
      <c r="S1033" s="199"/>
      <c r="T1033" s="199"/>
      <c r="W1033" s="19">
        <v>7.64</v>
      </c>
      <c r="AY1033" s="19" t="s">
        <v>1124</v>
      </c>
      <c r="CA1033" s="151"/>
    </row>
    <row r="1034" spans="3:79" s="19" customFormat="1" ht="19.5" thickBot="1">
      <c r="C1034" s="136" t="s">
        <v>1615</v>
      </c>
      <c r="D1034" s="165"/>
      <c r="F1034" s="47"/>
      <c r="G1034" s="21"/>
      <c r="H1034" s="28" t="s">
        <v>576</v>
      </c>
      <c r="I1034" s="165"/>
      <c r="J1034" s="165"/>
      <c r="K1034" s="165"/>
      <c r="L1034" s="22"/>
      <c r="M1034" s="22"/>
      <c r="N1034" s="22"/>
      <c r="O1034" s="29"/>
      <c r="P1034" s="174"/>
      <c r="S1034" s="199"/>
      <c r="T1034" s="199"/>
      <c r="W1034" s="19">
        <v>335</v>
      </c>
      <c r="AY1034" s="19" t="s">
        <v>1124</v>
      </c>
      <c r="CA1034" s="151"/>
    </row>
    <row r="1035" spans="3:79" s="19" customFormat="1" ht="19.5" thickBot="1">
      <c r="C1035" s="136" t="s">
        <v>1616</v>
      </c>
      <c r="D1035" s="165"/>
      <c r="F1035" s="47"/>
      <c r="G1035" s="21"/>
      <c r="H1035" s="28" t="s">
        <v>487</v>
      </c>
      <c r="I1035" s="165"/>
      <c r="J1035" s="165"/>
      <c r="K1035" s="165"/>
      <c r="L1035" s="22"/>
      <c r="M1035" s="22"/>
      <c r="N1035" s="22"/>
      <c r="O1035" s="29"/>
      <c r="P1035" s="174"/>
      <c r="S1035" s="199"/>
      <c r="T1035" s="199"/>
      <c r="W1035" s="19">
        <v>366.18</v>
      </c>
      <c r="AY1035" s="19" t="s">
        <v>1124</v>
      </c>
      <c r="CA1035" s="151"/>
    </row>
    <row r="1036" spans="3:79" s="19" customFormat="1" ht="19.5" thickBot="1">
      <c r="C1036" s="136" t="s">
        <v>1617</v>
      </c>
      <c r="D1036" s="165"/>
      <c r="F1036" s="47"/>
      <c r="G1036" s="21"/>
      <c r="H1036" s="28" t="s">
        <v>573</v>
      </c>
      <c r="I1036" s="165"/>
      <c r="J1036" s="165"/>
      <c r="K1036" s="165"/>
      <c r="L1036" s="22"/>
      <c r="M1036" s="22"/>
      <c r="N1036" s="22"/>
      <c r="O1036" s="29"/>
      <c r="P1036" s="174"/>
      <c r="S1036" s="199"/>
      <c r="T1036" s="199"/>
      <c r="W1036" s="19">
        <v>336.17</v>
      </c>
      <c r="AY1036" s="19" t="s">
        <v>1124</v>
      </c>
      <c r="CA1036" s="151"/>
    </row>
    <row r="1037" spans="3:79" s="19" customFormat="1" ht="27.75" thickBot="1">
      <c r="C1037" s="136" t="s">
        <v>1618</v>
      </c>
      <c r="D1037" s="165"/>
      <c r="F1037" s="47"/>
      <c r="G1037" s="21"/>
      <c r="H1037" s="28" t="s">
        <v>203</v>
      </c>
      <c r="I1037" s="165"/>
      <c r="J1037" s="165"/>
      <c r="K1037" s="165"/>
      <c r="L1037" s="22"/>
      <c r="M1037" s="22"/>
      <c r="N1037" s="22"/>
      <c r="O1037" s="29"/>
      <c r="P1037" s="174"/>
      <c r="S1037" s="199"/>
      <c r="T1037" s="199"/>
      <c r="W1037" s="19">
        <v>7.64</v>
      </c>
      <c r="AY1037" s="19" t="s">
        <v>1124</v>
      </c>
      <c r="CA1037" s="151"/>
    </row>
    <row r="1038" spans="3:79" s="19" customFormat="1" ht="27.75" thickBot="1">
      <c r="C1038" s="136" t="s">
        <v>1619</v>
      </c>
      <c r="D1038" s="165"/>
      <c r="F1038" s="47"/>
      <c r="G1038" s="21"/>
      <c r="H1038" s="28" t="s">
        <v>570</v>
      </c>
      <c r="I1038" s="165"/>
      <c r="J1038" s="165"/>
      <c r="K1038" s="165"/>
      <c r="L1038" s="22"/>
      <c r="M1038" s="22"/>
      <c r="N1038" s="22"/>
      <c r="O1038" s="29"/>
      <c r="P1038" s="174"/>
      <c r="S1038" s="199"/>
      <c r="T1038" s="199"/>
      <c r="W1038" s="19">
        <v>547.48329999999999</v>
      </c>
      <c r="AY1038" s="19" t="s">
        <v>1124</v>
      </c>
      <c r="CA1038" s="151"/>
    </row>
    <row r="1039" spans="3:79" s="19" customFormat="1" ht="19.5" thickBot="1">
      <c r="C1039" s="136" t="s">
        <v>1620</v>
      </c>
      <c r="D1039" s="165"/>
      <c r="F1039" s="47"/>
      <c r="G1039" s="21"/>
      <c r="H1039" s="28" t="s">
        <v>568</v>
      </c>
      <c r="I1039" s="165"/>
      <c r="J1039" s="165"/>
      <c r="K1039" s="165"/>
      <c r="L1039" s="22"/>
      <c r="M1039" s="22"/>
      <c r="N1039" s="22"/>
      <c r="O1039" s="29"/>
      <c r="P1039" s="174"/>
      <c r="S1039" s="199"/>
      <c r="T1039" s="199"/>
      <c r="W1039" s="19">
        <v>547.48329999999999</v>
      </c>
      <c r="AY1039" s="19" t="s">
        <v>1124</v>
      </c>
      <c r="CA1039" s="151"/>
    </row>
    <row r="1040" spans="3:79" s="19" customFormat="1" ht="19.5" thickBot="1">
      <c r="C1040" s="136" t="s">
        <v>1621</v>
      </c>
      <c r="D1040" s="165"/>
      <c r="F1040" s="47"/>
      <c r="G1040" s="21"/>
      <c r="H1040" s="28" t="s">
        <v>566</v>
      </c>
      <c r="I1040" s="165"/>
      <c r="J1040" s="165"/>
      <c r="K1040" s="165"/>
      <c r="L1040" s="22"/>
      <c r="M1040" s="22"/>
      <c r="N1040" s="22"/>
      <c r="O1040" s="29"/>
      <c r="P1040" s="174"/>
      <c r="S1040" s="199"/>
      <c r="T1040" s="199"/>
      <c r="W1040" s="19">
        <v>304</v>
      </c>
      <c r="AY1040" s="19" t="s">
        <v>1124</v>
      </c>
      <c r="CA1040" s="151"/>
    </row>
    <row r="1041" spans="3:79" s="19" customFormat="1" ht="19.5" thickBot="1">
      <c r="C1041" s="136" t="s">
        <v>1622</v>
      </c>
      <c r="D1041" s="165"/>
      <c r="F1041" s="47"/>
      <c r="G1041" s="21"/>
      <c r="H1041" s="28" t="s">
        <v>564</v>
      </c>
      <c r="I1041" s="165"/>
      <c r="J1041" s="165"/>
      <c r="K1041" s="165"/>
      <c r="L1041" s="22"/>
      <c r="M1041" s="22"/>
      <c r="N1041" s="22"/>
      <c r="O1041" s="29"/>
      <c r="P1041" s="174"/>
      <c r="S1041" s="199"/>
      <c r="T1041" s="199"/>
      <c r="W1041" s="19">
        <v>336.4</v>
      </c>
      <c r="AY1041" s="19" t="s">
        <v>1124</v>
      </c>
      <c r="CA1041" s="151"/>
    </row>
    <row r="1042" spans="3:79" s="19" customFormat="1" ht="27.75" thickBot="1">
      <c r="C1042" s="136" t="s">
        <v>1623</v>
      </c>
      <c r="D1042" s="165"/>
      <c r="F1042" s="47"/>
      <c r="G1042" s="21"/>
      <c r="H1042" s="28" t="s">
        <v>205</v>
      </c>
      <c r="I1042" s="165"/>
      <c r="J1042" s="165"/>
      <c r="K1042" s="165"/>
      <c r="L1042" s="22"/>
      <c r="M1042" s="22"/>
      <c r="N1042" s="22"/>
      <c r="O1042" s="29"/>
      <c r="P1042" s="174"/>
      <c r="S1042" s="199"/>
      <c r="T1042" s="199"/>
      <c r="W1042" s="19">
        <v>7.609</v>
      </c>
      <c r="AY1042" s="19" t="s">
        <v>1124</v>
      </c>
      <c r="CA1042" s="151"/>
    </row>
    <row r="1043" spans="3:79" s="19" customFormat="1" ht="19.5" thickBot="1">
      <c r="C1043" s="136" t="s">
        <v>1624</v>
      </c>
      <c r="D1043" s="165"/>
      <c r="F1043" s="47"/>
      <c r="G1043" s="21"/>
      <c r="H1043" s="28" t="s">
        <v>561</v>
      </c>
      <c r="I1043" s="165"/>
      <c r="J1043" s="165"/>
      <c r="K1043" s="165"/>
      <c r="L1043" s="22"/>
      <c r="M1043" s="22"/>
      <c r="N1043" s="22"/>
      <c r="O1043" s="29"/>
      <c r="P1043" s="174"/>
      <c r="S1043" s="199"/>
      <c r="T1043" s="199"/>
      <c r="W1043" s="19">
        <v>837</v>
      </c>
      <c r="AY1043" s="19" t="s">
        <v>1124</v>
      </c>
      <c r="CA1043" s="151"/>
    </row>
    <row r="1044" spans="3:79" s="19" customFormat="1" ht="19.5" thickBot="1">
      <c r="C1044" s="136" t="s">
        <v>1625</v>
      </c>
      <c r="D1044" s="165"/>
      <c r="F1044" s="47"/>
      <c r="G1044" s="21"/>
      <c r="H1044" s="28" t="s">
        <v>559</v>
      </c>
      <c r="I1044" s="165"/>
      <c r="J1044" s="165"/>
      <c r="K1044" s="165"/>
      <c r="L1044" s="22"/>
      <c r="M1044" s="22"/>
      <c r="N1044" s="22"/>
      <c r="O1044" s="29"/>
      <c r="P1044" s="174"/>
      <c r="S1044" s="199"/>
      <c r="T1044" s="199"/>
      <c r="W1044" s="19">
        <v>366.18</v>
      </c>
      <c r="AY1044" s="19" t="s">
        <v>1124</v>
      </c>
      <c r="CA1044" s="151"/>
    </row>
    <row r="1045" spans="3:79" s="19" customFormat="1" ht="27.75" thickBot="1">
      <c r="C1045" s="136" t="s">
        <v>1626</v>
      </c>
      <c r="D1045" s="165"/>
      <c r="F1045" s="47"/>
      <c r="G1045" s="21"/>
      <c r="H1045" s="28" t="s">
        <v>557</v>
      </c>
      <c r="I1045" s="165"/>
      <c r="J1045" s="165"/>
      <c r="K1045" s="165"/>
      <c r="L1045" s="22"/>
      <c r="M1045" s="22"/>
      <c r="N1045" s="22"/>
      <c r="O1045" s="29"/>
      <c r="P1045" s="174"/>
      <c r="S1045" s="199"/>
      <c r="T1045" s="199"/>
      <c r="W1045" s="19">
        <v>366.15</v>
      </c>
      <c r="AY1045" s="19" t="s">
        <v>1124</v>
      </c>
      <c r="CA1045" s="151"/>
    </row>
    <row r="1046" spans="3:79" s="19" customFormat="1" ht="27.75" thickBot="1">
      <c r="C1046" s="136" t="s">
        <v>1627</v>
      </c>
      <c r="D1046" s="165"/>
      <c r="F1046" s="47"/>
      <c r="G1046" s="21"/>
      <c r="H1046" s="28" t="s">
        <v>555</v>
      </c>
      <c r="I1046" s="165"/>
      <c r="J1046" s="165"/>
      <c r="K1046" s="165"/>
      <c r="L1046" s="22"/>
      <c r="M1046" s="22"/>
      <c r="N1046" s="22"/>
      <c r="O1046" s="29"/>
      <c r="P1046" s="174"/>
      <c r="S1046" s="199"/>
      <c r="T1046" s="199"/>
      <c r="W1046" s="19">
        <v>366.15</v>
      </c>
      <c r="AY1046" s="19" t="s">
        <v>1124</v>
      </c>
      <c r="CA1046" s="151"/>
    </row>
    <row r="1047" spans="3:79" s="19" customFormat="1" ht="19.5" thickBot="1">
      <c r="C1047" s="136" t="s">
        <v>1628</v>
      </c>
      <c r="D1047" s="165"/>
      <c r="F1047" s="47"/>
      <c r="G1047" s="21"/>
      <c r="H1047" s="28" t="s">
        <v>553</v>
      </c>
      <c r="I1047" s="165"/>
      <c r="J1047" s="165"/>
      <c r="K1047" s="165"/>
      <c r="L1047" s="22"/>
      <c r="M1047" s="22"/>
      <c r="N1047" s="22"/>
      <c r="O1047" s="29"/>
      <c r="P1047" s="174"/>
      <c r="S1047" s="199"/>
      <c r="T1047" s="199"/>
      <c r="W1047" s="19">
        <v>366.15</v>
      </c>
      <c r="AY1047" s="19" t="s">
        <v>1124</v>
      </c>
      <c r="CA1047" s="151"/>
    </row>
    <row r="1048" spans="3:79" s="19" customFormat="1" ht="19.5" thickBot="1">
      <c r="C1048" s="136" t="s">
        <v>1629</v>
      </c>
      <c r="D1048" s="165"/>
      <c r="F1048" s="47"/>
      <c r="G1048" s="21"/>
      <c r="H1048" s="28" t="s">
        <v>551</v>
      </c>
      <c r="I1048" s="165"/>
      <c r="J1048" s="165"/>
      <c r="K1048" s="165"/>
      <c r="L1048" s="22"/>
      <c r="M1048" s="22"/>
      <c r="N1048" s="22"/>
      <c r="O1048" s="29"/>
      <c r="P1048" s="174"/>
      <c r="S1048" s="199"/>
      <c r="T1048" s="199"/>
      <c r="W1048" s="19">
        <v>336.17</v>
      </c>
      <c r="AY1048" s="19" t="s">
        <v>1124</v>
      </c>
      <c r="CA1048" s="151"/>
    </row>
    <row r="1049" spans="3:79" s="19" customFormat="1" ht="19.5" thickBot="1">
      <c r="C1049" s="136" t="s">
        <v>1630</v>
      </c>
      <c r="D1049" s="165"/>
      <c r="F1049" s="47"/>
      <c r="G1049" s="21"/>
      <c r="H1049" s="28" t="s">
        <v>549</v>
      </c>
      <c r="I1049" s="165"/>
      <c r="J1049" s="165"/>
      <c r="K1049" s="165"/>
      <c r="L1049" s="22"/>
      <c r="M1049" s="22"/>
      <c r="N1049" s="22"/>
      <c r="O1049" s="29"/>
      <c r="P1049" s="174"/>
      <c r="S1049" s="199"/>
      <c r="T1049" s="199"/>
      <c r="W1049" s="19">
        <v>336.1</v>
      </c>
      <c r="AY1049" s="19" t="s">
        <v>1124</v>
      </c>
      <c r="CA1049" s="151"/>
    </row>
    <row r="1050" spans="3:79" s="19" customFormat="1" ht="19.5" thickBot="1">
      <c r="C1050" s="136" t="s">
        <v>1631</v>
      </c>
      <c r="D1050" s="165"/>
      <c r="F1050" s="47"/>
      <c r="G1050" s="21"/>
      <c r="H1050" s="28" t="s">
        <v>547</v>
      </c>
      <c r="I1050" s="165"/>
      <c r="J1050" s="165"/>
      <c r="K1050" s="165"/>
      <c r="L1050" s="22"/>
      <c r="M1050" s="22"/>
      <c r="N1050" s="22"/>
      <c r="O1050" s="29"/>
      <c r="P1050" s="174"/>
      <c r="S1050" s="199"/>
      <c r="T1050" s="199"/>
      <c r="W1050" s="19">
        <v>375.19900000000001</v>
      </c>
      <c r="AY1050" s="19" t="s">
        <v>1124</v>
      </c>
      <c r="CA1050" s="151"/>
    </row>
    <row r="1051" spans="3:79" s="19" customFormat="1" ht="19.5" thickBot="1">
      <c r="C1051" s="136" t="s">
        <v>1632</v>
      </c>
      <c r="D1051" s="165"/>
      <c r="F1051" s="47"/>
      <c r="G1051" s="21"/>
      <c r="H1051" s="28" t="s">
        <v>545</v>
      </c>
      <c r="I1051" s="165"/>
      <c r="J1051" s="165"/>
      <c r="K1051" s="165"/>
      <c r="L1051" s="22"/>
      <c r="M1051" s="22"/>
      <c r="N1051" s="22"/>
      <c r="O1051" s="29"/>
      <c r="P1051" s="174"/>
      <c r="S1051" s="199"/>
      <c r="T1051" s="199"/>
      <c r="W1051" s="19">
        <v>375.19900000000001</v>
      </c>
      <c r="AY1051" s="19" t="s">
        <v>1124</v>
      </c>
      <c r="CA1051" s="151"/>
    </row>
    <row r="1052" spans="3:79" s="19" customFormat="1" ht="27.75" thickBot="1">
      <c r="C1052" s="136" t="s">
        <v>1633</v>
      </c>
      <c r="D1052" s="165"/>
      <c r="F1052" s="47"/>
      <c r="G1052" s="21"/>
      <c r="H1052" s="28" t="s">
        <v>543</v>
      </c>
      <c r="I1052" s="165"/>
      <c r="J1052" s="165"/>
      <c r="K1052" s="165"/>
      <c r="L1052" s="22"/>
      <c r="M1052" s="22"/>
      <c r="N1052" s="22"/>
      <c r="O1052" s="29"/>
      <c r="P1052" s="174"/>
      <c r="S1052" s="199"/>
      <c r="T1052" s="199"/>
      <c r="W1052" s="19">
        <v>7.63</v>
      </c>
      <c r="AY1052" s="19" t="s">
        <v>1124</v>
      </c>
      <c r="CA1052" s="151"/>
    </row>
    <row r="1053" spans="3:79" s="19" customFormat="1" ht="27.75" thickBot="1">
      <c r="C1053" s="136" t="s">
        <v>1634</v>
      </c>
      <c r="D1053" s="165"/>
      <c r="F1053" s="47"/>
      <c r="G1053" s="21"/>
      <c r="H1053" s="28" t="s">
        <v>541</v>
      </c>
      <c r="I1053" s="165"/>
      <c r="J1053" s="165"/>
      <c r="K1053" s="165"/>
      <c r="L1053" s="22"/>
      <c r="M1053" s="22"/>
      <c r="N1053" s="22"/>
      <c r="O1053" s="29"/>
      <c r="P1053" s="174"/>
      <c r="S1053" s="199"/>
      <c r="T1053" s="199"/>
      <c r="W1053" s="19">
        <v>547.48329999999999</v>
      </c>
      <c r="AY1053" s="19" t="s">
        <v>1124</v>
      </c>
      <c r="CA1053" s="151"/>
    </row>
    <row r="1054" spans="3:79" s="19" customFormat="1" ht="19.5" thickBot="1">
      <c r="C1054" s="136" t="s">
        <v>1635</v>
      </c>
      <c r="D1054" s="165"/>
      <c r="F1054" s="47"/>
      <c r="G1054" s="21"/>
      <c r="H1054" s="28" t="s">
        <v>539</v>
      </c>
      <c r="I1054" s="165"/>
      <c r="J1054" s="165"/>
      <c r="K1054" s="165"/>
      <c r="L1054" s="22"/>
      <c r="M1054" s="22"/>
      <c r="N1054" s="22"/>
      <c r="O1054" s="29"/>
      <c r="P1054" s="174"/>
      <c r="S1054" s="199"/>
      <c r="T1054" s="199"/>
      <c r="W1054" s="19">
        <v>336.57</v>
      </c>
      <c r="AY1054" s="19" t="s">
        <v>1124</v>
      </c>
      <c r="CA1054" s="151"/>
    </row>
    <row r="1055" spans="3:79" s="19" customFormat="1" ht="19.5" thickBot="1">
      <c r="C1055" s="136" t="s">
        <v>1636</v>
      </c>
      <c r="D1055" s="165"/>
      <c r="F1055" s="47"/>
      <c r="G1055" s="21"/>
      <c r="H1055" s="28" t="s">
        <v>537</v>
      </c>
      <c r="I1055" s="165"/>
      <c r="J1055" s="165"/>
      <c r="K1055" s="165"/>
      <c r="L1055" s="22"/>
      <c r="M1055" s="22"/>
      <c r="N1055" s="22"/>
      <c r="O1055" s="29"/>
      <c r="P1055" s="174"/>
      <c r="S1055" s="199"/>
      <c r="T1055" s="199"/>
      <c r="W1055" s="19">
        <v>501</v>
      </c>
      <c r="AY1055" s="19" t="s">
        <v>1124</v>
      </c>
      <c r="CA1055" s="151"/>
    </row>
    <row r="1056" spans="3:79" s="19" customFormat="1" ht="27.75" thickBot="1">
      <c r="C1056" s="136" t="s">
        <v>1637</v>
      </c>
      <c r="D1056" s="165"/>
      <c r="F1056" s="47"/>
      <c r="G1056" s="21"/>
      <c r="H1056" s="28" t="s">
        <v>535</v>
      </c>
      <c r="I1056" s="165"/>
      <c r="J1056" s="165"/>
      <c r="K1056" s="165"/>
      <c r="L1056" s="22"/>
      <c r="M1056" s="22"/>
      <c r="N1056" s="22"/>
      <c r="O1056" s="29"/>
      <c r="P1056" s="174"/>
      <c r="S1056" s="199"/>
      <c r="T1056" s="199"/>
      <c r="W1056" s="19">
        <v>7.63</v>
      </c>
      <c r="AY1056" s="19" t="s">
        <v>1124</v>
      </c>
      <c r="CA1056" s="151"/>
    </row>
    <row r="1057" spans="3:79" s="19" customFormat="1" ht="19.5" thickBot="1">
      <c r="C1057" s="136" t="s">
        <v>1638</v>
      </c>
      <c r="D1057" s="165"/>
      <c r="F1057" s="47"/>
      <c r="G1057" s="21"/>
      <c r="H1057" s="28" t="s">
        <v>310</v>
      </c>
      <c r="I1057" s="165"/>
      <c r="J1057" s="165"/>
      <c r="K1057" s="165"/>
      <c r="L1057" s="22"/>
      <c r="M1057" s="22"/>
      <c r="N1057" s="22"/>
      <c r="O1057" s="29"/>
      <c r="P1057" s="174"/>
      <c r="S1057" s="199"/>
      <c r="T1057" s="199"/>
      <c r="W1057" s="19">
        <v>7.64</v>
      </c>
      <c r="AY1057" s="19" t="s">
        <v>1124</v>
      </c>
      <c r="CA1057" s="151"/>
    </row>
    <row r="1058" spans="3:79" s="19" customFormat="1" ht="19.5" thickBot="1">
      <c r="C1058" s="136" t="s">
        <v>1639</v>
      </c>
      <c r="D1058" s="165"/>
      <c r="F1058" s="47"/>
      <c r="G1058" s="21"/>
      <c r="H1058" s="28" t="s">
        <v>531</v>
      </c>
      <c r="I1058" s="165"/>
      <c r="J1058" s="165"/>
      <c r="K1058" s="165"/>
      <c r="L1058" s="22"/>
      <c r="M1058" s="22"/>
      <c r="N1058" s="22"/>
      <c r="O1058" s="29"/>
      <c r="P1058" s="174"/>
      <c r="S1058" s="199"/>
      <c r="T1058" s="199"/>
      <c r="W1058" s="19">
        <v>336.57</v>
      </c>
      <c r="AY1058" s="19" t="s">
        <v>1124</v>
      </c>
      <c r="CA1058" s="151"/>
    </row>
    <row r="1059" spans="3:79" s="19" customFormat="1" ht="27.75" thickBot="1">
      <c r="C1059" s="136" t="s">
        <v>1640</v>
      </c>
      <c r="D1059" s="165"/>
      <c r="F1059" s="47"/>
      <c r="G1059" s="21"/>
      <c r="H1059" s="28" t="s">
        <v>531</v>
      </c>
      <c r="I1059" s="165"/>
      <c r="J1059" s="165"/>
      <c r="K1059" s="165"/>
      <c r="L1059" s="22"/>
      <c r="M1059" s="22"/>
      <c r="N1059" s="22"/>
      <c r="O1059" s="29"/>
      <c r="P1059" s="174"/>
      <c r="S1059" s="199"/>
      <c r="T1059" s="199"/>
      <c r="W1059" s="19">
        <v>336.57</v>
      </c>
      <c r="AY1059" s="19" t="s">
        <v>1124</v>
      </c>
      <c r="CA1059" s="151"/>
    </row>
    <row r="1060" spans="3:79" s="19" customFormat="1" ht="27.75" thickBot="1">
      <c r="C1060" s="136" t="s">
        <v>1641</v>
      </c>
      <c r="D1060" s="165"/>
      <c r="F1060" s="47"/>
      <c r="G1060" s="21"/>
      <c r="H1060" s="28" t="s">
        <v>529</v>
      </c>
      <c r="I1060" s="165"/>
      <c r="J1060" s="165"/>
      <c r="K1060" s="165"/>
      <c r="L1060" s="22"/>
      <c r="M1060" s="22"/>
      <c r="N1060" s="22"/>
      <c r="O1060" s="29"/>
      <c r="P1060" s="174"/>
      <c r="S1060" s="199"/>
      <c r="T1060" s="199"/>
      <c r="W1060" s="19">
        <v>7.61</v>
      </c>
      <c r="AY1060" s="19" t="s">
        <v>1124</v>
      </c>
      <c r="CA1060" s="151"/>
    </row>
    <row r="1061" spans="3:79" s="19" customFormat="1" ht="19.5" thickBot="1">
      <c r="C1061" s="136" t="s">
        <v>1642</v>
      </c>
      <c r="D1061" s="165"/>
      <c r="F1061" s="47"/>
      <c r="G1061" s="21"/>
      <c r="H1061" s="28" t="s">
        <v>527</v>
      </c>
      <c r="I1061" s="165"/>
      <c r="J1061" s="165"/>
      <c r="K1061" s="165"/>
      <c r="L1061" s="22"/>
      <c r="M1061" s="22"/>
      <c r="N1061" s="22"/>
      <c r="O1061" s="29"/>
      <c r="P1061" s="174"/>
      <c r="S1061" s="199"/>
      <c r="T1061" s="199"/>
      <c r="W1061" s="19">
        <v>7.63</v>
      </c>
      <c r="AY1061" s="19" t="s">
        <v>1124</v>
      </c>
      <c r="CA1061" s="151"/>
    </row>
    <row r="1062" spans="3:79" s="19" customFormat="1" ht="27.75" thickBot="1">
      <c r="C1062" s="136" t="s">
        <v>1643</v>
      </c>
      <c r="D1062" s="165"/>
      <c r="F1062" s="47"/>
      <c r="G1062" s="21"/>
      <c r="H1062" s="28" t="s">
        <v>276</v>
      </c>
      <c r="I1062" s="165"/>
      <c r="J1062" s="165"/>
      <c r="K1062" s="165"/>
      <c r="L1062" s="22"/>
      <c r="M1062" s="22"/>
      <c r="N1062" s="22"/>
      <c r="O1062" s="29"/>
      <c r="P1062" s="174"/>
      <c r="S1062" s="199"/>
      <c r="T1062" s="199"/>
      <c r="W1062" s="19">
        <v>547.48329999999999</v>
      </c>
      <c r="AY1062" s="19" t="s">
        <v>1124</v>
      </c>
      <c r="CA1062" s="151"/>
    </row>
    <row r="1063" spans="3:79" s="19" customFormat="1" ht="27.75" thickBot="1">
      <c r="C1063" s="136" t="s">
        <v>1644</v>
      </c>
      <c r="D1063" s="165"/>
      <c r="F1063" s="47"/>
      <c r="G1063" s="21"/>
      <c r="H1063" s="28" t="s">
        <v>390</v>
      </c>
      <c r="I1063" s="165"/>
      <c r="J1063" s="165"/>
      <c r="K1063" s="165"/>
      <c r="L1063" s="22"/>
      <c r="M1063" s="22"/>
      <c r="N1063" s="22"/>
      <c r="O1063" s="29"/>
      <c r="P1063" s="174"/>
      <c r="S1063" s="199"/>
      <c r="T1063" s="199"/>
      <c r="W1063" s="19">
        <v>834</v>
      </c>
      <c r="AY1063" s="19" t="s">
        <v>1124</v>
      </c>
      <c r="CA1063" s="151"/>
    </row>
    <row r="1064" spans="3:79" s="19" customFormat="1" ht="27.75" thickBot="1">
      <c r="C1064" s="136" t="s">
        <v>1645</v>
      </c>
      <c r="D1064" s="165"/>
      <c r="F1064" s="47"/>
      <c r="G1064" s="21"/>
      <c r="H1064" s="28" t="s">
        <v>523</v>
      </c>
      <c r="I1064" s="165"/>
      <c r="J1064" s="165"/>
      <c r="K1064" s="165"/>
      <c r="L1064" s="22"/>
      <c r="M1064" s="22"/>
      <c r="N1064" s="22"/>
      <c r="O1064" s="29"/>
      <c r="P1064" s="174"/>
      <c r="S1064" s="199"/>
      <c r="T1064" s="199"/>
      <c r="W1064" s="19">
        <v>809.2</v>
      </c>
      <c r="AY1064" s="19" t="s">
        <v>1124</v>
      </c>
      <c r="CA1064" s="151"/>
    </row>
    <row r="1065" spans="3:79" s="19" customFormat="1" ht="27.75" thickBot="1">
      <c r="C1065" s="136" t="s">
        <v>1646</v>
      </c>
      <c r="D1065" s="165"/>
      <c r="F1065" s="47"/>
      <c r="G1065" s="21"/>
      <c r="H1065" s="28" t="s">
        <v>521</v>
      </c>
      <c r="I1065" s="165"/>
      <c r="J1065" s="165"/>
      <c r="K1065" s="165"/>
      <c r="L1065" s="22"/>
      <c r="M1065" s="22"/>
      <c r="N1065" s="22"/>
      <c r="O1065" s="29"/>
      <c r="P1065" s="174"/>
      <c r="S1065" s="199"/>
      <c r="T1065" s="199"/>
      <c r="W1065" s="19">
        <v>7.13</v>
      </c>
      <c r="AY1065" s="19" t="s">
        <v>1124</v>
      </c>
      <c r="CA1065" s="151"/>
    </row>
    <row r="1066" spans="3:79" s="19" customFormat="1" ht="27.75" thickBot="1">
      <c r="C1066" s="136" t="s">
        <v>1647</v>
      </c>
      <c r="D1066" s="165"/>
      <c r="F1066" s="47"/>
      <c r="G1066" s="21"/>
      <c r="H1066" s="28" t="s">
        <v>276</v>
      </c>
      <c r="I1066" s="165"/>
      <c r="J1066" s="165"/>
      <c r="K1066" s="165"/>
      <c r="L1066" s="22"/>
      <c r="M1066" s="22"/>
      <c r="N1066" s="22"/>
      <c r="O1066" s="29"/>
      <c r="P1066" s="174"/>
      <c r="S1066" s="199"/>
      <c r="T1066" s="199"/>
      <c r="W1066" s="19">
        <v>547.48329999999999</v>
      </c>
      <c r="AY1066" s="19" t="s">
        <v>1124</v>
      </c>
      <c r="CA1066" s="151"/>
    </row>
    <row r="1067" spans="3:79" s="19" customFormat="1" ht="19.5" thickBot="1">
      <c r="C1067" s="136" t="s">
        <v>1648</v>
      </c>
      <c r="D1067" s="165"/>
      <c r="F1067" s="47"/>
      <c r="G1067" s="21"/>
      <c r="H1067" s="28" t="s">
        <v>175</v>
      </c>
      <c r="I1067" s="165"/>
      <c r="J1067" s="165"/>
      <c r="K1067" s="165"/>
      <c r="L1067" s="22"/>
      <c r="M1067" s="22"/>
      <c r="N1067" s="22"/>
      <c r="O1067" s="29"/>
      <c r="P1067" s="174"/>
      <c r="S1067" s="199"/>
      <c r="T1067" s="199"/>
      <c r="W1067" s="19">
        <v>547.48329999999999</v>
      </c>
      <c r="AY1067" s="19" t="s">
        <v>1124</v>
      </c>
      <c r="CA1067" s="151"/>
    </row>
    <row r="1068" spans="3:79" s="19" customFormat="1" ht="19.5" thickBot="1">
      <c r="C1068" s="136" t="s">
        <v>1649</v>
      </c>
      <c r="D1068" s="165"/>
      <c r="F1068" s="47"/>
      <c r="G1068" s="21"/>
      <c r="H1068" s="28"/>
      <c r="I1068" s="165"/>
      <c r="J1068" s="165"/>
      <c r="K1068" s="165"/>
      <c r="L1068" s="22"/>
      <c r="M1068" s="22"/>
      <c r="N1068" s="22"/>
      <c r="O1068" s="29"/>
      <c r="P1068" s="174"/>
      <c r="S1068" s="199"/>
      <c r="T1068" s="199"/>
      <c r="W1068" s="19">
        <v>547.48329999999999</v>
      </c>
      <c r="AY1068" s="19" t="s">
        <v>1124</v>
      </c>
      <c r="CA1068" s="151"/>
    </row>
    <row r="1069" spans="3:79" s="19" customFormat="1" ht="19.5" thickBot="1">
      <c r="C1069" s="136" t="s">
        <v>1650</v>
      </c>
      <c r="D1069" s="165"/>
      <c r="F1069" s="47"/>
      <c r="G1069" s="21"/>
      <c r="H1069" s="28" t="s">
        <v>516</v>
      </c>
      <c r="I1069" s="165"/>
      <c r="J1069" s="165"/>
      <c r="K1069" s="165"/>
      <c r="L1069" s="22"/>
      <c r="M1069" s="22"/>
      <c r="N1069" s="22"/>
      <c r="O1069" s="29"/>
      <c r="P1069" s="174"/>
      <c r="S1069" s="199"/>
      <c r="T1069" s="199"/>
      <c r="W1069" s="19">
        <v>7.63</v>
      </c>
      <c r="AY1069" s="19" t="s">
        <v>1124</v>
      </c>
      <c r="CA1069" s="151"/>
    </row>
    <row r="1070" spans="3:79" s="19" customFormat="1" ht="19.5" thickBot="1">
      <c r="C1070" s="136" t="s">
        <v>1651</v>
      </c>
      <c r="D1070" s="165"/>
      <c r="F1070" s="47"/>
      <c r="G1070" s="21"/>
      <c r="H1070" s="28" t="s">
        <v>514</v>
      </c>
      <c r="I1070" s="165"/>
      <c r="J1070" s="165"/>
      <c r="K1070" s="165"/>
      <c r="L1070" s="22"/>
      <c r="M1070" s="22"/>
      <c r="N1070" s="22"/>
      <c r="O1070" s="29"/>
      <c r="P1070" s="174"/>
      <c r="S1070" s="199"/>
      <c r="T1070" s="199"/>
      <c r="W1070" s="19">
        <v>7.35</v>
      </c>
      <c r="AY1070" s="19" t="s">
        <v>1124</v>
      </c>
      <c r="CA1070" s="151"/>
    </row>
    <row r="1071" spans="3:79" s="19" customFormat="1" ht="27.75" thickBot="1">
      <c r="C1071" s="136" t="s">
        <v>1652</v>
      </c>
      <c r="D1071" s="165"/>
      <c r="F1071" s="47"/>
      <c r="G1071" s="21"/>
      <c r="H1071" s="28" t="s">
        <v>512</v>
      </c>
      <c r="I1071" s="165"/>
      <c r="J1071" s="165"/>
      <c r="K1071" s="165"/>
      <c r="L1071" s="22"/>
      <c r="M1071" s="22"/>
      <c r="N1071" s="22"/>
      <c r="O1071" s="29"/>
      <c r="P1071" s="174"/>
      <c r="S1071" s="199"/>
      <c r="T1071" s="199"/>
      <c r="W1071" s="19">
        <v>7.63</v>
      </c>
      <c r="AY1071" s="19" t="s">
        <v>1124</v>
      </c>
      <c r="CA1071" s="151"/>
    </row>
    <row r="1072" spans="3:79" s="19" customFormat="1" ht="32.25" thickBot="1">
      <c r="C1072" s="136" t="s">
        <v>1653</v>
      </c>
      <c r="D1072" s="165"/>
      <c r="F1072" s="47"/>
      <c r="G1072" s="21"/>
      <c r="H1072" s="28" t="s">
        <v>510</v>
      </c>
      <c r="I1072" s="165"/>
      <c r="J1072" s="165"/>
      <c r="K1072" s="165"/>
      <c r="L1072" s="22"/>
      <c r="M1072" s="22"/>
      <c r="N1072" s="22"/>
      <c r="O1072" s="29"/>
      <c r="P1072" s="174"/>
      <c r="S1072" s="199"/>
      <c r="T1072" s="199"/>
      <c r="W1072" s="19">
        <v>336.3</v>
      </c>
      <c r="AY1072" s="19" t="s">
        <v>1124</v>
      </c>
      <c r="CA1072" s="151"/>
    </row>
    <row r="1073" spans="3:79" s="19" customFormat="1" ht="19.5" thickBot="1">
      <c r="C1073" s="136" t="s">
        <v>1654</v>
      </c>
      <c r="D1073" s="165"/>
      <c r="F1073" s="47"/>
      <c r="G1073" s="21"/>
      <c r="H1073" s="28" t="s">
        <v>508</v>
      </c>
      <c r="I1073" s="165"/>
      <c r="J1073" s="165"/>
      <c r="K1073" s="165"/>
      <c r="L1073" s="22"/>
      <c r="M1073" s="22"/>
      <c r="N1073" s="22"/>
      <c r="O1073" s="29"/>
      <c r="P1073" s="174"/>
      <c r="S1073" s="199"/>
      <c r="T1073" s="199"/>
      <c r="W1073" s="19">
        <v>7.63</v>
      </c>
      <c r="AY1073" s="19" t="s">
        <v>1124</v>
      </c>
      <c r="CA1073" s="151"/>
    </row>
    <row r="1074" spans="3:79" s="19" customFormat="1" ht="19.5" thickBot="1">
      <c r="C1074" s="136" t="s">
        <v>1655</v>
      </c>
      <c r="D1074" s="165"/>
      <c r="F1074" s="47"/>
      <c r="G1074" s="21"/>
      <c r="H1074" s="28" t="s">
        <v>468</v>
      </c>
      <c r="I1074" s="165"/>
      <c r="J1074" s="165"/>
      <c r="K1074" s="165"/>
      <c r="L1074" s="22"/>
      <c r="M1074" s="22"/>
      <c r="N1074" s="22"/>
      <c r="O1074" s="29"/>
      <c r="P1074" s="174"/>
      <c r="S1074" s="199"/>
      <c r="T1074" s="199"/>
      <c r="W1074" s="19">
        <v>336.49</v>
      </c>
      <c r="AY1074" s="19" t="s">
        <v>1124</v>
      </c>
      <c r="CA1074" s="151"/>
    </row>
    <row r="1075" spans="3:79" s="19" customFormat="1" ht="27.75" thickBot="1">
      <c r="C1075" s="136" t="s">
        <v>1656</v>
      </c>
      <c r="D1075" s="165"/>
      <c r="F1075" s="47"/>
      <c r="G1075" s="21"/>
      <c r="H1075" s="28" t="s">
        <v>505</v>
      </c>
      <c r="I1075" s="165"/>
      <c r="J1075" s="165"/>
      <c r="K1075" s="165"/>
      <c r="L1075" s="22"/>
      <c r="M1075" s="22"/>
      <c r="N1075" s="22"/>
      <c r="O1075" s="29"/>
      <c r="P1075" s="174"/>
      <c r="S1075" s="199"/>
      <c r="T1075" s="199"/>
      <c r="W1075" s="19">
        <v>335.04</v>
      </c>
      <c r="AY1075" s="19" t="s">
        <v>1124</v>
      </c>
      <c r="CA1075" s="151"/>
    </row>
    <row r="1076" spans="3:79" s="19" customFormat="1" ht="19.5" thickBot="1">
      <c r="C1076" s="136" t="s">
        <v>1657</v>
      </c>
      <c r="D1076" s="165"/>
      <c r="F1076" s="47"/>
      <c r="G1076" s="21"/>
      <c r="H1076" s="28" t="s">
        <v>503</v>
      </c>
      <c r="I1076" s="165"/>
      <c r="J1076" s="165"/>
      <c r="K1076" s="165"/>
      <c r="L1076" s="22"/>
      <c r="M1076" s="22"/>
      <c r="N1076" s="22"/>
      <c r="O1076" s="29"/>
      <c r="P1076" s="174"/>
      <c r="S1076" s="199"/>
      <c r="T1076" s="199"/>
      <c r="W1076" s="19">
        <v>7.609</v>
      </c>
      <c r="AY1076" s="19" t="s">
        <v>1124</v>
      </c>
      <c r="CA1076" s="151"/>
    </row>
    <row r="1077" spans="3:79" s="19" customFormat="1" ht="19.5" thickBot="1">
      <c r="C1077" s="136" t="s">
        <v>1658</v>
      </c>
      <c r="D1077" s="165"/>
      <c r="F1077" s="47"/>
      <c r="G1077" s="21"/>
      <c r="H1077" s="28" t="s">
        <v>468</v>
      </c>
      <c r="I1077" s="165"/>
      <c r="J1077" s="165"/>
      <c r="K1077" s="165"/>
      <c r="L1077" s="22"/>
      <c r="M1077" s="22"/>
      <c r="N1077" s="22"/>
      <c r="O1077" s="29"/>
      <c r="P1077" s="174"/>
      <c r="S1077" s="199"/>
      <c r="T1077" s="199"/>
      <c r="W1077" s="19">
        <v>336.2</v>
      </c>
      <c r="AY1077" s="19" t="s">
        <v>1124</v>
      </c>
      <c r="CA1077" s="151"/>
    </row>
    <row r="1078" spans="3:79" s="19" customFormat="1" ht="19.5" thickBot="1">
      <c r="C1078" s="136" t="s">
        <v>1659</v>
      </c>
      <c r="D1078" s="165"/>
      <c r="F1078" s="47"/>
      <c r="G1078" s="21"/>
      <c r="H1078" s="28" t="s">
        <v>500</v>
      </c>
      <c r="I1078" s="165"/>
      <c r="J1078" s="165"/>
      <c r="K1078" s="165"/>
      <c r="L1078" s="22"/>
      <c r="M1078" s="22"/>
      <c r="N1078" s="22"/>
      <c r="O1078" s="29"/>
      <c r="P1078" s="174"/>
      <c r="S1078" s="199"/>
      <c r="T1078" s="199"/>
      <c r="W1078" s="19">
        <v>837.8</v>
      </c>
      <c r="AY1078" s="19" t="s">
        <v>1124</v>
      </c>
      <c r="CA1078" s="151"/>
    </row>
    <row r="1079" spans="3:79" s="19" customFormat="1" ht="19.5" thickBot="1">
      <c r="C1079" s="136" t="s">
        <v>1660</v>
      </c>
      <c r="D1079" s="165"/>
      <c r="F1079" s="47"/>
      <c r="G1079" s="21"/>
      <c r="H1079" s="28" t="s">
        <v>269</v>
      </c>
      <c r="I1079" s="165"/>
      <c r="J1079" s="165"/>
      <c r="K1079" s="165"/>
      <c r="L1079" s="22"/>
      <c r="M1079" s="22"/>
      <c r="N1079" s="22"/>
      <c r="O1079" s="29"/>
      <c r="P1079" s="174"/>
      <c r="S1079" s="199"/>
      <c r="T1079" s="199"/>
      <c r="W1079" s="19">
        <v>547.48329999999999</v>
      </c>
      <c r="AY1079" s="19" t="s">
        <v>1124</v>
      </c>
      <c r="CA1079" s="151"/>
    </row>
    <row r="1080" spans="3:79" s="19" customFormat="1" ht="19.5" thickBot="1">
      <c r="C1080" s="136" t="s">
        <v>1661</v>
      </c>
      <c r="D1080" s="165"/>
      <c r="F1080" s="47"/>
      <c r="G1080" s="21"/>
      <c r="H1080" s="28" t="s">
        <v>468</v>
      </c>
      <c r="I1080" s="165"/>
      <c r="J1080" s="165"/>
      <c r="K1080" s="165"/>
      <c r="L1080" s="22"/>
      <c r="M1080" s="22"/>
      <c r="N1080" s="22"/>
      <c r="O1080" s="29"/>
      <c r="P1080" s="174"/>
      <c r="S1080" s="199"/>
      <c r="T1080" s="199"/>
      <c r="W1080" s="19">
        <v>336.4</v>
      </c>
      <c r="AY1080" s="19" t="s">
        <v>1124</v>
      </c>
      <c r="CA1080" s="151"/>
    </row>
    <row r="1081" spans="3:79" s="19" customFormat="1" ht="19.5" thickBot="1">
      <c r="C1081" s="136" t="s">
        <v>1662</v>
      </c>
      <c r="D1081" s="165"/>
      <c r="F1081" s="47"/>
      <c r="G1081" s="21"/>
      <c r="H1081" s="28" t="s">
        <v>468</v>
      </c>
      <c r="I1081" s="165"/>
      <c r="J1081" s="165"/>
      <c r="K1081" s="165"/>
      <c r="L1081" s="22"/>
      <c r="M1081" s="22"/>
      <c r="N1081" s="22"/>
      <c r="O1081" s="29"/>
      <c r="P1081" s="174"/>
      <c r="S1081" s="199"/>
      <c r="T1081" s="199"/>
      <c r="W1081" s="19">
        <v>335.13</v>
      </c>
      <c r="AY1081" s="19" t="s">
        <v>1124</v>
      </c>
      <c r="CA1081" s="151"/>
    </row>
    <row r="1082" spans="3:79" s="19" customFormat="1" ht="27.75" thickBot="1">
      <c r="C1082" s="136" t="s">
        <v>1663</v>
      </c>
      <c r="D1082" s="165"/>
      <c r="F1082" s="47"/>
      <c r="G1082" s="21"/>
      <c r="H1082" s="28" t="s">
        <v>495</v>
      </c>
      <c r="I1082" s="165"/>
      <c r="J1082" s="165"/>
      <c r="K1082" s="165"/>
      <c r="L1082" s="22"/>
      <c r="M1082" s="22"/>
      <c r="N1082" s="22"/>
      <c r="O1082" s="29"/>
      <c r="P1082" s="174"/>
      <c r="S1082" s="199"/>
      <c r="T1082" s="199"/>
      <c r="W1082" s="19">
        <v>331.19</v>
      </c>
      <c r="AY1082" s="19" t="s">
        <v>1124</v>
      </c>
      <c r="CA1082" s="151"/>
    </row>
    <row r="1083" spans="3:79" s="19" customFormat="1" ht="19.5" thickBot="1">
      <c r="C1083" s="136" t="s">
        <v>1664</v>
      </c>
      <c r="D1083" s="165"/>
      <c r="F1083" s="47"/>
      <c r="G1083" s="21"/>
      <c r="H1083" s="28" t="s">
        <v>468</v>
      </c>
      <c r="I1083" s="165"/>
      <c r="J1083" s="165"/>
      <c r="K1083" s="165"/>
      <c r="L1083" s="22"/>
      <c r="M1083" s="22"/>
      <c r="N1083" s="22"/>
      <c r="O1083" s="29"/>
      <c r="P1083" s="174"/>
      <c r="S1083" s="199"/>
      <c r="T1083" s="199"/>
      <c r="W1083" s="19">
        <v>336.1</v>
      </c>
      <c r="AY1083" s="19" t="s">
        <v>1124</v>
      </c>
      <c r="CA1083" s="151"/>
    </row>
    <row r="1084" spans="3:79" s="19" customFormat="1" ht="19.5" thickBot="1">
      <c r="C1084" s="136" t="s">
        <v>1665</v>
      </c>
      <c r="D1084" s="165"/>
      <c r="F1084" s="47"/>
      <c r="G1084" s="21"/>
      <c r="H1084" s="28" t="s">
        <v>492</v>
      </c>
      <c r="I1084" s="165"/>
      <c r="J1084" s="165"/>
      <c r="K1084" s="165"/>
      <c r="L1084" s="22"/>
      <c r="M1084" s="22"/>
      <c r="N1084" s="22"/>
      <c r="O1084" s="29"/>
      <c r="P1084" s="174"/>
      <c r="S1084" s="199"/>
      <c r="T1084" s="199"/>
      <c r="W1084" s="19">
        <v>336.57</v>
      </c>
      <c r="AY1084" s="19" t="s">
        <v>1124</v>
      </c>
      <c r="CA1084" s="151"/>
    </row>
    <row r="1085" spans="3:79" s="19" customFormat="1" ht="19.5" thickBot="1">
      <c r="C1085" s="136" t="s">
        <v>1666</v>
      </c>
      <c r="D1085" s="165"/>
      <c r="F1085" s="47"/>
      <c r="G1085" s="21"/>
      <c r="H1085" s="28" t="s">
        <v>202</v>
      </c>
      <c r="I1085" s="165"/>
      <c r="J1085" s="165"/>
      <c r="K1085" s="165"/>
      <c r="L1085" s="22"/>
      <c r="M1085" s="22"/>
      <c r="N1085" s="22"/>
      <c r="O1085" s="29"/>
      <c r="P1085" s="174"/>
      <c r="S1085" s="199"/>
      <c r="T1085" s="199"/>
      <c r="W1085" s="19">
        <v>336.8</v>
      </c>
      <c r="AY1085" s="19" t="s">
        <v>1124</v>
      </c>
      <c r="CA1085" s="151"/>
    </row>
    <row r="1086" spans="3:79" s="19" customFormat="1" ht="19.5" thickBot="1">
      <c r="C1086" s="136" t="s">
        <v>1667</v>
      </c>
      <c r="D1086" s="165"/>
      <c r="F1086" s="47"/>
      <c r="G1086" s="21"/>
      <c r="H1086" s="28" t="s">
        <v>395</v>
      </c>
      <c r="I1086" s="165"/>
      <c r="J1086" s="165"/>
      <c r="K1086" s="165"/>
      <c r="L1086" s="22"/>
      <c r="M1086" s="22"/>
      <c r="N1086" s="22"/>
      <c r="O1086" s="29"/>
      <c r="P1086" s="174"/>
      <c r="S1086" s="199"/>
      <c r="T1086" s="199"/>
      <c r="W1086" s="19">
        <v>336.2</v>
      </c>
      <c r="AY1086" s="19" t="s">
        <v>1124</v>
      </c>
      <c r="CA1086" s="151"/>
    </row>
    <row r="1087" spans="3:79" s="19" customFormat="1" ht="19.5" thickBot="1">
      <c r="C1087" s="136" t="s">
        <v>1668</v>
      </c>
      <c r="D1087" s="165"/>
      <c r="F1087" s="47"/>
      <c r="G1087" s="21"/>
      <c r="H1087" s="28" t="s">
        <v>468</v>
      </c>
      <c r="I1087" s="165"/>
      <c r="J1087" s="165"/>
      <c r="K1087" s="165"/>
      <c r="L1087" s="22"/>
      <c r="M1087" s="22"/>
      <c r="N1087" s="22"/>
      <c r="O1087" s="29"/>
      <c r="P1087" s="174"/>
      <c r="S1087" s="199"/>
      <c r="T1087" s="199"/>
      <c r="W1087" s="19">
        <v>336.3</v>
      </c>
      <c r="AY1087" s="19" t="s">
        <v>1124</v>
      </c>
      <c r="CA1087" s="151"/>
    </row>
    <row r="1088" spans="3:79" s="19" customFormat="1" ht="41.25" thickBot="1">
      <c r="C1088" s="136" t="s">
        <v>1669</v>
      </c>
      <c r="D1088" s="165"/>
      <c r="F1088" s="47"/>
      <c r="G1088" s="21"/>
      <c r="H1088" s="28" t="s">
        <v>487</v>
      </c>
      <c r="I1088" s="165"/>
      <c r="J1088" s="165"/>
      <c r="K1088" s="165"/>
      <c r="L1088" s="22"/>
      <c r="M1088" s="22"/>
      <c r="N1088" s="22"/>
      <c r="O1088" s="29"/>
      <c r="P1088" s="174"/>
      <c r="S1088" s="199"/>
      <c r="T1088" s="199"/>
      <c r="W1088" s="19">
        <v>336.4</v>
      </c>
      <c r="AY1088" s="19" t="s">
        <v>1124</v>
      </c>
      <c r="CA1088" s="151"/>
    </row>
    <row r="1089" spans="3:79" s="19" customFormat="1" ht="27.75" thickBot="1">
      <c r="C1089" s="136" t="s">
        <v>1670</v>
      </c>
      <c r="D1089" s="165"/>
      <c r="F1089" s="47"/>
      <c r="G1089" s="21"/>
      <c r="H1089" s="28" t="s">
        <v>485</v>
      </c>
      <c r="I1089" s="165"/>
      <c r="J1089" s="165"/>
      <c r="K1089" s="165"/>
      <c r="L1089" s="22"/>
      <c r="M1089" s="22"/>
      <c r="N1089" s="22"/>
      <c r="O1089" s="29"/>
      <c r="P1089" s="174"/>
      <c r="S1089" s="199"/>
      <c r="T1089" s="199"/>
      <c r="W1089" s="19">
        <v>336.17</v>
      </c>
      <c r="AY1089" s="19" t="s">
        <v>1124</v>
      </c>
      <c r="CA1089" s="151"/>
    </row>
    <row r="1090" spans="3:79" s="19" customFormat="1" ht="19.5" thickBot="1">
      <c r="C1090" s="136" t="s">
        <v>1671</v>
      </c>
      <c r="D1090" s="165"/>
      <c r="F1090" s="47"/>
      <c r="G1090" s="21"/>
      <c r="H1090" s="28" t="s">
        <v>407</v>
      </c>
      <c r="I1090" s="165"/>
      <c r="J1090" s="165"/>
      <c r="K1090" s="165"/>
      <c r="L1090" s="22"/>
      <c r="M1090" s="22"/>
      <c r="N1090" s="22"/>
      <c r="O1090" s="29"/>
      <c r="P1090" s="174"/>
      <c r="S1090" s="199"/>
      <c r="T1090" s="199"/>
      <c r="W1090" s="19">
        <v>336</v>
      </c>
      <c r="AY1090" s="19" t="s">
        <v>1124</v>
      </c>
      <c r="CA1090" s="151"/>
    </row>
    <row r="1091" spans="3:79" s="19" customFormat="1" ht="19.5" thickBot="1">
      <c r="C1091" s="136" t="s">
        <v>1672</v>
      </c>
      <c r="D1091" s="165"/>
      <c r="F1091" s="47"/>
      <c r="G1091" s="21"/>
      <c r="H1091" s="28" t="s">
        <v>449</v>
      </c>
      <c r="I1091" s="165"/>
      <c r="J1091" s="165"/>
      <c r="K1091" s="165"/>
      <c r="L1091" s="22"/>
      <c r="M1091" s="22"/>
      <c r="N1091" s="22"/>
      <c r="O1091" s="29"/>
      <c r="P1091" s="174"/>
      <c r="S1091" s="199"/>
      <c r="T1091" s="199"/>
      <c r="W1091" s="19">
        <v>336</v>
      </c>
      <c r="AY1091" s="19" t="s">
        <v>1124</v>
      </c>
      <c r="CA1091" s="151"/>
    </row>
    <row r="1092" spans="3:79" s="19" customFormat="1" ht="19.5" thickBot="1">
      <c r="C1092" s="136" t="s">
        <v>1673</v>
      </c>
      <c r="D1092" s="165"/>
      <c r="F1092" s="47"/>
      <c r="G1092" s="21"/>
      <c r="H1092" s="28" t="s">
        <v>481</v>
      </c>
      <c r="I1092" s="165"/>
      <c r="J1092" s="165"/>
      <c r="K1092" s="165"/>
      <c r="L1092" s="22"/>
      <c r="M1092" s="22"/>
      <c r="N1092" s="22"/>
      <c r="O1092" s="29"/>
      <c r="P1092" s="174"/>
      <c r="S1092" s="199"/>
      <c r="T1092" s="199"/>
      <c r="W1092" s="19">
        <v>547.48329999999999</v>
      </c>
      <c r="AY1092" s="19" t="s">
        <v>1124</v>
      </c>
      <c r="CA1092" s="151"/>
    </row>
    <row r="1093" spans="3:79" s="19" customFormat="1" ht="19.5" thickBot="1">
      <c r="C1093" s="136" t="s">
        <v>1674</v>
      </c>
      <c r="D1093" s="165"/>
      <c r="F1093" s="47"/>
      <c r="G1093" s="21"/>
      <c r="H1093" s="28" t="s">
        <v>468</v>
      </c>
      <c r="I1093" s="165"/>
      <c r="J1093" s="165"/>
      <c r="K1093" s="165"/>
      <c r="L1093" s="22"/>
      <c r="M1093" s="22"/>
      <c r="N1093" s="22"/>
      <c r="O1093" s="29"/>
      <c r="P1093" s="174"/>
      <c r="S1093" s="199"/>
      <c r="T1093" s="199"/>
      <c r="W1093" s="19">
        <v>336.3</v>
      </c>
      <c r="AY1093" s="19" t="s">
        <v>1124</v>
      </c>
      <c r="CA1093" s="151"/>
    </row>
    <row r="1094" spans="3:79" s="19" customFormat="1" ht="19.5" thickBot="1">
      <c r="C1094" s="136" t="s">
        <v>1675</v>
      </c>
      <c r="D1094" s="165"/>
      <c r="F1094" s="47"/>
      <c r="G1094" s="21"/>
      <c r="H1094" s="28" t="s">
        <v>478</v>
      </c>
      <c r="I1094" s="165"/>
      <c r="J1094" s="165"/>
      <c r="K1094" s="165"/>
      <c r="L1094" s="22"/>
      <c r="M1094" s="22"/>
      <c r="N1094" s="22"/>
      <c r="O1094" s="29"/>
      <c r="P1094" s="174"/>
      <c r="S1094" s="199"/>
      <c r="T1094" s="199"/>
      <c r="W1094" s="19">
        <v>7.63</v>
      </c>
      <c r="AY1094" s="19" t="s">
        <v>1124</v>
      </c>
      <c r="CA1094" s="151"/>
    </row>
    <row r="1095" spans="3:79" s="19" customFormat="1" ht="19.5" thickBot="1">
      <c r="C1095" s="136" t="s">
        <v>1676</v>
      </c>
      <c r="D1095" s="165"/>
      <c r="F1095" s="47"/>
      <c r="G1095" s="21"/>
      <c r="H1095" s="28" t="s">
        <v>476</v>
      </c>
      <c r="I1095" s="165"/>
      <c r="J1095" s="165"/>
      <c r="K1095" s="165"/>
      <c r="L1095" s="22"/>
      <c r="M1095" s="22"/>
      <c r="N1095" s="22"/>
      <c r="O1095" s="29"/>
      <c r="P1095" s="174"/>
      <c r="S1095" s="199"/>
      <c r="T1095" s="199"/>
      <c r="W1095" s="19">
        <v>336.1</v>
      </c>
      <c r="AY1095" s="19" t="s">
        <v>1124</v>
      </c>
      <c r="CA1095" s="151"/>
    </row>
    <row r="1096" spans="3:79" s="19" customFormat="1" ht="19.5" thickBot="1">
      <c r="C1096" s="136" t="s">
        <v>1677</v>
      </c>
      <c r="D1096" s="165"/>
      <c r="F1096" s="47"/>
      <c r="G1096" s="21"/>
      <c r="H1096" s="28" t="s">
        <v>468</v>
      </c>
      <c r="I1096" s="165"/>
      <c r="J1096" s="165"/>
      <c r="K1096" s="165"/>
      <c r="L1096" s="22"/>
      <c r="M1096" s="22"/>
      <c r="N1096" s="22"/>
      <c r="O1096" s="29"/>
      <c r="P1096" s="174"/>
      <c r="S1096" s="199"/>
      <c r="T1096" s="199"/>
      <c r="W1096" s="19">
        <v>336.17</v>
      </c>
      <c r="AY1096" s="19" t="s">
        <v>1124</v>
      </c>
      <c r="CA1096" s="151"/>
    </row>
    <row r="1097" spans="3:79" s="19" customFormat="1" ht="27.75" thickBot="1">
      <c r="C1097" s="136" t="s">
        <v>1678</v>
      </c>
      <c r="D1097" s="165"/>
      <c r="F1097" s="47"/>
      <c r="G1097" s="21"/>
      <c r="H1097" s="28" t="s">
        <v>202</v>
      </c>
      <c r="I1097" s="165"/>
      <c r="J1097" s="165"/>
      <c r="K1097" s="165"/>
      <c r="L1097" s="22"/>
      <c r="M1097" s="22"/>
      <c r="N1097" s="22"/>
      <c r="O1097" s="29"/>
      <c r="P1097" s="174"/>
      <c r="S1097" s="199"/>
      <c r="T1097" s="199"/>
      <c r="W1097" s="19">
        <v>336</v>
      </c>
      <c r="AY1097" s="19" t="s">
        <v>1124</v>
      </c>
      <c r="CA1097" s="151"/>
    </row>
    <row r="1098" spans="3:79" s="19" customFormat="1" ht="27.75" thickBot="1">
      <c r="C1098" s="136" t="s">
        <v>1679</v>
      </c>
      <c r="D1098" s="165"/>
      <c r="F1098" s="47"/>
      <c r="G1098" s="21"/>
      <c r="H1098" s="28" t="s">
        <v>472</v>
      </c>
      <c r="I1098" s="165"/>
      <c r="J1098" s="165"/>
      <c r="K1098" s="165"/>
      <c r="L1098" s="22"/>
      <c r="M1098" s="22"/>
      <c r="N1098" s="22"/>
      <c r="O1098" s="29"/>
      <c r="P1098" s="174"/>
      <c r="S1098" s="199"/>
      <c r="T1098" s="199"/>
      <c r="W1098" s="19">
        <v>810.7</v>
      </c>
      <c r="AY1098" s="19" t="s">
        <v>1124</v>
      </c>
      <c r="CA1098" s="151"/>
    </row>
    <row r="1099" spans="3:79" s="19" customFormat="1" ht="27.75" thickBot="1">
      <c r="C1099" s="136" t="s">
        <v>1680</v>
      </c>
      <c r="D1099" s="165"/>
      <c r="F1099" s="47"/>
      <c r="G1099" s="21"/>
      <c r="H1099" s="28" t="s">
        <v>470</v>
      </c>
      <c r="I1099" s="165"/>
      <c r="J1099" s="165"/>
      <c r="K1099" s="165"/>
      <c r="L1099" s="22"/>
      <c r="M1099" s="22"/>
      <c r="N1099" s="22"/>
      <c r="O1099" s="29"/>
      <c r="P1099" s="174"/>
      <c r="S1099" s="199"/>
      <c r="T1099" s="199"/>
      <c r="W1099" s="19">
        <v>596</v>
      </c>
      <c r="AY1099" s="19" t="s">
        <v>1124</v>
      </c>
      <c r="CA1099" s="151"/>
    </row>
    <row r="1100" spans="3:79" s="19" customFormat="1" ht="19.5" thickBot="1">
      <c r="C1100" s="136" t="s">
        <v>1681</v>
      </c>
      <c r="D1100" s="165"/>
      <c r="F1100" s="47"/>
      <c r="G1100" s="21"/>
      <c r="H1100" s="28" t="s">
        <v>468</v>
      </c>
      <c r="I1100" s="165"/>
      <c r="J1100" s="165"/>
      <c r="K1100" s="165"/>
      <c r="L1100" s="22"/>
      <c r="M1100" s="22"/>
      <c r="N1100" s="22"/>
      <c r="O1100" s="29"/>
      <c r="P1100" s="174"/>
      <c r="S1100" s="199"/>
      <c r="T1100" s="199"/>
      <c r="W1100" s="19">
        <v>336.1</v>
      </c>
      <c r="AY1100" s="19" t="s">
        <v>1124</v>
      </c>
      <c r="CA1100" s="151"/>
    </row>
    <row r="1101" spans="3:79" s="19" customFormat="1" ht="41.25" thickBot="1">
      <c r="C1101" s="136" t="s">
        <v>1682</v>
      </c>
      <c r="D1101" s="165"/>
      <c r="F1101" s="47"/>
      <c r="G1101" s="21"/>
      <c r="H1101" s="28" t="s">
        <v>466</v>
      </c>
      <c r="I1101" s="165"/>
      <c r="J1101" s="165"/>
      <c r="K1101" s="165"/>
      <c r="L1101" s="22"/>
      <c r="M1101" s="22"/>
      <c r="N1101" s="22"/>
      <c r="O1101" s="29"/>
      <c r="P1101" s="174"/>
      <c r="S1101" s="199"/>
      <c r="T1101" s="199"/>
      <c r="W1101" s="19">
        <v>675</v>
      </c>
      <c r="AY1101" s="19" t="s">
        <v>1124</v>
      </c>
      <c r="CA1101" s="151"/>
    </row>
    <row r="1102" spans="3:79" s="19" customFormat="1" ht="19.5" thickBot="1">
      <c r="C1102" s="136" t="s">
        <v>1683</v>
      </c>
      <c r="D1102" s="165"/>
      <c r="F1102" s="47"/>
      <c r="G1102" s="21"/>
      <c r="H1102" s="28" t="s">
        <v>464</v>
      </c>
      <c r="I1102" s="165"/>
      <c r="J1102" s="165"/>
      <c r="K1102" s="165"/>
      <c r="L1102" s="22"/>
      <c r="M1102" s="22"/>
      <c r="N1102" s="22"/>
      <c r="O1102" s="29"/>
      <c r="P1102" s="174"/>
      <c r="S1102" s="199"/>
      <c r="T1102" s="199"/>
      <c r="W1102" s="19">
        <v>820</v>
      </c>
      <c r="AY1102" s="19" t="s">
        <v>1124</v>
      </c>
      <c r="CA1102" s="151"/>
    </row>
    <row r="1103" spans="3:79" s="19" customFormat="1" ht="19.5" thickBot="1">
      <c r="C1103" s="136" t="s">
        <v>1684</v>
      </c>
      <c r="D1103" s="165"/>
      <c r="F1103" s="47"/>
      <c r="G1103" s="21"/>
      <c r="H1103" s="28" t="s">
        <v>202</v>
      </c>
      <c r="I1103" s="165"/>
      <c r="J1103" s="165"/>
      <c r="K1103" s="165"/>
      <c r="L1103" s="22"/>
      <c r="M1103" s="22"/>
      <c r="N1103" s="22"/>
      <c r="O1103" s="29"/>
      <c r="P1103" s="174"/>
      <c r="S1103" s="199"/>
      <c r="T1103" s="199"/>
      <c r="W1103" s="19">
        <v>336.1</v>
      </c>
      <c r="AY1103" s="19" t="s">
        <v>1124</v>
      </c>
      <c r="CA1103" s="151"/>
    </row>
    <row r="1104" spans="3:79" s="19" customFormat="1" ht="27.75" thickBot="1">
      <c r="C1104" s="136" t="s">
        <v>1685</v>
      </c>
      <c r="D1104" s="165"/>
      <c r="F1104" s="47"/>
      <c r="G1104" s="21"/>
      <c r="H1104" s="28" t="s">
        <v>395</v>
      </c>
      <c r="I1104" s="165"/>
      <c r="J1104" s="165"/>
      <c r="K1104" s="165"/>
      <c r="L1104" s="22"/>
      <c r="M1104" s="22"/>
      <c r="N1104" s="22"/>
      <c r="O1104" s="31"/>
      <c r="P1104" s="174"/>
      <c r="S1104" s="199"/>
      <c r="T1104" s="199"/>
      <c r="W1104" s="19">
        <v>336.1</v>
      </c>
      <c r="AY1104" s="19" t="s">
        <v>1124</v>
      </c>
      <c r="CA1104" s="151"/>
    </row>
    <row r="1105" spans="3:79" s="19" customFormat="1" ht="27.75" thickBot="1">
      <c r="C1105" s="136" t="s">
        <v>1686</v>
      </c>
      <c r="D1105" s="165"/>
      <c r="F1105" s="47"/>
      <c r="G1105" s="21"/>
      <c r="H1105" s="28" t="s">
        <v>460</v>
      </c>
      <c r="I1105" s="165"/>
      <c r="J1105" s="165"/>
      <c r="K1105" s="165"/>
      <c r="L1105" s="22"/>
      <c r="M1105" s="22"/>
      <c r="N1105" s="22"/>
      <c r="O1105" s="31"/>
      <c r="P1105" s="174"/>
      <c r="S1105" s="199"/>
      <c r="T1105" s="199"/>
      <c r="W1105" s="19">
        <v>336.17</v>
      </c>
      <c r="AY1105" s="19" t="s">
        <v>1124</v>
      </c>
      <c r="CA1105" s="151"/>
    </row>
    <row r="1106" spans="3:79" s="19" customFormat="1" ht="19.5" thickBot="1">
      <c r="C1106" s="136" t="s">
        <v>1687</v>
      </c>
      <c r="D1106" s="165"/>
      <c r="F1106" s="47"/>
      <c r="G1106" s="21"/>
      <c r="H1106" s="28" t="s">
        <v>458</v>
      </c>
      <c r="I1106" s="165"/>
      <c r="J1106" s="165"/>
      <c r="K1106" s="165"/>
      <c r="L1106" s="22"/>
      <c r="M1106" s="22"/>
      <c r="N1106" s="22"/>
      <c r="O1106" s="31"/>
      <c r="P1106" s="174"/>
      <c r="S1106" s="199"/>
      <c r="T1106" s="199"/>
      <c r="W1106" s="19">
        <v>7.35</v>
      </c>
      <c r="AY1106" s="19" t="s">
        <v>1124</v>
      </c>
      <c r="CA1106" s="151"/>
    </row>
    <row r="1107" spans="3:79" s="19" customFormat="1" ht="19.5" thickBot="1">
      <c r="C1107" s="136" t="s">
        <v>1688</v>
      </c>
      <c r="D1107" s="165"/>
      <c r="F1107" s="47"/>
      <c r="G1107" s="21"/>
      <c r="H1107" s="28" t="s">
        <v>456</v>
      </c>
      <c r="I1107" s="165"/>
      <c r="J1107" s="165"/>
      <c r="K1107" s="165"/>
      <c r="L1107" s="22"/>
      <c r="M1107" s="22"/>
      <c r="N1107" s="22"/>
      <c r="O1107" s="31"/>
      <c r="P1107" s="174"/>
      <c r="S1107" s="199"/>
      <c r="T1107" s="199"/>
      <c r="W1107" s="19">
        <v>336.3</v>
      </c>
      <c r="AY1107" s="19" t="s">
        <v>1124</v>
      </c>
      <c r="CA1107" s="151"/>
    </row>
    <row r="1108" spans="3:79" s="19" customFormat="1" ht="27.75" thickBot="1">
      <c r="C1108" s="136" t="s">
        <v>1689</v>
      </c>
      <c r="D1108" s="165"/>
      <c r="F1108" s="47"/>
      <c r="G1108" s="21"/>
      <c r="H1108" s="28" t="s">
        <v>407</v>
      </c>
      <c r="I1108" s="165"/>
      <c r="J1108" s="165"/>
      <c r="K1108" s="165"/>
      <c r="L1108" s="22"/>
      <c r="M1108" s="22"/>
      <c r="N1108" s="22"/>
      <c r="O1108" s="31"/>
      <c r="P1108" s="174"/>
      <c r="S1108" s="199"/>
      <c r="T1108" s="199"/>
      <c r="W1108" s="19">
        <v>336</v>
      </c>
      <c r="AY1108" s="19" t="s">
        <v>1124</v>
      </c>
      <c r="CA1108" s="151"/>
    </row>
    <row r="1109" spans="3:79" s="19" customFormat="1" ht="19.5" thickBot="1">
      <c r="C1109" s="136" t="s">
        <v>1690</v>
      </c>
      <c r="D1109" s="165"/>
      <c r="F1109" s="47"/>
      <c r="G1109" s="21"/>
      <c r="H1109" s="28" t="s">
        <v>407</v>
      </c>
      <c r="I1109" s="165"/>
      <c r="J1109" s="165"/>
      <c r="K1109" s="165"/>
      <c r="L1109" s="22"/>
      <c r="M1109" s="22"/>
      <c r="N1109" s="22"/>
      <c r="O1109" s="31"/>
      <c r="P1109" s="174"/>
      <c r="S1109" s="199"/>
      <c r="T1109" s="199"/>
      <c r="W1109" s="19">
        <v>379.7</v>
      </c>
      <c r="AY1109" s="19" t="s">
        <v>1124</v>
      </c>
      <c r="CA1109" s="151"/>
    </row>
    <row r="1110" spans="3:79" s="19" customFormat="1" ht="19.5" thickBot="1">
      <c r="C1110" s="136" t="s">
        <v>1691</v>
      </c>
      <c r="D1110" s="165"/>
      <c r="F1110" s="47"/>
      <c r="G1110" s="21"/>
      <c r="H1110" s="28" t="s">
        <v>395</v>
      </c>
      <c r="I1110" s="165"/>
      <c r="J1110" s="165"/>
      <c r="K1110" s="165"/>
      <c r="L1110" s="22"/>
      <c r="M1110" s="22"/>
      <c r="N1110" s="22"/>
      <c r="O1110" s="31"/>
      <c r="P1110" s="174"/>
      <c r="S1110" s="199"/>
      <c r="T1110" s="199"/>
      <c r="W1110" s="19">
        <v>336</v>
      </c>
      <c r="AY1110" s="19" t="s">
        <v>1124</v>
      </c>
      <c r="CA1110" s="151"/>
    </row>
    <row r="1111" spans="3:79" s="19" customFormat="1" ht="19.5" thickBot="1">
      <c r="C1111" s="136" t="s">
        <v>1692</v>
      </c>
      <c r="D1111" s="165"/>
      <c r="F1111" s="47"/>
      <c r="G1111" s="21"/>
      <c r="H1111" s="28" t="s">
        <v>451</v>
      </c>
      <c r="I1111" s="165"/>
      <c r="J1111" s="165"/>
      <c r="K1111" s="165"/>
      <c r="L1111" s="22"/>
      <c r="M1111" s="22"/>
      <c r="N1111" s="22"/>
      <c r="O1111" s="31"/>
      <c r="P1111" s="174"/>
      <c r="S1111" s="199"/>
      <c r="T1111" s="199"/>
      <c r="W1111" s="19">
        <v>336.1</v>
      </c>
      <c r="AY1111" s="19" t="s">
        <v>1124</v>
      </c>
      <c r="CA1111" s="151"/>
    </row>
    <row r="1112" spans="3:79" s="19" customFormat="1" ht="19.5" thickBot="1">
      <c r="C1112" s="136" t="s">
        <v>1693</v>
      </c>
      <c r="D1112" s="165"/>
      <c r="F1112" s="47"/>
      <c r="G1112" s="21"/>
      <c r="H1112" s="28" t="s">
        <v>449</v>
      </c>
      <c r="I1112" s="165"/>
      <c r="J1112" s="165"/>
      <c r="K1112" s="165"/>
      <c r="L1112" s="22"/>
      <c r="M1112" s="22"/>
      <c r="N1112" s="22"/>
      <c r="O1112" s="31"/>
      <c r="P1112" s="174"/>
      <c r="S1112" s="199"/>
      <c r="T1112" s="199"/>
      <c r="W1112" s="19">
        <v>336.55</v>
      </c>
      <c r="AY1112" s="19" t="s">
        <v>1124</v>
      </c>
      <c r="CA1112" s="151"/>
    </row>
    <row r="1113" spans="3:79" s="19" customFormat="1" ht="19.5" thickBot="1">
      <c r="C1113" s="136" t="s">
        <v>1694</v>
      </c>
      <c r="D1113" s="165"/>
      <c r="F1113" s="47"/>
      <c r="G1113" s="21"/>
      <c r="H1113" s="28" t="s">
        <v>395</v>
      </c>
      <c r="I1113" s="165"/>
      <c r="J1113" s="165"/>
      <c r="K1113" s="165"/>
      <c r="L1113" s="22"/>
      <c r="M1113" s="22"/>
      <c r="N1113" s="22"/>
      <c r="O1113" s="31"/>
      <c r="P1113" s="174"/>
      <c r="S1113" s="199"/>
      <c r="T1113" s="199"/>
      <c r="W1113" s="19">
        <v>336.84</v>
      </c>
      <c r="AY1113" s="19" t="s">
        <v>1124</v>
      </c>
      <c r="CA1113" s="151"/>
    </row>
    <row r="1114" spans="3:79" s="19" customFormat="1" ht="19.5" thickBot="1">
      <c r="C1114" s="136" t="s">
        <v>1695</v>
      </c>
      <c r="D1114" s="165"/>
      <c r="F1114" s="47"/>
      <c r="G1114" s="21"/>
      <c r="H1114" s="28" t="s">
        <v>395</v>
      </c>
      <c r="I1114" s="165"/>
      <c r="J1114" s="165"/>
      <c r="K1114" s="165"/>
      <c r="L1114" s="22"/>
      <c r="M1114" s="22"/>
      <c r="N1114" s="22"/>
      <c r="O1114" s="31"/>
      <c r="P1114" s="174"/>
      <c r="S1114" s="199"/>
      <c r="T1114" s="199"/>
      <c r="W1114" s="19">
        <v>336.83</v>
      </c>
      <c r="AY1114" s="19" t="s">
        <v>1124</v>
      </c>
      <c r="CA1114" s="151"/>
    </row>
    <row r="1115" spans="3:79" s="19" customFormat="1" ht="19.5" thickBot="1">
      <c r="C1115" s="136" t="s">
        <v>1696</v>
      </c>
      <c r="D1115" s="165"/>
      <c r="F1115" s="47"/>
      <c r="G1115" s="21"/>
      <c r="H1115" s="28" t="s">
        <v>445</v>
      </c>
      <c r="I1115" s="165"/>
      <c r="J1115" s="165"/>
      <c r="K1115" s="165"/>
      <c r="L1115" s="22"/>
      <c r="M1115" s="22"/>
      <c r="N1115" s="22"/>
      <c r="O1115" s="31"/>
      <c r="P1115" s="174"/>
      <c r="S1115" s="199"/>
      <c r="T1115" s="199"/>
      <c r="W1115" s="19">
        <v>7.63</v>
      </c>
      <c r="AY1115" s="19" t="s">
        <v>1124</v>
      </c>
      <c r="CA1115" s="151"/>
    </row>
    <row r="1116" spans="3:79" s="19" customFormat="1" ht="19.5" thickBot="1">
      <c r="C1116" s="136" t="s">
        <v>1697</v>
      </c>
      <c r="D1116" s="165"/>
      <c r="F1116" s="47"/>
      <c r="G1116" s="21"/>
      <c r="H1116" s="28" t="s">
        <v>407</v>
      </c>
      <c r="I1116" s="165"/>
      <c r="J1116" s="165"/>
      <c r="K1116" s="165"/>
      <c r="L1116" s="22"/>
      <c r="M1116" s="22"/>
      <c r="N1116" s="22"/>
      <c r="O1116" s="31"/>
      <c r="P1116" s="174"/>
      <c r="S1116" s="199"/>
      <c r="T1116" s="199"/>
      <c r="W1116" s="19">
        <v>336.1</v>
      </c>
      <c r="AY1116" s="19" t="s">
        <v>1124</v>
      </c>
      <c r="CA1116" s="151"/>
    </row>
    <row r="1117" spans="3:79" s="19" customFormat="1" ht="27.75" thickBot="1">
      <c r="C1117" s="136" t="s">
        <v>1698</v>
      </c>
      <c r="D1117" s="165"/>
      <c r="F1117" s="47"/>
      <c r="G1117" s="21"/>
      <c r="H1117" s="28" t="s">
        <v>442</v>
      </c>
      <c r="I1117" s="165"/>
      <c r="J1117" s="165"/>
      <c r="K1117" s="165"/>
      <c r="L1117" s="22"/>
      <c r="M1117" s="22"/>
      <c r="N1117" s="22"/>
      <c r="O1117" s="31"/>
      <c r="P1117" s="174"/>
      <c r="S1117" s="199"/>
      <c r="T1117" s="199"/>
      <c r="W1117" s="19">
        <v>7.58</v>
      </c>
      <c r="AY1117" s="19" t="s">
        <v>1124</v>
      </c>
      <c r="CA1117" s="151"/>
    </row>
    <row r="1118" spans="3:79" s="19" customFormat="1" ht="19.5" thickBot="1">
      <c r="C1118" s="136" t="s">
        <v>1699</v>
      </c>
      <c r="D1118" s="165"/>
      <c r="F1118" s="47"/>
      <c r="G1118" s="21"/>
      <c r="H1118" s="28" t="s">
        <v>372</v>
      </c>
      <c r="I1118" s="165"/>
      <c r="J1118" s="165"/>
      <c r="K1118" s="165"/>
      <c r="L1118" s="22"/>
      <c r="M1118" s="22"/>
      <c r="N1118" s="22"/>
      <c r="O1118" s="31"/>
      <c r="P1118" s="174"/>
      <c r="S1118" s="199"/>
      <c r="T1118" s="199"/>
      <c r="W1118" s="19">
        <v>375.9</v>
      </c>
      <c r="AY1118" s="19" t="s">
        <v>1124</v>
      </c>
      <c r="CA1118" s="151"/>
    </row>
    <row r="1119" spans="3:79" s="19" customFormat="1" ht="19.5" thickBot="1">
      <c r="C1119" s="136" t="s">
        <v>1700</v>
      </c>
      <c r="D1119" s="165"/>
      <c r="F1119" s="47"/>
      <c r="G1119" s="21"/>
      <c r="H1119" s="28" t="s">
        <v>372</v>
      </c>
      <c r="I1119" s="165"/>
      <c r="J1119" s="165"/>
      <c r="K1119" s="165"/>
      <c r="L1119" s="22"/>
      <c r="M1119" s="22"/>
      <c r="N1119" s="22"/>
      <c r="O1119" s="31"/>
      <c r="P1119" s="174"/>
      <c r="S1119" s="199"/>
      <c r="T1119" s="199"/>
      <c r="W1119" s="19">
        <v>375.9</v>
      </c>
      <c r="AY1119" s="19" t="s">
        <v>1124</v>
      </c>
      <c r="CA1119" s="151"/>
    </row>
    <row r="1120" spans="3:79" s="19" customFormat="1" ht="27.75" thickBot="1">
      <c r="C1120" s="136" t="s">
        <v>1701</v>
      </c>
      <c r="D1120" s="165"/>
      <c r="F1120" s="47"/>
      <c r="G1120" s="21"/>
      <c r="H1120" s="28" t="s">
        <v>202</v>
      </c>
      <c r="I1120" s="165"/>
      <c r="J1120" s="165"/>
      <c r="K1120" s="165"/>
      <c r="L1120" s="22"/>
      <c r="M1120" s="22"/>
      <c r="N1120" s="22"/>
      <c r="O1120" s="31"/>
      <c r="P1120" s="174"/>
      <c r="S1120" s="199"/>
      <c r="T1120" s="199"/>
      <c r="W1120" s="19">
        <v>336</v>
      </c>
      <c r="AY1120" s="19" t="s">
        <v>1124</v>
      </c>
      <c r="CA1120" s="151"/>
    </row>
    <row r="1121" spans="3:79" s="19" customFormat="1" ht="19.5" thickBot="1">
      <c r="C1121" s="136" t="s">
        <v>1702</v>
      </c>
      <c r="D1121" s="165"/>
      <c r="F1121" s="47"/>
      <c r="G1121" s="21"/>
      <c r="H1121" s="28" t="s">
        <v>395</v>
      </c>
      <c r="I1121" s="165"/>
      <c r="J1121" s="165"/>
      <c r="K1121" s="165"/>
      <c r="L1121" s="22"/>
      <c r="M1121" s="22"/>
      <c r="N1121" s="22"/>
      <c r="O1121" s="31"/>
      <c r="P1121" s="174"/>
      <c r="S1121" s="199"/>
      <c r="T1121" s="199"/>
      <c r="W1121" s="19">
        <v>336.2</v>
      </c>
      <c r="AY1121" s="19" t="s">
        <v>1124</v>
      </c>
      <c r="CA1121" s="151"/>
    </row>
    <row r="1122" spans="3:79" s="19" customFormat="1" ht="19.5" thickBot="1">
      <c r="C1122" s="136" t="s">
        <v>1703</v>
      </c>
      <c r="D1122" s="165"/>
      <c r="F1122" s="47"/>
      <c r="G1122" s="21"/>
      <c r="H1122" s="28" t="s">
        <v>436</v>
      </c>
      <c r="I1122" s="165"/>
      <c r="J1122" s="165"/>
      <c r="K1122" s="165"/>
      <c r="L1122" s="22"/>
      <c r="M1122" s="22"/>
      <c r="N1122" s="22"/>
      <c r="O1122" s="31"/>
      <c r="P1122" s="174"/>
      <c r="S1122" s="199"/>
      <c r="T1122" s="199"/>
      <c r="W1122" s="19">
        <v>830.79</v>
      </c>
      <c r="AY1122" s="19" t="s">
        <v>1124</v>
      </c>
      <c r="CA1122" s="151"/>
    </row>
    <row r="1123" spans="3:79" s="19" customFormat="1" ht="27.75" thickBot="1">
      <c r="C1123" s="136" t="s">
        <v>1704</v>
      </c>
      <c r="D1123" s="165"/>
      <c r="F1123" s="47"/>
      <c r="G1123" s="21"/>
      <c r="H1123" s="28" t="s">
        <v>434</v>
      </c>
      <c r="I1123" s="165"/>
      <c r="J1123" s="165"/>
      <c r="K1123" s="165"/>
      <c r="L1123" s="22"/>
      <c r="M1123" s="22"/>
      <c r="N1123" s="22"/>
      <c r="O1123" s="31"/>
      <c r="P1123" s="174"/>
      <c r="S1123" s="199"/>
      <c r="T1123" s="199"/>
      <c r="W1123" s="19">
        <v>7.64</v>
      </c>
      <c r="AY1123" s="19" t="s">
        <v>1124</v>
      </c>
      <c r="CA1123" s="151"/>
    </row>
    <row r="1124" spans="3:79" s="19" customFormat="1" ht="27.75" thickBot="1">
      <c r="C1124" s="136" t="s">
        <v>1705</v>
      </c>
      <c r="D1124" s="165"/>
      <c r="F1124" s="47"/>
      <c r="G1124" s="21"/>
      <c r="H1124" s="28" t="s">
        <v>395</v>
      </c>
      <c r="I1124" s="165"/>
      <c r="J1124" s="165"/>
      <c r="K1124" s="165"/>
      <c r="L1124" s="22"/>
      <c r="M1124" s="22"/>
      <c r="N1124" s="22"/>
      <c r="O1124" s="31"/>
      <c r="P1124" s="174"/>
      <c r="S1124" s="199"/>
      <c r="T1124" s="199"/>
      <c r="W1124" s="19">
        <v>336.49</v>
      </c>
      <c r="AY1124" s="19" t="s">
        <v>1124</v>
      </c>
      <c r="CA1124" s="151"/>
    </row>
    <row r="1125" spans="3:79" s="19" customFormat="1" ht="19.5" thickBot="1">
      <c r="C1125" s="136" t="s">
        <v>1706</v>
      </c>
      <c r="D1125" s="165"/>
      <c r="F1125" s="47"/>
      <c r="G1125" s="21"/>
      <c r="H1125" s="28" t="s">
        <v>431</v>
      </c>
      <c r="I1125" s="165"/>
      <c r="J1125" s="165"/>
      <c r="K1125" s="165"/>
      <c r="L1125" s="22"/>
      <c r="M1125" s="22"/>
      <c r="N1125" s="22"/>
      <c r="O1125" s="31"/>
      <c r="P1125" s="174"/>
      <c r="S1125" s="199"/>
      <c r="T1125" s="199"/>
      <c r="W1125" s="19">
        <v>820</v>
      </c>
      <c r="AY1125" s="19" t="s">
        <v>1124</v>
      </c>
      <c r="CA1125" s="151"/>
    </row>
    <row r="1126" spans="3:79" s="19" customFormat="1" ht="19.5" thickBot="1">
      <c r="C1126" s="136" t="s">
        <v>1707</v>
      </c>
      <c r="D1126" s="165"/>
      <c r="F1126" s="47"/>
      <c r="G1126" s="21"/>
      <c r="H1126" s="28" t="s">
        <v>429</v>
      </c>
      <c r="I1126" s="165"/>
      <c r="J1126" s="165"/>
      <c r="K1126" s="165"/>
      <c r="L1126" s="22"/>
      <c r="M1126" s="22"/>
      <c r="N1126" s="22"/>
      <c r="O1126" s="31"/>
      <c r="P1126" s="174"/>
      <c r="S1126" s="199"/>
      <c r="T1126" s="199"/>
      <c r="W1126" s="19">
        <v>810.7</v>
      </c>
      <c r="AY1126" s="19" t="s">
        <v>1124</v>
      </c>
      <c r="CA1126" s="151"/>
    </row>
    <row r="1127" spans="3:79" s="19" customFormat="1" ht="27.75" thickBot="1">
      <c r="C1127" s="136" t="s">
        <v>1708</v>
      </c>
      <c r="D1127" s="165"/>
      <c r="F1127" s="47"/>
      <c r="G1127" s="21"/>
      <c r="H1127" s="28" t="s">
        <v>426</v>
      </c>
      <c r="I1127" s="165"/>
      <c r="J1127" s="165"/>
      <c r="K1127" s="165"/>
      <c r="L1127" s="22"/>
      <c r="M1127" s="22"/>
      <c r="N1127" s="22"/>
      <c r="O1127" s="31"/>
      <c r="P1127" s="174"/>
      <c r="S1127" s="199"/>
      <c r="T1127" s="199"/>
      <c r="W1127" s="19">
        <v>7.64</v>
      </c>
      <c r="AY1127" s="19" t="s">
        <v>1124</v>
      </c>
      <c r="CA1127" s="151"/>
    </row>
    <row r="1128" spans="3:79" s="19" customFormat="1" ht="19.5" thickBot="1">
      <c r="C1128" s="136" t="s">
        <v>1709</v>
      </c>
      <c r="D1128" s="165"/>
      <c r="F1128" s="47"/>
      <c r="G1128" s="21"/>
      <c r="H1128" s="28" t="s">
        <v>395</v>
      </c>
      <c r="I1128" s="165"/>
      <c r="J1128" s="165"/>
      <c r="K1128" s="165"/>
      <c r="L1128" s="22"/>
      <c r="M1128" s="22"/>
      <c r="N1128" s="22"/>
      <c r="O1128" s="31"/>
      <c r="P1128" s="174"/>
      <c r="S1128" s="199"/>
      <c r="T1128" s="199"/>
      <c r="W1128" s="19">
        <v>336.3</v>
      </c>
      <c r="AY1128" s="19" t="s">
        <v>1124</v>
      </c>
      <c r="CA1128" s="151"/>
    </row>
    <row r="1129" spans="3:79" s="19" customFormat="1" ht="27.75" thickBot="1">
      <c r="C1129" s="136" t="s">
        <v>1710</v>
      </c>
      <c r="D1129" s="165"/>
      <c r="F1129" s="47"/>
      <c r="G1129" s="21"/>
      <c r="H1129" s="28" t="s">
        <v>395</v>
      </c>
      <c r="I1129" s="165"/>
      <c r="J1129" s="165"/>
      <c r="K1129" s="165"/>
      <c r="L1129" s="22"/>
      <c r="M1129" s="22"/>
      <c r="N1129" s="22"/>
      <c r="O1129" s="31"/>
      <c r="P1129" s="174"/>
      <c r="S1129" s="199"/>
      <c r="T1129" s="199"/>
      <c r="W1129" s="19">
        <v>336.2</v>
      </c>
      <c r="AY1129" s="19" t="s">
        <v>1124</v>
      </c>
      <c r="CA1129" s="151"/>
    </row>
    <row r="1130" spans="3:79" s="19" customFormat="1" ht="19.5" thickBot="1">
      <c r="C1130" s="136" t="s">
        <v>1711</v>
      </c>
      <c r="D1130" s="165"/>
      <c r="F1130" s="47"/>
      <c r="G1130" s="21"/>
      <c r="H1130" s="28" t="s">
        <v>173</v>
      </c>
      <c r="I1130" s="165"/>
      <c r="J1130" s="165"/>
      <c r="K1130" s="165"/>
      <c r="L1130" s="22"/>
      <c r="M1130" s="22"/>
      <c r="N1130" s="22"/>
      <c r="O1130" s="31"/>
      <c r="P1130" s="174"/>
      <c r="S1130" s="199"/>
      <c r="T1130" s="199"/>
      <c r="W1130" s="19">
        <v>7.6340000000000003</v>
      </c>
      <c r="AY1130" s="19" t="s">
        <v>1124</v>
      </c>
      <c r="CA1130" s="151"/>
    </row>
    <row r="1131" spans="3:79" s="19" customFormat="1" ht="27.75" thickBot="1">
      <c r="C1131" s="136" t="s">
        <v>1712</v>
      </c>
      <c r="D1131" s="165"/>
      <c r="F1131" s="47"/>
      <c r="G1131" s="21"/>
      <c r="H1131" s="28" t="s">
        <v>202</v>
      </c>
      <c r="I1131" s="165"/>
      <c r="J1131" s="165"/>
      <c r="K1131" s="165"/>
      <c r="L1131" s="22"/>
      <c r="M1131" s="22"/>
      <c r="N1131" s="22"/>
      <c r="O1131" s="31"/>
      <c r="P1131" s="174"/>
      <c r="S1131" s="199"/>
      <c r="T1131" s="199"/>
      <c r="W1131" s="19">
        <v>336</v>
      </c>
      <c r="AY1131" s="19" t="s">
        <v>1124</v>
      </c>
      <c r="CA1131" s="151"/>
    </row>
    <row r="1132" spans="3:79" s="19" customFormat="1" ht="19.5" thickBot="1">
      <c r="C1132" s="136" t="s">
        <v>1713</v>
      </c>
      <c r="D1132" s="165"/>
      <c r="F1132" s="47"/>
      <c r="G1132" s="21"/>
      <c r="H1132" s="28" t="s">
        <v>395</v>
      </c>
      <c r="I1132" s="165"/>
      <c r="J1132" s="165"/>
      <c r="K1132" s="165"/>
      <c r="L1132" s="22"/>
      <c r="M1132" s="22"/>
      <c r="N1132" s="22"/>
      <c r="O1132" s="31"/>
      <c r="P1132" s="174"/>
      <c r="S1132" s="199"/>
      <c r="T1132" s="199"/>
      <c r="W1132" s="19">
        <v>336</v>
      </c>
      <c r="AY1132" s="19" t="s">
        <v>1124</v>
      </c>
      <c r="CA1132" s="151"/>
    </row>
    <row r="1133" spans="3:79" s="19" customFormat="1" ht="19.5" thickBot="1">
      <c r="C1133" s="136" t="s">
        <v>1714</v>
      </c>
      <c r="D1133" s="165"/>
      <c r="F1133" s="47"/>
      <c r="G1133" s="21"/>
      <c r="H1133" s="28" t="s">
        <v>176</v>
      </c>
      <c r="I1133" s="165"/>
      <c r="J1133" s="165"/>
      <c r="K1133" s="165"/>
      <c r="L1133" s="22"/>
      <c r="M1133" s="22"/>
      <c r="N1133" s="22"/>
      <c r="O1133" s="31"/>
      <c r="P1133" s="174"/>
      <c r="S1133" s="199"/>
      <c r="T1133" s="199"/>
      <c r="W1133" s="19">
        <v>7.609</v>
      </c>
      <c r="AY1133" s="19" t="s">
        <v>1124</v>
      </c>
      <c r="CA1133" s="151"/>
    </row>
    <row r="1134" spans="3:79" s="19" customFormat="1" ht="19.5" thickBot="1">
      <c r="C1134" s="136" t="s">
        <v>1715</v>
      </c>
      <c r="D1134" s="165"/>
      <c r="F1134" s="47"/>
      <c r="G1134" s="21"/>
      <c r="H1134" s="28" t="s">
        <v>395</v>
      </c>
      <c r="I1134" s="165"/>
      <c r="J1134" s="165"/>
      <c r="K1134" s="165"/>
      <c r="L1134" s="22"/>
      <c r="M1134" s="22"/>
      <c r="N1134" s="22"/>
      <c r="O1134" s="31"/>
      <c r="P1134" s="174"/>
      <c r="S1134" s="199"/>
      <c r="T1134" s="199"/>
      <c r="W1134" s="19">
        <v>336.2</v>
      </c>
      <c r="AY1134" s="19" t="s">
        <v>1124</v>
      </c>
      <c r="CA1134" s="151"/>
    </row>
    <row r="1135" spans="3:79" s="19" customFormat="1" ht="19.5" thickBot="1">
      <c r="C1135" s="136" t="s">
        <v>1716</v>
      </c>
      <c r="D1135" s="165"/>
      <c r="F1135" s="47"/>
      <c r="G1135" s="21"/>
      <c r="H1135" s="28" t="s">
        <v>417</v>
      </c>
      <c r="I1135" s="165"/>
      <c r="J1135" s="165"/>
      <c r="K1135" s="165"/>
      <c r="L1135" s="22"/>
      <c r="M1135" s="22"/>
      <c r="N1135" s="22"/>
      <c r="O1135" s="31"/>
      <c r="P1135" s="174"/>
      <c r="S1135" s="199"/>
      <c r="T1135" s="199"/>
      <c r="W1135" s="19">
        <v>7.64</v>
      </c>
      <c r="AY1135" s="19" t="s">
        <v>1124</v>
      </c>
      <c r="CA1135" s="151"/>
    </row>
    <row r="1136" spans="3:79" s="19" customFormat="1" ht="27.75" thickBot="1">
      <c r="C1136" s="136" t="s">
        <v>1717</v>
      </c>
      <c r="D1136" s="165"/>
      <c r="F1136" s="47"/>
      <c r="G1136" s="21"/>
      <c r="H1136" s="28" t="s">
        <v>415</v>
      </c>
      <c r="I1136" s="165"/>
      <c r="J1136" s="165"/>
      <c r="K1136" s="165"/>
      <c r="L1136" s="22"/>
      <c r="M1136" s="22"/>
      <c r="N1136" s="22"/>
      <c r="O1136" s="31"/>
      <c r="P1136" s="174"/>
      <c r="S1136" s="199"/>
      <c r="T1136" s="199"/>
      <c r="W1136" s="19">
        <v>7.13</v>
      </c>
      <c r="AY1136" s="19" t="s">
        <v>1124</v>
      </c>
      <c r="CA1136" s="151"/>
    </row>
    <row r="1137" spans="3:79" s="19" customFormat="1" ht="19.5" thickBot="1">
      <c r="C1137" s="136" t="s">
        <v>1718</v>
      </c>
      <c r="D1137" s="165"/>
      <c r="F1137" s="47"/>
      <c r="G1137" s="21"/>
      <c r="H1137" s="28" t="s">
        <v>395</v>
      </c>
      <c r="I1137" s="165"/>
      <c r="J1137" s="165"/>
      <c r="K1137" s="165"/>
      <c r="L1137" s="22"/>
      <c r="M1137" s="22"/>
      <c r="N1137" s="22"/>
      <c r="O1137" s="31"/>
      <c r="P1137" s="174"/>
      <c r="S1137" s="199"/>
      <c r="T1137" s="199"/>
      <c r="W1137" s="19">
        <v>336.1</v>
      </c>
      <c r="AY1137" s="19" t="s">
        <v>1124</v>
      </c>
      <c r="CA1137" s="151"/>
    </row>
    <row r="1138" spans="3:79" s="19" customFormat="1" ht="19.5" thickBot="1">
      <c r="C1138" s="136" t="s">
        <v>1719</v>
      </c>
      <c r="D1138" s="165"/>
      <c r="F1138" s="47"/>
      <c r="G1138" s="21"/>
      <c r="H1138" s="28" t="s">
        <v>412</v>
      </c>
      <c r="I1138" s="165"/>
      <c r="J1138" s="165"/>
      <c r="K1138" s="165"/>
      <c r="L1138" s="22"/>
      <c r="M1138" s="22"/>
      <c r="N1138" s="22"/>
      <c r="O1138" s="31"/>
      <c r="P1138" s="174"/>
      <c r="S1138" s="199"/>
      <c r="T1138" s="199"/>
      <c r="W1138" s="19">
        <v>7.63</v>
      </c>
      <c r="AY1138" s="19" t="s">
        <v>1124</v>
      </c>
      <c r="CA1138" s="151"/>
    </row>
    <row r="1139" spans="3:79" s="19" customFormat="1" ht="27.75" thickBot="1">
      <c r="C1139" s="136" t="s">
        <v>1720</v>
      </c>
      <c r="D1139" s="165"/>
      <c r="F1139" s="47"/>
      <c r="G1139" s="21"/>
      <c r="H1139" s="28" t="s">
        <v>410</v>
      </c>
      <c r="I1139" s="165"/>
      <c r="J1139" s="165"/>
      <c r="K1139" s="165"/>
      <c r="L1139" s="22"/>
      <c r="M1139" s="22"/>
      <c r="N1139" s="22"/>
      <c r="O1139" s="31"/>
      <c r="P1139" s="174"/>
      <c r="S1139" s="199"/>
      <c r="T1139" s="199"/>
      <c r="W1139" s="19">
        <v>7.13</v>
      </c>
      <c r="AY1139" s="19" t="s">
        <v>1124</v>
      </c>
      <c r="CA1139" s="151"/>
    </row>
    <row r="1140" spans="3:79" s="19" customFormat="1" ht="19.5" thickBot="1">
      <c r="C1140" s="136" t="s">
        <v>1721</v>
      </c>
      <c r="D1140" s="165"/>
      <c r="F1140" s="47"/>
      <c r="G1140" s="21"/>
      <c r="H1140" s="28" t="s">
        <v>210</v>
      </c>
      <c r="I1140" s="165"/>
      <c r="J1140" s="165"/>
      <c r="K1140" s="165"/>
      <c r="L1140" s="22"/>
      <c r="M1140" s="22"/>
      <c r="N1140" s="22"/>
      <c r="O1140" s="31"/>
      <c r="P1140" s="174"/>
      <c r="S1140" s="199"/>
      <c r="T1140" s="199"/>
      <c r="W1140" s="19">
        <v>7.64</v>
      </c>
      <c r="AY1140" s="19" t="s">
        <v>1124</v>
      </c>
      <c r="CA1140" s="151"/>
    </row>
    <row r="1141" spans="3:79" s="19" customFormat="1" ht="27.75" thickBot="1">
      <c r="C1141" s="136" t="s">
        <v>1722</v>
      </c>
      <c r="D1141" s="165"/>
      <c r="F1141" s="47"/>
      <c r="G1141" s="21"/>
      <c r="H1141" s="28" t="s">
        <v>407</v>
      </c>
      <c r="I1141" s="165"/>
      <c r="J1141" s="165"/>
      <c r="K1141" s="165"/>
      <c r="L1141" s="22"/>
      <c r="M1141" s="22"/>
      <c r="N1141" s="22"/>
      <c r="O1141" s="31"/>
      <c r="P1141" s="174"/>
      <c r="S1141" s="199"/>
      <c r="T1141" s="199"/>
      <c r="W1141" s="19">
        <v>336</v>
      </c>
      <c r="AY1141" s="19" t="s">
        <v>1124</v>
      </c>
      <c r="CA1141" s="151"/>
    </row>
    <row r="1142" spans="3:79" s="19" customFormat="1" ht="27.75" thickBot="1">
      <c r="C1142" s="136" t="s">
        <v>1723</v>
      </c>
      <c r="D1142" s="165"/>
      <c r="F1142" s="47"/>
      <c r="G1142" s="21"/>
      <c r="H1142" s="28" t="s">
        <v>203</v>
      </c>
      <c r="I1142" s="165"/>
      <c r="J1142" s="165"/>
      <c r="K1142" s="165"/>
      <c r="L1142" s="22"/>
      <c r="M1142" s="22"/>
      <c r="N1142" s="22"/>
      <c r="O1142" s="31"/>
      <c r="P1142" s="174"/>
      <c r="S1142" s="199"/>
      <c r="T1142" s="199"/>
      <c r="W1142" s="19">
        <v>7.64</v>
      </c>
      <c r="AY1142" s="19" t="s">
        <v>1124</v>
      </c>
      <c r="CA1142" s="151"/>
    </row>
    <row r="1143" spans="3:79" s="19" customFormat="1" ht="19.5" thickBot="1">
      <c r="C1143" s="136" t="s">
        <v>1724</v>
      </c>
      <c r="D1143" s="165"/>
      <c r="F1143" s="47"/>
      <c r="G1143" s="21"/>
      <c r="H1143" s="28" t="s">
        <v>372</v>
      </c>
      <c r="I1143" s="165"/>
      <c r="J1143" s="165"/>
      <c r="K1143" s="165"/>
      <c r="L1143" s="22"/>
      <c r="M1143" s="22"/>
      <c r="N1143" s="22"/>
      <c r="O1143" s="31"/>
      <c r="P1143" s="174"/>
      <c r="S1143" s="199"/>
      <c r="T1143" s="199"/>
      <c r="W1143" s="19">
        <v>375.9</v>
      </c>
      <c r="AY1143" s="19" t="s">
        <v>1124</v>
      </c>
      <c r="CA1143" s="151"/>
    </row>
    <row r="1144" spans="3:79" s="19" customFormat="1" ht="19.5" thickBot="1">
      <c r="C1144" s="136" t="s">
        <v>1725</v>
      </c>
      <c r="D1144" s="165"/>
      <c r="F1144" s="47"/>
      <c r="G1144" s="21"/>
      <c r="H1144" s="28" t="s">
        <v>372</v>
      </c>
      <c r="I1144" s="165"/>
      <c r="J1144" s="165"/>
      <c r="K1144" s="165"/>
      <c r="L1144" s="22"/>
      <c r="M1144" s="22"/>
      <c r="N1144" s="22"/>
      <c r="O1144" s="31"/>
      <c r="P1144" s="174"/>
      <c r="S1144" s="199"/>
      <c r="T1144" s="199"/>
      <c r="W1144" s="19">
        <v>375.9</v>
      </c>
      <c r="AY1144" s="19" t="s">
        <v>1124</v>
      </c>
      <c r="CA1144" s="151"/>
    </row>
    <row r="1145" spans="3:79" s="19" customFormat="1" ht="19.5" thickBot="1">
      <c r="C1145" s="136" t="s">
        <v>1726</v>
      </c>
      <c r="D1145" s="165"/>
      <c r="F1145" s="47"/>
      <c r="G1145" s="21"/>
      <c r="H1145" s="28" t="s">
        <v>402</v>
      </c>
      <c r="I1145" s="165"/>
      <c r="J1145" s="165"/>
      <c r="K1145" s="165"/>
      <c r="L1145" s="22"/>
      <c r="M1145" s="22"/>
      <c r="N1145" s="22"/>
      <c r="O1145" s="31"/>
      <c r="P1145" s="174"/>
      <c r="S1145" s="199"/>
      <c r="T1145" s="199"/>
      <c r="W1145" s="19">
        <v>7.35</v>
      </c>
      <c r="AY1145" s="19" t="s">
        <v>1124</v>
      </c>
      <c r="CA1145" s="151"/>
    </row>
    <row r="1146" spans="3:79" s="19" customFormat="1" ht="27.75" thickBot="1">
      <c r="C1146" s="136" t="s">
        <v>1727</v>
      </c>
      <c r="D1146" s="165"/>
      <c r="F1146" s="47"/>
      <c r="G1146" s="21"/>
      <c r="H1146" s="28" t="s">
        <v>400</v>
      </c>
      <c r="I1146" s="165"/>
      <c r="J1146" s="165"/>
      <c r="K1146" s="165"/>
      <c r="L1146" s="22"/>
      <c r="M1146" s="22"/>
      <c r="N1146" s="22"/>
      <c r="O1146" s="31"/>
      <c r="P1146" s="174"/>
      <c r="S1146" s="199"/>
      <c r="T1146" s="199"/>
      <c r="W1146" s="19">
        <v>7.35</v>
      </c>
      <c r="AY1146" s="19" t="s">
        <v>1124</v>
      </c>
      <c r="CA1146" s="151"/>
    </row>
    <row r="1147" spans="3:79" s="19" customFormat="1" ht="19.5" thickBot="1">
      <c r="C1147" s="136" t="s">
        <v>1728</v>
      </c>
      <c r="D1147" s="165"/>
      <c r="F1147" s="47"/>
      <c r="G1147" s="21"/>
      <c r="H1147" s="28" t="s">
        <v>398</v>
      </c>
      <c r="I1147" s="165"/>
      <c r="J1147" s="165"/>
      <c r="K1147" s="165"/>
      <c r="L1147" s="22"/>
      <c r="M1147" s="22"/>
      <c r="N1147" s="22"/>
      <c r="O1147" s="31"/>
      <c r="P1147" s="174"/>
      <c r="S1147" s="199"/>
      <c r="T1147" s="199"/>
      <c r="W1147" s="19">
        <v>7.64</v>
      </c>
      <c r="AY1147" s="19" t="s">
        <v>1124</v>
      </c>
      <c r="CA1147" s="151"/>
    </row>
    <row r="1148" spans="3:79" s="19" customFormat="1" ht="19.5" thickBot="1">
      <c r="C1148" s="136" t="s">
        <v>1729</v>
      </c>
      <c r="D1148" s="165"/>
      <c r="F1148" s="47"/>
      <c r="G1148" s="21"/>
      <c r="H1148" s="28" t="s">
        <v>395</v>
      </c>
      <c r="I1148" s="165"/>
      <c r="J1148" s="165"/>
      <c r="K1148" s="165"/>
      <c r="L1148" s="22"/>
      <c r="M1148" s="22"/>
      <c r="N1148" s="22"/>
      <c r="O1148" s="31"/>
      <c r="P1148" s="174"/>
      <c r="S1148" s="199"/>
      <c r="T1148" s="199"/>
      <c r="W1148" s="19">
        <v>336.2</v>
      </c>
      <c r="AY1148" s="19" t="s">
        <v>1124</v>
      </c>
      <c r="CA1148" s="151"/>
    </row>
    <row r="1149" spans="3:79" s="19" customFormat="1" ht="19.5" thickBot="1">
      <c r="C1149" s="136" t="s">
        <v>1730</v>
      </c>
      <c r="D1149" s="165"/>
      <c r="F1149" s="47"/>
      <c r="G1149" s="21"/>
      <c r="H1149" s="28" t="s">
        <v>395</v>
      </c>
      <c r="I1149" s="165"/>
      <c r="J1149" s="165"/>
      <c r="K1149" s="165"/>
      <c r="L1149" s="22"/>
      <c r="M1149" s="22"/>
      <c r="N1149" s="22"/>
      <c r="O1149" s="31"/>
      <c r="P1149" s="174"/>
      <c r="S1149" s="199"/>
      <c r="T1149" s="199"/>
      <c r="W1149" s="19">
        <v>336.1</v>
      </c>
      <c r="AY1149" s="19" t="s">
        <v>1124</v>
      </c>
      <c r="CA1149" s="151"/>
    </row>
    <row r="1150" spans="3:79" s="19" customFormat="1" ht="27.75" thickBot="1">
      <c r="C1150" s="136" t="s">
        <v>1731</v>
      </c>
      <c r="D1150" s="165"/>
      <c r="F1150" s="47"/>
      <c r="G1150" s="21"/>
      <c r="H1150" s="28" t="s">
        <v>393</v>
      </c>
      <c r="I1150" s="165"/>
      <c r="J1150" s="165"/>
      <c r="K1150" s="165"/>
      <c r="L1150" s="22"/>
      <c r="M1150" s="22"/>
      <c r="N1150" s="22"/>
      <c r="O1150" s="31"/>
      <c r="P1150" s="174"/>
      <c r="S1150" s="199"/>
      <c r="T1150" s="199"/>
      <c r="W1150" s="19">
        <v>336.1</v>
      </c>
      <c r="AY1150" s="19" t="s">
        <v>1124</v>
      </c>
      <c r="CA1150" s="151"/>
    </row>
    <row r="1151" spans="3:79" s="19" customFormat="1" ht="27.75" thickBot="1">
      <c r="C1151" s="136" t="s">
        <v>1732</v>
      </c>
      <c r="D1151" s="165"/>
      <c r="F1151" s="47"/>
      <c r="G1151" s="21"/>
      <c r="H1151" s="28" t="s">
        <v>386</v>
      </c>
      <c r="I1151" s="165"/>
      <c r="J1151" s="165"/>
      <c r="K1151" s="165"/>
      <c r="L1151" s="22"/>
      <c r="M1151" s="22"/>
      <c r="N1151" s="22"/>
      <c r="O1151" s="31"/>
      <c r="P1151" s="174"/>
      <c r="S1151" s="199"/>
      <c r="T1151" s="199"/>
      <c r="W1151" s="19">
        <v>834</v>
      </c>
      <c r="AY1151" s="19" t="s">
        <v>1124</v>
      </c>
      <c r="CA1151" s="151"/>
    </row>
    <row r="1152" spans="3:79" s="19" customFormat="1" ht="27.75" thickBot="1">
      <c r="C1152" s="136" t="s">
        <v>1733</v>
      </c>
      <c r="D1152" s="165"/>
      <c r="F1152" s="47"/>
      <c r="G1152" s="21"/>
      <c r="H1152" s="28" t="s">
        <v>390</v>
      </c>
      <c r="I1152" s="165"/>
      <c r="J1152" s="165"/>
      <c r="K1152" s="165"/>
      <c r="L1152" s="22"/>
      <c r="M1152" s="22"/>
      <c r="N1152" s="22"/>
      <c r="O1152" s="31"/>
      <c r="P1152" s="174"/>
      <c r="S1152" s="199"/>
      <c r="T1152" s="199"/>
      <c r="W1152" s="19">
        <v>834</v>
      </c>
      <c r="AY1152" s="19" t="s">
        <v>1124</v>
      </c>
      <c r="CA1152" s="151"/>
    </row>
    <row r="1153" spans="3:79" s="19" customFormat="1" ht="19.5" thickBot="1">
      <c r="C1153" s="136" t="s">
        <v>1734</v>
      </c>
      <c r="D1153" s="165"/>
      <c r="F1153" s="47"/>
      <c r="G1153" s="21"/>
      <c r="H1153" s="28" t="s">
        <v>388</v>
      </c>
      <c r="I1153" s="165"/>
      <c r="J1153" s="165"/>
      <c r="K1153" s="165"/>
      <c r="L1153" s="22"/>
      <c r="M1153" s="22"/>
      <c r="N1153" s="22"/>
      <c r="O1153" s="31"/>
      <c r="P1153" s="174"/>
      <c r="S1153" s="199"/>
      <c r="T1153" s="199"/>
      <c r="W1153" s="19">
        <v>336.4</v>
      </c>
      <c r="AY1153" s="19" t="s">
        <v>1124</v>
      </c>
      <c r="CA1153" s="151"/>
    </row>
    <row r="1154" spans="3:79" s="19" customFormat="1" ht="27.75" thickBot="1">
      <c r="C1154" s="136" t="s">
        <v>1735</v>
      </c>
      <c r="D1154" s="165"/>
      <c r="F1154" s="47"/>
      <c r="G1154" s="21"/>
      <c r="H1154" s="28" t="s">
        <v>386</v>
      </c>
      <c r="I1154" s="165"/>
      <c r="J1154" s="165"/>
      <c r="K1154" s="165"/>
      <c r="L1154" s="22"/>
      <c r="M1154" s="22"/>
      <c r="N1154" s="22"/>
      <c r="O1154" s="31"/>
      <c r="P1154" s="174"/>
      <c r="S1154" s="199"/>
      <c r="T1154" s="199"/>
      <c r="W1154" s="19">
        <v>834</v>
      </c>
      <c r="AY1154" s="19" t="s">
        <v>1124</v>
      </c>
      <c r="CA1154" s="151"/>
    </row>
    <row r="1155" spans="3:79" s="19" customFormat="1" ht="27.75" thickBot="1">
      <c r="C1155" s="136" t="s">
        <v>1736</v>
      </c>
      <c r="D1155" s="165"/>
      <c r="F1155" s="47"/>
      <c r="G1155" s="21"/>
      <c r="H1155" s="28" t="s">
        <v>384</v>
      </c>
      <c r="I1155" s="165"/>
      <c r="J1155" s="165"/>
      <c r="K1155" s="165"/>
      <c r="L1155" s="22"/>
      <c r="M1155" s="22"/>
      <c r="N1155" s="22"/>
      <c r="O1155" s="31"/>
      <c r="P1155" s="174"/>
      <c r="S1155" s="199"/>
      <c r="T1155" s="199"/>
      <c r="W1155" s="19">
        <v>336.1</v>
      </c>
      <c r="AY1155" s="19" t="s">
        <v>1124</v>
      </c>
      <c r="CA1155" s="151"/>
    </row>
    <row r="1156" spans="3:79" s="19" customFormat="1" ht="19.5" thickBot="1">
      <c r="C1156" s="136" t="s">
        <v>1737</v>
      </c>
      <c r="D1156" s="165"/>
      <c r="F1156" s="47"/>
      <c r="G1156" s="21"/>
      <c r="H1156" s="28" t="s">
        <v>202</v>
      </c>
      <c r="I1156" s="165"/>
      <c r="J1156" s="165"/>
      <c r="K1156" s="165"/>
      <c r="L1156" s="22"/>
      <c r="M1156" s="22"/>
      <c r="N1156" s="22"/>
      <c r="O1156" s="31"/>
      <c r="P1156" s="174"/>
      <c r="S1156" s="199"/>
      <c r="T1156" s="199"/>
      <c r="W1156" s="19">
        <v>675</v>
      </c>
      <c r="AY1156" s="19" t="s">
        <v>1124</v>
      </c>
      <c r="CA1156" s="151"/>
    </row>
    <row r="1157" spans="3:79" s="19" customFormat="1">
      <c r="C1157" s="136" t="s">
        <v>1738</v>
      </c>
      <c r="D1157" s="165"/>
      <c r="F1157" s="47"/>
      <c r="G1157" s="21"/>
      <c r="H1157" s="28" t="s">
        <v>381</v>
      </c>
      <c r="I1157" s="165"/>
      <c r="J1157" s="165"/>
      <c r="K1157" s="165"/>
      <c r="L1157" s="22"/>
      <c r="M1157" s="22"/>
      <c r="N1157" s="22"/>
      <c r="O1157" s="31"/>
      <c r="P1157" s="174"/>
      <c r="S1157" s="199"/>
      <c r="T1157" s="199"/>
      <c r="W1157" s="19">
        <v>336.1</v>
      </c>
      <c r="AY1157" s="19" t="s">
        <v>1124</v>
      </c>
      <c r="CA1157" s="151"/>
    </row>
    <row r="1158" spans="3:79" s="13" customFormat="1" ht="26.25" customHeight="1">
      <c r="C1158" s="136" t="s">
        <v>1739</v>
      </c>
      <c r="D1158" s="15"/>
      <c r="F1158" s="42"/>
      <c r="G1158" s="21"/>
      <c r="H1158" s="15" t="s">
        <v>379</v>
      </c>
      <c r="I1158" s="15"/>
      <c r="J1158" s="15"/>
      <c r="K1158" s="15"/>
      <c r="L1158" s="22"/>
      <c r="M1158" s="22"/>
      <c r="N1158" s="22"/>
      <c r="O1158" s="31"/>
      <c r="P1158" s="167"/>
      <c r="S1158" s="193"/>
      <c r="T1158" s="193"/>
      <c r="W1158" s="13">
        <v>830.7</v>
      </c>
      <c r="AY1158" s="13" t="s">
        <v>1124</v>
      </c>
      <c r="CA1158" s="33"/>
    </row>
    <row r="1159" spans="3:79" s="13" customFormat="1" ht="26.25" customHeight="1">
      <c r="C1159" s="136" t="s">
        <v>1740</v>
      </c>
      <c r="D1159" s="15"/>
      <c r="F1159" s="42"/>
      <c r="G1159" s="21"/>
      <c r="H1159" s="15" t="s">
        <v>377</v>
      </c>
      <c r="I1159" s="15"/>
      <c r="J1159" s="15"/>
      <c r="K1159" s="15"/>
      <c r="L1159" s="22"/>
      <c r="M1159" s="22"/>
      <c r="N1159" s="22"/>
      <c r="O1159" s="31"/>
      <c r="P1159" s="167"/>
      <c r="S1159" s="193"/>
      <c r="T1159" s="193"/>
      <c r="W1159" s="13">
        <v>830</v>
      </c>
      <c r="AY1159" s="13" t="s">
        <v>1124</v>
      </c>
      <c r="CA1159" s="33"/>
    </row>
    <row r="1160" spans="3:79" s="13" customFormat="1" ht="26.25" customHeight="1">
      <c r="C1160" s="136" t="s">
        <v>1741</v>
      </c>
      <c r="D1160" s="15"/>
      <c r="F1160" s="42"/>
      <c r="G1160" s="21"/>
      <c r="H1160" s="15" t="s">
        <v>375</v>
      </c>
      <c r="I1160" s="15"/>
      <c r="J1160" s="15"/>
      <c r="K1160" s="15"/>
      <c r="L1160" s="22"/>
      <c r="M1160" s="22"/>
      <c r="N1160" s="22"/>
      <c r="O1160" s="31"/>
      <c r="P1160" s="167"/>
      <c r="S1160" s="193"/>
      <c r="T1160" s="193"/>
      <c r="W1160" s="13">
        <v>670.93</v>
      </c>
      <c r="AY1160" s="13" t="s">
        <v>1124</v>
      </c>
      <c r="CA1160" s="33"/>
    </row>
    <row r="1161" spans="3:79" s="13" customFormat="1" ht="26.25" customHeight="1">
      <c r="C1161" s="136" t="s">
        <v>1742</v>
      </c>
      <c r="D1161" s="15"/>
      <c r="F1161" s="42"/>
      <c r="G1161" s="21"/>
      <c r="H1161" s="15" t="s">
        <v>372</v>
      </c>
      <c r="I1161" s="15"/>
      <c r="J1161" s="15"/>
      <c r="K1161" s="15"/>
      <c r="L1161" s="22"/>
      <c r="M1161" s="22"/>
      <c r="N1161" s="22"/>
      <c r="O1161" s="31"/>
      <c r="P1161" s="167"/>
      <c r="S1161" s="193"/>
      <c r="T1161" s="193"/>
      <c r="W1161" s="13">
        <v>375.9</v>
      </c>
      <c r="AY1161" s="13" t="s">
        <v>1124</v>
      </c>
      <c r="CA1161" s="33"/>
    </row>
    <row r="1162" spans="3:79" s="13" customFormat="1" ht="26.25" customHeight="1">
      <c r="C1162" s="136" t="s">
        <v>1743</v>
      </c>
      <c r="D1162" s="15"/>
      <c r="F1162" s="42"/>
      <c r="G1162" s="21"/>
      <c r="H1162" s="15" t="s">
        <v>372</v>
      </c>
      <c r="I1162" s="15"/>
      <c r="J1162" s="15"/>
      <c r="K1162" s="15"/>
      <c r="L1162" s="22"/>
      <c r="M1162" s="22"/>
      <c r="N1162" s="22"/>
      <c r="O1162" s="31"/>
      <c r="P1162" s="167"/>
      <c r="S1162" s="193"/>
      <c r="T1162" s="193"/>
      <c r="W1162" s="13">
        <v>375.9</v>
      </c>
      <c r="AY1162" s="13" t="s">
        <v>1124</v>
      </c>
      <c r="CA1162" s="33"/>
    </row>
    <row r="1163" spans="3:79" s="13" customFormat="1" ht="26.25" customHeight="1">
      <c r="C1163" s="136" t="s">
        <v>1744</v>
      </c>
      <c r="D1163" s="15"/>
      <c r="F1163" s="42"/>
      <c r="G1163" s="21"/>
      <c r="H1163" s="15" t="s">
        <v>370</v>
      </c>
      <c r="I1163" s="15"/>
      <c r="J1163" s="15"/>
      <c r="K1163" s="15"/>
      <c r="L1163" s="22"/>
      <c r="M1163" s="22"/>
      <c r="N1163" s="22"/>
      <c r="O1163" s="31"/>
      <c r="P1163" s="167"/>
      <c r="S1163" s="193"/>
      <c r="T1163" s="193"/>
      <c r="W1163" s="13">
        <v>336.4</v>
      </c>
      <c r="AY1163" s="13" t="s">
        <v>1124</v>
      </c>
      <c r="CA1163" s="33"/>
    </row>
    <row r="1164" spans="3:79" s="13" customFormat="1" ht="26.25" customHeight="1">
      <c r="C1164" s="136" t="s">
        <v>1745</v>
      </c>
      <c r="D1164" s="15"/>
      <c r="F1164" s="42"/>
      <c r="G1164" s="21"/>
      <c r="H1164" s="15" t="s">
        <v>347</v>
      </c>
      <c r="I1164" s="15"/>
      <c r="J1164" s="15"/>
      <c r="K1164" s="15"/>
      <c r="L1164" s="22"/>
      <c r="M1164" s="22"/>
      <c r="N1164" s="22"/>
      <c r="O1164" s="31"/>
      <c r="P1164" s="167"/>
      <c r="S1164" s="193"/>
      <c r="T1164" s="193"/>
      <c r="W1164" s="13">
        <v>336.1</v>
      </c>
      <c r="AY1164" s="13" t="s">
        <v>1124</v>
      </c>
      <c r="CA1164" s="33"/>
    </row>
    <row r="1165" spans="3:79" s="13" customFormat="1" ht="26.25" customHeight="1">
      <c r="C1165" s="136" t="s">
        <v>1746</v>
      </c>
      <c r="D1165" s="15"/>
      <c r="F1165" s="42"/>
      <c r="G1165" s="21"/>
      <c r="H1165" s="15" t="s">
        <v>367</v>
      </c>
      <c r="I1165" s="15"/>
      <c r="J1165" s="15"/>
      <c r="K1165" s="15"/>
      <c r="L1165" s="22"/>
      <c r="M1165" s="22"/>
      <c r="N1165" s="22"/>
      <c r="O1165" s="31"/>
      <c r="P1165" s="167"/>
      <c r="S1165" s="193"/>
      <c r="T1165" s="193"/>
      <c r="W1165" s="13">
        <v>331.19</v>
      </c>
      <c r="AY1165" s="13" t="s">
        <v>1124</v>
      </c>
      <c r="CA1165" s="33"/>
    </row>
    <row r="1166" spans="3:79" s="13" customFormat="1" ht="26.25" customHeight="1">
      <c r="C1166" s="136" t="s">
        <v>1747</v>
      </c>
      <c r="D1166" s="15"/>
      <c r="F1166" s="42"/>
      <c r="G1166" s="21"/>
      <c r="H1166" s="15" t="s">
        <v>209</v>
      </c>
      <c r="I1166" s="15"/>
      <c r="J1166" s="15"/>
      <c r="K1166" s="15"/>
      <c r="L1166" s="22"/>
      <c r="M1166" s="22"/>
      <c r="N1166" s="22"/>
      <c r="O1166" s="31"/>
      <c r="P1166" s="167"/>
      <c r="S1166" s="193"/>
      <c r="T1166" s="193"/>
      <c r="W1166" s="13">
        <v>860</v>
      </c>
      <c r="AY1166" s="13" t="s">
        <v>1124</v>
      </c>
      <c r="CA1166" s="33"/>
    </row>
    <row r="1167" spans="3:79" s="13" customFormat="1" ht="26.25" customHeight="1">
      <c r="C1167" s="136" t="s">
        <v>1748</v>
      </c>
      <c r="D1167" s="15"/>
      <c r="F1167" s="42"/>
      <c r="G1167" s="21"/>
      <c r="H1167" s="15" t="s">
        <v>207</v>
      </c>
      <c r="I1167" s="15"/>
      <c r="J1167" s="15"/>
      <c r="K1167" s="15"/>
      <c r="L1167" s="22"/>
      <c r="M1167" s="22"/>
      <c r="N1167" s="22"/>
      <c r="O1167" s="31"/>
      <c r="P1167" s="167"/>
      <c r="S1167" s="193"/>
      <c r="T1167" s="193"/>
      <c r="W1167" s="13">
        <v>675.4</v>
      </c>
      <c r="AY1167" s="13" t="s">
        <v>1124</v>
      </c>
      <c r="CA1167" s="33"/>
    </row>
    <row r="1168" spans="3:79" s="13" customFormat="1" ht="26.25" customHeight="1">
      <c r="C1168" s="136" t="s">
        <v>1749</v>
      </c>
      <c r="D1168" s="15"/>
      <c r="F1168" s="42"/>
      <c r="G1168" s="21"/>
      <c r="H1168" s="15" t="s">
        <v>363</v>
      </c>
      <c r="I1168" s="15"/>
      <c r="J1168" s="15"/>
      <c r="K1168" s="15"/>
      <c r="L1168" s="22"/>
      <c r="M1168" s="22"/>
      <c r="N1168" s="22"/>
      <c r="O1168" s="31"/>
      <c r="P1168" s="167"/>
      <c r="S1168" s="193"/>
      <c r="T1168" s="193"/>
      <c r="W1168" s="13">
        <v>675.4</v>
      </c>
      <c r="AY1168" s="13" t="s">
        <v>1124</v>
      </c>
      <c r="CA1168" s="33"/>
    </row>
    <row r="1169" spans="3:79" s="13" customFormat="1" ht="26.25" customHeight="1">
      <c r="C1169" s="136" t="s">
        <v>1750</v>
      </c>
      <c r="D1169" s="15"/>
      <c r="F1169" s="42"/>
      <c r="G1169" s="21"/>
      <c r="H1169" s="15" t="s">
        <v>361</v>
      </c>
      <c r="I1169" s="15"/>
      <c r="J1169" s="15"/>
      <c r="K1169" s="15"/>
      <c r="L1169" s="22"/>
      <c r="M1169" s="22"/>
      <c r="N1169" s="22"/>
      <c r="O1169" s="31"/>
      <c r="P1169" s="167"/>
      <c r="S1169" s="193"/>
      <c r="T1169" s="193"/>
      <c r="W1169" s="13">
        <v>372.10700000000003</v>
      </c>
      <c r="AY1169" s="13" t="s">
        <v>1124</v>
      </c>
      <c r="CA1169" s="33"/>
    </row>
    <row r="1170" spans="3:79" s="13" customFormat="1" ht="26.25" customHeight="1">
      <c r="C1170" s="136" t="s">
        <v>1751</v>
      </c>
      <c r="D1170" s="15"/>
      <c r="F1170" s="42"/>
      <c r="G1170" s="21"/>
      <c r="H1170" s="15" t="s">
        <v>359</v>
      </c>
      <c r="I1170" s="15"/>
      <c r="J1170" s="15"/>
      <c r="K1170" s="15"/>
      <c r="L1170" s="22"/>
      <c r="M1170" s="22"/>
      <c r="N1170" s="22"/>
      <c r="O1170" s="31"/>
      <c r="P1170" s="167"/>
      <c r="S1170" s="193"/>
      <c r="T1170" s="193"/>
      <c r="W1170" s="13">
        <v>850</v>
      </c>
      <c r="AY1170" s="13" t="s">
        <v>1124</v>
      </c>
      <c r="CA1170" s="33"/>
    </row>
    <row r="1171" spans="3:79" s="13" customFormat="1" ht="26.25" customHeight="1">
      <c r="C1171" s="136" t="s">
        <v>1752</v>
      </c>
      <c r="D1171" s="15"/>
      <c r="F1171" s="42"/>
      <c r="G1171" s="21"/>
      <c r="H1171" s="15" t="s">
        <v>178</v>
      </c>
      <c r="I1171" s="15"/>
      <c r="J1171" s="15"/>
      <c r="K1171" s="15"/>
      <c r="L1171" s="22"/>
      <c r="M1171" s="22"/>
      <c r="N1171" s="22"/>
      <c r="O1171" s="31"/>
      <c r="P1171" s="167"/>
      <c r="S1171" s="193"/>
      <c r="T1171" s="193"/>
      <c r="W1171" s="13">
        <v>673.97199999999998</v>
      </c>
      <c r="AY1171" s="13" t="s">
        <v>1124</v>
      </c>
      <c r="CA1171" s="33"/>
    </row>
    <row r="1172" spans="3:79" s="13" customFormat="1" ht="26.25" customHeight="1">
      <c r="C1172" s="136" t="s">
        <v>1753</v>
      </c>
      <c r="D1172" s="15"/>
      <c r="F1172" s="42"/>
      <c r="G1172" s="21"/>
      <c r="H1172" s="15" t="s">
        <v>356</v>
      </c>
      <c r="I1172" s="15"/>
      <c r="J1172" s="15"/>
      <c r="K1172" s="15"/>
      <c r="L1172" s="22"/>
      <c r="M1172" s="22"/>
      <c r="N1172" s="22"/>
      <c r="O1172" s="31"/>
      <c r="P1172" s="167"/>
      <c r="S1172" s="193"/>
      <c r="T1172" s="193"/>
      <c r="W1172" s="13">
        <v>7.6</v>
      </c>
      <c r="AY1172" s="13" t="s">
        <v>1124</v>
      </c>
      <c r="CA1172" s="33"/>
    </row>
    <row r="1173" spans="3:79" s="13" customFormat="1" ht="26.25" customHeight="1">
      <c r="C1173" s="136" t="s">
        <v>1754</v>
      </c>
      <c r="D1173" s="15"/>
      <c r="F1173" s="42"/>
      <c r="G1173" s="21"/>
      <c r="H1173" s="15"/>
      <c r="I1173" s="15"/>
      <c r="J1173" s="15"/>
      <c r="K1173" s="15"/>
      <c r="L1173" s="22"/>
      <c r="M1173" s="22"/>
      <c r="N1173" s="22"/>
      <c r="O1173" s="31"/>
      <c r="P1173" s="167"/>
      <c r="S1173" s="193"/>
      <c r="T1173" s="193"/>
      <c r="W1173" s="13">
        <v>673.971</v>
      </c>
      <c r="AY1173" s="13" t="s">
        <v>1124</v>
      </c>
      <c r="CA1173" s="33"/>
    </row>
    <row r="1174" spans="3:79" s="13" customFormat="1" ht="26.25" customHeight="1">
      <c r="C1174" s="136" t="s">
        <v>1755</v>
      </c>
      <c r="D1174" s="15"/>
      <c r="F1174" s="42"/>
      <c r="G1174" s="21"/>
      <c r="H1174" s="15" t="s">
        <v>353</v>
      </c>
      <c r="I1174" s="15"/>
      <c r="J1174" s="15"/>
      <c r="K1174" s="15"/>
      <c r="L1174" s="22"/>
      <c r="M1174" s="22"/>
      <c r="N1174" s="22"/>
      <c r="O1174" s="31"/>
      <c r="P1174" s="167"/>
      <c r="S1174" s="193"/>
      <c r="T1174" s="193"/>
      <c r="W1174" s="13">
        <v>708.7</v>
      </c>
      <c r="AY1174" s="13" t="s">
        <v>1124</v>
      </c>
      <c r="CA1174" s="33"/>
    </row>
    <row r="1175" spans="3:79" s="13" customFormat="1" ht="26.25" customHeight="1">
      <c r="C1175" s="136" t="s">
        <v>1756</v>
      </c>
      <c r="D1175" s="15"/>
      <c r="F1175" s="42"/>
      <c r="G1175" s="21"/>
      <c r="H1175" s="15"/>
      <c r="I1175" s="15"/>
      <c r="J1175" s="15"/>
      <c r="K1175" s="15"/>
      <c r="L1175" s="22"/>
      <c r="M1175" s="22"/>
      <c r="N1175" s="22"/>
      <c r="O1175" s="31"/>
      <c r="P1175" s="167"/>
      <c r="S1175" s="193"/>
      <c r="T1175" s="193"/>
      <c r="W1175" s="13">
        <v>673.97</v>
      </c>
      <c r="AY1175" s="13" t="s">
        <v>1124</v>
      </c>
      <c r="CA1175" s="33"/>
    </row>
    <row r="1176" spans="3:79" s="13" customFormat="1" ht="26.25" customHeight="1">
      <c r="C1176" s="136" t="s">
        <v>1757</v>
      </c>
      <c r="D1176" s="15"/>
      <c r="F1176" s="42"/>
      <c r="G1176" s="21"/>
      <c r="H1176" s="15" t="s">
        <v>208</v>
      </c>
      <c r="I1176" s="15"/>
      <c r="J1176" s="15"/>
      <c r="K1176" s="15"/>
      <c r="L1176" s="22"/>
      <c r="M1176" s="22"/>
      <c r="N1176" s="22"/>
      <c r="O1176" s="31"/>
      <c r="P1176" s="167"/>
      <c r="S1176" s="193"/>
      <c r="T1176" s="193"/>
      <c r="W1176" s="13">
        <v>7.63</v>
      </c>
      <c r="AY1176" s="13" t="s">
        <v>1124</v>
      </c>
      <c r="CA1176" s="33"/>
    </row>
    <row r="1177" spans="3:79" s="13" customFormat="1" ht="26.25" customHeight="1">
      <c r="C1177" s="136" t="s">
        <v>1758</v>
      </c>
      <c r="D1177" s="15"/>
      <c r="F1177" s="42"/>
      <c r="G1177" s="21"/>
      <c r="H1177" s="15" t="s">
        <v>347</v>
      </c>
      <c r="I1177" s="15"/>
      <c r="J1177" s="15"/>
      <c r="K1177" s="15"/>
      <c r="L1177" s="22"/>
      <c r="M1177" s="22"/>
      <c r="N1177" s="22"/>
      <c r="O1177" s="31"/>
      <c r="P1177" s="167"/>
      <c r="S1177" s="193"/>
      <c r="T1177" s="193"/>
      <c r="W1177" s="13">
        <v>336.1</v>
      </c>
      <c r="AY1177" s="13" t="s">
        <v>1124</v>
      </c>
      <c r="CA1177" s="33"/>
    </row>
    <row r="1178" spans="3:79" s="13" customFormat="1" ht="26.25" customHeight="1">
      <c r="C1178" s="136" t="s">
        <v>1759</v>
      </c>
      <c r="D1178" s="15"/>
      <c r="F1178" s="42"/>
      <c r="G1178" s="21"/>
      <c r="H1178" s="15" t="s">
        <v>206</v>
      </c>
      <c r="I1178" s="15"/>
      <c r="J1178" s="15"/>
      <c r="K1178" s="15"/>
      <c r="L1178" s="22"/>
      <c r="M1178" s="22"/>
      <c r="N1178" s="22"/>
      <c r="O1178" s="31"/>
      <c r="P1178" s="167"/>
      <c r="S1178" s="193"/>
      <c r="T1178" s="193"/>
      <c r="W1178" s="13">
        <v>547.48329999999999</v>
      </c>
      <c r="AY1178" s="13" t="s">
        <v>1124</v>
      </c>
      <c r="CA1178" s="33"/>
    </row>
    <row r="1179" spans="3:79" s="13" customFormat="1" ht="26.25" customHeight="1">
      <c r="C1179" s="136" t="s">
        <v>1760</v>
      </c>
      <c r="D1179" s="15"/>
      <c r="F1179" s="42"/>
      <c r="G1179" s="21"/>
      <c r="H1179" s="15" t="s">
        <v>347</v>
      </c>
      <c r="I1179" s="15"/>
      <c r="J1179" s="15"/>
      <c r="K1179" s="15"/>
      <c r="L1179" s="22"/>
      <c r="M1179" s="22"/>
      <c r="N1179" s="22"/>
      <c r="O1179" s="31"/>
      <c r="P1179" s="167"/>
      <c r="S1179" s="193"/>
      <c r="T1179" s="193"/>
      <c r="W1179" s="13">
        <v>336.1</v>
      </c>
      <c r="AY1179" s="13" t="s">
        <v>1124</v>
      </c>
      <c r="CA1179" s="33"/>
    </row>
    <row r="1180" spans="3:79" s="13" customFormat="1" ht="26.25" customHeight="1">
      <c r="C1180" s="136" t="s">
        <v>1761</v>
      </c>
      <c r="D1180" s="15"/>
      <c r="F1180" s="42"/>
      <c r="G1180" s="21"/>
      <c r="H1180" s="15" t="s">
        <v>204</v>
      </c>
      <c r="I1180" s="15"/>
      <c r="J1180" s="15"/>
      <c r="K1180" s="15"/>
      <c r="L1180" s="22"/>
      <c r="M1180" s="22"/>
      <c r="N1180" s="22"/>
      <c r="O1180" s="31"/>
      <c r="P1180" s="167"/>
      <c r="S1180" s="193"/>
      <c r="T1180" s="193"/>
      <c r="W1180" s="13">
        <v>596</v>
      </c>
      <c r="AY1180" s="13" t="s">
        <v>1124</v>
      </c>
      <c r="CA1180" s="33"/>
    </row>
    <row r="1181" spans="3:79" s="13" customFormat="1" ht="26.25" customHeight="1">
      <c r="C1181" s="136" t="s">
        <v>1762</v>
      </c>
      <c r="D1181" s="15"/>
      <c r="F1181" s="42"/>
      <c r="G1181" s="21"/>
      <c r="H1181" s="15" t="s">
        <v>178</v>
      </c>
      <c r="I1181" s="15"/>
      <c r="J1181" s="15"/>
      <c r="K1181" s="15"/>
      <c r="L1181" s="22"/>
      <c r="M1181" s="22"/>
      <c r="N1181" s="22"/>
      <c r="O1181" s="31"/>
      <c r="P1181" s="167"/>
      <c r="S1181" s="193"/>
      <c r="T1181" s="193"/>
      <c r="W1181" s="13">
        <v>673.97199999999998</v>
      </c>
      <c r="AY1181" s="13" t="s">
        <v>1124</v>
      </c>
      <c r="CA1181" s="33"/>
    </row>
    <row r="1182" spans="3:79" s="13" customFormat="1" ht="26.25" customHeight="1">
      <c r="C1182" s="136" t="s">
        <v>1763</v>
      </c>
      <c r="D1182" s="15"/>
      <c r="F1182" s="42"/>
      <c r="G1182" s="21"/>
      <c r="H1182" s="15" t="s">
        <v>344</v>
      </c>
      <c r="I1182" s="15"/>
      <c r="J1182" s="15"/>
      <c r="K1182" s="15"/>
      <c r="L1182" s="22"/>
      <c r="M1182" s="22"/>
      <c r="N1182" s="22"/>
      <c r="O1182" s="31"/>
      <c r="P1182" s="167"/>
      <c r="S1182" s="193"/>
      <c r="T1182" s="193"/>
      <c r="W1182" s="13">
        <v>7.64</v>
      </c>
      <c r="AY1182" s="13" t="s">
        <v>1124</v>
      </c>
      <c r="CA1182" s="33"/>
    </row>
    <row r="1183" spans="3:79" s="13" customFormat="1" ht="26.25" customHeight="1">
      <c r="C1183" s="136" t="s">
        <v>1764</v>
      </c>
      <c r="D1183" s="15"/>
      <c r="F1183" s="42"/>
      <c r="G1183" s="21"/>
      <c r="H1183" s="15" t="s">
        <v>342</v>
      </c>
      <c r="I1183" s="15"/>
      <c r="J1183" s="15"/>
      <c r="K1183" s="15"/>
      <c r="L1183" s="22"/>
      <c r="M1183" s="22"/>
      <c r="N1183" s="22"/>
      <c r="O1183" s="31"/>
      <c r="P1183" s="167"/>
      <c r="S1183" s="193"/>
      <c r="T1183" s="193"/>
      <c r="W1183" s="13">
        <v>547.48</v>
      </c>
      <c r="AY1183" s="13" t="s">
        <v>1124</v>
      </c>
      <c r="CA1183" s="33"/>
    </row>
    <row r="1184" spans="3:79" s="13" customFormat="1" ht="26.25" customHeight="1">
      <c r="C1184" s="136" t="s">
        <v>1765</v>
      </c>
      <c r="D1184" s="15"/>
      <c r="F1184" s="42"/>
      <c r="G1184" s="21"/>
      <c r="H1184" s="15" t="s">
        <v>340</v>
      </c>
      <c r="I1184" s="15"/>
      <c r="J1184" s="15"/>
      <c r="K1184" s="15"/>
      <c r="L1184" s="22"/>
      <c r="M1184" s="22"/>
      <c r="N1184" s="22"/>
      <c r="O1184" s="31"/>
      <c r="P1184" s="167"/>
      <c r="S1184" s="193"/>
      <c r="T1184" s="193"/>
      <c r="W1184" s="13">
        <v>673.97</v>
      </c>
      <c r="AY1184" s="13" t="s">
        <v>1124</v>
      </c>
      <c r="CA1184" s="33"/>
    </row>
    <row r="1185" spans="3:79" s="13" customFormat="1" ht="26.25" customHeight="1">
      <c r="C1185" s="136" t="s">
        <v>1766</v>
      </c>
      <c r="D1185" s="15"/>
      <c r="F1185" s="42"/>
      <c r="G1185" s="21"/>
      <c r="H1185" s="15" t="s">
        <v>338</v>
      </c>
      <c r="I1185" s="15"/>
      <c r="J1185" s="15"/>
      <c r="K1185" s="15"/>
      <c r="L1185" s="22"/>
      <c r="M1185" s="22"/>
      <c r="N1185" s="22"/>
      <c r="O1185" s="31"/>
      <c r="P1185" s="167"/>
      <c r="S1185" s="193"/>
      <c r="T1185" s="193"/>
      <c r="W1185" s="13">
        <v>7.13</v>
      </c>
      <c r="AY1185" s="13" t="s">
        <v>1124</v>
      </c>
      <c r="CA1185" s="33"/>
    </row>
    <row r="1186" spans="3:79" s="13" customFormat="1" ht="26.25" customHeight="1">
      <c r="C1186" s="136" t="s">
        <v>1767</v>
      </c>
      <c r="D1186" s="15"/>
      <c r="F1186" s="42"/>
      <c r="G1186" s="21"/>
      <c r="H1186" s="15" t="s">
        <v>337</v>
      </c>
      <c r="I1186" s="15"/>
      <c r="J1186" s="15"/>
      <c r="K1186" s="15"/>
      <c r="L1186" s="22"/>
      <c r="M1186" s="22"/>
      <c r="N1186" s="22"/>
      <c r="O1186" s="31"/>
      <c r="P1186" s="167"/>
      <c r="S1186" s="193"/>
      <c r="T1186" s="193"/>
      <c r="W1186" s="13">
        <v>7.64</v>
      </c>
      <c r="AY1186" s="13" t="s">
        <v>1124</v>
      </c>
      <c r="CA1186" s="33"/>
    </row>
    <row r="1187" spans="3:79" s="13" customFormat="1" ht="26.25" customHeight="1">
      <c r="C1187" s="136" t="s">
        <v>1768</v>
      </c>
      <c r="D1187" s="15"/>
      <c r="F1187" s="42"/>
      <c r="G1187" s="21"/>
      <c r="H1187" s="15" t="s">
        <v>179</v>
      </c>
      <c r="I1187" s="15"/>
      <c r="J1187" s="15"/>
      <c r="K1187" s="15"/>
      <c r="L1187" s="22"/>
      <c r="M1187" s="22"/>
      <c r="N1187" s="22"/>
      <c r="O1187" s="31"/>
      <c r="P1187" s="167"/>
      <c r="S1187" s="193"/>
      <c r="T1187" s="193"/>
      <c r="W1187" s="13">
        <v>596.29999999999995</v>
      </c>
      <c r="AY1187" s="13" t="s">
        <v>1124</v>
      </c>
      <c r="CA1187" s="33"/>
    </row>
    <row r="1188" spans="3:79" s="13" customFormat="1" ht="26.25" customHeight="1">
      <c r="C1188" s="136" t="s">
        <v>1769</v>
      </c>
      <c r="D1188" s="15"/>
      <c r="F1188" s="42"/>
      <c r="G1188" s="21"/>
      <c r="H1188" s="15" t="s">
        <v>246</v>
      </c>
      <c r="I1188" s="15"/>
      <c r="J1188" s="15"/>
      <c r="K1188" s="15"/>
      <c r="L1188" s="22"/>
      <c r="M1188" s="22"/>
      <c r="N1188" s="22"/>
      <c r="O1188" s="31"/>
      <c r="P1188" s="167"/>
      <c r="S1188" s="193"/>
      <c r="T1188" s="193"/>
      <c r="W1188" s="13">
        <v>547.48</v>
      </c>
      <c r="AY1188" s="13" t="s">
        <v>1124</v>
      </c>
      <c r="CA1188" s="33"/>
    </row>
    <row r="1189" spans="3:79" s="13" customFormat="1" ht="26.25" customHeight="1">
      <c r="C1189" s="136" t="s">
        <v>1770</v>
      </c>
      <c r="D1189" s="15"/>
      <c r="F1189" s="42"/>
      <c r="G1189" s="21"/>
      <c r="H1189" s="15" t="s">
        <v>334</v>
      </c>
      <c r="I1189" s="15"/>
      <c r="J1189" s="15"/>
      <c r="K1189" s="15"/>
      <c r="L1189" s="22"/>
      <c r="M1189" s="22"/>
      <c r="N1189" s="22"/>
      <c r="O1189" s="31"/>
      <c r="P1189" s="167"/>
      <c r="S1189" s="193"/>
      <c r="T1189" s="193"/>
      <c r="W1189" s="13">
        <v>7.64</v>
      </c>
      <c r="AY1189" s="13" t="s">
        <v>1124</v>
      </c>
      <c r="CA1189" s="33"/>
    </row>
    <row r="1190" spans="3:79" s="13" customFormat="1" ht="26.25" customHeight="1">
      <c r="C1190" s="136" t="s">
        <v>1771</v>
      </c>
      <c r="D1190" s="15"/>
      <c r="F1190" s="42"/>
      <c r="G1190" s="21"/>
      <c r="H1190" s="15" t="s">
        <v>333</v>
      </c>
      <c r="I1190" s="15"/>
      <c r="J1190" s="15"/>
      <c r="K1190" s="15"/>
      <c r="L1190" s="22"/>
      <c r="M1190" s="22"/>
      <c r="N1190" s="22"/>
      <c r="O1190" s="31"/>
      <c r="P1190" s="167"/>
      <c r="S1190" s="193"/>
      <c r="T1190" s="193"/>
      <c r="W1190" s="13">
        <v>7.64</v>
      </c>
      <c r="AY1190" s="13" t="s">
        <v>1124</v>
      </c>
      <c r="CA1190" s="33"/>
    </row>
    <row r="1191" spans="3:79" s="13" customFormat="1" ht="26.25" customHeight="1">
      <c r="C1191" s="136" t="s">
        <v>1772</v>
      </c>
      <c r="D1191" s="15"/>
      <c r="F1191" s="42"/>
      <c r="G1191" s="21"/>
      <c r="H1191" s="15" t="s">
        <v>331</v>
      </c>
      <c r="I1191" s="15"/>
      <c r="J1191" s="15"/>
      <c r="K1191" s="15"/>
      <c r="L1191" s="22"/>
      <c r="M1191" s="22"/>
      <c r="N1191" s="22"/>
      <c r="O1191" s="31"/>
      <c r="P1191" s="167"/>
      <c r="S1191" s="193"/>
      <c r="T1191" s="193"/>
      <c r="W1191" s="13">
        <v>336</v>
      </c>
      <c r="AY1191" s="13" t="s">
        <v>1124</v>
      </c>
      <c r="CA1191" s="33"/>
    </row>
    <row r="1192" spans="3:79" s="13" customFormat="1" ht="26.25" customHeight="1">
      <c r="C1192" s="136" t="s">
        <v>1773</v>
      </c>
      <c r="D1192" s="15"/>
      <c r="F1192" s="42"/>
      <c r="G1192" s="21"/>
      <c r="H1192" s="15" t="s">
        <v>330</v>
      </c>
      <c r="I1192" s="15"/>
      <c r="J1192" s="15"/>
      <c r="K1192" s="15"/>
      <c r="L1192" s="22"/>
      <c r="M1192" s="22"/>
      <c r="N1192" s="22"/>
      <c r="O1192" s="31"/>
      <c r="P1192" s="167"/>
      <c r="S1192" s="193"/>
      <c r="T1192" s="193"/>
      <c r="W1192" s="13">
        <v>673.86</v>
      </c>
      <c r="AY1192" s="13" t="s">
        <v>1124</v>
      </c>
      <c r="CA1192" s="33"/>
    </row>
    <row r="1193" spans="3:79" s="13" customFormat="1" ht="26.25" customHeight="1">
      <c r="C1193" s="136" t="s">
        <v>1774</v>
      </c>
      <c r="D1193" s="15"/>
      <c r="F1193" s="42"/>
      <c r="G1193" s="21"/>
      <c r="H1193" s="15" t="s">
        <v>191</v>
      </c>
      <c r="I1193" s="15"/>
      <c r="J1193" s="15"/>
      <c r="K1193" s="15"/>
      <c r="L1193" s="22"/>
      <c r="M1193" s="22"/>
      <c r="N1193" s="22"/>
      <c r="O1193" s="31"/>
      <c r="P1193" s="167"/>
      <c r="S1193" s="193"/>
      <c r="T1193" s="193"/>
      <c r="W1193" s="13">
        <v>673.86</v>
      </c>
      <c r="AY1193" s="13" t="s">
        <v>1124</v>
      </c>
      <c r="CA1193" s="33"/>
    </row>
    <row r="1194" spans="3:79" s="13" customFormat="1" ht="26.25" customHeight="1">
      <c r="C1194" s="136" t="s">
        <v>1775</v>
      </c>
      <c r="D1194" s="15"/>
      <c r="F1194" s="42"/>
      <c r="G1194" s="21"/>
      <c r="H1194" s="15" t="s">
        <v>329</v>
      </c>
      <c r="I1194" s="15"/>
      <c r="J1194" s="15"/>
      <c r="K1194" s="15"/>
      <c r="L1194" s="22"/>
      <c r="M1194" s="22"/>
      <c r="N1194" s="22"/>
      <c r="O1194" s="31"/>
      <c r="P1194" s="167"/>
      <c r="S1194" s="193"/>
      <c r="T1194" s="193"/>
      <c r="W1194" s="13">
        <v>335.3</v>
      </c>
      <c r="AY1194" s="13" t="s">
        <v>1124</v>
      </c>
      <c r="CA1194" s="33"/>
    </row>
    <row r="1195" spans="3:79" s="13" customFormat="1" ht="26.25" customHeight="1">
      <c r="C1195" s="136" t="s">
        <v>1776</v>
      </c>
      <c r="D1195" s="15"/>
      <c r="F1195" s="42"/>
      <c r="G1195" s="21"/>
      <c r="H1195" s="15" t="s">
        <v>328</v>
      </c>
      <c r="I1195" s="15"/>
      <c r="J1195" s="15"/>
      <c r="K1195" s="15"/>
      <c r="L1195" s="22"/>
      <c r="M1195" s="22"/>
      <c r="N1195" s="22"/>
      <c r="O1195" s="31"/>
      <c r="P1195" s="167"/>
      <c r="S1195" s="193"/>
      <c r="T1195" s="193"/>
      <c r="W1195" s="13">
        <v>673.86</v>
      </c>
      <c r="AY1195" s="13" t="s">
        <v>1124</v>
      </c>
      <c r="CA1195" s="33"/>
    </row>
    <row r="1196" spans="3:79" s="13" customFormat="1" ht="26.25" customHeight="1">
      <c r="C1196" s="136" t="s">
        <v>1777</v>
      </c>
      <c r="D1196" s="15"/>
      <c r="F1196" s="42"/>
      <c r="G1196" s="21"/>
      <c r="H1196" s="15" t="s">
        <v>327</v>
      </c>
      <c r="I1196" s="15"/>
      <c r="J1196" s="15"/>
      <c r="K1196" s="15"/>
      <c r="L1196" s="22"/>
      <c r="M1196" s="22"/>
      <c r="N1196" s="22"/>
      <c r="O1196" s="33"/>
      <c r="P1196" s="167"/>
      <c r="S1196" s="193"/>
      <c r="T1196" s="193"/>
      <c r="W1196" s="13">
        <v>596.38</v>
      </c>
      <c r="AY1196" s="13" t="s">
        <v>1124</v>
      </c>
      <c r="CA1196" s="33"/>
    </row>
    <row r="1197" spans="3:79" s="13" customFormat="1" ht="26.25" customHeight="1">
      <c r="C1197" s="136" t="s">
        <v>1778</v>
      </c>
      <c r="D1197" s="15"/>
      <c r="F1197" s="42"/>
      <c r="G1197" s="21"/>
      <c r="H1197" s="15" t="s">
        <v>326</v>
      </c>
      <c r="I1197" s="15"/>
      <c r="J1197" s="15"/>
      <c r="K1197" s="15"/>
      <c r="L1197" s="22"/>
      <c r="M1197" s="22"/>
      <c r="N1197" s="22"/>
      <c r="O1197" s="33"/>
      <c r="P1197" s="167"/>
      <c r="S1197" s="193"/>
      <c r="T1197" s="193"/>
      <c r="W1197" s="13">
        <v>547.48</v>
      </c>
      <c r="AY1197" s="13" t="s">
        <v>1124</v>
      </c>
      <c r="CA1197" s="33"/>
    </row>
    <row r="1198" spans="3:79" s="13" customFormat="1" ht="26.25" customHeight="1">
      <c r="C1198" s="136" t="s">
        <v>1779</v>
      </c>
      <c r="D1198" s="15"/>
      <c r="F1198" s="42"/>
      <c r="G1198" s="21"/>
      <c r="H1198" s="15" t="s">
        <v>182</v>
      </c>
      <c r="I1198" s="15"/>
      <c r="J1198" s="15"/>
      <c r="K1198" s="15"/>
      <c r="L1198" s="22"/>
      <c r="M1198" s="22"/>
      <c r="N1198" s="22"/>
      <c r="O1198" s="33"/>
      <c r="P1198" s="167"/>
      <c r="S1198" s="193"/>
      <c r="T1198" s="193"/>
      <c r="W1198" s="13">
        <v>547.48</v>
      </c>
      <c r="AY1198" s="13" t="s">
        <v>1124</v>
      </c>
      <c r="CA1198" s="33"/>
    </row>
    <row r="1199" spans="3:79" s="13" customFormat="1" ht="26.25" customHeight="1">
      <c r="C1199" s="136" t="s">
        <v>1780</v>
      </c>
      <c r="D1199" s="15"/>
      <c r="F1199" s="42"/>
      <c r="G1199" s="21"/>
      <c r="H1199" s="15" t="s">
        <v>323</v>
      </c>
      <c r="I1199" s="15"/>
      <c r="J1199" s="15"/>
      <c r="K1199" s="15"/>
      <c r="L1199" s="22"/>
      <c r="M1199" s="22"/>
      <c r="N1199" s="22"/>
      <c r="O1199" s="33"/>
      <c r="P1199" s="167"/>
      <c r="S1199" s="193"/>
      <c r="T1199" s="193"/>
      <c r="W1199" s="13">
        <v>596.22</v>
      </c>
      <c r="AY1199" s="13" t="s">
        <v>1124</v>
      </c>
      <c r="CA1199" s="33"/>
    </row>
    <row r="1200" spans="3:79" s="13" customFormat="1" ht="26.25" customHeight="1">
      <c r="C1200" s="136" t="s">
        <v>1781</v>
      </c>
      <c r="D1200" s="15"/>
      <c r="F1200" s="42"/>
      <c r="G1200" s="21"/>
      <c r="H1200" s="15" t="s">
        <v>321</v>
      </c>
      <c r="I1200" s="15"/>
      <c r="J1200" s="15"/>
      <c r="K1200" s="15"/>
      <c r="L1200" s="22"/>
      <c r="M1200" s="22"/>
      <c r="N1200" s="22"/>
      <c r="O1200" s="33"/>
      <c r="P1200" s="167"/>
      <c r="S1200" s="193"/>
      <c r="T1200" s="193"/>
      <c r="W1200" s="13">
        <v>596.22</v>
      </c>
      <c r="AY1200" s="13" t="s">
        <v>1124</v>
      </c>
      <c r="CA1200" s="33"/>
    </row>
    <row r="1201" spans="3:79" s="13" customFormat="1" ht="26.25" customHeight="1">
      <c r="C1201" s="136" t="s">
        <v>1782</v>
      </c>
      <c r="D1201" s="15"/>
      <c r="F1201" s="42"/>
      <c r="G1201" s="21"/>
      <c r="H1201" s="15" t="s">
        <v>319</v>
      </c>
      <c r="I1201" s="15"/>
      <c r="J1201" s="15"/>
      <c r="K1201" s="15"/>
      <c r="L1201" s="22"/>
      <c r="M1201" s="22"/>
      <c r="N1201" s="22"/>
      <c r="O1201" s="31"/>
      <c r="P1201" s="167"/>
      <c r="S1201" s="193"/>
      <c r="T1201" s="193"/>
      <c r="W1201" s="13">
        <v>596.22</v>
      </c>
      <c r="AY1201" s="13" t="s">
        <v>1124</v>
      </c>
      <c r="CA1201" s="33"/>
    </row>
    <row r="1202" spans="3:79" s="13" customFormat="1" ht="26.25" customHeight="1">
      <c r="C1202" s="136" t="s">
        <v>1783</v>
      </c>
      <c r="D1202" s="15"/>
      <c r="F1202" s="42"/>
      <c r="G1202" s="21"/>
      <c r="H1202" s="15" t="s">
        <v>317</v>
      </c>
      <c r="I1202" s="15"/>
      <c r="J1202" s="15"/>
      <c r="K1202" s="15"/>
      <c r="L1202" s="22"/>
      <c r="M1202" s="22"/>
      <c r="N1202" s="22"/>
      <c r="O1202" s="31"/>
      <c r="P1202" s="167"/>
      <c r="S1202" s="193"/>
      <c r="T1202" s="193"/>
      <c r="W1202" s="13">
        <v>596</v>
      </c>
      <c r="AY1202" s="13" t="s">
        <v>1124</v>
      </c>
      <c r="CA1202" s="33"/>
    </row>
    <row r="1203" spans="3:79" s="13" customFormat="1" ht="26.25" customHeight="1">
      <c r="C1203" s="136" t="s">
        <v>1784</v>
      </c>
      <c r="D1203" s="15"/>
      <c r="F1203" s="42"/>
      <c r="G1203" s="21"/>
      <c r="H1203" s="15" t="s">
        <v>315</v>
      </c>
      <c r="I1203" s="15"/>
      <c r="J1203" s="15"/>
      <c r="K1203" s="15"/>
      <c r="L1203" s="22"/>
      <c r="M1203" s="22"/>
      <c r="N1203" s="22"/>
      <c r="O1203" s="31"/>
      <c r="P1203" s="167"/>
      <c r="S1203" s="193"/>
      <c r="T1203" s="193"/>
      <c r="W1203" s="13">
        <v>673.3</v>
      </c>
      <c r="AY1203" s="13" t="s">
        <v>1124</v>
      </c>
      <c r="CA1203" s="33"/>
    </row>
    <row r="1204" spans="3:79" s="13" customFormat="1" ht="26.25" customHeight="1">
      <c r="C1204" s="136" t="s">
        <v>1785</v>
      </c>
      <c r="D1204" s="15"/>
      <c r="F1204" s="42"/>
      <c r="G1204" s="21"/>
      <c r="H1204" s="15" t="s">
        <v>174</v>
      </c>
      <c r="I1204" s="15"/>
      <c r="J1204" s="15"/>
      <c r="K1204" s="15"/>
      <c r="L1204" s="22"/>
      <c r="M1204" s="22"/>
      <c r="N1204" s="22"/>
      <c r="O1204" s="31"/>
      <c r="P1204" s="167"/>
      <c r="S1204" s="193"/>
      <c r="T1204" s="193"/>
      <c r="W1204" s="13">
        <v>547.48</v>
      </c>
      <c r="AY1204" s="13" t="s">
        <v>1124</v>
      </c>
      <c r="CA1204" s="33"/>
    </row>
    <row r="1205" spans="3:79" s="13" customFormat="1" ht="26.25" customHeight="1">
      <c r="C1205" s="136" t="s">
        <v>1786</v>
      </c>
      <c r="D1205" s="15"/>
      <c r="F1205" s="42"/>
      <c r="G1205" s="21"/>
      <c r="H1205" s="15" t="s">
        <v>312</v>
      </c>
      <c r="I1205" s="15"/>
      <c r="J1205" s="15"/>
      <c r="K1205" s="15"/>
      <c r="L1205" s="22"/>
      <c r="M1205" s="22"/>
      <c r="N1205" s="22"/>
      <c r="O1205" s="31"/>
      <c r="P1205" s="167"/>
      <c r="S1205" s="193"/>
      <c r="T1205" s="193"/>
      <c r="W1205" s="13">
        <v>336.49</v>
      </c>
      <c r="AY1205" s="13" t="s">
        <v>1124</v>
      </c>
      <c r="CA1205" s="33"/>
    </row>
    <row r="1206" spans="3:79" s="13" customFormat="1" ht="26.25" customHeight="1">
      <c r="C1206" s="136" t="s">
        <v>1787</v>
      </c>
      <c r="D1206" s="15"/>
      <c r="F1206" s="42"/>
      <c r="G1206" s="21"/>
      <c r="H1206" s="15" t="s">
        <v>310</v>
      </c>
      <c r="I1206" s="15"/>
      <c r="J1206" s="15"/>
      <c r="K1206" s="15"/>
      <c r="L1206" s="22"/>
      <c r="M1206" s="22"/>
      <c r="N1206" s="22"/>
      <c r="O1206" s="31"/>
      <c r="P1206" s="167"/>
      <c r="S1206" s="193"/>
      <c r="T1206" s="193"/>
      <c r="W1206" s="13">
        <v>7.64</v>
      </c>
      <c r="AY1206" s="13" t="s">
        <v>1124</v>
      </c>
      <c r="CA1206" s="33"/>
    </row>
    <row r="1207" spans="3:79" s="13" customFormat="1" ht="26.25" customHeight="1">
      <c r="C1207" s="136" t="s">
        <v>1788</v>
      </c>
      <c r="D1207" s="15"/>
      <c r="F1207" s="42"/>
      <c r="G1207" s="21"/>
      <c r="H1207" s="15" t="s">
        <v>308</v>
      </c>
      <c r="I1207" s="15"/>
      <c r="J1207" s="15"/>
      <c r="K1207" s="15"/>
      <c r="L1207" s="22"/>
      <c r="M1207" s="22"/>
      <c r="N1207" s="22"/>
      <c r="O1207" s="31"/>
      <c r="P1207" s="167"/>
      <c r="S1207" s="193"/>
      <c r="T1207" s="193"/>
      <c r="W1207" s="13">
        <v>7.6</v>
      </c>
      <c r="AY1207" s="13" t="s">
        <v>1124</v>
      </c>
      <c r="CA1207" s="33"/>
    </row>
    <row r="1208" spans="3:79" s="13" customFormat="1" ht="26.25" customHeight="1">
      <c r="C1208" s="136" t="s">
        <v>1789</v>
      </c>
      <c r="D1208" s="15"/>
      <c r="F1208" s="42"/>
      <c r="G1208" s="21"/>
      <c r="H1208" s="15" t="s">
        <v>170</v>
      </c>
      <c r="I1208" s="15"/>
      <c r="J1208" s="15"/>
      <c r="K1208" s="15"/>
      <c r="L1208" s="22"/>
      <c r="M1208" s="22"/>
      <c r="N1208" s="22"/>
      <c r="O1208" s="31"/>
      <c r="P1208" s="167"/>
      <c r="S1208" s="193"/>
      <c r="T1208" s="193"/>
      <c r="W1208" s="13">
        <v>7.63</v>
      </c>
      <c r="AY1208" s="13" t="s">
        <v>1124</v>
      </c>
      <c r="CA1208" s="33"/>
    </row>
    <row r="1209" spans="3:79" s="13" customFormat="1" ht="26.25" customHeight="1">
      <c r="C1209" s="136" t="s">
        <v>1790</v>
      </c>
      <c r="D1209" s="15"/>
      <c r="F1209" s="42"/>
      <c r="G1209" s="21"/>
      <c r="H1209" s="15" t="s">
        <v>305</v>
      </c>
      <c r="I1209" s="15"/>
      <c r="J1209" s="15"/>
      <c r="K1209" s="15"/>
      <c r="L1209" s="22"/>
      <c r="M1209" s="22"/>
      <c r="N1209" s="22"/>
      <c r="O1209" s="31"/>
      <c r="P1209" s="167"/>
      <c r="S1209" s="193"/>
      <c r="T1209" s="193"/>
      <c r="W1209" s="13">
        <v>7.63</v>
      </c>
      <c r="AY1209" s="13" t="s">
        <v>1124</v>
      </c>
      <c r="CA1209" s="33"/>
    </row>
    <row r="1210" spans="3:79" s="13" customFormat="1" ht="26.25" customHeight="1">
      <c r="C1210" s="136" t="s">
        <v>1791</v>
      </c>
      <c r="D1210" s="15"/>
      <c r="F1210" s="42"/>
      <c r="G1210" s="21"/>
      <c r="H1210" s="15" t="s">
        <v>276</v>
      </c>
      <c r="I1210" s="15"/>
      <c r="J1210" s="15"/>
      <c r="K1210" s="15"/>
      <c r="L1210" s="22"/>
      <c r="M1210" s="22"/>
      <c r="N1210" s="22"/>
      <c r="O1210" s="31"/>
      <c r="P1210" s="167"/>
      <c r="S1210" s="193"/>
      <c r="T1210" s="193"/>
      <c r="W1210" s="13">
        <v>547.48</v>
      </c>
      <c r="AY1210" s="13" t="s">
        <v>1124</v>
      </c>
      <c r="CA1210" s="33"/>
    </row>
    <row r="1211" spans="3:79" s="13" customFormat="1" ht="26.25" customHeight="1">
      <c r="C1211" s="136" t="s">
        <v>1792</v>
      </c>
      <c r="D1211" s="15"/>
      <c r="F1211" s="42"/>
      <c r="G1211" s="21"/>
      <c r="H1211" s="15" t="s">
        <v>167</v>
      </c>
      <c r="I1211" s="15"/>
      <c r="J1211" s="15"/>
      <c r="K1211" s="15"/>
      <c r="L1211" s="22"/>
      <c r="M1211" s="22"/>
      <c r="N1211" s="22"/>
      <c r="O1211" s="31"/>
      <c r="P1211" s="167"/>
      <c r="S1211" s="193"/>
      <c r="T1211" s="193"/>
      <c r="W1211" s="13">
        <v>7.6</v>
      </c>
      <c r="AY1211" s="13" t="s">
        <v>1124</v>
      </c>
      <c r="CA1211" s="33"/>
    </row>
    <row r="1212" spans="3:79" s="13" customFormat="1" ht="26.25" customHeight="1">
      <c r="C1212" s="136" t="s">
        <v>1793</v>
      </c>
      <c r="D1212" s="15"/>
      <c r="F1212" s="42"/>
      <c r="G1212" s="21"/>
      <c r="H1212" s="15" t="s">
        <v>166</v>
      </c>
      <c r="I1212" s="15"/>
      <c r="J1212" s="15"/>
      <c r="K1212" s="15"/>
      <c r="L1212" s="22"/>
      <c r="M1212" s="22"/>
      <c r="N1212" s="22"/>
      <c r="O1212" s="31"/>
      <c r="P1212" s="167"/>
      <c r="S1212" s="193"/>
      <c r="T1212" s="193"/>
      <c r="W1212" s="13">
        <v>336.1</v>
      </c>
      <c r="AY1212" s="13" t="s">
        <v>1124</v>
      </c>
      <c r="CA1212" s="33"/>
    </row>
    <row r="1213" spans="3:79" s="13" customFormat="1" ht="26.25" customHeight="1">
      <c r="C1213" s="136" t="s">
        <v>1794</v>
      </c>
      <c r="D1213" s="15"/>
      <c r="F1213" s="42"/>
      <c r="G1213" s="21"/>
      <c r="H1213" s="15" t="s">
        <v>300</v>
      </c>
      <c r="I1213" s="15"/>
      <c r="J1213" s="15"/>
      <c r="K1213" s="15"/>
      <c r="L1213" s="22"/>
      <c r="M1213" s="22"/>
      <c r="N1213" s="22"/>
      <c r="O1213" s="31"/>
      <c r="P1213" s="167"/>
      <c r="S1213" s="193"/>
      <c r="T1213" s="193"/>
      <c r="W1213" s="13">
        <v>329.94</v>
      </c>
      <c r="AY1213" s="13" t="s">
        <v>1124</v>
      </c>
      <c r="CA1213" s="33"/>
    </row>
    <row r="1214" spans="3:79" s="13" customFormat="1" ht="26.25" customHeight="1">
      <c r="C1214" s="136" t="s">
        <v>1795</v>
      </c>
      <c r="D1214" s="15"/>
      <c r="F1214" s="42"/>
      <c r="G1214" s="21"/>
      <c r="H1214" s="15" t="s">
        <v>164</v>
      </c>
      <c r="I1214" s="15"/>
      <c r="J1214" s="15"/>
      <c r="K1214" s="15"/>
      <c r="L1214" s="22"/>
      <c r="M1214" s="22"/>
      <c r="N1214" s="22"/>
      <c r="O1214" s="31"/>
      <c r="P1214" s="167"/>
      <c r="S1214" s="193"/>
      <c r="T1214" s="193"/>
      <c r="W1214" s="13">
        <v>810.4</v>
      </c>
      <c r="AY1214" s="13" t="s">
        <v>1124</v>
      </c>
      <c r="CA1214" s="33"/>
    </row>
    <row r="1215" spans="3:79" s="13" customFormat="1" ht="26.25" customHeight="1">
      <c r="C1215" s="136" t="s">
        <v>1796</v>
      </c>
      <c r="D1215" s="15"/>
      <c r="F1215" s="42"/>
      <c r="G1215" s="21"/>
      <c r="H1215" s="15" t="s">
        <v>156</v>
      </c>
      <c r="I1215" s="15"/>
      <c r="J1215" s="15"/>
      <c r="K1215" s="15"/>
      <c r="L1215" s="22"/>
      <c r="M1215" s="22"/>
      <c r="N1215" s="22"/>
      <c r="O1215" s="31"/>
      <c r="P1215" s="167"/>
      <c r="S1215" s="193"/>
      <c r="T1215" s="193"/>
      <c r="W1215" s="13">
        <v>547.48</v>
      </c>
      <c r="AY1215" s="13" t="s">
        <v>1124</v>
      </c>
      <c r="CA1215" s="33"/>
    </row>
    <row r="1216" spans="3:79" s="13" customFormat="1" ht="26.25" customHeight="1">
      <c r="C1216" s="136" t="s">
        <v>1797</v>
      </c>
      <c r="D1216" s="15"/>
      <c r="F1216" s="42"/>
      <c r="G1216" s="21"/>
      <c r="H1216" s="15" t="s">
        <v>296</v>
      </c>
      <c r="I1216" s="15"/>
      <c r="J1216" s="15"/>
      <c r="K1216" s="15"/>
      <c r="L1216" s="22"/>
      <c r="M1216" s="22"/>
      <c r="N1216" s="22"/>
      <c r="O1216" s="31"/>
      <c r="P1216" s="167"/>
      <c r="S1216" s="193"/>
      <c r="T1216" s="193"/>
      <c r="W1216" s="13">
        <v>7.63</v>
      </c>
      <c r="AY1216" s="13" t="s">
        <v>1124</v>
      </c>
      <c r="CA1216" s="33"/>
    </row>
    <row r="1217" spans="3:79" s="13" customFormat="1" ht="26.25" customHeight="1">
      <c r="C1217" s="136" t="s">
        <v>1798</v>
      </c>
      <c r="D1217" s="15"/>
      <c r="F1217" s="42"/>
      <c r="G1217" s="21"/>
      <c r="H1217" s="15" t="s">
        <v>161</v>
      </c>
      <c r="I1217" s="15"/>
      <c r="J1217" s="15"/>
      <c r="K1217" s="15"/>
      <c r="L1217" s="22"/>
      <c r="M1217" s="22"/>
      <c r="N1217" s="22"/>
      <c r="O1217" s="31"/>
      <c r="P1217" s="167"/>
      <c r="S1217" s="193"/>
      <c r="T1217" s="193"/>
      <c r="W1217" s="13">
        <v>673.36</v>
      </c>
      <c r="AY1217" s="13" t="s">
        <v>1124</v>
      </c>
      <c r="CA1217" s="33"/>
    </row>
    <row r="1218" spans="3:79" s="13" customFormat="1" ht="26.25" customHeight="1">
      <c r="C1218" s="136" t="s">
        <v>1799</v>
      </c>
      <c r="D1218" s="15"/>
      <c r="F1218" s="42"/>
      <c r="G1218" s="21"/>
      <c r="H1218" s="15" t="s">
        <v>293</v>
      </c>
      <c r="I1218" s="15"/>
      <c r="J1218" s="15"/>
      <c r="K1218" s="15"/>
      <c r="L1218" s="22"/>
      <c r="M1218" s="22"/>
      <c r="N1218" s="22"/>
      <c r="O1218" s="31"/>
      <c r="P1218" s="167"/>
      <c r="S1218" s="193"/>
      <c r="T1218" s="193"/>
      <c r="W1218" s="13">
        <v>7.6</v>
      </c>
      <c r="AY1218" s="13" t="s">
        <v>1124</v>
      </c>
      <c r="CA1218" s="33"/>
    </row>
    <row r="1219" spans="3:79" s="13" customFormat="1" ht="26.25" customHeight="1">
      <c r="C1219" s="136" t="s">
        <v>1800</v>
      </c>
      <c r="D1219" s="15"/>
      <c r="F1219" s="42"/>
      <c r="G1219" s="21"/>
      <c r="H1219" s="15" t="s">
        <v>291</v>
      </c>
      <c r="I1219" s="15"/>
      <c r="J1219" s="15"/>
      <c r="K1219" s="15"/>
      <c r="L1219" s="22"/>
      <c r="M1219" s="22"/>
      <c r="N1219" s="22"/>
      <c r="O1219" s="31"/>
      <c r="P1219" s="167"/>
      <c r="S1219" s="193"/>
      <c r="T1219" s="193"/>
      <c r="W1219" s="13">
        <v>336.17</v>
      </c>
      <c r="AY1219" s="13" t="s">
        <v>1124</v>
      </c>
      <c r="CA1219" s="33"/>
    </row>
    <row r="1220" spans="3:79" s="13" customFormat="1" ht="26.25" customHeight="1">
      <c r="C1220" s="136" t="s">
        <v>1801</v>
      </c>
      <c r="D1220" s="15"/>
      <c r="F1220" s="42"/>
      <c r="G1220" s="21"/>
      <c r="H1220" s="15" t="s">
        <v>289</v>
      </c>
      <c r="I1220" s="15"/>
      <c r="J1220" s="15"/>
      <c r="K1220" s="15"/>
      <c r="L1220" s="22"/>
      <c r="M1220" s="22"/>
      <c r="N1220" s="22"/>
      <c r="O1220" s="31"/>
      <c r="P1220" s="167"/>
      <c r="S1220" s="193"/>
      <c r="T1220" s="193"/>
      <c r="W1220" s="13">
        <v>829.37</v>
      </c>
      <c r="AY1220" s="13" t="s">
        <v>1124</v>
      </c>
      <c r="CA1220" s="33"/>
    </row>
    <row r="1221" spans="3:79" s="13" customFormat="1" ht="26.25" customHeight="1">
      <c r="C1221" s="136" t="s">
        <v>1802</v>
      </c>
      <c r="D1221" s="15"/>
      <c r="F1221" s="42"/>
      <c r="G1221" s="21"/>
      <c r="H1221" s="15" t="s">
        <v>287</v>
      </c>
      <c r="I1221" s="15"/>
      <c r="J1221" s="15"/>
      <c r="K1221" s="15"/>
      <c r="L1221" s="22"/>
      <c r="M1221" s="22"/>
      <c r="N1221" s="22"/>
      <c r="O1221" s="31"/>
      <c r="P1221" s="167"/>
      <c r="S1221" s="193"/>
      <c r="T1221" s="193"/>
      <c r="W1221" s="13">
        <v>7.63</v>
      </c>
      <c r="AY1221" s="13" t="s">
        <v>1124</v>
      </c>
      <c r="CA1221" s="33"/>
    </row>
    <row r="1222" spans="3:79" s="13" customFormat="1" ht="26.25" customHeight="1">
      <c r="C1222" s="136" t="s">
        <v>1803</v>
      </c>
      <c r="D1222" s="15"/>
      <c r="F1222" s="42"/>
      <c r="G1222" s="21"/>
      <c r="H1222" s="15" t="s">
        <v>148</v>
      </c>
      <c r="I1222" s="15"/>
      <c r="J1222" s="15"/>
      <c r="K1222" s="15"/>
      <c r="L1222" s="22"/>
      <c r="M1222" s="22"/>
      <c r="N1222" s="22"/>
      <c r="O1222" s="31"/>
      <c r="P1222" s="167"/>
      <c r="S1222" s="193"/>
      <c r="T1222" s="193"/>
      <c r="W1222" s="13">
        <v>835</v>
      </c>
      <c r="AY1222" s="13" t="s">
        <v>1124</v>
      </c>
      <c r="CA1222" s="33"/>
    </row>
    <row r="1223" spans="3:79" s="13" customFormat="1" ht="26.25" customHeight="1">
      <c r="C1223" s="136" t="s">
        <v>1804</v>
      </c>
      <c r="D1223" s="15"/>
      <c r="F1223" s="42"/>
      <c r="G1223" s="21"/>
      <c r="H1223" s="15" t="s">
        <v>145</v>
      </c>
      <c r="I1223" s="15"/>
      <c r="J1223" s="15"/>
      <c r="K1223" s="15"/>
      <c r="L1223" s="22"/>
      <c r="M1223" s="22"/>
      <c r="N1223" s="22"/>
      <c r="O1223" s="31"/>
      <c r="P1223" s="167"/>
      <c r="S1223" s="193"/>
      <c r="T1223" s="193"/>
      <c r="W1223" s="13">
        <v>7.13</v>
      </c>
      <c r="AY1223" s="13" t="s">
        <v>1124</v>
      </c>
      <c r="CA1223" s="33"/>
    </row>
    <row r="1224" spans="3:79" s="13" customFormat="1" ht="26.25" customHeight="1">
      <c r="C1224" s="136" t="s">
        <v>1805</v>
      </c>
      <c r="D1224" s="15"/>
      <c r="F1224" s="42"/>
      <c r="G1224" s="21"/>
      <c r="H1224" s="15" t="s">
        <v>285</v>
      </c>
      <c r="I1224" s="15"/>
      <c r="J1224" s="15"/>
      <c r="K1224" s="15"/>
      <c r="L1224" s="22"/>
      <c r="M1224" s="22"/>
      <c r="N1224" s="22"/>
      <c r="O1224" s="31"/>
      <c r="P1224" s="167"/>
      <c r="S1224" s="193"/>
      <c r="T1224" s="193"/>
      <c r="W1224" s="13">
        <v>336.17</v>
      </c>
      <c r="AY1224" s="13" t="s">
        <v>1124</v>
      </c>
      <c r="CA1224" s="33"/>
    </row>
    <row r="1225" spans="3:79" s="35" customFormat="1" ht="26.25" customHeight="1">
      <c r="C1225" s="136" t="s">
        <v>1806</v>
      </c>
      <c r="D1225" s="15"/>
      <c r="F1225" s="42"/>
      <c r="G1225" s="21"/>
      <c r="H1225" s="15" t="s">
        <v>283</v>
      </c>
      <c r="I1225" s="15"/>
      <c r="J1225" s="15"/>
      <c r="K1225" s="15"/>
      <c r="L1225" s="22"/>
      <c r="M1225" s="22"/>
      <c r="N1225" s="22"/>
      <c r="O1225" s="31"/>
      <c r="P1225" s="175"/>
      <c r="S1225" s="200"/>
      <c r="T1225" s="200"/>
      <c r="W1225" s="35">
        <v>673.99</v>
      </c>
      <c r="AY1225" s="35" t="s">
        <v>1124</v>
      </c>
      <c r="CA1225" s="33"/>
    </row>
    <row r="1226" spans="3:79" s="13" customFormat="1" ht="26.25" customHeight="1">
      <c r="C1226" s="136" t="s">
        <v>1807</v>
      </c>
      <c r="D1226" s="15"/>
      <c r="F1226" s="42"/>
      <c r="G1226" s="21"/>
      <c r="H1226" s="15" t="s">
        <v>281</v>
      </c>
      <c r="I1226" s="15"/>
      <c r="J1226" s="15"/>
      <c r="K1226" s="15"/>
      <c r="L1226" s="22"/>
      <c r="M1226" s="22"/>
      <c r="N1226" s="22"/>
      <c r="O1226" s="31"/>
      <c r="P1226" s="167"/>
      <c r="S1226" s="193"/>
      <c r="T1226" s="193"/>
      <c r="W1226" s="13">
        <v>336.57</v>
      </c>
      <c r="AY1226" s="13" t="s">
        <v>1124</v>
      </c>
      <c r="CA1226" s="33"/>
    </row>
    <row r="1227" spans="3:79" s="13" customFormat="1" ht="26.25" customHeight="1">
      <c r="C1227" s="136" t="s">
        <v>1808</v>
      </c>
      <c r="D1227" s="15"/>
      <c r="F1227" s="42"/>
      <c r="G1227" s="21"/>
      <c r="H1227" s="15"/>
      <c r="I1227" s="15"/>
      <c r="J1227" s="15"/>
      <c r="K1227" s="15"/>
      <c r="L1227" s="22"/>
      <c r="M1227" s="22"/>
      <c r="N1227" s="22"/>
      <c r="O1227" s="31"/>
      <c r="P1227" s="167"/>
      <c r="S1227" s="193"/>
      <c r="T1227" s="193"/>
      <c r="W1227" s="13">
        <v>675</v>
      </c>
      <c r="AY1227" s="13" t="s">
        <v>1124</v>
      </c>
      <c r="CA1227" s="33"/>
    </row>
    <row r="1228" spans="3:79" s="13" customFormat="1" ht="26.25" customHeight="1">
      <c r="C1228" s="136" t="s">
        <v>1809</v>
      </c>
      <c r="D1228" s="15"/>
      <c r="F1228" s="42"/>
      <c r="G1228" s="21"/>
      <c r="H1228" s="15" t="s">
        <v>278</v>
      </c>
      <c r="I1228" s="15"/>
      <c r="J1228" s="15"/>
      <c r="K1228" s="15"/>
      <c r="L1228" s="22"/>
      <c r="M1228" s="22"/>
      <c r="N1228" s="22"/>
      <c r="O1228" s="31"/>
      <c r="P1228" s="167"/>
      <c r="S1228" s="193"/>
      <c r="T1228" s="193"/>
      <c r="W1228" s="13">
        <v>336.57</v>
      </c>
      <c r="AY1228" s="13" t="s">
        <v>1124</v>
      </c>
      <c r="CA1228" s="33"/>
    </row>
    <row r="1229" spans="3:79" s="13" customFormat="1" ht="26.25" customHeight="1">
      <c r="C1229" s="136" t="s">
        <v>1810</v>
      </c>
      <c r="D1229" s="15"/>
      <c r="F1229" s="42"/>
      <c r="G1229" s="21"/>
      <c r="H1229" s="15" t="s">
        <v>153</v>
      </c>
      <c r="I1229" s="15"/>
      <c r="J1229" s="15"/>
      <c r="K1229" s="15"/>
      <c r="L1229" s="22"/>
      <c r="M1229" s="22"/>
      <c r="N1229" s="22"/>
      <c r="O1229" s="31"/>
      <c r="P1229" s="167"/>
      <c r="S1229" s="193"/>
      <c r="T1229" s="193"/>
      <c r="W1229" s="13">
        <v>7.63</v>
      </c>
      <c r="AY1229" s="13" t="s">
        <v>1124</v>
      </c>
      <c r="CA1229" s="33"/>
    </row>
    <row r="1230" spans="3:79" s="13" customFormat="1" ht="26.25" customHeight="1">
      <c r="C1230" s="136" t="s">
        <v>1811</v>
      </c>
      <c r="D1230" s="15"/>
      <c r="F1230" s="42"/>
      <c r="G1230" s="21"/>
      <c r="H1230" s="15" t="s">
        <v>276</v>
      </c>
      <c r="I1230" s="15"/>
      <c r="J1230" s="15"/>
      <c r="K1230" s="15"/>
      <c r="L1230" s="22"/>
      <c r="M1230" s="22"/>
      <c r="N1230" s="22"/>
      <c r="O1230" s="31"/>
      <c r="P1230" s="167"/>
      <c r="S1230" s="193"/>
      <c r="T1230" s="193"/>
      <c r="W1230" s="13">
        <v>547.48</v>
      </c>
      <c r="AY1230" s="13" t="s">
        <v>1124</v>
      </c>
      <c r="CA1230" s="33"/>
    </row>
    <row r="1231" spans="3:79" s="13" customFormat="1" ht="26.25" customHeight="1">
      <c r="C1231" s="136" t="s">
        <v>1812</v>
      </c>
      <c r="D1231" s="15"/>
      <c r="F1231" s="42"/>
      <c r="G1231" s="21"/>
      <c r="H1231" s="15" t="s">
        <v>274</v>
      </c>
      <c r="I1231" s="15"/>
      <c r="J1231" s="15"/>
      <c r="K1231" s="15"/>
      <c r="L1231" s="22"/>
      <c r="M1231" s="22"/>
      <c r="N1231" s="22"/>
      <c r="O1231" s="31"/>
      <c r="P1231" s="167"/>
      <c r="S1231" s="193"/>
      <c r="T1231" s="193"/>
      <c r="W1231" s="13">
        <v>830</v>
      </c>
      <c r="AY1231" s="13" t="s">
        <v>1124</v>
      </c>
      <c r="CA1231" s="33"/>
    </row>
    <row r="1232" spans="3:79" s="13" customFormat="1" ht="26.25" customHeight="1">
      <c r="C1232" s="136" t="s">
        <v>1813</v>
      </c>
      <c r="D1232" s="15"/>
      <c r="F1232" s="42"/>
      <c r="G1232" s="21"/>
      <c r="H1232" s="15" t="s">
        <v>272</v>
      </c>
      <c r="I1232" s="15"/>
      <c r="J1232" s="15"/>
      <c r="K1232" s="15"/>
      <c r="L1232" s="22"/>
      <c r="M1232" s="22"/>
      <c r="N1232" s="22"/>
      <c r="O1232" s="31"/>
      <c r="P1232" s="167"/>
      <c r="S1232" s="193"/>
      <c r="T1232" s="193"/>
      <c r="W1232" s="13">
        <v>336.57</v>
      </c>
      <c r="AY1232" s="13" t="s">
        <v>1124</v>
      </c>
      <c r="CA1232" s="33"/>
    </row>
    <row r="1233" spans="3:79" s="13" customFormat="1" ht="26.25" customHeight="1">
      <c r="C1233" s="136" t="s">
        <v>1814</v>
      </c>
      <c r="D1233" s="15"/>
      <c r="F1233" s="42"/>
      <c r="G1233" s="21"/>
      <c r="H1233" s="15" t="s">
        <v>149</v>
      </c>
      <c r="I1233" s="15"/>
      <c r="J1233" s="15"/>
      <c r="K1233" s="15"/>
      <c r="L1233" s="22"/>
      <c r="M1233" s="22"/>
      <c r="N1233" s="22"/>
      <c r="O1233" s="31"/>
      <c r="P1233" s="167"/>
      <c r="S1233" s="193"/>
      <c r="T1233" s="193"/>
      <c r="W1233" s="13">
        <v>336.57</v>
      </c>
      <c r="AY1233" s="13" t="s">
        <v>1124</v>
      </c>
      <c r="CA1233" s="33"/>
    </row>
    <row r="1234" spans="3:79" s="13" customFormat="1" ht="26.25" customHeight="1">
      <c r="C1234" s="136" t="s">
        <v>1815</v>
      </c>
      <c r="D1234" s="15"/>
      <c r="F1234" s="42"/>
      <c r="G1234" s="21"/>
      <c r="H1234" s="15" t="s">
        <v>257</v>
      </c>
      <c r="I1234" s="15"/>
      <c r="J1234" s="15"/>
      <c r="K1234" s="15"/>
      <c r="L1234" s="22"/>
      <c r="M1234" s="22"/>
      <c r="N1234" s="22"/>
      <c r="O1234" s="31"/>
      <c r="P1234" s="167"/>
      <c r="S1234" s="193"/>
      <c r="T1234" s="193"/>
      <c r="W1234" s="13">
        <v>331</v>
      </c>
      <c r="AY1234" s="13" t="s">
        <v>1124</v>
      </c>
      <c r="CA1234" s="33"/>
    </row>
    <row r="1235" spans="3:79" s="13" customFormat="1" ht="26.25" customHeight="1">
      <c r="C1235" s="136" t="s">
        <v>1816</v>
      </c>
      <c r="D1235" s="15"/>
      <c r="F1235" s="42"/>
      <c r="G1235" s="21"/>
      <c r="H1235" s="15" t="s">
        <v>269</v>
      </c>
      <c r="I1235" s="15"/>
      <c r="J1235" s="15"/>
      <c r="K1235" s="15"/>
      <c r="L1235" s="22"/>
      <c r="M1235" s="22"/>
      <c r="N1235" s="22"/>
      <c r="O1235" s="31"/>
      <c r="P1235" s="167"/>
      <c r="S1235" s="193"/>
      <c r="T1235" s="193"/>
      <c r="W1235" s="13">
        <v>547.48</v>
      </c>
      <c r="AY1235" s="13" t="s">
        <v>1124</v>
      </c>
      <c r="CA1235" s="33"/>
    </row>
    <row r="1236" spans="3:79" s="13" customFormat="1" ht="26.25" customHeight="1">
      <c r="C1236" s="136" t="s">
        <v>1817</v>
      </c>
      <c r="D1236" s="15"/>
      <c r="F1236" s="42"/>
      <c r="G1236" s="21"/>
      <c r="H1236" s="15" t="s">
        <v>268</v>
      </c>
      <c r="I1236" s="15"/>
      <c r="J1236" s="15"/>
      <c r="K1236" s="15"/>
      <c r="L1236" s="22"/>
      <c r="M1236" s="22"/>
      <c r="N1236" s="22"/>
      <c r="O1236" s="31"/>
      <c r="P1236" s="167"/>
      <c r="S1236" s="193"/>
      <c r="T1236" s="193"/>
      <c r="W1236" s="13">
        <v>7.61</v>
      </c>
      <c r="AY1236" s="13" t="s">
        <v>1124</v>
      </c>
      <c r="CA1236" s="33"/>
    </row>
    <row r="1237" spans="3:79" s="13" customFormat="1" ht="26.25" customHeight="1">
      <c r="C1237" s="136" t="s">
        <v>1818</v>
      </c>
      <c r="D1237" s="15"/>
      <c r="F1237" s="42"/>
      <c r="G1237" s="21"/>
      <c r="H1237" s="15" t="s">
        <v>266</v>
      </c>
      <c r="I1237" s="15"/>
      <c r="J1237" s="15"/>
      <c r="K1237" s="15"/>
      <c r="L1237" s="22"/>
      <c r="M1237" s="22"/>
      <c r="N1237" s="22"/>
      <c r="O1237" s="31"/>
      <c r="P1237" s="167"/>
      <c r="S1237" s="193"/>
      <c r="T1237" s="193"/>
      <c r="W1237" s="13">
        <v>547.48</v>
      </c>
      <c r="AY1237" s="13" t="s">
        <v>1124</v>
      </c>
      <c r="CA1237" s="33"/>
    </row>
    <row r="1238" spans="3:79" s="13" customFormat="1" ht="26.25" customHeight="1">
      <c r="C1238" s="136" t="s">
        <v>1819</v>
      </c>
      <c r="D1238" s="15"/>
      <c r="F1238" s="42"/>
      <c r="G1238" s="21"/>
      <c r="H1238" s="15" t="s">
        <v>264</v>
      </c>
      <c r="I1238" s="15"/>
      <c r="J1238" s="15"/>
      <c r="K1238" s="15"/>
      <c r="L1238" s="22"/>
      <c r="M1238" s="22"/>
      <c r="N1238" s="22"/>
      <c r="O1238" s="31"/>
      <c r="P1238" s="167"/>
      <c r="S1238" s="193"/>
      <c r="T1238" s="193"/>
      <c r="W1238" s="13">
        <v>7.61</v>
      </c>
      <c r="AY1238" s="13" t="s">
        <v>1124</v>
      </c>
      <c r="CA1238" s="33"/>
    </row>
    <row r="1239" spans="3:79" s="13" customFormat="1" ht="26.25" customHeight="1">
      <c r="C1239" s="136" t="s">
        <v>1820</v>
      </c>
      <c r="D1239" s="15"/>
      <c r="F1239" s="42"/>
      <c r="G1239" s="21"/>
      <c r="H1239" s="15" t="s">
        <v>262</v>
      </c>
      <c r="I1239" s="15"/>
      <c r="J1239" s="15"/>
      <c r="K1239" s="15"/>
      <c r="L1239" s="22"/>
      <c r="M1239" s="22"/>
      <c r="N1239" s="22"/>
      <c r="O1239" s="31"/>
      <c r="P1239" s="167"/>
      <c r="S1239" s="193"/>
      <c r="T1239" s="193"/>
      <c r="W1239" s="13">
        <v>336.07</v>
      </c>
      <c r="AY1239" s="13" t="s">
        <v>1124</v>
      </c>
      <c r="CA1239" s="33"/>
    </row>
    <row r="1240" spans="3:79" s="13" customFormat="1" ht="26.25" customHeight="1">
      <c r="C1240" s="136" t="s">
        <v>1821</v>
      </c>
      <c r="D1240" s="15"/>
      <c r="F1240" s="42"/>
      <c r="G1240" s="21"/>
      <c r="H1240" s="15" t="s">
        <v>261</v>
      </c>
      <c r="I1240" s="15"/>
      <c r="J1240" s="15"/>
      <c r="K1240" s="15"/>
      <c r="L1240" s="22"/>
      <c r="M1240" s="22"/>
      <c r="N1240" s="22"/>
      <c r="O1240" s="31"/>
      <c r="P1240" s="167"/>
      <c r="S1240" s="193"/>
      <c r="T1240" s="193"/>
      <c r="W1240" s="13">
        <v>366.14</v>
      </c>
      <c r="AY1240" s="13" t="s">
        <v>1124</v>
      </c>
      <c r="CA1240" s="33"/>
    </row>
    <row r="1241" spans="3:79" s="13" customFormat="1" ht="26.25" customHeight="1">
      <c r="C1241" s="136" t="s">
        <v>1822</v>
      </c>
      <c r="D1241" s="15"/>
      <c r="F1241" s="42"/>
      <c r="G1241" s="21"/>
      <c r="H1241" s="15" t="s">
        <v>139</v>
      </c>
      <c r="I1241" s="15"/>
      <c r="J1241" s="15"/>
      <c r="K1241" s="15"/>
      <c r="L1241" s="22"/>
      <c r="M1241" s="22"/>
      <c r="N1241" s="22"/>
      <c r="O1241" s="31"/>
      <c r="P1241" s="167"/>
      <c r="S1241" s="193"/>
      <c r="T1241" s="193"/>
      <c r="W1241" s="13">
        <v>364.3</v>
      </c>
      <c r="AY1241" s="13" t="s">
        <v>1124</v>
      </c>
      <c r="CA1241" s="33"/>
    </row>
    <row r="1242" spans="3:79" s="13" customFormat="1" ht="26.25" customHeight="1">
      <c r="C1242" s="136" t="s">
        <v>1823</v>
      </c>
      <c r="D1242" s="15"/>
      <c r="F1242" s="42"/>
      <c r="G1242" s="21"/>
      <c r="H1242" s="15" t="s">
        <v>136</v>
      </c>
      <c r="I1242" s="15"/>
      <c r="J1242" s="15"/>
      <c r="K1242" s="15"/>
      <c r="L1242" s="22"/>
      <c r="M1242" s="22"/>
      <c r="N1242" s="22"/>
      <c r="O1242" s="31"/>
      <c r="P1242" s="167"/>
      <c r="S1242" s="193"/>
      <c r="T1242" s="193"/>
      <c r="W1242" s="13">
        <v>336.57</v>
      </c>
      <c r="AY1242" s="13" t="s">
        <v>1124</v>
      </c>
      <c r="CA1242" s="33"/>
    </row>
    <row r="1243" spans="3:79" s="13" customFormat="1" ht="26.25" customHeight="1">
      <c r="C1243" s="136" t="s">
        <v>1824</v>
      </c>
      <c r="D1243" s="15"/>
      <c r="F1243" s="42"/>
      <c r="G1243" s="21"/>
      <c r="H1243" s="15" t="s">
        <v>133</v>
      </c>
      <c r="I1243" s="15"/>
      <c r="J1243" s="15"/>
      <c r="K1243" s="15"/>
      <c r="L1243" s="22"/>
      <c r="M1243" s="22"/>
      <c r="N1243" s="22"/>
      <c r="O1243" s="31"/>
      <c r="P1243" s="167"/>
      <c r="S1243" s="193"/>
      <c r="T1243" s="193"/>
      <c r="W1243" s="13">
        <v>335.35</v>
      </c>
      <c r="AY1243" s="13" t="s">
        <v>1124</v>
      </c>
      <c r="CA1243" s="33"/>
    </row>
    <row r="1244" spans="3:79" s="13" customFormat="1" ht="26.25" customHeight="1">
      <c r="C1244" s="136" t="s">
        <v>1825</v>
      </c>
      <c r="D1244" s="15"/>
      <c r="F1244" s="42"/>
      <c r="G1244" s="21"/>
      <c r="H1244" s="15" t="s">
        <v>257</v>
      </c>
      <c r="I1244" s="15"/>
      <c r="J1244" s="15"/>
      <c r="K1244" s="15"/>
      <c r="L1244" s="22"/>
      <c r="M1244" s="22"/>
      <c r="N1244" s="22"/>
      <c r="O1244" s="31"/>
      <c r="P1244" s="167"/>
      <c r="S1244" s="193"/>
      <c r="T1244" s="193"/>
      <c r="W1244" s="13">
        <v>331</v>
      </c>
      <c r="AY1244" s="13" t="s">
        <v>1124</v>
      </c>
      <c r="CA1244" s="33"/>
    </row>
    <row r="1245" spans="3:79" s="13" customFormat="1" ht="26.25" customHeight="1">
      <c r="C1245" s="136" t="s">
        <v>1826</v>
      </c>
      <c r="D1245" s="15"/>
      <c r="F1245" s="42"/>
      <c r="G1245" s="21"/>
      <c r="H1245" s="15" t="s">
        <v>129</v>
      </c>
      <c r="I1245" s="15"/>
      <c r="J1245" s="15"/>
      <c r="K1245" s="15"/>
      <c r="L1245" s="22"/>
      <c r="M1245" s="22"/>
      <c r="N1245" s="22"/>
      <c r="O1245" s="31"/>
      <c r="P1245" s="167"/>
      <c r="S1245" s="193"/>
      <c r="T1245" s="193"/>
      <c r="W1245" s="13">
        <v>336</v>
      </c>
      <c r="AY1245" s="13" t="s">
        <v>1124</v>
      </c>
      <c r="CA1245" s="33"/>
    </row>
    <row r="1246" spans="3:79" s="13" customFormat="1" ht="26.25" customHeight="1">
      <c r="C1246" s="136" t="s">
        <v>1827</v>
      </c>
      <c r="D1246" s="15"/>
      <c r="F1246" s="42"/>
      <c r="G1246" s="21"/>
      <c r="H1246" s="15" t="s">
        <v>127</v>
      </c>
      <c r="I1246" s="15"/>
      <c r="J1246" s="15"/>
      <c r="K1246" s="15"/>
      <c r="L1246" s="22"/>
      <c r="M1246" s="22"/>
      <c r="N1246" s="22"/>
      <c r="O1246" s="31"/>
      <c r="P1246" s="167"/>
      <c r="S1246" s="193"/>
      <c r="T1246" s="193"/>
      <c r="W1246" s="13">
        <v>366.29</v>
      </c>
      <c r="AY1246" s="13" t="s">
        <v>1124</v>
      </c>
      <c r="CA1246" s="33"/>
    </row>
    <row r="1247" spans="3:79" s="13" customFormat="1" ht="26.25" customHeight="1">
      <c r="C1247" s="136" t="s">
        <v>1828</v>
      </c>
      <c r="D1247" s="15"/>
      <c r="F1247" s="42"/>
      <c r="G1247" s="21"/>
      <c r="H1247" s="15" t="s">
        <v>253</v>
      </c>
      <c r="I1247" s="15"/>
      <c r="J1247" s="15"/>
      <c r="K1247" s="15"/>
      <c r="L1247" s="22"/>
      <c r="M1247" s="22"/>
      <c r="N1247" s="22"/>
      <c r="O1247" s="31"/>
      <c r="P1247" s="167"/>
      <c r="S1247" s="193"/>
      <c r="T1247" s="193"/>
      <c r="W1247" s="13">
        <v>336.91</v>
      </c>
      <c r="AY1247" s="13" t="s">
        <v>1124</v>
      </c>
      <c r="CA1247" s="33"/>
    </row>
    <row r="1248" spans="3:79" s="13" customFormat="1" ht="26.25" customHeight="1">
      <c r="C1248" s="136" t="s">
        <v>1829</v>
      </c>
      <c r="D1248" s="15"/>
      <c r="F1248" s="42"/>
      <c r="G1248" s="21"/>
      <c r="H1248" s="15" t="s">
        <v>252</v>
      </c>
      <c r="I1248" s="15"/>
      <c r="J1248" s="15"/>
      <c r="K1248" s="15"/>
      <c r="L1248" s="22"/>
      <c r="M1248" s="22"/>
      <c r="N1248" s="22"/>
      <c r="O1248" s="31"/>
      <c r="P1248" s="167"/>
      <c r="S1248" s="193"/>
      <c r="T1248" s="193"/>
      <c r="W1248" s="13">
        <v>336</v>
      </c>
      <c r="AY1248" s="13" t="s">
        <v>1124</v>
      </c>
      <c r="CA1248" s="33"/>
    </row>
    <row r="1249" spans="3:79" s="13" customFormat="1" ht="26.25" customHeight="1">
      <c r="C1249" s="136" t="s">
        <v>1830</v>
      </c>
      <c r="D1249" s="15"/>
      <c r="F1249" s="42"/>
      <c r="G1249" s="21"/>
      <c r="H1249" s="15" t="s">
        <v>123</v>
      </c>
      <c r="I1249" s="15"/>
      <c r="J1249" s="15"/>
      <c r="K1249" s="15"/>
      <c r="L1249" s="22"/>
      <c r="M1249" s="22"/>
      <c r="N1249" s="22"/>
      <c r="O1249" s="31"/>
      <c r="P1249" s="167"/>
      <c r="S1249" s="193"/>
      <c r="T1249" s="193"/>
      <c r="W1249" s="13">
        <v>7.64</v>
      </c>
      <c r="AY1249" s="13" t="s">
        <v>1124</v>
      </c>
      <c r="CA1249" s="33"/>
    </row>
    <row r="1250" spans="3:79" s="13" customFormat="1" ht="26.25" customHeight="1">
      <c r="C1250" s="136" t="s">
        <v>1831</v>
      </c>
      <c r="D1250" s="15"/>
      <c r="F1250" s="42"/>
      <c r="G1250" s="21"/>
      <c r="H1250" s="15" t="s">
        <v>249</v>
      </c>
      <c r="I1250" s="15"/>
      <c r="J1250" s="15"/>
      <c r="K1250" s="15"/>
      <c r="L1250" s="22"/>
      <c r="M1250" s="22"/>
      <c r="N1250" s="22"/>
      <c r="O1250" s="31"/>
      <c r="P1250" s="167"/>
      <c r="S1250" s="193"/>
      <c r="T1250" s="193"/>
      <c r="W1250" s="13">
        <v>335.35</v>
      </c>
      <c r="AY1250" s="13" t="s">
        <v>1124</v>
      </c>
      <c r="CA1250" s="33"/>
    </row>
    <row r="1251" spans="3:79" s="13" customFormat="1" ht="26.25" customHeight="1">
      <c r="C1251" s="136" t="s">
        <v>1832</v>
      </c>
      <c r="D1251" s="15"/>
      <c r="F1251" s="42"/>
      <c r="G1251" s="21"/>
      <c r="H1251" s="15" t="s">
        <v>248</v>
      </c>
      <c r="I1251" s="15"/>
      <c r="J1251" s="15"/>
      <c r="K1251" s="15"/>
      <c r="L1251" s="22"/>
      <c r="M1251" s="22"/>
      <c r="N1251" s="22"/>
      <c r="O1251" s="31"/>
      <c r="P1251" s="167"/>
      <c r="S1251" s="193"/>
      <c r="T1251" s="193"/>
      <c r="W1251" s="13">
        <v>7.61</v>
      </c>
      <c r="AY1251" s="13" t="s">
        <v>1124</v>
      </c>
      <c r="CA1251" s="33"/>
    </row>
    <row r="1252" spans="3:79" s="13" customFormat="1" ht="26.25" customHeight="1">
      <c r="C1252" s="136" t="s">
        <v>1833</v>
      </c>
      <c r="D1252" s="15"/>
      <c r="F1252" s="42"/>
      <c r="G1252" s="21"/>
      <c r="H1252" s="15" t="s">
        <v>246</v>
      </c>
      <c r="I1252" s="15"/>
      <c r="J1252" s="15"/>
      <c r="K1252" s="15"/>
      <c r="L1252" s="22"/>
      <c r="M1252" s="22"/>
      <c r="N1252" s="22"/>
      <c r="O1252" s="31"/>
      <c r="P1252" s="167"/>
      <c r="S1252" s="193"/>
      <c r="T1252" s="193"/>
      <c r="W1252" s="13">
        <v>547.48</v>
      </c>
      <c r="AY1252" s="13" t="s">
        <v>1124</v>
      </c>
      <c r="CA1252" s="33"/>
    </row>
    <row r="1253" spans="3:79" s="13" customFormat="1" ht="26.25" customHeight="1">
      <c r="C1253" s="136" t="s">
        <v>1834</v>
      </c>
      <c r="D1253" s="15"/>
      <c r="F1253" s="42"/>
      <c r="G1253" s="21"/>
      <c r="H1253" s="15" t="s">
        <v>119</v>
      </c>
      <c r="I1253" s="15"/>
      <c r="J1253" s="15"/>
      <c r="K1253" s="15"/>
      <c r="L1253" s="22"/>
      <c r="M1253" s="22"/>
      <c r="N1253" s="22"/>
      <c r="O1253" s="31"/>
      <c r="P1253" s="167"/>
      <c r="S1253" s="193"/>
      <c r="T1253" s="193"/>
      <c r="W1253" s="13">
        <v>336.1</v>
      </c>
      <c r="AY1253" s="13" t="s">
        <v>1124</v>
      </c>
      <c r="CA1253" s="33"/>
    </row>
    <row r="1254" spans="3:79" s="13" customFormat="1" ht="26.25" customHeight="1">
      <c r="C1254" s="136" t="s">
        <v>1835</v>
      </c>
      <c r="D1254" s="15"/>
      <c r="F1254" s="42"/>
      <c r="G1254" s="21"/>
      <c r="H1254" s="15" t="s">
        <v>117</v>
      </c>
      <c r="I1254" s="15"/>
      <c r="J1254" s="15"/>
      <c r="K1254" s="15"/>
      <c r="L1254" s="22"/>
      <c r="M1254" s="22"/>
      <c r="N1254" s="22"/>
      <c r="O1254" s="31"/>
      <c r="P1254" s="167"/>
      <c r="S1254" s="193"/>
      <c r="T1254" s="193"/>
      <c r="W1254" s="13">
        <v>673.3</v>
      </c>
      <c r="AY1254" s="13" t="s">
        <v>1124</v>
      </c>
      <c r="CA1254" s="33"/>
    </row>
    <row r="1255" spans="3:79" s="13" customFormat="1" ht="26.25" customHeight="1">
      <c r="C1255" s="136" t="s">
        <v>1836</v>
      </c>
      <c r="D1255" s="15"/>
      <c r="F1255" s="42"/>
      <c r="G1255" s="21"/>
      <c r="H1255" s="15" t="s">
        <v>111</v>
      </c>
      <c r="I1255" s="15"/>
      <c r="J1255" s="15"/>
      <c r="K1255" s="15"/>
      <c r="L1255" s="22"/>
      <c r="M1255" s="22"/>
      <c r="N1255" s="22"/>
      <c r="O1255" s="31"/>
      <c r="P1255" s="167"/>
      <c r="S1255" s="193"/>
      <c r="T1255" s="193"/>
      <c r="W1255" s="13">
        <v>336.55</v>
      </c>
      <c r="AY1255" s="13" t="s">
        <v>1124</v>
      </c>
      <c r="CA1255" s="33"/>
    </row>
    <row r="1256" spans="3:79" s="13" customFormat="1" ht="26.25" customHeight="1">
      <c r="C1256" s="136" t="s">
        <v>1837</v>
      </c>
      <c r="D1256" s="15"/>
      <c r="F1256" s="42"/>
      <c r="G1256" s="21"/>
      <c r="H1256" s="15" t="s">
        <v>106</v>
      </c>
      <c r="I1256" s="15"/>
      <c r="J1256" s="15"/>
      <c r="K1256" s="15"/>
      <c r="L1256" s="22"/>
      <c r="M1256" s="22"/>
      <c r="N1256" s="22"/>
      <c r="O1256" s="31"/>
      <c r="P1256" s="167"/>
      <c r="S1256" s="193"/>
      <c r="T1256" s="193"/>
      <c r="W1256" s="13">
        <v>336.17</v>
      </c>
      <c r="AY1256" s="13" t="s">
        <v>1124</v>
      </c>
      <c r="CA1256" s="33"/>
    </row>
    <row r="1257" spans="3:79" s="13" customFormat="1" ht="26.25" customHeight="1">
      <c r="C1257" s="136" t="s">
        <v>1838</v>
      </c>
      <c r="D1257" s="15"/>
      <c r="F1257" s="42"/>
      <c r="G1257" s="21"/>
      <c r="H1257" s="15" t="s">
        <v>242</v>
      </c>
      <c r="I1257" s="15"/>
      <c r="J1257" s="15"/>
      <c r="K1257" s="15"/>
      <c r="L1257" s="22"/>
      <c r="M1257" s="22"/>
      <c r="N1257" s="22"/>
      <c r="O1257" s="31"/>
      <c r="P1257" s="167"/>
      <c r="S1257" s="193"/>
      <c r="T1257" s="193"/>
      <c r="W1257" s="13">
        <v>336</v>
      </c>
      <c r="AY1257" s="13" t="s">
        <v>1124</v>
      </c>
      <c r="CA1257" s="33"/>
    </row>
    <row r="1258" spans="3:79" s="13" customFormat="1" ht="26.25" customHeight="1">
      <c r="C1258" s="136" t="s">
        <v>1839</v>
      </c>
      <c r="D1258" s="15"/>
      <c r="F1258" s="42"/>
      <c r="G1258" s="21"/>
      <c r="H1258" s="15" t="s">
        <v>230</v>
      </c>
      <c r="I1258" s="15"/>
      <c r="J1258" s="15"/>
      <c r="K1258" s="15"/>
      <c r="L1258" s="22"/>
      <c r="M1258" s="22"/>
      <c r="N1258" s="22"/>
      <c r="O1258" s="31"/>
      <c r="P1258" s="167"/>
      <c r="S1258" s="193"/>
      <c r="T1258" s="193"/>
      <c r="W1258" s="13">
        <v>547.48</v>
      </c>
      <c r="AY1258" s="13" t="s">
        <v>1124</v>
      </c>
      <c r="CA1258" s="33"/>
    </row>
    <row r="1259" spans="3:79" s="13" customFormat="1" ht="26.25" customHeight="1">
      <c r="C1259" s="136" t="s">
        <v>1840</v>
      </c>
      <c r="D1259" s="15"/>
      <c r="F1259" s="42"/>
      <c r="G1259" s="21"/>
      <c r="H1259" s="15" t="s">
        <v>240</v>
      </c>
      <c r="I1259" s="15"/>
      <c r="J1259" s="15"/>
      <c r="K1259" s="15"/>
      <c r="L1259" s="22"/>
      <c r="M1259" s="22"/>
      <c r="N1259" s="22"/>
      <c r="O1259" s="31"/>
      <c r="P1259" s="167"/>
      <c r="S1259" s="193"/>
      <c r="T1259" s="193"/>
      <c r="W1259" s="13">
        <v>336.17</v>
      </c>
      <c r="AY1259" s="13" t="s">
        <v>1124</v>
      </c>
      <c r="CA1259" s="33"/>
    </row>
    <row r="1260" spans="3:79" s="13" customFormat="1" ht="26.25" customHeight="1">
      <c r="C1260" s="136" t="s">
        <v>1841</v>
      </c>
      <c r="D1260" s="15"/>
      <c r="F1260" s="42"/>
      <c r="G1260" s="21"/>
      <c r="H1260" s="15" t="s">
        <v>111</v>
      </c>
      <c r="I1260" s="15"/>
      <c r="J1260" s="15"/>
      <c r="K1260" s="15"/>
      <c r="L1260" s="22"/>
      <c r="M1260" s="22"/>
      <c r="N1260" s="22"/>
      <c r="O1260" s="31"/>
      <c r="P1260" s="167"/>
      <c r="S1260" s="193"/>
      <c r="T1260" s="193"/>
      <c r="W1260" s="13">
        <v>336.55</v>
      </c>
      <c r="AY1260" s="13" t="s">
        <v>1124</v>
      </c>
      <c r="CA1260" s="33"/>
    </row>
    <row r="1261" spans="3:79" s="13" customFormat="1" ht="26.25" customHeight="1">
      <c r="C1261" s="136" t="s">
        <v>1842</v>
      </c>
      <c r="D1261" s="15"/>
      <c r="F1261" s="42"/>
      <c r="G1261" s="21"/>
      <c r="H1261" s="15" t="s">
        <v>238</v>
      </c>
      <c r="I1261" s="15"/>
      <c r="J1261" s="15"/>
      <c r="K1261" s="15"/>
      <c r="L1261" s="22"/>
      <c r="M1261" s="22"/>
      <c r="N1261" s="22"/>
      <c r="O1261" s="31"/>
      <c r="P1261" s="167"/>
      <c r="S1261" s="193"/>
      <c r="T1261" s="193"/>
      <c r="W1261" s="13">
        <v>670.93</v>
      </c>
      <c r="AY1261" s="13" t="s">
        <v>1124</v>
      </c>
      <c r="CA1261" s="33"/>
    </row>
    <row r="1262" spans="3:79" s="13" customFormat="1" ht="26.25" customHeight="1">
      <c r="C1262" s="136" t="s">
        <v>1843</v>
      </c>
      <c r="D1262" s="15"/>
      <c r="F1262" s="42"/>
      <c r="G1262" s="21"/>
      <c r="H1262" s="15" t="s">
        <v>237</v>
      </c>
      <c r="I1262" s="15"/>
      <c r="J1262" s="15"/>
      <c r="K1262" s="15"/>
      <c r="L1262" s="22"/>
      <c r="M1262" s="22"/>
      <c r="N1262" s="22"/>
      <c r="O1262" s="31"/>
      <c r="P1262" s="167"/>
      <c r="S1262" s="193"/>
      <c r="T1262" s="193"/>
      <c r="W1262" s="13">
        <v>670.93</v>
      </c>
      <c r="AY1262" s="13" t="s">
        <v>1124</v>
      </c>
      <c r="CA1262" s="33"/>
    </row>
    <row r="1263" spans="3:79" s="13" customFormat="1" ht="26.25" customHeight="1">
      <c r="C1263" s="136" t="s">
        <v>1844</v>
      </c>
      <c r="D1263" s="15"/>
      <c r="F1263" s="42"/>
      <c r="G1263" s="21"/>
      <c r="H1263" s="15" t="s">
        <v>235</v>
      </c>
      <c r="I1263" s="15"/>
      <c r="J1263" s="15"/>
      <c r="K1263" s="15"/>
      <c r="L1263" s="22"/>
      <c r="M1263" s="22"/>
      <c r="N1263" s="22"/>
      <c r="O1263" s="31"/>
      <c r="P1263" s="167"/>
      <c r="S1263" s="193"/>
      <c r="T1263" s="193"/>
      <c r="W1263" s="13">
        <v>336.55</v>
      </c>
      <c r="AY1263" s="13" t="s">
        <v>1124</v>
      </c>
      <c r="CA1263" s="33"/>
    </row>
    <row r="1264" spans="3:79" s="13" customFormat="1" ht="26.25" customHeight="1">
      <c r="C1264" s="136" t="s">
        <v>1845</v>
      </c>
      <c r="D1264" s="15"/>
      <c r="F1264" s="42"/>
      <c r="G1264" s="21"/>
      <c r="H1264" s="15" t="s">
        <v>234</v>
      </c>
      <c r="I1264" s="15"/>
      <c r="J1264" s="15"/>
      <c r="K1264" s="15"/>
      <c r="L1264" s="22"/>
      <c r="M1264" s="22"/>
      <c r="N1264" s="22"/>
      <c r="O1264" s="31"/>
      <c r="P1264" s="167"/>
      <c r="S1264" s="193"/>
      <c r="T1264" s="193"/>
      <c r="W1264" s="13">
        <v>829.37</v>
      </c>
      <c r="AY1264" s="13" t="s">
        <v>1124</v>
      </c>
      <c r="CA1264" s="33"/>
    </row>
    <row r="1265" spans="3:86" s="13" customFormat="1" ht="26.25" customHeight="1">
      <c r="C1265" s="136" t="s">
        <v>1846</v>
      </c>
      <c r="D1265" s="15"/>
      <c r="F1265" s="42"/>
      <c r="G1265" s="21"/>
      <c r="H1265" s="15" t="s">
        <v>232</v>
      </c>
      <c r="I1265" s="15"/>
      <c r="J1265" s="15"/>
      <c r="K1265" s="15"/>
      <c r="L1265" s="22"/>
      <c r="M1265" s="22"/>
      <c r="N1265" s="22"/>
      <c r="O1265" s="31"/>
      <c r="P1265" s="167"/>
      <c r="S1265" s="193"/>
      <c r="T1265" s="193"/>
      <c r="W1265" s="13">
        <v>829.37</v>
      </c>
      <c r="AY1265" s="13" t="s">
        <v>1124</v>
      </c>
      <c r="CA1265" s="33"/>
    </row>
    <row r="1266" spans="3:86" s="13" customFormat="1" ht="26.25" customHeight="1">
      <c r="C1266" s="136" t="s">
        <v>1847</v>
      </c>
      <c r="D1266" s="15"/>
      <c r="F1266" s="42"/>
      <c r="G1266" s="21"/>
      <c r="H1266" s="15" t="s">
        <v>230</v>
      </c>
      <c r="I1266" s="15"/>
      <c r="J1266" s="15"/>
      <c r="K1266" s="15"/>
      <c r="L1266" s="22"/>
      <c r="M1266" s="22"/>
      <c r="N1266" s="22"/>
      <c r="O1266" s="31"/>
      <c r="P1266" s="167"/>
      <c r="S1266" s="193"/>
      <c r="T1266" s="193"/>
      <c r="W1266" s="13">
        <v>7.64</v>
      </c>
      <c r="AY1266" s="13" t="s">
        <v>1124</v>
      </c>
      <c r="CA1266" s="33"/>
    </row>
    <row r="1267" spans="3:86" s="13" customFormat="1" ht="26.25" customHeight="1">
      <c r="C1267" s="136"/>
      <c r="D1267" s="21"/>
      <c r="E1267" s="15"/>
      <c r="F1267" s="31"/>
      <c r="G1267" s="42"/>
      <c r="H1267" s="21"/>
      <c r="I1267" s="21"/>
      <c r="J1267" s="21"/>
      <c r="K1267" s="21"/>
      <c r="L1267" s="22"/>
      <c r="M1267" s="22"/>
      <c r="N1267" s="22"/>
      <c r="O1267" s="22"/>
      <c r="P1267" s="167"/>
      <c r="S1267" s="193"/>
      <c r="T1267" s="193"/>
      <c r="CA1267" s="33"/>
    </row>
    <row r="1268" spans="3:86" s="13" customFormat="1" ht="26.25" customHeight="1">
      <c r="C1268" s="136"/>
      <c r="D1268" s="21"/>
      <c r="E1268" s="15"/>
      <c r="F1268" s="31"/>
      <c r="G1268" s="42"/>
      <c r="H1268" s="21"/>
      <c r="I1268" s="21"/>
      <c r="J1268" s="21"/>
      <c r="K1268" s="21"/>
      <c r="L1268" s="22"/>
      <c r="M1268" s="22"/>
      <c r="N1268" s="22"/>
      <c r="O1268" s="22"/>
      <c r="P1268" s="167"/>
      <c r="S1268" s="193"/>
      <c r="T1268" s="193"/>
      <c r="CA1268" s="33"/>
    </row>
    <row r="1269" spans="3:86" s="13" customFormat="1" ht="26.25" customHeight="1">
      <c r="C1269" s="136"/>
      <c r="D1269" s="21"/>
      <c r="E1269" s="15"/>
      <c r="F1269" s="31"/>
      <c r="G1269" s="42"/>
      <c r="H1269" s="21"/>
      <c r="I1269" s="21"/>
      <c r="J1269" s="21"/>
      <c r="K1269" s="21"/>
      <c r="L1269" s="22"/>
      <c r="M1269" s="22"/>
      <c r="N1269" s="22"/>
      <c r="O1269" s="22"/>
      <c r="P1269" s="167"/>
      <c r="S1269" s="193"/>
      <c r="T1269" s="193"/>
      <c r="CA1269" s="33"/>
    </row>
    <row r="1270" spans="3:86" s="13" customFormat="1" ht="26.25" customHeight="1">
      <c r="C1270" s="136"/>
      <c r="D1270" s="21"/>
      <c r="E1270" s="15"/>
      <c r="F1270" s="31"/>
      <c r="G1270" s="42"/>
      <c r="H1270" s="21"/>
      <c r="I1270" s="21"/>
      <c r="J1270" s="21"/>
      <c r="K1270" s="21"/>
      <c r="L1270" s="22"/>
      <c r="M1270" s="22"/>
      <c r="N1270" s="22"/>
      <c r="O1270" s="22"/>
      <c r="P1270" s="167"/>
      <c r="S1270" s="193"/>
      <c r="T1270" s="193"/>
      <c r="CA1270" s="33"/>
    </row>
    <row r="1271" spans="3:86" s="13" customFormat="1" ht="26.25" customHeight="1">
      <c r="C1271" s="136"/>
      <c r="D1271" s="21"/>
      <c r="E1271" s="15"/>
      <c r="F1271" s="31"/>
      <c r="G1271" s="42"/>
      <c r="H1271" s="21"/>
      <c r="I1271" s="21"/>
      <c r="J1271" s="21"/>
      <c r="K1271" s="21"/>
      <c r="L1271" s="22"/>
      <c r="M1271" s="22"/>
      <c r="N1271" s="22"/>
      <c r="O1271" s="22"/>
      <c r="P1271" s="167"/>
      <c r="S1271" s="193"/>
      <c r="T1271" s="193"/>
      <c r="CA1271" s="33"/>
    </row>
    <row r="1272" spans="3:86" s="13" customFormat="1" ht="26.25" customHeight="1">
      <c r="C1272" s="136"/>
      <c r="D1272" s="21"/>
      <c r="E1272" s="15"/>
      <c r="F1272" s="31"/>
      <c r="G1272" s="42"/>
      <c r="H1272" s="21"/>
      <c r="I1272" s="21"/>
      <c r="J1272" s="21"/>
      <c r="K1272" s="21"/>
      <c r="L1272" s="22"/>
      <c r="M1272" s="22"/>
      <c r="N1272" s="22"/>
      <c r="O1272" s="22"/>
      <c r="P1272" s="167"/>
      <c r="S1272" s="193"/>
      <c r="T1272" s="193"/>
      <c r="CA1272" s="33"/>
    </row>
    <row r="1273" spans="3:86" s="63" customFormat="1" ht="19.5">
      <c r="C1273" s="136" t="s">
        <v>1848</v>
      </c>
      <c r="D1273" s="65"/>
      <c r="E1273" s="65"/>
      <c r="F1273" s="60" t="s">
        <v>104</v>
      </c>
      <c r="G1273" s="64"/>
      <c r="H1273" s="65"/>
      <c r="I1273" s="65"/>
      <c r="J1273" s="65"/>
      <c r="K1273" s="65"/>
      <c r="L1273" s="65"/>
      <c r="M1273" s="65"/>
      <c r="N1273" s="65"/>
      <c r="O1273" s="65"/>
      <c r="P1273" s="176"/>
      <c r="Q1273" s="65"/>
      <c r="R1273" s="65"/>
      <c r="S1273" s="201"/>
      <c r="T1273" s="201"/>
      <c r="U1273" s="60"/>
      <c r="V1273" s="60"/>
      <c r="W1273" s="60"/>
      <c r="X1273" s="60" t="s">
        <v>105</v>
      </c>
      <c r="Y1273" s="60"/>
      <c r="Z1273" s="60" t="s">
        <v>102</v>
      </c>
      <c r="AB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6"/>
      <c r="AN1273" s="66"/>
      <c r="AO1273" s="66"/>
      <c r="AP1273" s="66"/>
      <c r="AQ1273" s="66"/>
      <c r="AR1273" s="66"/>
      <c r="AS1273" s="60"/>
      <c r="AT1273" s="60"/>
      <c r="AU1273" s="60"/>
      <c r="AV1273" s="60"/>
      <c r="AW1273" s="60"/>
      <c r="AX1273" s="60"/>
      <c r="AY1273" s="60"/>
      <c r="AZ1273" s="60"/>
      <c r="BA1273" s="60"/>
      <c r="BB1273" s="60"/>
      <c r="BC1273" s="60"/>
      <c r="BD1273" s="60"/>
      <c r="BE1273" s="60"/>
      <c r="BF1273" s="60"/>
      <c r="BG1273" s="60"/>
      <c r="BH1273" s="60"/>
      <c r="BI1273" s="116" t="str">
        <f>C1273&amp;"(第"&amp;E1273&amp;"版）"</f>
        <v>札幌殺人事件上-内田康夫(第版）</v>
      </c>
      <c r="BJ1273" s="60">
        <v>1</v>
      </c>
      <c r="BK1273" s="60" t="s">
        <v>88</v>
      </c>
      <c r="BM1273" s="66"/>
      <c r="BN1273" s="60" t="s">
        <v>103</v>
      </c>
      <c r="BO1273" s="67"/>
      <c r="BP1273" s="67"/>
      <c r="BR1273" s="60" t="s">
        <v>100</v>
      </c>
      <c r="BS1273" s="60"/>
      <c r="BU1273" s="66"/>
      <c r="BV1273" s="66"/>
      <c r="BW1273" s="66"/>
      <c r="BX1273" s="66"/>
      <c r="BY1273" s="66"/>
      <c r="BZ1273" s="66"/>
      <c r="CA1273" s="152"/>
      <c r="CB1273" s="66"/>
      <c r="CC1273" s="66"/>
      <c r="CD1273" s="66"/>
      <c r="CE1273" s="66"/>
      <c r="CF1273" s="66"/>
      <c r="CG1273" s="66"/>
      <c r="CH1273" s="66"/>
    </row>
    <row r="1274" spans="3:86" s="63" customFormat="1" ht="19.5">
      <c r="C1274" s="136" t="s">
        <v>1849</v>
      </c>
      <c r="D1274" s="65"/>
      <c r="E1274" s="65"/>
      <c r="F1274" s="60" t="s">
        <v>91</v>
      </c>
      <c r="G1274" s="64"/>
      <c r="H1274" s="65"/>
      <c r="I1274" s="65"/>
      <c r="J1274" s="65"/>
      <c r="K1274" s="65"/>
      <c r="L1274" s="65"/>
      <c r="M1274" s="65"/>
      <c r="N1274" s="65"/>
      <c r="O1274" s="65"/>
      <c r="P1274" s="176"/>
      <c r="Q1274" s="65"/>
      <c r="R1274" s="65"/>
      <c r="S1274" s="201"/>
      <c r="T1274" s="201"/>
      <c r="U1274" s="60"/>
      <c r="V1274" s="60"/>
      <c r="W1274" s="60"/>
      <c r="X1274" s="60" t="s">
        <v>96</v>
      </c>
      <c r="Y1274" s="60"/>
      <c r="Z1274" s="60" t="s">
        <v>102</v>
      </c>
      <c r="AB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6"/>
      <c r="AN1274" s="66"/>
      <c r="AO1274" s="66"/>
      <c r="AP1274" s="66"/>
      <c r="AQ1274" s="66"/>
      <c r="AR1274" s="66"/>
      <c r="AS1274" s="60"/>
      <c r="AT1274" s="60"/>
      <c r="AU1274" s="60"/>
      <c r="AV1274" s="60"/>
      <c r="AW1274" s="60"/>
      <c r="AX1274" s="60"/>
      <c r="AY1274" s="60"/>
      <c r="AZ1274" s="60"/>
      <c r="BA1274" s="60"/>
      <c r="BB1274" s="60"/>
      <c r="BC1274" s="60"/>
      <c r="BD1274" s="60"/>
      <c r="BE1274" s="60"/>
      <c r="BF1274" s="60"/>
      <c r="BG1274" s="60"/>
      <c r="BH1274" s="60"/>
      <c r="BI1274" s="116" t="str">
        <f>C1274&amp;"(第"&amp;E1274&amp;"版）"</f>
        <v>札幌殺人事件下-内田康夫(第版）</v>
      </c>
      <c r="BJ1274" s="60">
        <v>1</v>
      </c>
      <c r="BK1274" s="60" t="s">
        <v>88</v>
      </c>
      <c r="BM1274" s="66"/>
      <c r="BN1274" s="60" t="s">
        <v>94</v>
      </c>
      <c r="BO1274" s="67"/>
      <c r="BP1274" s="67"/>
      <c r="BR1274" s="60" t="s">
        <v>100</v>
      </c>
      <c r="BS1274" s="60"/>
      <c r="BU1274" s="66"/>
      <c r="BV1274" s="66"/>
      <c r="BW1274" s="66"/>
      <c r="BX1274" s="66"/>
      <c r="BY1274" s="66"/>
      <c r="BZ1274" s="66"/>
      <c r="CA1274" s="152"/>
      <c r="CB1274" s="66"/>
      <c r="CC1274" s="66"/>
      <c r="CD1274" s="66"/>
      <c r="CE1274" s="66"/>
      <c r="CF1274" s="66"/>
      <c r="CG1274" s="66"/>
      <c r="CH1274" s="66"/>
    </row>
    <row r="1275" spans="3:86" s="63" customFormat="1" ht="19.5">
      <c r="C1275" s="136" t="s">
        <v>1850</v>
      </c>
      <c r="D1275" s="65"/>
      <c r="E1275" s="65"/>
      <c r="F1275" s="60" t="s">
        <v>91</v>
      </c>
      <c r="G1275" s="64"/>
      <c r="H1275" s="65"/>
      <c r="I1275" s="65"/>
      <c r="J1275" s="65"/>
      <c r="K1275" s="65"/>
      <c r="L1275" s="65"/>
      <c r="M1275" s="65"/>
      <c r="N1275" s="65"/>
      <c r="O1275" s="65"/>
      <c r="P1275" s="176"/>
      <c r="Q1275" s="65"/>
      <c r="R1275" s="65"/>
      <c r="S1275" s="201"/>
      <c r="T1275" s="201"/>
      <c r="U1275" s="60"/>
      <c r="V1275" s="60"/>
      <c r="W1275" s="60"/>
      <c r="X1275" s="60" t="s">
        <v>96</v>
      </c>
      <c r="Y1275" s="60"/>
      <c r="Z1275" s="60" t="s">
        <v>95</v>
      </c>
      <c r="AB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6"/>
      <c r="AN1275" s="66"/>
      <c r="AO1275" s="66"/>
      <c r="AP1275" s="66"/>
      <c r="AQ1275" s="66"/>
      <c r="AR1275" s="66"/>
      <c r="AS1275" s="60"/>
      <c r="AT1275" s="60"/>
      <c r="AU1275" s="60"/>
      <c r="AV1275" s="60"/>
      <c r="AW1275" s="60"/>
      <c r="AX1275" s="60"/>
      <c r="AY1275" s="60"/>
      <c r="AZ1275" s="60"/>
      <c r="BA1275" s="60"/>
      <c r="BB1275" s="60"/>
      <c r="BC1275" s="60"/>
      <c r="BD1275" s="60"/>
      <c r="BE1275" s="60"/>
      <c r="BF1275" s="60"/>
      <c r="BG1275" s="60"/>
      <c r="BH1275" s="60"/>
      <c r="BI1275" s="116" t="str">
        <f>C1275&amp;"(第"&amp;E1275&amp;"版）"</f>
        <v>金沢殺人事件-内田康夫(第版）</v>
      </c>
      <c r="BJ1275" s="60">
        <v>1</v>
      </c>
      <c r="BK1275" s="60" t="s">
        <v>88</v>
      </c>
      <c r="BM1275" s="66"/>
      <c r="BN1275" s="60" t="s">
        <v>94</v>
      </c>
      <c r="BO1275" s="67"/>
      <c r="BP1275" s="67"/>
      <c r="BR1275" s="60" t="s">
        <v>100</v>
      </c>
      <c r="BS1275" s="60"/>
      <c r="BU1275" s="66"/>
      <c r="BV1275" s="66"/>
      <c r="BW1275" s="66"/>
      <c r="BX1275" s="66"/>
      <c r="BY1275" s="66"/>
      <c r="BZ1275" s="66"/>
      <c r="CA1275" s="152"/>
      <c r="CB1275" s="66"/>
      <c r="CC1275" s="66"/>
      <c r="CD1275" s="66"/>
      <c r="CE1275" s="66"/>
      <c r="CF1275" s="66"/>
      <c r="CG1275" s="66"/>
      <c r="CH1275" s="66"/>
    </row>
    <row r="1276" spans="3:86" s="63" customFormat="1" ht="19.5">
      <c r="C1276" s="136" t="s">
        <v>1851</v>
      </c>
      <c r="D1276" s="65"/>
      <c r="E1276" s="65"/>
      <c r="F1276" s="60" t="s">
        <v>91</v>
      </c>
      <c r="G1276" s="64"/>
      <c r="H1276" s="65"/>
      <c r="I1276" s="65"/>
      <c r="J1276" s="65"/>
      <c r="K1276" s="65"/>
      <c r="L1276" s="65"/>
      <c r="M1276" s="65"/>
      <c r="N1276" s="65"/>
      <c r="O1276" s="65"/>
      <c r="P1276" s="176"/>
      <c r="Q1276" s="65"/>
      <c r="R1276" s="65"/>
      <c r="S1276" s="201"/>
      <c r="T1276" s="201"/>
      <c r="U1276" s="60"/>
      <c r="V1276" s="60"/>
      <c r="W1276" s="60"/>
      <c r="X1276" s="60" t="s">
        <v>96</v>
      </c>
      <c r="Y1276" s="60"/>
      <c r="Z1276" s="60" t="s">
        <v>95</v>
      </c>
      <c r="AB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6"/>
      <c r="AN1276" s="66"/>
      <c r="AO1276" s="66"/>
      <c r="AP1276" s="66"/>
      <c r="AQ1276" s="66"/>
      <c r="AR1276" s="66"/>
      <c r="AS1276" s="60"/>
      <c r="AT1276" s="60"/>
      <c r="AU1276" s="60"/>
      <c r="AV1276" s="60"/>
      <c r="AW1276" s="60"/>
      <c r="AX1276" s="60"/>
      <c r="AY1276" s="60"/>
      <c r="AZ1276" s="60"/>
      <c r="BA1276" s="60"/>
      <c r="BB1276" s="60"/>
      <c r="BC1276" s="60"/>
      <c r="BD1276" s="60"/>
      <c r="BE1276" s="60"/>
      <c r="BF1276" s="60"/>
      <c r="BG1276" s="60"/>
      <c r="BH1276" s="60"/>
      <c r="BI1276" s="60"/>
      <c r="BJ1276" s="68">
        <v>1</v>
      </c>
      <c r="BK1276" s="60" t="s">
        <v>88</v>
      </c>
      <c r="BM1276" s="66"/>
      <c r="BN1276" s="68"/>
      <c r="BO1276" s="67"/>
      <c r="BP1276" s="67"/>
      <c r="BR1276" s="60" t="s">
        <v>100</v>
      </c>
      <c r="BS1276" s="60"/>
      <c r="BU1276" s="66"/>
      <c r="BV1276" s="66"/>
      <c r="BW1276" s="66"/>
      <c r="BX1276" s="66"/>
      <c r="BY1276" s="66"/>
      <c r="BZ1276" s="66"/>
      <c r="CA1276" s="152"/>
      <c r="CB1276" s="66"/>
      <c r="CC1276" s="66"/>
      <c r="CD1276" s="66"/>
      <c r="CE1276" s="66"/>
      <c r="CF1276" s="66"/>
      <c r="CG1276" s="66"/>
      <c r="CH1276" s="66"/>
    </row>
    <row r="1277" spans="3:86" s="63" customFormat="1" ht="19.5">
      <c r="C1277" s="136"/>
      <c r="D1277" s="70"/>
      <c r="E1277" s="70"/>
      <c r="F1277" s="60" t="s">
        <v>91</v>
      </c>
      <c r="G1277" s="69"/>
      <c r="H1277" s="70"/>
      <c r="I1277" s="70"/>
      <c r="J1277" s="70"/>
      <c r="K1277" s="70"/>
      <c r="L1277" s="70"/>
      <c r="M1277" s="70"/>
      <c r="N1277" s="70"/>
      <c r="O1277" s="70"/>
      <c r="P1277" s="176"/>
      <c r="Q1277" s="70"/>
      <c r="R1277" s="70"/>
      <c r="S1277" s="202"/>
      <c r="T1277" s="202"/>
      <c r="U1277" s="60"/>
      <c r="V1277" s="60"/>
      <c r="W1277" s="60"/>
      <c r="X1277" s="60" t="s">
        <v>96</v>
      </c>
      <c r="Y1277" s="60"/>
      <c r="Z1277" s="68"/>
      <c r="AB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6"/>
      <c r="AN1277" s="66"/>
      <c r="AO1277" s="66"/>
      <c r="AP1277" s="66"/>
      <c r="AQ1277" s="66"/>
      <c r="AR1277" s="66"/>
      <c r="AS1277" s="60"/>
      <c r="AT1277" s="60"/>
      <c r="AU1277" s="60"/>
      <c r="AV1277" s="60"/>
      <c r="AW1277" s="60"/>
      <c r="AX1277" s="60"/>
      <c r="AY1277" s="60"/>
      <c r="AZ1277" s="60"/>
      <c r="BA1277" s="60"/>
      <c r="BB1277" s="60"/>
      <c r="BC1277" s="60"/>
      <c r="BD1277" s="60"/>
      <c r="BE1277" s="60"/>
      <c r="BF1277" s="60"/>
      <c r="BG1277" s="60"/>
      <c r="BH1277" s="60"/>
      <c r="BI1277" s="60"/>
      <c r="BJ1277" s="68"/>
      <c r="BK1277" s="68"/>
      <c r="BM1277" s="66"/>
      <c r="BN1277" s="68"/>
      <c r="BO1277" s="67"/>
      <c r="BP1277" s="67"/>
      <c r="BR1277" s="68"/>
      <c r="BS1277" s="68"/>
      <c r="BU1277" s="66"/>
      <c r="BV1277" s="66"/>
      <c r="BW1277" s="66"/>
      <c r="BX1277" s="66"/>
      <c r="BY1277" s="66"/>
      <c r="BZ1277" s="66"/>
      <c r="CA1277" s="152"/>
      <c r="CB1277" s="66"/>
      <c r="CC1277" s="66"/>
      <c r="CD1277" s="66"/>
      <c r="CE1277" s="66"/>
      <c r="CF1277" s="66"/>
      <c r="CG1277" s="66"/>
      <c r="CH1277" s="66"/>
    </row>
    <row r="1278" spans="3:86" s="63" customFormat="1" ht="19.5">
      <c r="C1278" s="136" t="s">
        <v>1852</v>
      </c>
      <c r="D1278" s="65"/>
      <c r="E1278" s="65"/>
      <c r="F1278" s="60" t="s">
        <v>91</v>
      </c>
      <c r="G1278" s="64"/>
      <c r="H1278" s="65"/>
      <c r="I1278" s="65"/>
      <c r="J1278" s="65"/>
      <c r="K1278" s="65"/>
      <c r="L1278" s="65"/>
      <c r="M1278" s="65"/>
      <c r="N1278" s="65"/>
      <c r="O1278" s="65"/>
      <c r="P1278" s="176"/>
      <c r="Q1278" s="65"/>
      <c r="R1278" s="65"/>
      <c r="S1278" s="201"/>
      <c r="T1278" s="201"/>
      <c r="U1278" s="60"/>
      <c r="V1278" s="60"/>
      <c r="W1278" s="60"/>
      <c r="X1278" s="60" t="s">
        <v>101</v>
      </c>
      <c r="Y1278" s="60"/>
      <c r="Z1278" s="60" t="s">
        <v>95</v>
      </c>
      <c r="AB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6"/>
      <c r="AN1278" s="66"/>
      <c r="AO1278" s="66"/>
      <c r="AP1278" s="66"/>
      <c r="AQ1278" s="66"/>
      <c r="AR1278" s="66"/>
      <c r="AS1278" s="60"/>
      <c r="AT1278" s="60"/>
      <c r="AU1278" s="60"/>
      <c r="AV1278" s="60"/>
      <c r="AW1278" s="60"/>
      <c r="AX1278" s="60"/>
      <c r="AY1278" s="60"/>
      <c r="AZ1278" s="60"/>
      <c r="BA1278" s="60"/>
      <c r="BB1278" s="60"/>
      <c r="BC1278" s="60"/>
      <c r="BD1278" s="60"/>
      <c r="BE1278" s="60"/>
      <c r="BF1278" s="60"/>
      <c r="BG1278" s="60"/>
      <c r="BH1278" s="60"/>
      <c r="BI1278" s="60"/>
      <c r="BJ1278" s="68">
        <v>1</v>
      </c>
      <c r="BK1278" s="60" t="s">
        <v>98</v>
      </c>
      <c r="BM1278" s="66"/>
      <c r="BN1278" s="68"/>
      <c r="BO1278" s="67"/>
      <c r="BP1278" s="67">
        <v>50</v>
      </c>
      <c r="BR1278" s="68"/>
      <c r="BS1278" s="68"/>
      <c r="BU1278" s="66"/>
      <c r="BV1278" s="66"/>
      <c r="BW1278" s="66"/>
      <c r="BX1278" s="66"/>
      <c r="BY1278" s="66"/>
      <c r="BZ1278" s="71" t="s">
        <v>97</v>
      </c>
      <c r="CA1278" s="152"/>
      <c r="CB1278" s="66"/>
      <c r="CC1278" s="66"/>
      <c r="CD1278" s="66"/>
      <c r="CE1278" s="66"/>
      <c r="CF1278" s="66"/>
      <c r="CG1278" s="66"/>
      <c r="CH1278" s="66"/>
    </row>
    <row r="1279" spans="3:86" s="63" customFormat="1" ht="19.5">
      <c r="C1279" s="136"/>
      <c r="D1279" s="70"/>
      <c r="E1279" s="70"/>
      <c r="F1279" s="60" t="s">
        <v>91</v>
      </c>
      <c r="G1279" s="69"/>
      <c r="H1279" s="70"/>
      <c r="I1279" s="70"/>
      <c r="J1279" s="70"/>
      <c r="K1279" s="70"/>
      <c r="L1279" s="70"/>
      <c r="M1279" s="70"/>
      <c r="N1279" s="70"/>
      <c r="O1279" s="70"/>
      <c r="P1279" s="176"/>
      <c r="Q1279" s="70"/>
      <c r="R1279" s="70"/>
      <c r="S1279" s="202"/>
      <c r="T1279" s="202"/>
      <c r="U1279" s="60"/>
      <c r="V1279" s="60"/>
      <c r="W1279" s="60"/>
      <c r="X1279" s="68"/>
      <c r="Y1279" s="60"/>
      <c r="Z1279" s="68"/>
      <c r="AB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6"/>
      <c r="AN1279" s="66"/>
      <c r="AO1279" s="66"/>
      <c r="AP1279" s="66"/>
      <c r="AQ1279" s="66"/>
      <c r="AR1279" s="66"/>
      <c r="AS1279" s="60"/>
      <c r="AT1279" s="60"/>
      <c r="AU1279" s="60"/>
      <c r="AV1279" s="60"/>
      <c r="AW1279" s="60"/>
      <c r="AX1279" s="60"/>
      <c r="AY1279" s="60"/>
      <c r="AZ1279" s="60"/>
      <c r="BA1279" s="60"/>
      <c r="BB1279" s="60"/>
      <c r="BC1279" s="60"/>
      <c r="BD1279" s="60"/>
      <c r="BE1279" s="60"/>
      <c r="BF1279" s="60"/>
      <c r="BG1279" s="60"/>
      <c r="BH1279" s="60"/>
      <c r="BI1279" s="60"/>
      <c r="BJ1279" s="68"/>
      <c r="BK1279" s="68"/>
      <c r="BM1279" s="66"/>
      <c r="BN1279" s="68"/>
      <c r="BO1279" s="67"/>
      <c r="BP1279" s="67"/>
      <c r="BR1279" s="68"/>
      <c r="BS1279" s="68"/>
      <c r="BU1279" s="66"/>
      <c r="BV1279" s="66"/>
      <c r="BW1279" s="66"/>
      <c r="BX1279" s="66"/>
      <c r="BY1279" s="66"/>
      <c r="BZ1279" s="66"/>
      <c r="CA1279" s="152"/>
      <c r="CB1279" s="66"/>
      <c r="CC1279" s="66"/>
      <c r="CD1279" s="66"/>
      <c r="CE1279" s="66"/>
      <c r="CF1279" s="66"/>
      <c r="CG1279" s="66"/>
      <c r="CH1279" s="66"/>
    </row>
    <row r="1280" spans="3:86" s="63" customFormat="1" ht="19.5">
      <c r="C1280" s="136" t="s">
        <v>1853</v>
      </c>
      <c r="D1280" s="65"/>
      <c r="E1280" s="65"/>
      <c r="F1280" s="60" t="s">
        <v>91</v>
      </c>
      <c r="G1280" s="64"/>
      <c r="H1280" s="65"/>
      <c r="I1280" s="65"/>
      <c r="J1280" s="65"/>
      <c r="K1280" s="65"/>
      <c r="L1280" s="65"/>
      <c r="M1280" s="65"/>
      <c r="N1280" s="65"/>
      <c r="O1280" s="65"/>
      <c r="P1280" s="176"/>
      <c r="Q1280" s="65"/>
      <c r="R1280" s="65"/>
      <c r="S1280" s="201"/>
      <c r="T1280" s="201"/>
      <c r="U1280" s="60"/>
      <c r="V1280" s="60"/>
      <c r="W1280" s="60"/>
      <c r="X1280" s="60" t="s">
        <v>99</v>
      </c>
      <c r="Y1280" s="60"/>
      <c r="Z1280" s="60" t="s">
        <v>95</v>
      </c>
      <c r="AB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6"/>
      <c r="AN1280" s="66"/>
      <c r="AO1280" s="66"/>
      <c r="AP1280" s="66"/>
      <c r="AQ1280" s="66"/>
      <c r="AR1280" s="66"/>
      <c r="AS1280" s="60"/>
      <c r="AT1280" s="60"/>
      <c r="AU1280" s="60"/>
      <c r="AV1280" s="60"/>
      <c r="AW1280" s="60"/>
      <c r="AX1280" s="60"/>
      <c r="AY1280" s="60"/>
      <c r="AZ1280" s="60"/>
      <c r="BA1280" s="60"/>
      <c r="BB1280" s="60"/>
      <c r="BC1280" s="60"/>
      <c r="BD1280" s="60"/>
      <c r="BE1280" s="60"/>
      <c r="BF1280" s="60"/>
      <c r="BG1280" s="60"/>
      <c r="BH1280" s="60"/>
      <c r="BI1280" s="60"/>
      <c r="BJ1280" s="60">
        <v>1</v>
      </c>
      <c r="BK1280" s="60" t="s">
        <v>88</v>
      </c>
      <c r="BM1280" s="66"/>
      <c r="BN1280" s="60" t="s">
        <v>94</v>
      </c>
      <c r="BO1280" s="72">
        <v>1300</v>
      </c>
      <c r="BP1280" s="67">
        <v>50</v>
      </c>
      <c r="BR1280" s="60" t="s">
        <v>100</v>
      </c>
      <c r="BS1280" s="60"/>
      <c r="BU1280" s="66"/>
      <c r="BV1280" s="66"/>
      <c r="BW1280" s="66"/>
      <c r="BX1280" s="66"/>
      <c r="BY1280" s="66"/>
      <c r="BZ1280" s="66"/>
      <c r="CA1280" s="152"/>
      <c r="CB1280" s="66"/>
      <c r="CC1280" s="66"/>
      <c r="CD1280" s="66"/>
      <c r="CE1280" s="66"/>
      <c r="CF1280" s="66"/>
      <c r="CG1280" s="66"/>
      <c r="CH1280" s="66"/>
    </row>
    <row r="1281" spans="3:86" s="63" customFormat="1" ht="19.5">
      <c r="C1281" s="136" t="s">
        <v>1854</v>
      </c>
      <c r="D1281" s="65"/>
      <c r="E1281" s="65"/>
      <c r="F1281" s="60" t="s">
        <v>91</v>
      </c>
      <c r="G1281" s="64"/>
      <c r="H1281" s="65"/>
      <c r="I1281" s="65"/>
      <c r="J1281" s="65"/>
      <c r="K1281" s="65"/>
      <c r="L1281" s="65"/>
      <c r="M1281" s="65"/>
      <c r="N1281" s="65"/>
      <c r="O1281" s="65"/>
      <c r="P1281" s="176"/>
      <c r="Q1281" s="65"/>
      <c r="R1281" s="65"/>
      <c r="S1281" s="201"/>
      <c r="T1281" s="201"/>
      <c r="U1281" s="60"/>
      <c r="V1281" s="60"/>
      <c r="W1281" s="60"/>
      <c r="X1281" s="60" t="s">
        <v>99</v>
      </c>
      <c r="Y1281" s="60"/>
      <c r="Z1281" s="60" t="s">
        <v>95</v>
      </c>
      <c r="AB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6"/>
      <c r="AN1281" s="66"/>
      <c r="AO1281" s="66"/>
      <c r="AP1281" s="66"/>
      <c r="AQ1281" s="66"/>
      <c r="AR1281" s="66"/>
      <c r="AS1281" s="60"/>
      <c r="AT1281" s="60"/>
      <c r="AU1281" s="60"/>
      <c r="AV1281" s="60"/>
      <c r="AW1281" s="60"/>
      <c r="AX1281" s="60"/>
      <c r="AY1281" s="60"/>
      <c r="AZ1281" s="60"/>
      <c r="BA1281" s="60"/>
      <c r="BB1281" s="60"/>
      <c r="BC1281" s="60"/>
      <c r="BD1281" s="60"/>
      <c r="BE1281" s="60"/>
      <c r="BF1281" s="60"/>
      <c r="BG1281" s="60"/>
      <c r="BH1281" s="60"/>
      <c r="BI1281" s="60"/>
      <c r="BJ1281" s="60">
        <v>1</v>
      </c>
      <c r="BK1281" s="60" t="s">
        <v>98</v>
      </c>
      <c r="BM1281" s="66"/>
      <c r="BN1281" s="60" t="s">
        <v>94</v>
      </c>
      <c r="BO1281" s="67">
        <v>1500</v>
      </c>
      <c r="BP1281" s="67">
        <v>50</v>
      </c>
      <c r="BR1281" s="60" t="s">
        <v>100</v>
      </c>
      <c r="BS1281" s="60"/>
      <c r="BU1281" s="66"/>
      <c r="BV1281" s="66"/>
      <c r="BW1281" s="66"/>
      <c r="BX1281" s="66"/>
      <c r="BY1281" s="66"/>
      <c r="BZ1281" s="71" t="s">
        <v>97</v>
      </c>
      <c r="CA1281" s="152"/>
      <c r="CB1281" s="66"/>
      <c r="CC1281" s="66"/>
      <c r="CD1281" s="66"/>
      <c r="CE1281" s="66"/>
      <c r="CF1281" s="66"/>
      <c r="CG1281" s="66"/>
      <c r="CH1281" s="66"/>
    </row>
    <row r="1282" spans="3:86" s="63" customFormat="1" ht="19.5">
      <c r="C1282" s="136" t="s">
        <v>1855</v>
      </c>
      <c r="D1282" s="65"/>
      <c r="E1282" s="65"/>
      <c r="F1282" s="60" t="s">
        <v>91</v>
      </c>
      <c r="G1282" s="64"/>
      <c r="H1282" s="65"/>
      <c r="I1282" s="65"/>
      <c r="J1282" s="65"/>
      <c r="K1282" s="65"/>
      <c r="L1282" s="65"/>
      <c r="M1282" s="65"/>
      <c r="N1282" s="65"/>
      <c r="O1282" s="65"/>
      <c r="P1282" s="176"/>
      <c r="Q1282" s="65"/>
      <c r="R1282" s="65"/>
      <c r="S1282" s="201"/>
      <c r="T1282" s="201"/>
      <c r="U1282" s="60"/>
      <c r="V1282" s="60"/>
      <c r="W1282" s="60"/>
      <c r="X1282" s="60" t="s">
        <v>99</v>
      </c>
      <c r="Y1282" s="60"/>
      <c r="Z1282" s="60" t="s">
        <v>95</v>
      </c>
      <c r="AB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6"/>
      <c r="AN1282" s="66"/>
      <c r="AO1282" s="66"/>
      <c r="AP1282" s="66"/>
      <c r="AQ1282" s="66"/>
      <c r="AR1282" s="66"/>
      <c r="AS1282" s="60"/>
      <c r="AT1282" s="60"/>
      <c r="AU1282" s="60"/>
      <c r="AV1282" s="60"/>
      <c r="AW1282" s="60"/>
      <c r="AX1282" s="60"/>
      <c r="AY1282" s="60"/>
      <c r="AZ1282" s="60"/>
      <c r="BA1282" s="60"/>
      <c r="BB1282" s="60"/>
      <c r="BC1282" s="60"/>
      <c r="BD1282" s="60"/>
      <c r="BE1282" s="60"/>
      <c r="BF1282" s="60"/>
      <c r="BG1282" s="60"/>
      <c r="BH1282" s="60"/>
      <c r="BI1282" s="60"/>
      <c r="BJ1282" s="60">
        <v>1</v>
      </c>
      <c r="BK1282" s="60" t="s">
        <v>98</v>
      </c>
      <c r="BM1282" s="66"/>
      <c r="BN1282" s="60" t="s">
        <v>94</v>
      </c>
      <c r="BO1282" s="67">
        <v>1500</v>
      </c>
      <c r="BP1282" s="67">
        <v>50</v>
      </c>
      <c r="BR1282" s="68"/>
      <c r="BS1282" s="68"/>
      <c r="BU1282" s="66"/>
      <c r="BV1282" s="66"/>
      <c r="BW1282" s="66"/>
      <c r="BX1282" s="66"/>
      <c r="BY1282" s="66"/>
      <c r="BZ1282" s="71" t="s">
        <v>97</v>
      </c>
      <c r="CA1282" s="152"/>
      <c r="CB1282" s="66"/>
      <c r="CC1282" s="66"/>
      <c r="CD1282" s="66"/>
      <c r="CE1282" s="66"/>
      <c r="CF1282" s="66"/>
      <c r="CG1282" s="66"/>
      <c r="CH1282" s="66"/>
    </row>
    <row r="1283" spans="3:86" s="63" customFormat="1" ht="19.5">
      <c r="C1283" s="136" t="s">
        <v>1856</v>
      </c>
      <c r="D1283" s="65"/>
      <c r="E1283" s="65"/>
      <c r="F1283" s="60" t="s">
        <v>91</v>
      </c>
      <c r="G1283" s="64"/>
      <c r="H1283" s="65"/>
      <c r="I1283" s="65"/>
      <c r="J1283" s="65"/>
      <c r="K1283" s="65"/>
      <c r="L1283" s="65"/>
      <c r="M1283" s="65"/>
      <c r="N1283" s="65"/>
      <c r="O1283" s="65"/>
      <c r="P1283" s="176"/>
      <c r="Q1283" s="65"/>
      <c r="R1283" s="65"/>
      <c r="S1283" s="201"/>
      <c r="T1283" s="201"/>
      <c r="U1283" s="60"/>
      <c r="V1283" s="60"/>
      <c r="W1283" s="60"/>
      <c r="X1283" s="60" t="s">
        <v>96</v>
      </c>
      <c r="Y1283" s="60"/>
      <c r="Z1283" s="60" t="s">
        <v>95</v>
      </c>
      <c r="AB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6"/>
      <c r="AN1283" s="66"/>
      <c r="AO1283" s="66"/>
      <c r="AP1283" s="66"/>
      <c r="AQ1283" s="66"/>
      <c r="AR1283" s="66"/>
      <c r="AS1283" s="60"/>
      <c r="AT1283" s="60"/>
      <c r="AU1283" s="60"/>
      <c r="AV1283" s="60"/>
      <c r="AW1283" s="60"/>
      <c r="AX1283" s="60"/>
      <c r="AY1283" s="60"/>
      <c r="AZ1283" s="60"/>
      <c r="BA1283" s="60"/>
      <c r="BB1283" s="60"/>
      <c r="BC1283" s="60"/>
      <c r="BD1283" s="60"/>
      <c r="BE1283" s="60"/>
      <c r="BF1283" s="60"/>
      <c r="BG1283" s="60"/>
      <c r="BH1283" s="60"/>
      <c r="BI1283" s="60"/>
      <c r="BJ1283" s="60">
        <v>1</v>
      </c>
      <c r="BK1283" s="60" t="s">
        <v>88</v>
      </c>
      <c r="BM1283" s="66"/>
      <c r="BN1283" s="60" t="s">
        <v>94</v>
      </c>
      <c r="BO1283" s="67">
        <v>1600</v>
      </c>
      <c r="BP1283" s="67">
        <v>50</v>
      </c>
      <c r="BR1283" s="68"/>
      <c r="BS1283" s="68"/>
      <c r="BU1283" s="66"/>
      <c r="BV1283" s="66"/>
      <c r="BW1283" s="66"/>
      <c r="BX1283" s="66"/>
      <c r="BY1283" s="66"/>
      <c r="BZ1283" s="66"/>
      <c r="CA1283" s="152"/>
      <c r="CB1283" s="66"/>
      <c r="CC1283" s="66"/>
      <c r="CD1283" s="66"/>
      <c r="CE1283" s="66"/>
      <c r="CF1283" s="66"/>
      <c r="CG1283" s="66"/>
      <c r="CH1283" s="66"/>
    </row>
    <row r="1284" spans="3:86" s="63" customFormat="1" ht="19.5">
      <c r="C1284" s="136" t="s">
        <v>1857</v>
      </c>
      <c r="D1284" s="65"/>
      <c r="E1284" s="65"/>
      <c r="F1284" s="60" t="s">
        <v>91</v>
      </c>
      <c r="G1284" s="64"/>
      <c r="H1284" s="65"/>
      <c r="I1284" s="65"/>
      <c r="J1284" s="65"/>
      <c r="K1284" s="65"/>
      <c r="L1284" s="65"/>
      <c r="M1284" s="65"/>
      <c r="N1284" s="65"/>
      <c r="O1284" s="65"/>
      <c r="P1284" s="176"/>
      <c r="Q1284" s="65"/>
      <c r="R1284" s="65"/>
      <c r="S1284" s="201"/>
      <c r="T1284" s="201"/>
      <c r="U1284" s="60"/>
      <c r="V1284" s="60"/>
      <c r="W1284" s="60"/>
      <c r="X1284" s="60" t="s">
        <v>96</v>
      </c>
      <c r="Y1284" s="60"/>
      <c r="Z1284" s="60" t="s">
        <v>95</v>
      </c>
      <c r="AB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6"/>
      <c r="AN1284" s="66"/>
      <c r="AO1284" s="66"/>
      <c r="AP1284" s="66"/>
      <c r="AQ1284" s="66"/>
      <c r="AR1284" s="66"/>
      <c r="AS1284" s="60"/>
      <c r="AT1284" s="60"/>
      <c r="AU1284" s="60"/>
      <c r="AV1284" s="60"/>
      <c r="AW1284" s="60"/>
      <c r="AX1284" s="60"/>
      <c r="AY1284" s="60"/>
      <c r="AZ1284" s="60"/>
      <c r="BA1284" s="60"/>
      <c r="BB1284" s="60"/>
      <c r="BC1284" s="60"/>
      <c r="BD1284" s="60"/>
      <c r="BE1284" s="60"/>
      <c r="BF1284" s="60"/>
      <c r="BG1284" s="60"/>
      <c r="BH1284" s="60"/>
      <c r="BI1284" s="60"/>
      <c r="BJ1284" s="60">
        <v>1</v>
      </c>
      <c r="BK1284" s="60" t="s">
        <v>88</v>
      </c>
      <c r="BM1284" s="66"/>
      <c r="BN1284" s="60" t="s">
        <v>94</v>
      </c>
      <c r="BO1284" s="67">
        <v>1600</v>
      </c>
      <c r="BP1284" s="67">
        <v>50</v>
      </c>
      <c r="BR1284" s="68"/>
      <c r="BS1284" s="68"/>
      <c r="BU1284" s="66"/>
      <c r="BV1284" s="66"/>
      <c r="BW1284" s="66"/>
      <c r="BX1284" s="66"/>
      <c r="BY1284" s="66"/>
      <c r="BZ1284" s="66"/>
      <c r="CA1284" s="152"/>
      <c r="CB1284" s="66"/>
      <c r="CC1284" s="66"/>
      <c r="CD1284" s="66"/>
      <c r="CE1284" s="66"/>
      <c r="CF1284" s="66"/>
      <c r="CG1284" s="66"/>
      <c r="CH1284" s="66"/>
    </row>
    <row r="1285" spans="3:86" s="63" customFormat="1" ht="19.5">
      <c r="C1285" s="136" t="s">
        <v>1858</v>
      </c>
      <c r="D1285" s="65"/>
      <c r="E1285" s="65"/>
      <c r="F1285" s="60" t="s">
        <v>91</v>
      </c>
      <c r="G1285" s="64"/>
      <c r="H1285" s="65"/>
      <c r="I1285" s="65"/>
      <c r="J1285" s="65"/>
      <c r="K1285" s="65"/>
      <c r="L1285" s="65"/>
      <c r="M1285" s="65"/>
      <c r="N1285" s="65"/>
      <c r="O1285" s="65"/>
      <c r="P1285" s="176"/>
      <c r="Q1285" s="65"/>
      <c r="R1285" s="65"/>
      <c r="S1285" s="201"/>
      <c r="T1285" s="201"/>
      <c r="U1285" s="60"/>
      <c r="V1285" s="60"/>
      <c r="W1285" s="60"/>
      <c r="X1285" s="60" t="s">
        <v>96</v>
      </c>
      <c r="Y1285" s="60"/>
      <c r="Z1285" s="60" t="s">
        <v>95</v>
      </c>
      <c r="AB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6"/>
      <c r="AN1285" s="66"/>
      <c r="AO1285" s="66"/>
      <c r="AP1285" s="66"/>
      <c r="AQ1285" s="66"/>
      <c r="AR1285" s="66"/>
      <c r="AS1285" s="60"/>
      <c r="AT1285" s="60"/>
      <c r="AU1285" s="60"/>
      <c r="AV1285" s="60"/>
      <c r="AW1285" s="60"/>
      <c r="AX1285" s="60"/>
      <c r="AY1285" s="60"/>
      <c r="AZ1285" s="60"/>
      <c r="BA1285" s="60"/>
      <c r="BB1285" s="60"/>
      <c r="BC1285" s="60"/>
      <c r="BD1285" s="60"/>
      <c r="BE1285" s="60"/>
      <c r="BF1285" s="60"/>
      <c r="BG1285" s="60"/>
      <c r="BH1285" s="60"/>
      <c r="BI1285" s="60"/>
      <c r="BJ1285" s="60">
        <v>1</v>
      </c>
      <c r="BK1285" s="60" t="s">
        <v>88</v>
      </c>
      <c r="BM1285" s="66"/>
      <c r="BN1285" s="60" t="s">
        <v>94</v>
      </c>
      <c r="BO1285" s="67">
        <v>1700</v>
      </c>
      <c r="BP1285" s="67">
        <v>50</v>
      </c>
      <c r="BR1285" s="68"/>
      <c r="BS1285" s="68"/>
      <c r="BU1285" s="66"/>
      <c r="BV1285" s="66"/>
      <c r="BW1285" s="66"/>
      <c r="BX1285" s="66"/>
      <c r="BY1285" s="66"/>
      <c r="BZ1285" s="66"/>
      <c r="CA1285" s="152"/>
      <c r="CB1285" s="66"/>
      <c r="CC1285" s="66"/>
      <c r="CD1285" s="66"/>
      <c r="CE1285" s="66"/>
      <c r="CF1285" s="66"/>
      <c r="CG1285" s="66"/>
      <c r="CH1285" s="66"/>
    </row>
    <row r="1286" spans="3:86" s="63" customFormat="1" ht="19.5">
      <c r="C1286" s="136" t="s">
        <v>1859</v>
      </c>
      <c r="D1286" s="65"/>
      <c r="E1286" s="65"/>
      <c r="F1286" s="60" t="s">
        <v>91</v>
      </c>
      <c r="G1286" s="64"/>
      <c r="H1286" s="65"/>
      <c r="I1286" s="65"/>
      <c r="J1286" s="65"/>
      <c r="K1286" s="65"/>
      <c r="L1286" s="65"/>
      <c r="M1286" s="65"/>
      <c r="N1286" s="65"/>
      <c r="O1286" s="65"/>
      <c r="P1286" s="176"/>
      <c r="Q1286" s="65"/>
      <c r="R1286" s="65"/>
      <c r="S1286" s="201"/>
      <c r="T1286" s="201"/>
      <c r="U1286" s="60"/>
      <c r="V1286" s="60"/>
      <c r="W1286" s="60"/>
      <c r="X1286" s="60" t="s">
        <v>96</v>
      </c>
      <c r="Y1286" s="60"/>
      <c r="Z1286" s="60" t="s">
        <v>95</v>
      </c>
      <c r="AB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6"/>
      <c r="AN1286" s="66"/>
      <c r="AO1286" s="66"/>
      <c r="AP1286" s="66"/>
      <c r="AQ1286" s="66"/>
      <c r="AR1286" s="66"/>
      <c r="AS1286" s="60"/>
      <c r="AT1286" s="60"/>
      <c r="AU1286" s="60"/>
      <c r="AV1286" s="60"/>
      <c r="AW1286" s="60"/>
      <c r="AX1286" s="60"/>
      <c r="AY1286" s="60"/>
      <c r="AZ1286" s="60"/>
      <c r="BA1286" s="60"/>
      <c r="BB1286" s="60"/>
      <c r="BC1286" s="60"/>
      <c r="BD1286" s="60"/>
      <c r="BE1286" s="60"/>
      <c r="BF1286" s="60"/>
      <c r="BG1286" s="60"/>
      <c r="BH1286" s="60"/>
      <c r="BI1286" s="60"/>
      <c r="BJ1286" s="60">
        <v>1</v>
      </c>
      <c r="BK1286" s="60" t="s">
        <v>88</v>
      </c>
      <c r="BM1286" s="66"/>
      <c r="BN1286" s="60" t="s">
        <v>94</v>
      </c>
      <c r="BO1286" s="67">
        <v>1600</v>
      </c>
      <c r="BP1286" s="67">
        <v>50</v>
      </c>
      <c r="BR1286" s="68"/>
      <c r="BS1286" s="68"/>
      <c r="BU1286" s="66"/>
      <c r="BV1286" s="66"/>
      <c r="BW1286" s="66"/>
      <c r="BX1286" s="66"/>
      <c r="BY1286" s="66"/>
      <c r="BZ1286" s="66"/>
      <c r="CA1286" s="152"/>
      <c r="CB1286" s="66"/>
      <c r="CC1286" s="66"/>
      <c r="CD1286" s="66"/>
      <c r="CE1286" s="66"/>
      <c r="CF1286" s="66"/>
      <c r="CG1286" s="66"/>
      <c r="CH1286" s="66"/>
    </row>
    <row r="1287" spans="3:86" s="63" customFormat="1" ht="33">
      <c r="C1287" s="136" t="s">
        <v>1860</v>
      </c>
      <c r="D1287" s="65"/>
      <c r="E1287" s="65"/>
      <c r="F1287" s="60" t="s">
        <v>91</v>
      </c>
      <c r="G1287" s="64"/>
      <c r="H1287" s="65"/>
      <c r="I1287" s="65"/>
      <c r="J1287" s="65"/>
      <c r="K1287" s="65"/>
      <c r="L1287" s="65"/>
      <c r="M1287" s="65"/>
      <c r="N1287" s="65"/>
      <c r="O1287" s="65"/>
      <c r="P1287" s="176"/>
      <c r="Q1287" s="65"/>
      <c r="R1287" s="65"/>
      <c r="S1287" s="201"/>
      <c r="T1287" s="201"/>
      <c r="U1287" s="60"/>
      <c r="V1287" s="60"/>
      <c r="W1287" s="60"/>
      <c r="X1287" s="68" t="s">
        <v>92</v>
      </c>
      <c r="Y1287" s="60"/>
      <c r="Z1287" s="60" t="s">
        <v>93</v>
      </c>
      <c r="AB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6"/>
      <c r="AN1287" s="66"/>
      <c r="AO1287" s="66"/>
      <c r="AP1287" s="66"/>
      <c r="AQ1287" s="66"/>
      <c r="AR1287" s="66"/>
      <c r="AS1287" s="60"/>
      <c r="AT1287" s="60"/>
      <c r="AU1287" s="60"/>
      <c r="AV1287" s="60"/>
      <c r="AW1287" s="60"/>
      <c r="AX1287" s="60"/>
      <c r="AY1287" s="60"/>
      <c r="AZ1287" s="60"/>
      <c r="BA1287" s="60"/>
      <c r="BB1287" s="60"/>
      <c r="BC1287" s="60"/>
      <c r="BD1287" s="60"/>
      <c r="BE1287" s="60"/>
      <c r="BF1287" s="60"/>
      <c r="BG1287" s="60"/>
      <c r="BH1287" s="60"/>
      <c r="BI1287" s="60"/>
      <c r="BJ1287" s="68">
        <v>4</v>
      </c>
      <c r="BK1287" s="60" t="s">
        <v>88</v>
      </c>
      <c r="BM1287" s="66"/>
      <c r="BN1287" s="68"/>
      <c r="BO1287" s="67"/>
      <c r="BP1287" s="67">
        <v>50</v>
      </c>
      <c r="BR1287" s="68"/>
      <c r="BS1287" s="68"/>
      <c r="BU1287" s="66"/>
      <c r="BV1287" s="66"/>
      <c r="BW1287" s="66"/>
      <c r="BX1287" s="66"/>
      <c r="BY1287" s="66"/>
      <c r="BZ1287" s="66"/>
      <c r="CA1287" s="152"/>
      <c r="CB1287" s="66"/>
      <c r="CC1287" s="66"/>
      <c r="CD1287" s="66"/>
      <c r="CE1287" s="66"/>
      <c r="CF1287" s="66"/>
      <c r="CG1287" s="66"/>
      <c r="CH1287" s="66"/>
    </row>
    <row r="1288" spans="3:86" s="63" customFormat="1" ht="19.5">
      <c r="C1288" s="136" t="s">
        <v>1861</v>
      </c>
      <c r="D1288" s="65"/>
      <c r="E1288" s="65"/>
      <c r="F1288" s="60" t="s">
        <v>91</v>
      </c>
      <c r="G1288" s="64"/>
      <c r="H1288" s="65"/>
      <c r="I1288" s="65"/>
      <c r="J1288" s="65"/>
      <c r="K1288" s="65"/>
      <c r="L1288" s="65"/>
      <c r="M1288" s="65"/>
      <c r="N1288" s="65"/>
      <c r="O1288" s="65"/>
      <c r="P1288" s="176"/>
      <c r="Q1288" s="65"/>
      <c r="R1288" s="65"/>
      <c r="S1288" s="201"/>
      <c r="T1288" s="201"/>
      <c r="U1288" s="60"/>
      <c r="V1288" s="60"/>
      <c r="W1288" s="60"/>
      <c r="X1288" s="68" t="s">
        <v>92</v>
      </c>
      <c r="Y1288" s="60"/>
      <c r="Z1288" s="60" t="s">
        <v>93</v>
      </c>
      <c r="AB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6"/>
      <c r="AN1288" s="66"/>
      <c r="AO1288" s="66"/>
      <c r="AP1288" s="66"/>
      <c r="AQ1288" s="66"/>
      <c r="AR1288" s="66"/>
      <c r="AS1288" s="60"/>
      <c r="AT1288" s="60"/>
      <c r="AU1288" s="60"/>
      <c r="AV1288" s="60"/>
      <c r="AW1288" s="60"/>
      <c r="AX1288" s="60"/>
      <c r="AY1288" s="60"/>
      <c r="AZ1288" s="60"/>
      <c r="BA1288" s="60"/>
      <c r="BB1288" s="60"/>
      <c r="BC1288" s="60"/>
      <c r="BD1288" s="60"/>
      <c r="BE1288" s="60"/>
      <c r="BF1288" s="60"/>
      <c r="BG1288" s="60"/>
      <c r="BH1288" s="60"/>
      <c r="BI1288" s="60"/>
      <c r="BJ1288" s="68">
        <v>1</v>
      </c>
      <c r="BK1288" s="60" t="s">
        <v>88</v>
      </c>
      <c r="BM1288" s="66"/>
      <c r="BN1288" s="68"/>
      <c r="BO1288" s="67"/>
      <c r="BP1288" s="67">
        <v>50</v>
      </c>
      <c r="BR1288" s="68"/>
      <c r="BS1288" s="68"/>
      <c r="BU1288" s="66"/>
      <c r="BV1288" s="66"/>
      <c r="BW1288" s="66"/>
      <c r="BX1288" s="66"/>
      <c r="BY1288" s="66"/>
      <c r="BZ1288" s="66"/>
      <c r="CA1288" s="152"/>
      <c r="CB1288" s="66"/>
      <c r="CC1288" s="66"/>
      <c r="CD1288" s="66"/>
      <c r="CE1288" s="66"/>
      <c r="CF1288" s="66"/>
      <c r="CG1288" s="66"/>
      <c r="CH1288" s="66"/>
    </row>
    <row r="1289" spans="3:86" s="63" customFormat="1" ht="19.5">
      <c r="C1289" s="136" t="s">
        <v>1862</v>
      </c>
      <c r="D1289" s="65"/>
      <c r="E1289" s="65"/>
      <c r="F1289" s="68"/>
      <c r="G1289" s="64"/>
      <c r="H1289" s="65"/>
      <c r="I1289" s="65"/>
      <c r="J1289" s="65"/>
      <c r="K1289" s="65"/>
      <c r="L1289" s="65"/>
      <c r="M1289" s="65"/>
      <c r="N1289" s="65"/>
      <c r="O1289" s="65"/>
      <c r="P1289" s="176"/>
      <c r="Q1289" s="65"/>
      <c r="R1289" s="65"/>
      <c r="S1289" s="201"/>
      <c r="T1289" s="201"/>
      <c r="U1289" s="68"/>
      <c r="V1289" s="68"/>
      <c r="W1289" s="68"/>
      <c r="X1289" s="68"/>
      <c r="Y1289" s="68"/>
      <c r="Z1289" s="68"/>
      <c r="AB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6"/>
      <c r="AN1289" s="66"/>
      <c r="AO1289" s="66"/>
      <c r="AP1289" s="66"/>
      <c r="AQ1289" s="66"/>
      <c r="AR1289" s="66"/>
      <c r="AS1289" s="68"/>
      <c r="AT1289" s="68"/>
      <c r="AU1289" s="68"/>
      <c r="AV1289" s="68"/>
      <c r="AW1289" s="68"/>
      <c r="AX1289" s="68"/>
      <c r="AY1289" s="68"/>
      <c r="AZ1289" s="68"/>
      <c r="BA1289" s="68"/>
      <c r="BB1289" s="68"/>
      <c r="BC1289" s="68"/>
      <c r="BD1289" s="68"/>
      <c r="BE1289" s="68"/>
      <c r="BF1289" s="68"/>
      <c r="BG1289" s="68"/>
      <c r="BH1289" s="68"/>
      <c r="BI1289" s="68"/>
      <c r="BJ1289" s="68"/>
      <c r="BK1289" s="68"/>
      <c r="BM1289" s="66"/>
      <c r="BN1289" s="68"/>
      <c r="BO1289" s="67"/>
      <c r="BP1289" s="67"/>
      <c r="BR1289" s="68"/>
      <c r="BS1289" s="68"/>
      <c r="BU1289" s="66"/>
      <c r="BV1289" s="66"/>
      <c r="BW1289" s="66"/>
      <c r="BX1289" s="66"/>
      <c r="BY1289" s="66"/>
      <c r="BZ1289" s="66"/>
      <c r="CA1289" s="152"/>
      <c r="CB1289" s="66"/>
      <c r="CC1289" s="66"/>
      <c r="CD1289" s="66"/>
      <c r="CE1289" s="66"/>
      <c r="CF1289" s="66"/>
      <c r="CG1289" s="66"/>
      <c r="CH1289" s="66"/>
    </row>
    <row r="1290" spans="3:86" s="63" customFormat="1" ht="19.5">
      <c r="C1290" s="136" t="s">
        <v>1863</v>
      </c>
      <c r="D1290" s="65"/>
      <c r="E1290" s="65"/>
      <c r="F1290" s="60" t="s">
        <v>91</v>
      </c>
      <c r="G1290" s="64"/>
      <c r="H1290" s="65"/>
      <c r="I1290" s="65"/>
      <c r="J1290" s="65"/>
      <c r="K1290" s="65"/>
      <c r="L1290" s="65"/>
      <c r="M1290" s="65"/>
      <c r="N1290" s="65"/>
      <c r="O1290" s="65"/>
      <c r="P1290" s="176"/>
      <c r="Q1290" s="65"/>
      <c r="R1290" s="65"/>
      <c r="S1290" s="201"/>
      <c r="T1290" s="201"/>
      <c r="U1290" s="60"/>
      <c r="V1290" s="60"/>
      <c r="W1290" s="60"/>
      <c r="X1290" s="68" t="s">
        <v>92</v>
      </c>
      <c r="Y1290" s="60"/>
      <c r="Z1290" s="60" t="s">
        <v>93</v>
      </c>
      <c r="AB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6"/>
      <c r="AN1290" s="66"/>
      <c r="AO1290" s="66"/>
      <c r="AP1290" s="66"/>
      <c r="AQ1290" s="66"/>
      <c r="AR1290" s="66"/>
      <c r="AS1290" s="60"/>
      <c r="AT1290" s="60"/>
      <c r="AU1290" s="60"/>
      <c r="AV1290" s="60"/>
      <c r="AW1290" s="60"/>
      <c r="AX1290" s="60"/>
      <c r="AY1290" s="60"/>
      <c r="AZ1290" s="60"/>
      <c r="BA1290" s="60"/>
      <c r="BB1290" s="60"/>
      <c r="BC1290" s="60"/>
      <c r="BD1290" s="60"/>
      <c r="BE1290" s="60"/>
      <c r="BF1290" s="60"/>
      <c r="BG1290" s="60"/>
      <c r="BH1290" s="60"/>
      <c r="BI1290" s="60"/>
      <c r="BJ1290" s="68">
        <v>1</v>
      </c>
      <c r="BK1290" s="60" t="s">
        <v>88</v>
      </c>
      <c r="BM1290" s="66"/>
      <c r="BN1290" s="68"/>
      <c r="BO1290" s="67"/>
      <c r="BP1290" s="67">
        <v>50</v>
      </c>
      <c r="BR1290" s="68"/>
      <c r="BS1290" s="68"/>
      <c r="BU1290" s="66"/>
      <c r="BV1290" s="66"/>
      <c r="BW1290" s="66"/>
      <c r="BX1290" s="66"/>
      <c r="BY1290" s="66"/>
      <c r="BZ1290" s="66"/>
      <c r="CA1290" s="152"/>
      <c r="CB1290" s="66"/>
      <c r="CC1290" s="66"/>
      <c r="CD1290" s="66"/>
      <c r="CE1290" s="66"/>
      <c r="CF1290" s="66"/>
      <c r="CG1290" s="66"/>
      <c r="CH1290" s="66"/>
    </row>
    <row r="1291" spans="3:86" s="63" customFormat="1" ht="19.5">
      <c r="C1291" s="136" t="s">
        <v>1864</v>
      </c>
      <c r="D1291" s="65"/>
      <c r="E1291" s="65"/>
      <c r="F1291" s="60" t="s">
        <v>91</v>
      </c>
      <c r="G1291" s="64"/>
      <c r="H1291" s="65"/>
      <c r="I1291" s="65"/>
      <c r="J1291" s="65"/>
      <c r="K1291" s="65"/>
      <c r="L1291" s="65"/>
      <c r="M1291" s="65"/>
      <c r="N1291" s="65"/>
      <c r="O1291" s="65"/>
      <c r="P1291" s="176"/>
      <c r="Q1291" s="65"/>
      <c r="R1291" s="65"/>
      <c r="S1291" s="201"/>
      <c r="T1291" s="201"/>
      <c r="U1291" s="60"/>
      <c r="V1291" s="60"/>
      <c r="W1291" s="60"/>
      <c r="X1291" s="68" t="s">
        <v>92</v>
      </c>
      <c r="Y1291" s="60"/>
      <c r="Z1291" s="60" t="s">
        <v>93</v>
      </c>
      <c r="AB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6"/>
      <c r="AN1291" s="66"/>
      <c r="AO1291" s="66"/>
      <c r="AP1291" s="66"/>
      <c r="AQ1291" s="66"/>
      <c r="AR1291" s="66"/>
      <c r="AS1291" s="60"/>
      <c r="AT1291" s="60"/>
      <c r="AU1291" s="60"/>
      <c r="AV1291" s="60"/>
      <c r="AW1291" s="60"/>
      <c r="AX1291" s="60"/>
      <c r="AY1291" s="60"/>
      <c r="AZ1291" s="60"/>
      <c r="BA1291" s="60"/>
      <c r="BB1291" s="60"/>
      <c r="BC1291" s="60"/>
      <c r="BD1291" s="60"/>
      <c r="BE1291" s="60"/>
      <c r="BF1291" s="60"/>
      <c r="BG1291" s="60"/>
      <c r="BH1291" s="60"/>
      <c r="BI1291" s="60"/>
      <c r="BJ1291" s="68">
        <v>1</v>
      </c>
      <c r="BK1291" s="60" t="s">
        <v>88</v>
      </c>
      <c r="BM1291" s="66"/>
      <c r="BN1291" s="68"/>
      <c r="BO1291" s="67"/>
      <c r="BP1291" s="67">
        <v>50</v>
      </c>
      <c r="BR1291" s="68"/>
      <c r="BS1291" s="68"/>
      <c r="BU1291" s="66"/>
      <c r="BV1291" s="66"/>
      <c r="BW1291" s="66"/>
      <c r="BX1291" s="66"/>
      <c r="BY1291" s="66"/>
      <c r="BZ1291" s="66"/>
      <c r="CA1291" s="152"/>
      <c r="CB1291" s="66"/>
      <c r="CC1291" s="66"/>
      <c r="CD1291" s="66"/>
      <c r="CE1291" s="66"/>
      <c r="CF1291" s="66"/>
      <c r="CG1291" s="66"/>
      <c r="CH1291" s="66"/>
    </row>
    <row r="1292" spans="3:86" s="63" customFormat="1" ht="19.5">
      <c r="C1292" s="136" t="s">
        <v>1865</v>
      </c>
      <c r="D1292" s="65"/>
      <c r="E1292" s="65"/>
      <c r="F1292" s="60" t="s">
        <v>91</v>
      </c>
      <c r="G1292" s="64"/>
      <c r="H1292" s="65"/>
      <c r="I1292" s="65"/>
      <c r="J1292" s="65"/>
      <c r="K1292" s="65"/>
      <c r="L1292" s="65"/>
      <c r="M1292" s="65"/>
      <c r="N1292" s="65"/>
      <c r="O1292" s="65"/>
      <c r="P1292" s="176"/>
      <c r="Q1292" s="65"/>
      <c r="R1292" s="65"/>
      <c r="S1292" s="201"/>
      <c r="T1292" s="201"/>
      <c r="U1292" s="60"/>
      <c r="V1292" s="60"/>
      <c r="W1292" s="60"/>
      <c r="X1292" s="68" t="s">
        <v>92</v>
      </c>
      <c r="Y1292" s="60"/>
      <c r="Z1292" s="60" t="s">
        <v>93</v>
      </c>
      <c r="AB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6"/>
      <c r="AN1292" s="66"/>
      <c r="AO1292" s="66"/>
      <c r="AP1292" s="66"/>
      <c r="AQ1292" s="66"/>
      <c r="AR1292" s="66"/>
      <c r="AS1292" s="60"/>
      <c r="AT1292" s="60"/>
      <c r="AU1292" s="60"/>
      <c r="AV1292" s="60"/>
      <c r="AW1292" s="60"/>
      <c r="AX1292" s="60"/>
      <c r="AY1292" s="60"/>
      <c r="AZ1292" s="60"/>
      <c r="BA1292" s="60"/>
      <c r="BB1292" s="60"/>
      <c r="BC1292" s="60"/>
      <c r="BD1292" s="60"/>
      <c r="BE1292" s="60"/>
      <c r="BF1292" s="60"/>
      <c r="BG1292" s="60"/>
      <c r="BH1292" s="60"/>
      <c r="BI1292" s="60"/>
      <c r="BJ1292" s="68">
        <v>1</v>
      </c>
      <c r="BK1292" s="60" t="s">
        <v>88</v>
      </c>
      <c r="BM1292" s="66"/>
      <c r="BN1292" s="68"/>
      <c r="BO1292" s="67"/>
      <c r="BP1292" s="67">
        <v>50</v>
      </c>
      <c r="BR1292" s="68"/>
      <c r="BS1292" s="68"/>
      <c r="BU1292" s="66"/>
      <c r="BV1292" s="66"/>
      <c r="BW1292" s="66"/>
      <c r="BX1292" s="66"/>
      <c r="BY1292" s="66"/>
      <c r="BZ1292" s="66"/>
      <c r="CA1292" s="152"/>
      <c r="CB1292" s="66"/>
      <c r="CC1292" s="66"/>
      <c r="CD1292" s="66"/>
      <c r="CE1292" s="66"/>
      <c r="CF1292" s="66"/>
      <c r="CG1292" s="66"/>
      <c r="CH1292" s="66"/>
    </row>
    <row r="1293" spans="3:86" s="63" customFormat="1" ht="19.5">
      <c r="C1293" s="136" t="s">
        <v>1866</v>
      </c>
      <c r="D1293" s="65"/>
      <c r="E1293" s="65"/>
      <c r="F1293" s="60" t="s">
        <v>91</v>
      </c>
      <c r="G1293" s="64"/>
      <c r="H1293" s="65"/>
      <c r="I1293" s="65"/>
      <c r="J1293" s="65"/>
      <c r="K1293" s="65"/>
      <c r="L1293" s="65"/>
      <c r="M1293" s="65"/>
      <c r="N1293" s="65"/>
      <c r="O1293" s="65"/>
      <c r="P1293" s="176"/>
      <c r="Q1293" s="65"/>
      <c r="R1293" s="65"/>
      <c r="S1293" s="201"/>
      <c r="T1293" s="201"/>
      <c r="U1293" s="60"/>
      <c r="V1293" s="60"/>
      <c r="W1293" s="60"/>
      <c r="X1293" s="68" t="s">
        <v>92</v>
      </c>
      <c r="Y1293" s="60"/>
      <c r="Z1293" s="60" t="s">
        <v>93</v>
      </c>
      <c r="AB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6"/>
      <c r="AN1293" s="66"/>
      <c r="AO1293" s="66"/>
      <c r="AP1293" s="66"/>
      <c r="AQ1293" s="66"/>
      <c r="AR1293" s="66"/>
      <c r="AS1293" s="60"/>
      <c r="AT1293" s="60"/>
      <c r="AU1293" s="60"/>
      <c r="AV1293" s="60"/>
      <c r="AW1293" s="60"/>
      <c r="AX1293" s="60"/>
      <c r="AY1293" s="60"/>
      <c r="AZ1293" s="60"/>
      <c r="BA1293" s="60"/>
      <c r="BB1293" s="60"/>
      <c r="BC1293" s="60"/>
      <c r="BD1293" s="60"/>
      <c r="BE1293" s="60"/>
      <c r="BF1293" s="60"/>
      <c r="BG1293" s="60"/>
      <c r="BH1293" s="60"/>
      <c r="BI1293" s="60"/>
      <c r="BJ1293" s="68">
        <v>1</v>
      </c>
      <c r="BK1293" s="60" t="s">
        <v>88</v>
      </c>
      <c r="BM1293" s="66"/>
      <c r="BN1293" s="68"/>
      <c r="BO1293" s="67"/>
      <c r="BP1293" s="67">
        <v>50</v>
      </c>
      <c r="BR1293" s="68"/>
      <c r="BS1293" s="68"/>
      <c r="BU1293" s="66"/>
      <c r="BV1293" s="66"/>
      <c r="BW1293" s="66"/>
      <c r="BX1293" s="66"/>
      <c r="BY1293" s="66"/>
      <c r="BZ1293" s="66"/>
      <c r="CA1293" s="152"/>
      <c r="CB1293" s="66"/>
      <c r="CC1293" s="66"/>
      <c r="CD1293" s="66"/>
      <c r="CE1293" s="66"/>
      <c r="CF1293" s="66"/>
      <c r="CG1293" s="66"/>
      <c r="CH1293" s="66"/>
    </row>
    <row r="1294" spans="3:86" s="63" customFormat="1" ht="19.5">
      <c r="C1294" s="136"/>
      <c r="D1294" s="70"/>
      <c r="E1294" s="70"/>
      <c r="F1294" s="66"/>
      <c r="G1294" s="69"/>
      <c r="H1294" s="70"/>
      <c r="I1294" s="70"/>
      <c r="J1294" s="70"/>
      <c r="K1294" s="70"/>
      <c r="L1294" s="70"/>
      <c r="M1294" s="70"/>
      <c r="N1294" s="70"/>
      <c r="O1294" s="70"/>
      <c r="P1294" s="176"/>
      <c r="Q1294" s="70"/>
      <c r="R1294" s="70"/>
      <c r="S1294" s="202"/>
      <c r="T1294" s="202"/>
      <c r="U1294" s="66"/>
      <c r="V1294" s="66"/>
      <c r="W1294" s="66"/>
      <c r="X1294" s="66"/>
      <c r="Y1294" s="66"/>
      <c r="Z1294" s="66"/>
      <c r="AB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6"/>
      <c r="AN1294" s="66"/>
      <c r="AO1294" s="66"/>
      <c r="AP1294" s="66"/>
      <c r="AQ1294" s="66"/>
      <c r="AR1294" s="66"/>
      <c r="AS1294" s="66"/>
      <c r="AT1294" s="66"/>
      <c r="AU1294" s="66"/>
      <c r="AV1294" s="66"/>
      <c r="AW1294" s="66"/>
      <c r="AX1294" s="66"/>
      <c r="AY1294" s="66"/>
      <c r="AZ1294" s="66"/>
      <c r="BA1294" s="66"/>
      <c r="BB1294" s="66"/>
      <c r="BC1294" s="66"/>
      <c r="BD1294" s="66"/>
      <c r="BE1294" s="66"/>
      <c r="BF1294" s="66"/>
      <c r="BG1294" s="66"/>
      <c r="BH1294" s="66"/>
      <c r="BI1294" s="66"/>
      <c r="BJ1294" s="66"/>
      <c r="BK1294" s="66"/>
      <c r="BM1294" s="66"/>
      <c r="BN1294" s="66"/>
      <c r="BO1294" s="66"/>
      <c r="BP1294" s="66"/>
      <c r="BR1294" s="66"/>
      <c r="BS1294" s="66"/>
      <c r="BU1294" s="66"/>
      <c r="BV1294" s="66"/>
      <c r="BW1294" s="66"/>
      <c r="BX1294" s="66"/>
      <c r="BY1294" s="66"/>
      <c r="BZ1294" s="66"/>
      <c r="CA1294" s="152"/>
      <c r="CB1294" s="66"/>
      <c r="CC1294" s="66"/>
      <c r="CD1294" s="66"/>
      <c r="CE1294" s="66"/>
      <c r="CF1294" s="66"/>
      <c r="CG1294" s="66"/>
      <c r="CH1294" s="66"/>
    </row>
    <row r="1295" spans="3:86" s="63" customFormat="1" ht="19.5">
      <c r="C1295" s="136" t="s">
        <v>1867</v>
      </c>
      <c r="D1295" s="65"/>
      <c r="E1295" s="65"/>
      <c r="F1295" s="66"/>
      <c r="G1295" s="64"/>
      <c r="H1295" s="65"/>
      <c r="I1295" s="65"/>
      <c r="J1295" s="65"/>
      <c r="K1295" s="65"/>
      <c r="L1295" s="65"/>
      <c r="M1295" s="65"/>
      <c r="N1295" s="65"/>
      <c r="O1295" s="65"/>
      <c r="P1295" s="176"/>
      <c r="Q1295" s="65"/>
      <c r="R1295" s="65"/>
      <c r="S1295" s="201"/>
      <c r="T1295" s="201"/>
      <c r="U1295" s="66"/>
      <c r="V1295" s="66"/>
      <c r="W1295" s="66"/>
      <c r="X1295" s="66"/>
      <c r="Y1295" s="66"/>
      <c r="Z1295" s="66"/>
      <c r="AB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6"/>
      <c r="AN1295" s="66"/>
      <c r="AO1295" s="66"/>
      <c r="AP1295" s="66"/>
      <c r="AQ1295" s="66"/>
      <c r="AR1295" s="66"/>
      <c r="AS1295" s="66"/>
      <c r="AT1295" s="66"/>
      <c r="AU1295" s="66"/>
      <c r="AV1295" s="66"/>
      <c r="AW1295" s="66"/>
      <c r="AX1295" s="66"/>
      <c r="AY1295" s="66"/>
      <c r="AZ1295" s="66"/>
      <c r="BA1295" s="66"/>
      <c r="BB1295" s="66"/>
      <c r="BC1295" s="66"/>
      <c r="BD1295" s="66"/>
      <c r="BE1295" s="66"/>
      <c r="BF1295" s="66"/>
      <c r="BG1295" s="66"/>
      <c r="BH1295" s="66"/>
      <c r="BI1295" s="66"/>
      <c r="BJ1295" s="66"/>
      <c r="BK1295" s="66"/>
      <c r="BM1295" s="66"/>
      <c r="BN1295" s="66"/>
      <c r="BO1295" s="66"/>
      <c r="BP1295" s="66"/>
      <c r="BR1295" s="66"/>
      <c r="BS1295" s="66"/>
      <c r="BU1295" s="66"/>
      <c r="BV1295" s="66"/>
      <c r="BW1295" s="66"/>
      <c r="BX1295" s="66"/>
      <c r="BY1295" s="66"/>
      <c r="BZ1295" s="66"/>
      <c r="CA1295" s="152"/>
      <c r="CB1295" s="66"/>
      <c r="CC1295" s="66"/>
      <c r="CD1295" s="66"/>
      <c r="CE1295" s="66"/>
      <c r="CF1295" s="66"/>
      <c r="CG1295" s="66"/>
      <c r="CH1295" s="66"/>
    </row>
    <row r="1296" spans="3:86" s="63" customFormat="1" ht="19.5">
      <c r="C1296" s="136"/>
      <c r="D1296" s="70"/>
      <c r="E1296" s="70"/>
      <c r="F1296" s="66"/>
      <c r="G1296" s="69"/>
      <c r="H1296" s="70"/>
      <c r="I1296" s="70"/>
      <c r="J1296" s="70"/>
      <c r="K1296" s="70"/>
      <c r="L1296" s="70"/>
      <c r="M1296" s="70"/>
      <c r="N1296" s="70"/>
      <c r="O1296" s="70"/>
      <c r="P1296" s="176"/>
      <c r="Q1296" s="70"/>
      <c r="R1296" s="70"/>
      <c r="S1296" s="202"/>
      <c r="T1296" s="202"/>
      <c r="U1296" s="66"/>
      <c r="V1296" s="66"/>
      <c r="W1296" s="66"/>
      <c r="X1296" s="66"/>
      <c r="Y1296" s="66"/>
      <c r="Z1296" s="66"/>
      <c r="AB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6"/>
      <c r="AN1296" s="66"/>
      <c r="AO1296" s="66"/>
      <c r="AP1296" s="66"/>
      <c r="AQ1296" s="66"/>
      <c r="AR1296" s="66"/>
      <c r="AS1296" s="66"/>
      <c r="AT1296" s="66"/>
      <c r="AU1296" s="66"/>
      <c r="AV1296" s="66"/>
      <c r="AW1296" s="66"/>
      <c r="AX1296" s="66"/>
      <c r="AY1296" s="66"/>
      <c r="AZ1296" s="66"/>
      <c r="BA1296" s="66"/>
      <c r="BB1296" s="66"/>
      <c r="BC1296" s="66"/>
      <c r="BD1296" s="66"/>
      <c r="BE1296" s="66"/>
      <c r="BF1296" s="66"/>
      <c r="BG1296" s="66"/>
      <c r="BH1296" s="66"/>
      <c r="BI1296" s="66"/>
      <c r="BJ1296" s="66"/>
      <c r="BK1296" s="66"/>
      <c r="BM1296" s="66"/>
      <c r="BN1296" s="66"/>
      <c r="BO1296" s="66"/>
      <c r="BP1296" s="66"/>
      <c r="BR1296" s="66"/>
      <c r="BS1296" s="66"/>
      <c r="BU1296" s="66"/>
      <c r="BV1296" s="66"/>
      <c r="BW1296" s="66"/>
      <c r="BX1296" s="66"/>
      <c r="BY1296" s="66"/>
      <c r="BZ1296" s="66"/>
      <c r="CA1296" s="152"/>
      <c r="CB1296" s="66"/>
      <c r="CC1296" s="66"/>
      <c r="CD1296" s="66"/>
      <c r="CE1296" s="66"/>
      <c r="CF1296" s="66"/>
      <c r="CG1296" s="66"/>
      <c r="CH1296" s="66"/>
    </row>
    <row r="1297" spans="3:86" s="63" customFormat="1" ht="19.5">
      <c r="C1297" s="136" t="s">
        <v>1868</v>
      </c>
      <c r="D1297" s="65"/>
      <c r="E1297" s="65"/>
      <c r="F1297" s="60" t="s">
        <v>91</v>
      </c>
      <c r="G1297" s="64"/>
      <c r="H1297" s="65"/>
      <c r="I1297" s="65"/>
      <c r="J1297" s="65"/>
      <c r="K1297" s="65"/>
      <c r="L1297" s="65"/>
      <c r="M1297" s="65"/>
      <c r="N1297" s="65"/>
      <c r="O1297" s="65"/>
      <c r="P1297" s="176"/>
      <c r="Q1297" s="65"/>
      <c r="R1297" s="65"/>
      <c r="S1297" s="201"/>
      <c r="T1297" s="201"/>
      <c r="U1297" s="60"/>
      <c r="V1297" s="60"/>
      <c r="W1297" s="60"/>
      <c r="X1297" s="68" t="s">
        <v>92</v>
      </c>
      <c r="Y1297" s="60"/>
      <c r="Z1297" s="60" t="s">
        <v>93</v>
      </c>
      <c r="AB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6"/>
      <c r="AN1297" s="66"/>
      <c r="AO1297" s="66"/>
      <c r="AP1297" s="66"/>
      <c r="AQ1297" s="66"/>
      <c r="AR1297" s="66"/>
      <c r="AS1297" s="60"/>
      <c r="AT1297" s="60"/>
      <c r="AU1297" s="60"/>
      <c r="AV1297" s="60"/>
      <c r="AW1297" s="60"/>
      <c r="AX1297" s="60"/>
      <c r="AY1297" s="60"/>
      <c r="AZ1297" s="60"/>
      <c r="BA1297" s="60"/>
      <c r="BB1297" s="60"/>
      <c r="BC1297" s="60"/>
      <c r="BD1297" s="60"/>
      <c r="BE1297" s="60"/>
      <c r="BF1297" s="60"/>
      <c r="BG1297" s="60"/>
      <c r="BH1297" s="60"/>
      <c r="BI1297" s="60"/>
      <c r="BJ1297" s="68">
        <v>1</v>
      </c>
      <c r="BK1297" s="60" t="s">
        <v>88</v>
      </c>
      <c r="BM1297" s="66"/>
      <c r="BN1297" s="68"/>
      <c r="BO1297" s="67"/>
      <c r="BP1297" s="67">
        <v>50</v>
      </c>
      <c r="BR1297" s="68"/>
      <c r="BS1297" s="68"/>
      <c r="BU1297" s="66"/>
      <c r="BV1297" s="66"/>
      <c r="BW1297" s="66"/>
      <c r="BX1297" s="66"/>
      <c r="BY1297" s="66"/>
      <c r="BZ1297" s="66"/>
      <c r="CA1297" s="152"/>
      <c r="CB1297" s="66"/>
      <c r="CC1297" s="66"/>
      <c r="CD1297" s="66"/>
      <c r="CE1297" s="66"/>
      <c r="CF1297" s="66"/>
      <c r="CG1297" s="66"/>
      <c r="CH1297" s="66"/>
    </row>
    <row r="1298" spans="3:86" s="63" customFormat="1" ht="19.5">
      <c r="C1298" s="136" t="s">
        <v>1869</v>
      </c>
      <c r="D1298" s="65"/>
      <c r="E1298" s="65"/>
      <c r="F1298" s="60" t="s">
        <v>91</v>
      </c>
      <c r="G1298" s="64"/>
      <c r="H1298" s="65"/>
      <c r="I1298" s="65"/>
      <c r="J1298" s="65"/>
      <c r="K1298" s="65"/>
      <c r="L1298" s="65"/>
      <c r="M1298" s="65"/>
      <c r="N1298" s="65"/>
      <c r="O1298" s="65"/>
      <c r="P1298" s="176"/>
      <c r="Q1298" s="65"/>
      <c r="R1298" s="65"/>
      <c r="S1298" s="201"/>
      <c r="T1298" s="201"/>
      <c r="U1298" s="60"/>
      <c r="V1298" s="60"/>
      <c r="W1298" s="60"/>
      <c r="X1298" s="68" t="s">
        <v>92</v>
      </c>
      <c r="Y1298" s="60"/>
      <c r="Z1298" s="60" t="s">
        <v>93</v>
      </c>
      <c r="AB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6"/>
      <c r="AN1298" s="66"/>
      <c r="AO1298" s="66"/>
      <c r="AP1298" s="66"/>
      <c r="AQ1298" s="66"/>
      <c r="AR1298" s="66"/>
      <c r="AS1298" s="60"/>
      <c r="AT1298" s="60"/>
      <c r="AU1298" s="60"/>
      <c r="AV1298" s="60"/>
      <c r="AW1298" s="60"/>
      <c r="AX1298" s="60"/>
      <c r="AY1298" s="60"/>
      <c r="AZ1298" s="60"/>
      <c r="BA1298" s="60"/>
      <c r="BB1298" s="60"/>
      <c r="BC1298" s="60"/>
      <c r="BD1298" s="60"/>
      <c r="BE1298" s="60"/>
      <c r="BF1298" s="60"/>
      <c r="BG1298" s="60"/>
      <c r="BH1298" s="60"/>
      <c r="BI1298" s="60"/>
      <c r="BJ1298" s="68">
        <v>1</v>
      </c>
      <c r="BK1298" s="66"/>
      <c r="BM1298" s="66"/>
      <c r="BN1298" s="68"/>
      <c r="BO1298" s="67"/>
      <c r="BP1298" s="67">
        <v>50</v>
      </c>
      <c r="BR1298" s="68"/>
      <c r="BS1298" s="68"/>
      <c r="BU1298" s="66"/>
      <c r="BV1298" s="66"/>
      <c r="BW1298" s="66"/>
      <c r="BX1298" s="66"/>
      <c r="BY1298" s="66"/>
      <c r="BZ1298" s="66"/>
      <c r="CA1298" s="152"/>
      <c r="CB1298" s="66"/>
      <c r="CC1298" s="66"/>
      <c r="CD1298" s="66"/>
      <c r="CE1298" s="66"/>
      <c r="CF1298" s="66"/>
      <c r="CG1298" s="66"/>
      <c r="CH1298" s="66"/>
    </row>
    <row r="1299" spans="3:86" s="63" customFormat="1" ht="19.5">
      <c r="C1299" s="136" t="s">
        <v>1870</v>
      </c>
      <c r="D1299" s="65"/>
      <c r="E1299" s="65"/>
      <c r="F1299" s="66"/>
      <c r="G1299" s="64"/>
      <c r="H1299" s="65"/>
      <c r="I1299" s="65"/>
      <c r="J1299" s="65"/>
      <c r="K1299" s="65"/>
      <c r="L1299" s="65"/>
      <c r="M1299" s="65"/>
      <c r="N1299" s="65"/>
      <c r="O1299" s="65"/>
      <c r="P1299" s="176"/>
      <c r="Q1299" s="65"/>
      <c r="R1299" s="65"/>
      <c r="S1299" s="201"/>
      <c r="T1299" s="201"/>
      <c r="U1299" s="66"/>
      <c r="V1299" s="66"/>
      <c r="W1299" s="66"/>
      <c r="X1299" s="66"/>
      <c r="Y1299" s="66"/>
      <c r="AB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6"/>
      <c r="AN1299" s="66"/>
      <c r="AO1299" s="66"/>
      <c r="AP1299" s="66"/>
      <c r="AQ1299" s="66"/>
      <c r="AR1299" s="66"/>
      <c r="AS1299" s="66"/>
      <c r="AT1299" s="66"/>
      <c r="AU1299" s="66"/>
      <c r="AV1299" s="66"/>
      <c r="AW1299" s="66"/>
      <c r="AX1299" s="66"/>
      <c r="AY1299" s="66"/>
      <c r="AZ1299" s="66"/>
      <c r="BA1299" s="66"/>
      <c r="BB1299" s="66"/>
      <c r="BC1299" s="66"/>
      <c r="BD1299" s="66"/>
      <c r="BE1299" s="66"/>
      <c r="BF1299" s="66"/>
      <c r="BG1299" s="66"/>
      <c r="BH1299" s="66"/>
      <c r="BI1299" s="66"/>
      <c r="BJ1299" s="66"/>
      <c r="BK1299" s="66"/>
      <c r="BL1299" s="66"/>
      <c r="BM1299" s="66"/>
      <c r="BN1299" s="66"/>
      <c r="BO1299" s="66"/>
      <c r="BP1299" s="66"/>
      <c r="BR1299" s="66"/>
      <c r="BS1299" s="66"/>
      <c r="BU1299" s="66"/>
      <c r="BV1299" s="66"/>
      <c r="BW1299" s="66"/>
      <c r="BX1299" s="66"/>
      <c r="BY1299" s="66"/>
      <c r="BZ1299" s="66"/>
      <c r="CA1299" s="152"/>
      <c r="CB1299" s="66"/>
      <c r="CC1299" s="66"/>
      <c r="CD1299" s="66"/>
      <c r="CE1299" s="66"/>
      <c r="CF1299" s="66"/>
      <c r="CG1299" s="66"/>
      <c r="CH1299" s="66"/>
    </row>
    <row r="1300" spans="3:86" s="63" customFormat="1" ht="19.5">
      <c r="C1300" s="136"/>
      <c r="D1300" s="70"/>
      <c r="E1300" s="70"/>
      <c r="F1300" s="66"/>
      <c r="G1300" s="69"/>
      <c r="H1300" s="70"/>
      <c r="I1300" s="70"/>
      <c r="J1300" s="70"/>
      <c r="K1300" s="70"/>
      <c r="L1300" s="70"/>
      <c r="M1300" s="70"/>
      <c r="N1300" s="70"/>
      <c r="O1300" s="70"/>
      <c r="P1300" s="176"/>
      <c r="Q1300" s="70"/>
      <c r="R1300" s="70"/>
      <c r="S1300" s="202"/>
      <c r="T1300" s="202"/>
      <c r="U1300" s="66"/>
      <c r="V1300" s="66"/>
      <c r="W1300" s="66"/>
      <c r="X1300" s="66"/>
      <c r="Y1300" s="66"/>
      <c r="AB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6"/>
      <c r="AN1300" s="66"/>
      <c r="AO1300" s="66"/>
      <c r="AP1300" s="66"/>
      <c r="AQ1300" s="66"/>
      <c r="AR1300" s="66"/>
      <c r="AS1300" s="66"/>
      <c r="AT1300" s="66"/>
      <c r="AU1300" s="66"/>
      <c r="AV1300" s="66"/>
      <c r="AW1300" s="66"/>
      <c r="AX1300" s="66"/>
      <c r="AY1300" s="66"/>
      <c r="AZ1300" s="66"/>
      <c r="BA1300" s="66"/>
      <c r="BB1300" s="66"/>
      <c r="BC1300" s="66"/>
      <c r="BD1300" s="66"/>
      <c r="BE1300" s="66"/>
      <c r="BF1300" s="66"/>
      <c r="BG1300" s="66"/>
      <c r="BH1300" s="66"/>
      <c r="BI1300" s="66"/>
      <c r="BJ1300" s="66"/>
      <c r="BK1300" s="66"/>
      <c r="BL1300" s="66"/>
      <c r="BM1300" s="66"/>
      <c r="BN1300" s="66"/>
      <c r="BO1300" s="66"/>
      <c r="BP1300" s="66"/>
      <c r="BR1300" s="66"/>
      <c r="BS1300" s="66"/>
      <c r="BU1300" s="66"/>
      <c r="BV1300" s="66"/>
      <c r="BW1300" s="66"/>
      <c r="BX1300" s="66"/>
      <c r="BY1300" s="66"/>
      <c r="BZ1300" s="66"/>
      <c r="CA1300" s="152"/>
      <c r="CB1300" s="66"/>
      <c r="CC1300" s="66"/>
      <c r="CD1300" s="66"/>
      <c r="CE1300" s="66"/>
      <c r="CF1300" s="66"/>
      <c r="CG1300" s="66"/>
      <c r="CH1300" s="66"/>
    </row>
    <row r="1301" spans="3:86" s="63" customFormat="1" ht="19.5">
      <c r="C1301" s="136" t="s">
        <v>1871</v>
      </c>
      <c r="D1301" s="70"/>
      <c r="E1301" s="70"/>
      <c r="F1301" s="60" t="s">
        <v>91</v>
      </c>
      <c r="G1301" s="69"/>
      <c r="H1301" s="70"/>
      <c r="I1301" s="70"/>
      <c r="J1301" s="70"/>
      <c r="K1301" s="70"/>
      <c r="L1301" s="70"/>
      <c r="M1301" s="70"/>
      <c r="N1301" s="70"/>
      <c r="O1301" s="70"/>
      <c r="P1301" s="176"/>
      <c r="Q1301" s="70"/>
      <c r="R1301" s="70"/>
      <c r="S1301" s="202"/>
      <c r="T1301" s="202"/>
      <c r="U1301" s="60"/>
      <c r="V1301" s="66"/>
      <c r="W1301" s="66"/>
      <c r="X1301" s="68" t="s">
        <v>92</v>
      </c>
      <c r="Y1301" s="66"/>
      <c r="AB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6"/>
      <c r="AN1301" s="66"/>
      <c r="AO1301" s="66"/>
      <c r="AP1301" s="66"/>
      <c r="AQ1301" s="66"/>
      <c r="AR1301" s="66"/>
      <c r="AS1301" s="66"/>
      <c r="AT1301" s="66"/>
      <c r="AU1301" s="66"/>
      <c r="AV1301" s="66"/>
      <c r="AW1301" s="66"/>
      <c r="AX1301" s="66"/>
      <c r="AY1301" s="66"/>
      <c r="AZ1301" s="66"/>
      <c r="BA1301" s="66"/>
      <c r="BB1301" s="66"/>
      <c r="BC1301" s="66"/>
      <c r="BD1301" s="66"/>
      <c r="BE1301" s="66"/>
      <c r="BF1301" s="66"/>
      <c r="BG1301" s="66"/>
      <c r="BH1301" s="66"/>
      <c r="BI1301" s="66"/>
      <c r="BJ1301" s="66"/>
      <c r="BK1301" s="66"/>
      <c r="BL1301" s="66"/>
      <c r="BM1301" s="66"/>
      <c r="BN1301" s="66"/>
      <c r="BO1301" s="66"/>
      <c r="BP1301" s="66"/>
      <c r="BR1301" s="66"/>
      <c r="BS1301" s="66"/>
      <c r="BU1301" s="66"/>
      <c r="BV1301" s="66"/>
      <c r="BW1301" s="66"/>
      <c r="BX1301" s="66"/>
      <c r="BY1301" s="66"/>
      <c r="BZ1301" s="66"/>
      <c r="CA1301" s="152"/>
      <c r="CB1301" s="66"/>
      <c r="CC1301" s="66"/>
      <c r="CD1301" s="66"/>
      <c r="CE1301" s="66"/>
      <c r="CF1301" s="66"/>
      <c r="CG1301" s="66"/>
      <c r="CH1301" s="66"/>
    </row>
    <row r="1302" spans="3:86" s="63" customFormat="1" ht="19.5">
      <c r="C1302" s="136"/>
      <c r="D1302" s="70"/>
      <c r="E1302" s="70"/>
      <c r="F1302" s="66"/>
      <c r="G1302" s="69"/>
      <c r="H1302" s="70"/>
      <c r="I1302" s="70"/>
      <c r="J1302" s="70"/>
      <c r="K1302" s="70"/>
      <c r="L1302" s="70"/>
      <c r="M1302" s="70"/>
      <c r="N1302" s="70"/>
      <c r="O1302" s="70"/>
      <c r="P1302" s="176"/>
      <c r="Q1302" s="70"/>
      <c r="R1302" s="70"/>
      <c r="S1302" s="202"/>
      <c r="T1302" s="202"/>
      <c r="U1302" s="66"/>
      <c r="V1302" s="66"/>
      <c r="W1302" s="66"/>
      <c r="X1302" s="66"/>
      <c r="Y1302" s="66"/>
      <c r="AB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6"/>
      <c r="AN1302" s="66"/>
      <c r="AO1302" s="66"/>
      <c r="AP1302" s="66"/>
      <c r="AQ1302" s="66"/>
      <c r="AR1302" s="66"/>
      <c r="AS1302" s="66"/>
      <c r="AT1302" s="66"/>
      <c r="AU1302" s="66"/>
      <c r="AV1302" s="66"/>
      <c r="AW1302" s="66"/>
      <c r="AX1302" s="66"/>
      <c r="AY1302" s="66"/>
      <c r="AZ1302" s="66"/>
      <c r="BA1302" s="66"/>
      <c r="BB1302" s="66"/>
      <c r="BC1302" s="66"/>
      <c r="BD1302" s="66"/>
      <c r="BE1302" s="66"/>
      <c r="BF1302" s="66"/>
      <c r="BG1302" s="66"/>
      <c r="BH1302" s="66"/>
      <c r="BI1302" s="66"/>
      <c r="BJ1302" s="66"/>
      <c r="BK1302" s="66"/>
      <c r="BL1302" s="66"/>
      <c r="BM1302" s="66"/>
      <c r="BN1302" s="66"/>
      <c r="BO1302" s="66"/>
      <c r="BP1302" s="66"/>
      <c r="BR1302" s="66"/>
      <c r="BS1302" s="66"/>
      <c r="BU1302" s="66"/>
      <c r="BV1302" s="66"/>
      <c r="BW1302" s="66"/>
      <c r="BX1302" s="66"/>
      <c r="BY1302" s="66"/>
      <c r="BZ1302" s="66"/>
      <c r="CA1302" s="152"/>
      <c r="CB1302" s="66"/>
      <c r="CC1302" s="66"/>
      <c r="CD1302" s="66"/>
      <c r="CE1302" s="66"/>
      <c r="CF1302" s="66"/>
      <c r="CG1302" s="66"/>
      <c r="CH1302" s="66"/>
    </row>
    <row r="1303" spans="3:86" s="63" customFormat="1" ht="19.5">
      <c r="C1303" s="136"/>
      <c r="D1303" s="70"/>
      <c r="E1303" s="70"/>
      <c r="F1303" s="66"/>
      <c r="G1303" s="69"/>
      <c r="H1303" s="70"/>
      <c r="I1303" s="70"/>
      <c r="J1303" s="70"/>
      <c r="K1303" s="70"/>
      <c r="L1303" s="70"/>
      <c r="M1303" s="70"/>
      <c r="N1303" s="70"/>
      <c r="O1303" s="70"/>
      <c r="P1303" s="176"/>
      <c r="Q1303" s="70"/>
      <c r="R1303" s="70"/>
      <c r="S1303" s="202"/>
      <c r="T1303" s="202"/>
      <c r="U1303" s="66"/>
      <c r="V1303" s="66"/>
      <c r="W1303" s="66"/>
      <c r="X1303" s="66"/>
      <c r="Y1303" s="66"/>
      <c r="AB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6"/>
      <c r="AN1303" s="66"/>
      <c r="AO1303" s="66"/>
      <c r="AP1303" s="66"/>
      <c r="AQ1303" s="66"/>
      <c r="AR1303" s="66"/>
      <c r="AS1303" s="66"/>
      <c r="AT1303" s="66"/>
      <c r="AU1303" s="66"/>
      <c r="AV1303" s="66"/>
      <c r="AW1303" s="66"/>
      <c r="AX1303" s="66"/>
      <c r="AY1303" s="66"/>
      <c r="AZ1303" s="66"/>
      <c r="BA1303" s="66"/>
      <c r="BB1303" s="66"/>
      <c r="BC1303" s="66"/>
      <c r="BD1303" s="66"/>
      <c r="BE1303" s="66"/>
      <c r="BF1303" s="66"/>
      <c r="BG1303" s="66"/>
      <c r="BH1303" s="66"/>
      <c r="BI1303" s="66"/>
      <c r="BJ1303" s="66"/>
      <c r="BK1303" s="66"/>
      <c r="BL1303" s="66"/>
      <c r="BM1303" s="66"/>
      <c r="BN1303" s="66"/>
      <c r="BO1303" s="66"/>
      <c r="BP1303" s="66"/>
      <c r="BR1303" s="66"/>
      <c r="BS1303" s="66"/>
      <c r="BU1303" s="66"/>
      <c r="BV1303" s="66"/>
      <c r="BW1303" s="66"/>
      <c r="BX1303" s="66"/>
      <c r="BY1303" s="66"/>
      <c r="BZ1303" s="66"/>
      <c r="CA1303" s="152"/>
      <c r="CB1303" s="66"/>
      <c r="CC1303" s="66"/>
      <c r="CD1303" s="66"/>
      <c r="CE1303" s="66"/>
      <c r="CF1303" s="66"/>
      <c r="CG1303" s="66"/>
      <c r="CH1303" s="66"/>
    </row>
    <row r="1304" spans="3:86" s="63" customFormat="1" ht="19.5">
      <c r="C1304" s="136"/>
      <c r="D1304" s="70"/>
      <c r="E1304" s="70"/>
      <c r="F1304" s="66"/>
      <c r="G1304" s="69"/>
      <c r="H1304" s="70"/>
      <c r="I1304" s="70"/>
      <c r="J1304" s="70"/>
      <c r="K1304" s="70"/>
      <c r="L1304" s="70"/>
      <c r="M1304" s="70"/>
      <c r="N1304" s="70"/>
      <c r="O1304" s="70"/>
      <c r="P1304" s="176"/>
      <c r="Q1304" s="70"/>
      <c r="R1304" s="70"/>
      <c r="S1304" s="202"/>
      <c r="T1304" s="202"/>
      <c r="U1304" s="66"/>
      <c r="V1304" s="66"/>
      <c r="W1304" s="66"/>
      <c r="X1304" s="66"/>
      <c r="Y1304" s="66"/>
      <c r="AB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6"/>
      <c r="AN1304" s="66"/>
      <c r="AO1304" s="66"/>
      <c r="AP1304" s="66"/>
      <c r="AQ1304" s="66"/>
      <c r="AR1304" s="66"/>
      <c r="AS1304" s="66"/>
      <c r="AT1304" s="66"/>
      <c r="AU1304" s="66"/>
      <c r="AV1304" s="66"/>
      <c r="AW1304" s="66"/>
      <c r="AX1304" s="66"/>
      <c r="AY1304" s="66"/>
      <c r="AZ1304" s="66"/>
      <c r="BA1304" s="66"/>
      <c r="BB1304" s="66"/>
      <c r="BC1304" s="66"/>
      <c r="BD1304" s="66"/>
      <c r="BE1304" s="66"/>
      <c r="BF1304" s="66"/>
      <c r="BG1304" s="66"/>
      <c r="BH1304" s="66"/>
      <c r="BI1304" s="66"/>
      <c r="BJ1304" s="66"/>
      <c r="BK1304" s="66"/>
      <c r="BL1304" s="66"/>
      <c r="BM1304" s="66"/>
      <c r="BN1304" s="66"/>
      <c r="BO1304" s="66"/>
      <c r="BP1304" s="66"/>
      <c r="BR1304" s="66"/>
      <c r="BS1304" s="66"/>
      <c r="BU1304" s="66"/>
      <c r="BV1304" s="66"/>
      <c r="BW1304" s="66"/>
      <c r="BX1304" s="66"/>
      <c r="BY1304" s="66"/>
      <c r="BZ1304" s="66"/>
      <c r="CA1304" s="152"/>
      <c r="CB1304" s="66"/>
      <c r="CC1304" s="66"/>
      <c r="CD1304" s="66"/>
      <c r="CE1304" s="66"/>
      <c r="CF1304" s="66"/>
      <c r="CG1304" s="66"/>
      <c r="CH1304" s="66"/>
    </row>
    <row r="1305" spans="3:86" s="63" customFormat="1" ht="19.5">
      <c r="C1305" s="136" t="s">
        <v>1872</v>
      </c>
      <c r="D1305" s="65"/>
      <c r="E1305" s="65"/>
      <c r="F1305" s="71" t="s">
        <v>90</v>
      </c>
      <c r="G1305" s="64"/>
      <c r="H1305" s="65"/>
      <c r="I1305" s="65"/>
      <c r="J1305" s="65"/>
      <c r="K1305" s="65"/>
      <c r="L1305" s="65"/>
      <c r="M1305" s="65"/>
      <c r="N1305" s="65"/>
      <c r="O1305" s="65"/>
      <c r="P1305" s="176"/>
      <c r="Q1305" s="65"/>
      <c r="R1305" s="65"/>
      <c r="S1305" s="201"/>
      <c r="T1305" s="201"/>
      <c r="U1305" s="71"/>
      <c r="V1305" s="71"/>
      <c r="W1305" s="71"/>
      <c r="X1305" s="66"/>
      <c r="Y1305" s="71"/>
      <c r="AB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6"/>
      <c r="AN1305" s="66"/>
      <c r="AO1305" s="66"/>
      <c r="AP1305" s="66"/>
      <c r="AQ1305" s="66"/>
      <c r="AR1305" s="66"/>
      <c r="AS1305" s="71"/>
      <c r="AT1305" s="71"/>
      <c r="AU1305" s="71"/>
      <c r="AV1305" s="71"/>
      <c r="AW1305" s="71"/>
      <c r="AX1305" s="71"/>
      <c r="AY1305" s="71"/>
      <c r="AZ1305" s="71"/>
      <c r="BA1305" s="71"/>
      <c r="BB1305" s="71"/>
      <c r="BC1305" s="71"/>
      <c r="BD1305" s="71"/>
      <c r="BE1305" s="71"/>
      <c r="BF1305" s="71"/>
      <c r="BG1305" s="71"/>
      <c r="BH1305" s="71"/>
      <c r="BI1305" s="71"/>
      <c r="BJ1305" s="66"/>
      <c r="BK1305" s="60" t="s">
        <v>88</v>
      </c>
      <c r="BL1305" s="66"/>
      <c r="BM1305" s="66"/>
      <c r="BN1305" s="66"/>
      <c r="BO1305" s="66"/>
      <c r="BP1305" s="73">
        <v>30</v>
      </c>
      <c r="BR1305" s="66"/>
      <c r="BS1305" s="66"/>
      <c r="BU1305" s="66"/>
      <c r="BV1305" s="66"/>
      <c r="BW1305" s="66"/>
      <c r="BX1305" s="66"/>
      <c r="BY1305" s="66"/>
      <c r="BZ1305" s="66"/>
      <c r="CA1305" s="152"/>
      <c r="CB1305" s="66"/>
      <c r="CC1305" s="66"/>
      <c r="CD1305" s="66"/>
      <c r="CE1305" s="66"/>
      <c r="CF1305" s="66"/>
      <c r="CG1305" s="66"/>
      <c r="CH1305" s="66"/>
    </row>
    <row r="1306" spans="3:86" s="63" customFormat="1" ht="33">
      <c r="C1306" s="136" t="s">
        <v>1873</v>
      </c>
      <c r="D1306" s="65"/>
      <c r="E1306" s="65"/>
      <c r="F1306" s="66"/>
      <c r="G1306" s="64"/>
      <c r="H1306" s="65"/>
      <c r="I1306" s="65"/>
      <c r="J1306" s="65"/>
      <c r="K1306" s="65"/>
      <c r="L1306" s="65"/>
      <c r="M1306" s="65"/>
      <c r="N1306" s="65"/>
      <c r="O1306" s="65"/>
      <c r="P1306" s="176"/>
      <c r="Q1306" s="65"/>
      <c r="R1306" s="65"/>
      <c r="S1306" s="201"/>
      <c r="T1306" s="201"/>
      <c r="U1306" s="66"/>
      <c r="V1306" s="66"/>
      <c r="W1306" s="66"/>
      <c r="X1306" s="66"/>
      <c r="Y1306" s="66"/>
      <c r="AB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6"/>
      <c r="AN1306" s="66"/>
      <c r="AO1306" s="66"/>
      <c r="AP1306" s="66"/>
      <c r="AQ1306" s="66"/>
      <c r="AR1306" s="66"/>
      <c r="AS1306" s="66"/>
      <c r="AT1306" s="66"/>
      <c r="AU1306" s="66"/>
      <c r="AV1306" s="66"/>
      <c r="AW1306" s="66"/>
      <c r="AX1306" s="66"/>
      <c r="AY1306" s="66"/>
      <c r="AZ1306" s="66"/>
      <c r="BA1306" s="66"/>
      <c r="BB1306" s="66"/>
      <c r="BC1306" s="66"/>
      <c r="BD1306" s="66"/>
      <c r="BE1306" s="66"/>
      <c r="BF1306" s="66"/>
      <c r="BG1306" s="66"/>
      <c r="BH1306" s="66"/>
      <c r="BI1306" s="66"/>
      <c r="BJ1306" s="66"/>
      <c r="BK1306" s="60" t="s">
        <v>88</v>
      </c>
      <c r="BL1306" s="66"/>
      <c r="BM1306" s="66"/>
      <c r="BN1306" s="66"/>
      <c r="BO1306" s="66"/>
      <c r="BP1306" s="73">
        <v>35</v>
      </c>
      <c r="BR1306" s="66"/>
      <c r="BS1306" s="66"/>
      <c r="BU1306" s="66"/>
      <c r="BV1306" s="66"/>
      <c r="BW1306" s="66"/>
      <c r="BX1306" s="66"/>
      <c r="BY1306" s="66"/>
      <c r="BZ1306" s="66"/>
      <c r="CA1306" s="152"/>
      <c r="CB1306" s="66"/>
      <c r="CC1306" s="66"/>
      <c r="CD1306" s="66"/>
      <c r="CE1306" s="66"/>
      <c r="CF1306" s="66"/>
      <c r="CG1306" s="66"/>
      <c r="CH1306" s="66"/>
    </row>
    <row r="1307" spans="3:86" s="63" customFormat="1" ht="19.5">
      <c r="C1307" s="136" t="s">
        <v>1874</v>
      </c>
      <c r="D1307" s="65"/>
      <c r="E1307" s="65"/>
      <c r="F1307" s="66"/>
      <c r="G1307" s="64"/>
      <c r="H1307" s="65"/>
      <c r="I1307" s="65"/>
      <c r="J1307" s="65"/>
      <c r="K1307" s="65"/>
      <c r="L1307" s="65"/>
      <c r="M1307" s="65"/>
      <c r="N1307" s="65"/>
      <c r="O1307" s="65"/>
      <c r="P1307" s="176"/>
      <c r="Q1307" s="65"/>
      <c r="R1307" s="65"/>
      <c r="S1307" s="201"/>
      <c r="T1307" s="201"/>
      <c r="U1307" s="66"/>
      <c r="V1307" s="66"/>
      <c r="W1307" s="66"/>
      <c r="X1307" s="66"/>
      <c r="Y1307" s="66"/>
      <c r="AB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6"/>
      <c r="AN1307" s="66"/>
      <c r="AO1307" s="66"/>
      <c r="AP1307" s="66"/>
      <c r="AQ1307" s="66"/>
      <c r="AR1307" s="66"/>
      <c r="AS1307" s="66"/>
      <c r="AT1307" s="66"/>
      <c r="AU1307" s="66"/>
      <c r="AV1307" s="66"/>
      <c r="AW1307" s="66"/>
      <c r="AX1307" s="66"/>
      <c r="AY1307" s="66"/>
      <c r="AZ1307" s="66"/>
      <c r="BA1307" s="66"/>
      <c r="BB1307" s="66"/>
      <c r="BC1307" s="66"/>
      <c r="BD1307" s="66"/>
      <c r="BE1307" s="66"/>
      <c r="BF1307" s="66"/>
      <c r="BG1307" s="66"/>
      <c r="BH1307" s="66"/>
      <c r="BI1307" s="66"/>
      <c r="BJ1307" s="66"/>
      <c r="BK1307" s="66"/>
      <c r="BL1307" s="66"/>
      <c r="BM1307" s="66"/>
      <c r="BN1307" s="66"/>
      <c r="BO1307" s="66"/>
      <c r="BP1307" s="73"/>
      <c r="BR1307" s="66"/>
      <c r="BS1307" s="66"/>
      <c r="BU1307" s="66"/>
      <c r="BV1307" s="66"/>
      <c r="BW1307" s="66"/>
      <c r="BX1307" s="66"/>
      <c r="BY1307" s="66"/>
      <c r="BZ1307" s="66"/>
      <c r="CA1307" s="152"/>
      <c r="CB1307" s="66"/>
      <c r="CC1307" s="66"/>
      <c r="CD1307" s="66"/>
      <c r="CE1307" s="66"/>
      <c r="CF1307" s="66"/>
      <c r="CG1307" s="66"/>
      <c r="CH1307" s="66"/>
    </row>
    <row r="1308" spans="3:86" s="63" customFormat="1" ht="19.5">
      <c r="C1308" s="136"/>
      <c r="D1308" s="70"/>
      <c r="E1308" s="70"/>
      <c r="F1308" s="66"/>
      <c r="G1308" s="69"/>
      <c r="H1308" s="70"/>
      <c r="I1308" s="70"/>
      <c r="J1308" s="70"/>
      <c r="K1308" s="70"/>
      <c r="L1308" s="70"/>
      <c r="M1308" s="70"/>
      <c r="N1308" s="70"/>
      <c r="O1308" s="70"/>
      <c r="P1308" s="176"/>
      <c r="Q1308" s="70"/>
      <c r="R1308" s="70"/>
      <c r="S1308" s="202"/>
      <c r="T1308" s="202"/>
      <c r="U1308" s="66"/>
      <c r="V1308" s="66"/>
      <c r="W1308" s="66"/>
      <c r="X1308" s="66"/>
      <c r="Y1308" s="66"/>
      <c r="AB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6"/>
      <c r="AN1308" s="66"/>
      <c r="AO1308" s="66"/>
      <c r="AP1308" s="66"/>
      <c r="AQ1308" s="66"/>
      <c r="AR1308" s="66"/>
      <c r="AS1308" s="66"/>
      <c r="AT1308" s="66"/>
      <c r="AU1308" s="66"/>
      <c r="AV1308" s="66"/>
      <c r="AW1308" s="66"/>
      <c r="AX1308" s="66"/>
      <c r="AY1308" s="66"/>
      <c r="AZ1308" s="66"/>
      <c r="BA1308" s="66"/>
      <c r="BB1308" s="66"/>
      <c r="BC1308" s="66"/>
      <c r="BD1308" s="66"/>
      <c r="BE1308" s="66"/>
      <c r="BF1308" s="66"/>
      <c r="BG1308" s="66"/>
      <c r="BH1308" s="66"/>
      <c r="BI1308" s="66"/>
      <c r="BJ1308" s="66"/>
      <c r="BK1308" s="66"/>
      <c r="BL1308" s="66"/>
      <c r="BM1308" s="66"/>
      <c r="BN1308" s="66"/>
      <c r="BO1308" s="66"/>
      <c r="BP1308" s="73"/>
      <c r="BR1308" s="66"/>
      <c r="BS1308" s="66"/>
      <c r="BU1308" s="66"/>
      <c r="BV1308" s="66"/>
      <c r="BW1308" s="66"/>
      <c r="BX1308" s="66"/>
      <c r="BY1308" s="66"/>
      <c r="BZ1308" s="66"/>
      <c r="CA1308" s="152"/>
      <c r="CB1308" s="66"/>
      <c r="CC1308" s="66"/>
      <c r="CD1308" s="66"/>
      <c r="CE1308" s="66"/>
      <c r="CF1308" s="66"/>
      <c r="CG1308" s="66"/>
      <c r="CH1308" s="66"/>
    </row>
    <row r="1309" spans="3:86" s="63" customFormat="1" ht="19.5">
      <c r="C1309" s="136" t="s">
        <v>1875</v>
      </c>
      <c r="D1309" s="65"/>
      <c r="E1309" s="65"/>
      <c r="F1309" s="71" t="s">
        <v>89</v>
      </c>
      <c r="G1309" s="64"/>
      <c r="H1309" s="65"/>
      <c r="I1309" s="65"/>
      <c r="J1309" s="65"/>
      <c r="K1309" s="65"/>
      <c r="L1309" s="65"/>
      <c r="M1309" s="65"/>
      <c r="N1309" s="65"/>
      <c r="O1309" s="65"/>
      <c r="P1309" s="176"/>
      <c r="Q1309" s="65"/>
      <c r="R1309" s="65"/>
      <c r="S1309" s="201"/>
      <c r="T1309" s="201"/>
      <c r="U1309" s="71"/>
      <c r="V1309" s="71"/>
      <c r="W1309" s="71"/>
      <c r="X1309" s="66"/>
      <c r="Y1309" s="71"/>
      <c r="AB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6"/>
      <c r="AN1309" s="66"/>
      <c r="AO1309" s="66"/>
      <c r="AP1309" s="66"/>
      <c r="AQ1309" s="66"/>
      <c r="AR1309" s="66"/>
      <c r="AS1309" s="71"/>
      <c r="AT1309" s="71"/>
      <c r="AU1309" s="71"/>
      <c r="AV1309" s="71"/>
      <c r="AW1309" s="71"/>
      <c r="AX1309" s="71"/>
      <c r="AY1309" s="71"/>
      <c r="AZ1309" s="71"/>
      <c r="BA1309" s="71"/>
      <c r="BB1309" s="71"/>
      <c r="BC1309" s="71"/>
      <c r="BD1309" s="71"/>
      <c r="BE1309" s="71"/>
      <c r="BF1309" s="71"/>
      <c r="BG1309" s="71"/>
      <c r="BH1309" s="71"/>
      <c r="BI1309" s="71"/>
      <c r="BJ1309" s="66"/>
      <c r="BK1309" s="60" t="s">
        <v>88</v>
      </c>
      <c r="BL1309" s="66"/>
      <c r="BM1309" s="66"/>
      <c r="BN1309" s="66"/>
      <c r="BO1309" s="66"/>
      <c r="BP1309" s="73">
        <v>50</v>
      </c>
      <c r="BR1309" s="66"/>
      <c r="BS1309" s="66"/>
      <c r="BU1309" s="66"/>
      <c r="BV1309" s="66"/>
      <c r="BW1309" s="66"/>
      <c r="BX1309" s="66"/>
      <c r="BY1309" s="66"/>
      <c r="BZ1309" s="66"/>
      <c r="CA1309" s="152"/>
      <c r="CB1309" s="66"/>
      <c r="CC1309" s="66"/>
      <c r="CD1309" s="66"/>
      <c r="CE1309" s="66"/>
      <c r="CF1309" s="66"/>
      <c r="CG1309" s="66"/>
      <c r="CH1309" s="66"/>
    </row>
    <row r="1310" spans="3:86" s="63" customFormat="1" ht="19.5">
      <c r="C1310" s="136" t="s">
        <v>1876</v>
      </c>
      <c r="D1310" s="65"/>
      <c r="E1310" s="65"/>
      <c r="F1310" s="71" t="s">
        <v>89</v>
      </c>
      <c r="G1310" s="64"/>
      <c r="H1310" s="65"/>
      <c r="I1310" s="65"/>
      <c r="J1310" s="65"/>
      <c r="K1310" s="65"/>
      <c r="L1310" s="65"/>
      <c r="M1310" s="65"/>
      <c r="N1310" s="65"/>
      <c r="O1310" s="65"/>
      <c r="P1310" s="176"/>
      <c r="Q1310" s="65"/>
      <c r="R1310" s="65"/>
      <c r="S1310" s="201"/>
      <c r="T1310" s="201"/>
      <c r="U1310" s="71"/>
      <c r="V1310" s="71"/>
      <c r="W1310" s="71"/>
      <c r="X1310" s="66"/>
      <c r="Y1310" s="71"/>
      <c r="AB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6"/>
      <c r="AN1310" s="66"/>
      <c r="AO1310" s="66"/>
      <c r="AP1310" s="66"/>
      <c r="AQ1310" s="66"/>
      <c r="AR1310" s="66"/>
      <c r="AS1310" s="71"/>
      <c r="AT1310" s="71"/>
      <c r="AU1310" s="71"/>
      <c r="AV1310" s="71"/>
      <c r="AW1310" s="71"/>
      <c r="AX1310" s="71"/>
      <c r="AY1310" s="71"/>
      <c r="AZ1310" s="71"/>
      <c r="BA1310" s="71"/>
      <c r="BB1310" s="71"/>
      <c r="BC1310" s="71"/>
      <c r="BD1310" s="71"/>
      <c r="BE1310" s="71"/>
      <c r="BF1310" s="71"/>
      <c r="BG1310" s="71"/>
      <c r="BH1310" s="71"/>
      <c r="BI1310" s="71"/>
      <c r="BJ1310" s="66"/>
      <c r="BK1310" s="60" t="s">
        <v>88</v>
      </c>
      <c r="BL1310" s="66"/>
      <c r="BM1310" s="66"/>
      <c r="BN1310" s="66"/>
      <c r="BO1310" s="66"/>
      <c r="BP1310" s="73">
        <v>50</v>
      </c>
      <c r="BR1310" s="66"/>
      <c r="BS1310" s="66"/>
      <c r="BU1310" s="66"/>
      <c r="BV1310" s="66"/>
      <c r="BW1310" s="66"/>
      <c r="BX1310" s="66"/>
      <c r="BY1310" s="66"/>
      <c r="BZ1310" s="66"/>
      <c r="CA1310" s="152"/>
      <c r="CB1310" s="66"/>
      <c r="CC1310" s="66"/>
      <c r="CD1310" s="66"/>
      <c r="CE1310" s="66"/>
      <c r="CF1310" s="66"/>
      <c r="CG1310" s="66"/>
      <c r="CH1310" s="66"/>
    </row>
    <row r="1311" spans="3:86" s="63" customFormat="1" ht="19.5">
      <c r="C1311" s="136" t="s">
        <v>1877</v>
      </c>
      <c r="D1311" s="65"/>
      <c r="E1311" s="65"/>
      <c r="F1311" s="71" t="s">
        <v>89</v>
      </c>
      <c r="G1311" s="64"/>
      <c r="H1311" s="65"/>
      <c r="I1311" s="65"/>
      <c r="J1311" s="65"/>
      <c r="K1311" s="65"/>
      <c r="L1311" s="65"/>
      <c r="M1311" s="65"/>
      <c r="N1311" s="65"/>
      <c r="O1311" s="65"/>
      <c r="P1311" s="176"/>
      <c r="Q1311" s="65"/>
      <c r="R1311" s="65"/>
      <c r="S1311" s="201"/>
      <c r="T1311" s="201"/>
      <c r="U1311" s="71"/>
      <c r="V1311" s="71"/>
      <c r="W1311" s="71"/>
      <c r="X1311" s="66"/>
      <c r="Y1311" s="71"/>
      <c r="AB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6"/>
      <c r="AN1311" s="66"/>
      <c r="AO1311" s="66"/>
      <c r="AP1311" s="66"/>
      <c r="AQ1311" s="66"/>
      <c r="AR1311" s="66"/>
      <c r="AS1311" s="71"/>
      <c r="AT1311" s="71"/>
      <c r="AU1311" s="71"/>
      <c r="AV1311" s="71"/>
      <c r="AW1311" s="71"/>
      <c r="AX1311" s="71"/>
      <c r="AY1311" s="71"/>
      <c r="AZ1311" s="71"/>
      <c r="BA1311" s="71"/>
      <c r="BB1311" s="71"/>
      <c r="BC1311" s="71"/>
      <c r="BD1311" s="71"/>
      <c r="BE1311" s="71"/>
      <c r="BF1311" s="71"/>
      <c r="BG1311" s="71"/>
      <c r="BH1311" s="71"/>
      <c r="BI1311" s="71"/>
      <c r="BJ1311" s="66"/>
      <c r="BK1311" s="60" t="s">
        <v>88</v>
      </c>
      <c r="BL1311" s="66"/>
      <c r="BM1311" s="66"/>
      <c r="BN1311" s="66"/>
      <c r="BO1311" s="66"/>
      <c r="BP1311" s="73">
        <v>50</v>
      </c>
      <c r="BR1311" s="66"/>
      <c r="BS1311" s="66"/>
      <c r="BU1311" s="66"/>
      <c r="BV1311" s="66"/>
      <c r="BW1311" s="66"/>
      <c r="BX1311" s="66"/>
      <c r="BY1311" s="66"/>
      <c r="BZ1311" s="66"/>
      <c r="CA1311" s="152"/>
      <c r="CB1311" s="66"/>
      <c r="CC1311" s="66"/>
      <c r="CD1311" s="66"/>
      <c r="CE1311" s="66"/>
      <c r="CF1311" s="66"/>
      <c r="CG1311" s="66"/>
      <c r="CH1311" s="66"/>
    </row>
    <row r="1312" spans="3:86" s="63" customFormat="1" ht="19.5">
      <c r="C1312" s="136" t="s">
        <v>1878</v>
      </c>
      <c r="D1312" s="65"/>
      <c r="E1312" s="65"/>
      <c r="F1312" s="71" t="s">
        <v>89</v>
      </c>
      <c r="G1312" s="64"/>
      <c r="H1312" s="65"/>
      <c r="I1312" s="65"/>
      <c r="J1312" s="65"/>
      <c r="K1312" s="65"/>
      <c r="L1312" s="65"/>
      <c r="M1312" s="65"/>
      <c r="N1312" s="65"/>
      <c r="O1312" s="65"/>
      <c r="P1312" s="176"/>
      <c r="Q1312" s="65"/>
      <c r="R1312" s="65"/>
      <c r="S1312" s="201"/>
      <c r="T1312" s="201"/>
      <c r="U1312" s="71"/>
      <c r="V1312" s="71"/>
      <c r="W1312" s="71"/>
      <c r="X1312" s="66"/>
      <c r="Y1312" s="71"/>
      <c r="AB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6"/>
      <c r="AN1312" s="66"/>
      <c r="AO1312" s="66"/>
      <c r="AP1312" s="66"/>
      <c r="AQ1312" s="66"/>
      <c r="AR1312" s="66"/>
      <c r="AS1312" s="71"/>
      <c r="AT1312" s="71"/>
      <c r="AU1312" s="71"/>
      <c r="AV1312" s="71"/>
      <c r="AW1312" s="71"/>
      <c r="AX1312" s="71"/>
      <c r="AY1312" s="71"/>
      <c r="AZ1312" s="71"/>
      <c r="BA1312" s="71"/>
      <c r="BB1312" s="71"/>
      <c r="BC1312" s="71"/>
      <c r="BD1312" s="71"/>
      <c r="BE1312" s="71"/>
      <c r="BF1312" s="71"/>
      <c r="BG1312" s="71"/>
      <c r="BH1312" s="71"/>
      <c r="BI1312" s="71"/>
      <c r="BJ1312" s="66"/>
      <c r="BK1312" s="60" t="s">
        <v>88</v>
      </c>
      <c r="BL1312" s="66"/>
      <c r="BM1312" s="66"/>
      <c r="BN1312" s="66"/>
      <c r="BO1312" s="66"/>
      <c r="BP1312" s="73">
        <v>50</v>
      </c>
      <c r="BR1312" s="66"/>
      <c r="BS1312" s="66"/>
      <c r="BU1312" s="66"/>
      <c r="BV1312" s="66"/>
      <c r="BW1312" s="66"/>
      <c r="BX1312" s="66"/>
      <c r="BY1312" s="66"/>
      <c r="BZ1312" s="66"/>
      <c r="CA1312" s="152"/>
      <c r="CB1312" s="66"/>
      <c r="CC1312" s="66"/>
      <c r="CD1312" s="66"/>
      <c r="CE1312" s="66"/>
      <c r="CF1312" s="66"/>
      <c r="CG1312" s="66"/>
      <c r="CH1312" s="66"/>
    </row>
    <row r="1313" spans="3:86" s="63" customFormat="1" ht="19.5">
      <c r="C1313" s="136" t="s">
        <v>1879</v>
      </c>
      <c r="D1313" s="65"/>
      <c r="E1313" s="65"/>
      <c r="F1313" s="71" t="s">
        <v>89</v>
      </c>
      <c r="G1313" s="64"/>
      <c r="H1313" s="65"/>
      <c r="I1313" s="65"/>
      <c r="J1313" s="65"/>
      <c r="K1313" s="65"/>
      <c r="L1313" s="65"/>
      <c r="M1313" s="65"/>
      <c r="N1313" s="65"/>
      <c r="O1313" s="65"/>
      <c r="P1313" s="176"/>
      <c r="Q1313" s="65"/>
      <c r="R1313" s="65"/>
      <c r="S1313" s="201"/>
      <c r="T1313" s="201"/>
      <c r="U1313" s="71"/>
      <c r="V1313" s="71"/>
      <c r="W1313" s="71"/>
      <c r="X1313" s="66"/>
      <c r="Y1313" s="71"/>
      <c r="AB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6"/>
      <c r="AN1313" s="66"/>
      <c r="AO1313" s="66"/>
      <c r="AP1313" s="66"/>
      <c r="AQ1313" s="66"/>
      <c r="AR1313" s="66"/>
      <c r="AS1313" s="71"/>
      <c r="AT1313" s="71"/>
      <c r="AU1313" s="71"/>
      <c r="AV1313" s="71"/>
      <c r="AW1313" s="71"/>
      <c r="AX1313" s="71"/>
      <c r="AY1313" s="71"/>
      <c r="AZ1313" s="71"/>
      <c r="BA1313" s="71"/>
      <c r="BB1313" s="71"/>
      <c r="BC1313" s="71"/>
      <c r="BD1313" s="71"/>
      <c r="BE1313" s="71"/>
      <c r="BF1313" s="71"/>
      <c r="BG1313" s="71"/>
      <c r="BH1313" s="71"/>
      <c r="BI1313" s="71"/>
      <c r="BJ1313" s="66"/>
      <c r="BK1313" s="60" t="s">
        <v>88</v>
      </c>
      <c r="BL1313" s="66"/>
      <c r="BM1313" s="66"/>
      <c r="BN1313" s="66"/>
      <c r="BO1313" s="66"/>
      <c r="BP1313" s="73">
        <v>50</v>
      </c>
      <c r="BR1313" s="66"/>
      <c r="BS1313" s="66"/>
      <c r="BU1313" s="66"/>
      <c r="BV1313" s="66"/>
      <c r="BW1313" s="66"/>
      <c r="BX1313" s="66"/>
      <c r="BY1313" s="66"/>
      <c r="BZ1313" s="66"/>
      <c r="CA1313" s="152"/>
      <c r="CB1313" s="66"/>
      <c r="CC1313" s="66"/>
      <c r="CD1313" s="66"/>
      <c r="CE1313" s="66"/>
      <c r="CF1313" s="66"/>
      <c r="CG1313" s="66"/>
      <c r="CH1313" s="66"/>
    </row>
    <row r="1314" spans="3:86" s="63" customFormat="1" ht="19.5">
      <c r="C1314" s="136" t="s">
        <v>1880</v>
      </c>
      <c r="D1314" s="65"/>
      <c r="E1314" s="65"/>
      <c r="F1314" s="71" t="s">
        <v>89</v>
      </c>
      <c r="G1314" s="64"/>
      <c r="H1314" s="65"/>
      <c r="I1314" s="65"/>
      <c r="J1314" s="65"/>
      <c r="K1314" s="65"/>
      <c r="L1314" s="65"/>
      <c r="M1314" s="65"/>
      <c r="N1314" s="65"/>
      <c r="O1314" s="65"/>
      <c r="P1314" s="176"/>
      <c r="Q1314" s="65"/>
      <c r="R1314" s="65"/>
      <c r="S1314" s="201"/>
      <c r="T1314" s="201"/>
      <c r="U1314" s="71"/>
      <c r="V1314" s="71"/>
      <c r="W1314" s="71"/>
      <c r="X1314" s="66"/>
      <c r="Y1314" s="71"/>
      <c r="AB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6"/>
      <c r="AN1314" s="66"/>
      <c r="AO1314" s="66"/>
      <c r="AP1314" s="66"/>
      <c r="AQ1314" s="66"/>
      <c r="AR1314" s="66"/>
      <c r="AS1314" s="71"/>
      <c r="AT1314" s="71"/>
      <c r="AU1314" s="71"/>
      <c r="AV1314" s="71"/>
      <c r="AW1314" s="71"/>
      <c r="AX1314" s="71"/>
      <c r="AY1314" s="71"/>
      <c r="AZ1314" s="71"/>
      <c r="BA1314" s="71"/>
      <c r="BB1314" s="71"/>
      <c r="BC1314" s="71"/>
      <c r="BD1314" s="71"/>
      <c r="BE1314" s="71"/>
      <c r="BF1314" s="71"/>
      <c r="BG1314" s="71"/>
      <c r="BH1314" s="71"/>
      <c r="BI1314" s="71"/>
      <c r="BJ1314" s="66"/>
      <c r="BK1314" s="60" t="s">
        <v>88</v>
      </c>
      <c r="BL1314" s="66"/>
      <c r="BM1314" s="66"/>
      <c r="BN1314" s="66"/>
      <c r="BO1314" s="66"/>
      <c r="BP1314" s="73">
        <v>50</v>
      </c>
      <c r="BR1314" s="66"/>
      <c r="BS1314" s="66"/>
      <c r="BU1314" s="66"/>
      <c r="BV1314" s="66"/>
      <c r="BW1314" s="66"/>
      <c r="BX1314" s="66"/>
      <c r="BY1314" s="66"/>
      <c r="BZ1314" s="66"/>
      <c r="CA1314" s="152"/>
      <c r="CB1314" s="66"/>
      <c r="CC1314" s="66"/>
      <c r="CD1314" s="66"/>
      <c r="CE1314" s="66"/>
      <c r="CF1314" s="66"/>
      <c r="CG1314" s="66"/>
      <c r="CH1314" s="66"/>
    </row>
    <row r="1315" spans="3:86" s="63" customFormat="1" ht="19.5">
      <c r="C1315" s="136"/>
      <c r="D1315" s="70"/>
      <c r="E1315" s="70"/>
      <c r="F1315" s="69"/>
      <c r="G1315" s="69"/>
      <c r="H1315" s="70"/>
      <c r="I1315" s="70"/>
      <c r="J1315" s="70"/>
      <c r="K1315" s="70"/>
      <c r="L1315" s="70"/>
      <c r="M1315" s="70"/>
      <c r="N1315" s="70"/>
      <c r="O1315" s="70"/>
      <c r="P1315" s="177"/>
      <c r="Q1315" s="70"/>
      <c r="R1315" s="70"/>
      <c r="S1315" s="202"/>
      <c r="T1315" s="202"/>
      <c r="U1315" s="69"/>
      <c r="V1315" s="69"/>
      <c r="W1315" s="69"/>
      <c r="X1315" s="69"/>
      <c r="Y1315" s="69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6"/>
      <c r="AN1315" s="66"/>
      <c r="AO1315" s="66"/>
      <c r="AP1315" s="66"/>
      <c r="AQ1315" s="66"/>
      <c r="AR1315" s="66"/>
      <c r="AS1315" s="69"/>
      <c r="AT1315" s="69"/>
      <c r="AU1315" s="69"/>
      <c r="AV1315" s="69"/>
      <c r="AW1315" s="69"/>
      <c r="AX1315" s="69"/>
      <c r="AY1315" s="69"/>
      <c r="AZ1315" s="69"/>
      <c r="BA1315" s="69"/>
      <c r="BB1315" s="69"/>
      <c r="BC1315" s="69"/>
      <c r="BD1315" s="69"/>
      <c r="BE1315" s="69"/>
      <c r="BF1315" s="69"/>
      <c r="BG1315" s="69"/>
      <c r="BH1315" s="69"/>
      <c r="BI1315" s="69"/>
      <c r="BJ1315" s="69"/>
      <c r="BK1315" s="66"/>
      <c r="BL1315" s="69"/>
      <c r="BM1315" s="66"/>
      <c r="BN1315" s="69"/>
      <c r="BO1315" s="66"/>
      <c r="BP1315" s="73"/>
      <c r="BQ1315" s="66"/>
      <c r="BR1315" s="66"/>
      <c r="BS1315" s="66"/>
      <c r="BU1315" s="66"/>
      <c r="BV1315" s="66"/>
      <c r="BW1315" s="66"/>
      <c r="BX1315" s="66"/>
      <c r="BY1315" s="66"/>
      <c r="BZ1315" s="66"/>
      <c r="CA1315" s="152"/>
      <c r="CB1315" s="66"/>
      <c r="CC1315" s="66"/>
      <c r="CD1315" s="66"/>
      <c r="CE1315" s="66"/>
      <c r="CF1315" s="66"/>
      <c r="CG1315" s="66"/>
      <c r="CH1315" s="66"/>
    </row>
    <row r="1316" spans="3:86" s="63" customFormat="1" ht="19.5">
      <c r="C1316" s="136"/>
      <c r="D1316" s="70"/>
      <c r="E1316" s="70"/>
      <c r="F1316" s="69"/>
      <c r="G1316" s="69"/>
      <c r="H1316" s="70"/>
      <c r="I1316" s="70"/>
      <c r="J1316" s="70"/>
      <c r="K1316" s="70"/>
      <c r="L1316" s="70"/>
      <c r="M1316" s="70"/>
      <c r="N1316" s="70"/>
      <c r="O1316" s="70"/>
      <c r="P1316" s="177"/>
      <c r="Q1316" s="70"/>
      <c r="R1316" s="70"/>
      <c r="S1316" s="202"/>
      <c r="T1316" s="202"/>
      <c r="U1316" s="69"/>
      <c r="V1316" s="69"/>
      <c r="W1316" s="69"/>
      <c r="X1316" s="69"/>
      <c r="Y1316" s="69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6"/>
      <c r="AN1316" s="66"/>
      <c r="AO1316" s="66"/>
      <c r="AP1316" s="66"/>
      <c r="AQ1316" s="66"/>
      <c r="AR1316" s="66"/>
      <c r="AS1316" s="69"/>
      <c r="AT1316" s="69"/>
      <c r="AU1316" s="69"/>
      <c r="AV1316" s="69"/>
      <c r="AW1316" s="69"/>
      <c r="AX1316" s="69"/>
      <c r="AY1316" s="69"/>
      <c r="AZ1316" s="69"/>
      <c r="BA1316" s="69"/>
      <c r="BB1316" s="69"/>
      <c r="BC1316" s="69"/>
      <c r="BD1316" s="69"/>
      <c r="BE1316" s="69"/>
      <c r="BF1316" s="69"/>
      <c r="BG1316" s="69"/>
      <c r="BH1316" s="69"/>
      <c r="BI1316" s="69"/>
      <c r="BJ1316" s="69"/>
      <c r="BK1316" s="66"/>
      <c r="BL1316" s="69"/>
      <c r="BM1316" s="66"/>
      <c r="BN1316" s="69"/>
      <c r="BO1316" s="66"/>
      <c r="BP1316" s="73"/>
      <c r="BQ1316" s="66"/>
      <c r="BT1316" s="66"/>
      <c r="BU1316" s="66"/>
      <c r="BV1316" s="66"/>
      <c r="BW1316" s="66"/>
      <c r="BX1316" s="66"/>
      <c r="BY1316" s="66"/>
      <c r="BZ1316" s="66"/>
      <c r="CA1316" s="152"/>
      <c r="CB1316" s="66"/>
      <c r="CC1316" s="66"/>
      <c r="CD1316" s="66"/>
      <c r="CE1316" s="66"/>
      <c r="CF1316" s="66"/>
      <c r="CG1316" s="66"/>
      <c r="CH1316" s="66"/>
    </row>
    <row r="1317" spans="3:86" s="63" customFormat="1" ht="19.5">
      <c r="C1317" s="136"/>
      <c r="D1317" s="70"/>
      <c r="E1317" s="70"/>
      <c r="F1317" s="69"/>
      <c r="G1317" s="69"/>
      <c r="H1317" s="70"/>
      <c r="I1317" s="70"/>
      <c r="J1317" s="70"/>
      <c r="K1317" s="70"/>
      <c r="L1317" s="70"/>
      <c r="M1317" s="70"/>
      <c r="N1317" s="70"/>
      <c r="O1317" s="70"/>
      <c r="P1317" s="177"/>
      <c r="Q1317" s="70"/>
      <c r="R1317" s="70"/>
      <c r="S1317" s="202"/>
      <c r="T1317" s="202"/>
      <c r="U1317" s="69"/>
      <c r="V1317" s="69"/>
      <c r="W1317" s="69"/>
      <c r="X1317" s="69"/>
      <c r="Y1317" s="69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6"/>
      <c r="AN1317" s="66"/>
      <c r="AO1317" s="66"/>
      <c r="AP1317" s="66"/>
      <c r="AQ1317" s="66"/>
      <c r="AR1317" s="66"/>
      <c r="AS1317" s="69"/>
      <c r="AT1317" s="69"/>
      <c r="AU1317" s="69"/>
      <c r="AV1317" s="69"/>
      <c r="AW1317" s="69"/>
      <c r="AX1317" s="69"/>
      <c r="AY1317" s="69"/>
      <c r="AZ1317" s="69"/>
      <c r="BA1317" s="69"/>
      <c r="BB1317" s="69"/>
      <c r="BC1317" s="69"/>
      <c r="BD1317" s="69"/>
      <c r="BE1317" s="69"/>
      <c r="BF1317" s="69"/>
      <c r="BG1317" s="69"/>
      <c r="BH1317" s="69"/>
      <c r="BI1317" s="69"/>
      <c r="BJ1317" s="69"/>
      <c r="BK1317" s="66"/>
      <c r="BL1317" s="69"/>
      <c r="BM1317" s="66"/>
      <c r="BN1317" s="69"/>
      <c r="BO1317" s="66"/>
      <c r="BP1317" s="73"/>
      <c r="BQ1317" s="66"/>
      <c r="BT1317" s="66"/>
      <c r="BU1317" s="66"/>
      <c r="BV1317" s="66"/>
      <c r="BW1317" s="66"/>
      <c r="BX1317" s="66"/>
      <c r="BY1317" s="66"/>
      <c r="BZ1317" s="66"/>
      <c r="CA1317" s="152"/>
      <c r="CB1317" s="66"/>
      <c r="CC1317" s="66"/>
      <c r="CD1317" s="66"/>
      <c r="CE1317" s="66"/>
      <c r="CF1317" s="66"/>
      <c r="CG1317" s="66"/>
      <c r="CH1317" s="66"/>
    </row>
    <row r="1318" spans="3:86" s="63" customFormat="1" ht="19.5">
      <c r="C1318" s="136"/>
      <c r="D1318" s="70"/>
      <c r="E1318" s="70"/>
      <c r="F1318" s="69"/>
      <c r="G1318" s="69"/>
      <c r="H1318" s="70"/>
      <c r="I1318" s="70"/>
      <c r="J1318" s="70"/>
      <c r="K1318" s="70"/>
      <c r="L1318" s="70"/>
      <c r="M1318" s="70"/>
      <c r="N1318" s="70"/>
      <c r="O1318" s="70"/>
      <c r="P1318" s="177"/>
      <c r="Q1318" s="70"/>
      <c r="R1318" s="70"/>
      <c r="S1318" s="202"/>
      <c r="T1318" s="202"/>
      <c r="U1318" s="69"/>
      <c r="V1318" s="69"/>
      <c r="W1318" s="69"/>
      <c r="X1318" s="69"/>
      <c r="Y1318" s="69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6"/>
      <c r="AN1318" s="66"/>
      <c r="AO1318" s="66"/>
      <c r="AP1318" s="66"/>
      <c r="AQ1318" s="66"/>
      <c r="AR1318" s="66"/>
      <c r="AS1318" s="69"/>
      <c r="AT1318" s="69"/>
      <c r="AU1318" s="69"/>
      <c r="AV1318" s="69"/>
      <c r="AW1318" s="69"/>
      <c r="AX1318" s="69"/>
      <c r="AY1318" s="69"/>
      <c r="AZ1318" s="69"/>
      <c r="BA1318" s="69"/>
      <c r="BB1318" s="69"/>
      <c r="BC1318" s="69"/>
      <c r="BD1318" s="69"/>
      <c r="BE1318" s="69"/>
      <c r="BF1318" s="69"/>
      <c r="BG1318" s="69"/>
      <c r="BH1318" s="69"/>
      <c r="BI1318" s="69"/>
      <c r="BJ1318" s="69"/>
      <c r="BK1318" s="66"/>
      <c r="BL1318" s="69"/>
      <c r="BM1318" s="66"/>
      <c r="BN1318" s="69"/>
      <c r="BO1318" s="66"/>
      <c r="BP1318" s="73"/>
      <c r="BQ1318" s="66"/>
      <c r="BT1318" s="66"/>
      <c r="BU1318" s="66"/>
      <c r="BV1318" s="66"/>
      <c r="BW1318" s="66"/>
      <c r="BX1318" s="66"/>
      <c r="BY1318" s="66"/>
      <c r="BZ1318" s="66"/>
      <c r="CA1318" s="152"/>
      <c r="CB1318" s="66"/>
      <c r="CC1318" s="66"/>
      <c r="CD1318" s="66"/>
      <c r="CE1318" s="66"/>
      <c r="CF1318" s="66"/>
      <c r="CG1318" s="66"/>
      <c r="CH1318" s="66"/>
    </row>
    <row r="1319" spans="3:86" s="63" customFormat="1" ht="19.5">
      <c r="C1319" s="136"/>
      <c r="D1319" s="70"/>
      <c r="E1319" s="70"/>
      <c r="F1319" s="69"/>
      <c r="G1319" s="69"/>
      <c r="H1319" s="70"/>
      <c r="I1319" s="70"/>
      <c r="J1319" s="70"/>
      <c r="K1319" s="70"/>
      <c r="L1319" s="70"/>
      <c r="M1319" s="70"/>
      <c r="N1319" s="70"/>
      <c r="O1319" s="70"/>
      <c r="P1319" s="177"/>
      <c r="Q1319" s="70"/>
      <c r="R1319" s="70"/>
      <c r="S1319" s="202"/>
      <c r="T1319" s="202"/>
      <c r="U1319" s="69"/>
      <c r="V1319" s="69"/>
      <c r="W1319" s="69"/>
      <c r="X1319" s="69"/>
      <c r="Y1319" s="69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6"/>
      <c r="AN1319" s="66"/>
      <c r="AO1319" s="66"/>
      <c r="AP1319" s="66"/>
      <c r="AQ1319" s="66"/>
      <c r="AR1319" s="66"/>
      <c r="AS1319" s="69"/>
      <c r="AT1319" s="69"/>
      <c r="AU1319" s="69"/>
      <c r="AV1319" s="69"/>
      <c r="AW1319" s="69"/>
      <c r="AX1319" s="69"/>
      <c r="AY1319" s="69"/>
      <c r="AZ1319" s="69"/>
      <c r="BA1319" s="69"/>
      <c r="BB1319" s="69"/>
      <c r="BC1319" s="69"/>
      <c r="BD1319" s="69"/>
      <c r="BE1319" s="69"/>
      <c r="BF1319" s="69"/>
      <c r="BG1319" s="69"/>
      <c r="BH1319" s="69"/>
      <c r="BI1319" s="69"/>
      <c r="BJ1319" s="69"/>
      <c r="BK1319" s="66"/>
      <c r="BL1319" s="69"/>
      <c r="BM1319" s="66"/>
      <c r="BN1319" s="69"/>
      <c r="BO1319" s="66"/>
      <c r="BP1319" s="73"/>
      <c r="BQ1319" s="66"/>
      <c r="BT1319" s="66"/>
      <c r="BU1319" s="66"/>
      <c r="BV1319" s="66"/>
      <c r="BW1319" s="66"/>
      <c r="BX1319" s="66"/>
      <c r="BY1319" s="66"/>
      <c r="BZ1319" s="66"/>
      <c r="CA1319" s="152"/>
      <c r="CB1319" s="66"/>
      <c r="CC1319" s="66"/>
      <c r="CD1319" s="66"/>
      <c r="CE1319" s="66"/>
      <c r="CF1319" s="66"/>
      <c r="CG1319" s="66"/>
      <c r="CH1319" s="66"/>
    </row>
    <row r="1320" spans="3:86" s="63" customFormat="1" ht="19.5">
      <c r="C1320" s="136"/>
      <c r="D1320" s="70"/>
      <c r="E1320" s="70"/>
      <c r="F1320" s="69"/>
      <c r="G1320" s="69"/>
      <c r="H1320" s="70"/>
      <c r="I1320" s="70"/>
      <c r="J1320" s="70"/>
      <c r="K1320" s="70"/>
      <c r="L1320" s="70"/>
      <c r="M1320" s="70"/>
      <c r="N1320" s="70"/>
      <c r="O1320" s="70"/>
      <c r="P1320" s="177"/>
      <c r="Q1320" s="70"/>
      <c r="R1320" s="70"/>
      <c r="S1320" s="202"/>
      <c r="T1320" s="202"/>
      <c r="U1320" s="69"/>
      <c r="V1320" s="69"/>
      <c r="W1320" s="69"/>
      <c r="X1320" s="69"/>
      <c r="Y1320" s="69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6"/>
      <c r="AN1320" s="66"/>
      <c r="AO1320" s="66"/>
      <c r="AP1320" s="66"/>
      <c r="AQ1320" s="66"/>
      <c r="AR1320" s="66"/>
      <c r="AS1320" s="69"/>
      <c r="AT1320" s="69"/>
      <c r="AU1320" s="69"/>
      <c r="AV1320" s="69"/>
      <c r="AW1320" s="69"/>
      <c r="AX1320" s="69"/>
      <c r="AY1320" s="69"/>
      <c r="AZ1320" s="69"/>
      <c r="BA1320" s="69"/>
      <c r="BB1320" s="69"/>
      <c r="BC1320" s="69"/>
      <c r="BD1320" s="69"/>
      <c r="BE1320" s="69"/>
      <c r="BF1320" s="69"/>
      <c r="BG1320" s="69"/>
      <c r="BH1320" s="69"/>
      <c r="BI1320" s="69"/>
      <c r="BJ1320" s="69"/>
      <c r="BK1320" s="66"/>
      <c r="BL1320" s="69"/>
      <c r="BM1320" s="66"/>
      <c r="BN1320" s="69"/>
      <c r="BO1320" s="66"/>
      <c r="BP1320" s="73"/>
      <c r="BQ1320" s="66"/>
      <c r="BT1320" s="66"/>
      <c r="BU1320" s="66"/>
      <c r="BV1320" s="66"/>
      <c r="BW1320" s="66"/>
      <c r="BX1320" s="66"/>
      <c r="BY1320" s="66"/>
      <c r="BZ1320" s="66"/>
      <c r="CA1320" s="152"/>
      <c r="CB1320" s="66"/>
      <c r="CC1320" s="66"/>
      <c r="CD1320" s="66"/>
      <c r="CE1320" s="66"/>
      <c r="CF1320" s="66"/>
      <c r="CG1320" s="66"/>
      <c r="CH1320" s="66"/>
    </row>
    <row r="1321" spans="3:86" s="63" customFormat="1" ht="19.5">
      <c r="C1321" s="136"/>
      <c r="D1321" s="70"/>
      <c r="E1321" s="70"/>
      <c r="F1321" s="69"/>
      <c r="G1321" s="69"/>
      <c r="H1321" s="70"/>
      <c r="I1321" s="70"/>
      <c r="J1321" s="70"/>
      <c r="K1321" s="70"/>
      <c r="L1321" s="70"/>
      <c r="M1321" s="70"/>
      <c r="N1321" s="70"/>
      <c r="O1321" s="70"/>
      <c r="P1321" s="177"/>
      <c r="Q1321" s="70"/>
      <c r="R1321" s="70"/>
      <c r="S1321" s="202"/>
      <c r="T1321" s="202"/>
      <c r="U1321" s="69"/>
      <c r="V1321" s="69"/>
      <c r="W1321" s="69"/>
      <c r="X1321" s="69"/>
      <c r="Y1321" s="69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6"/>
      <c r="AN1321" s="66"/>
      <c r="AO1321" s="66"/>
      <c r="AP1321" s="66"/>
      <c r="AQ1321" s="66"/>
      <c r="AR1321" s="66"/>
      <c r="AS1321" s="69"/>
      <c r="AT1321" s="69"/>
      <c r="AU1321" s="69"/>
      <c r="AV1321" s="69"/>
      <c r="AW1321" s="69"/>
      <c r="AX1321" s="69"/>
      <c r="AY1321" s="69"/>
      <c r="AZ1321" s="69"/>
      <c r="BA1321" s="69"/>
      <c r="BB1321" s="69"/>
      <c r="BC1321" s="69"/>
      <c r="BD1321" s="69"/>
      <c r="BE1321" s="69"/>
      <c r="BF1321" s="69"/>
      <c r="BG1321" s="69"/>
      <c r="BH1321" s="69"/>
      <c r="BI1321" s="69"/>
      <c r="BJ1321" s="69"/>
      <c r="BK1321" s="66"/>
      <c r="BL1321" s="69"/>
      <c r="BM1321" s="66"/>
      <c r="BN1321" s="69"/>
      <c r="BO1321" s="66"/>
      <c r="BP1321" s="73"/>
      <c r="BQ1321" s="66"/>
      <c r="BT1321" s="66"/>
      <c r="BU1321" s="66"/>
      <c r="BV1321" s="66"/>
      <c r="BW1321" s="66"/>
      <c r="BX1321" s="66"/>
      <c r="BY1321" s="66"/>
      <c r="BZ1321" s="66"/>
      <c r="CA1321" s="152"/>
      <c r="CB1321" s="66"/>
      <c r="CC1321" s="66"/>
      <c r="CD1321" s="66"/>
      <c r="CE1321" s="66"/>
      <c r="CF1321" s="66"/>
      <c r="CG1321" s="66"/>
      <c r="CH1321" s="66"/>
    </row>
    <row r="1322" spans="3:86" s="63" customFormat="1" ht="19.5">
      <c r="C1322" s="136"/>
      <c r="D1322" s="70"/>
      <c r="E1322" s="70"/>
      <c r="F1322" s="69"/>
      <c r="G1322" s="69"/>
      <c r="H1322" s="70"/>
      <c r="I1322" s="70"/>
      <c r="J1322" s="70"/>
      <c r="K1322" s="70"/>
      <c r="L1322" s="70"/>
      <c r="M1322" s="70"/>
      <c r="N1322" s="70"/>
      <c r="O1322" s="70"/>
      <c r="P1322" s="177"/>
      <c r="Q1322" s="70"/>
      <c r="R1322" s="70"/>
      <c r="S1322" s="202"/>
      <c r="T1322" s="202"/>
      <c r="U1322" s="69"/>
      <c r="V1322" s="69"/>
      <c r="W1322" s="69"/>
      <c r="X1322" s="69"/>
      <c r="Y1322" s="69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6"/>
      <c r="AN1322" s="66"/>
      <c r="AO1322" s="66"/>
      <c r="AP1322" s="66"/>
      <c r="AQ1322" s="66"/>
      <c r="AR1322" s="66"/>
      <c r="AS1322" s="69"/>
      <c r="AT1322" s="69"/>
      <c r="AU1322" s="69"/>
      <c r="AV1322" s="69"/>
      <c r="AW1322" s="69"/>
      <c r="AX1322" s="69"/>
      <c r="AY1322" s="69"/>
      <c r="AZ1322" s="69"/>
      <c r="BA1322" s="69"/>
      <c r="BB1322" s="69"/>
      <c r="BC1322" s="69"/>
      <c r="BD1322" s="69"/>
      <c r="BE1322" s="69"/>
      <c r="BF1322" s="69"/>
      <c r="BG1322" s="69"/>
      <c r="BH1322" s="69"/>
      <c r="BI1322" s="69"/>
      <c r="BJ1322" s="69"/>
      <c r="BK1322" s="66"/>
      <c r="BL1322" s="69"/>
      <c r="BM1322" s="66"/>
      <c r="BN1322" s="69"/>
      <c r="BO1322" s="66"/>
      <c r="BP1322" s="73"/>
      <c r="BQ1322" s="66"/>
      <c r="BT1322" s="66"/>
      <c r="BU1322" s="66"/>
      <c r="BV1322" s="66"/>
      <c r="BW1322" s="66"/>
      <c r="BX1322" s="66"/>
      <c r="BY1322" s="66"/>
      <c r="BZ1322" s="66"/>
      <c r="CA1322" s="152"/>
      <c r="CB1322" s="66"/>
      <c r="CC1322" s="66"/>
      <c r="CD1322" s="66"/>
      <c r="CE1322" s="66"/>
      <c r="CF1322" s="66"/>
      <c r="CG1322" s="66"/>
      <c r="CH1322" s="66"/>
    </row>
    <row r="1323" spans="3:86" s="63" customFormat="1" ht="19.5">
      <c r="C1323" s="136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177"/>
      <c r="Q1323" s="70"/>
      <c r="R1323" s="70"/>
      <c r="S1323" s="202"/>
      <c r="T1323" s="202"/>
      <c r="U1323" s="70"/>
      <c r="V1323" s="70"/>
      <c r="W1323" s="70"/>
      <c r="X1323" s="70"/>
      <c r="Y1323" s="70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6"/>
      <c r="AN1323" s="66"/>
      <c r="AO1323" s="66"/>
      <c r="AP1323" s="66"/>
      <c r="AQ1323" s="66"/>
      <c r="AR1323" s="66"/>
      <c r="AS1323" s="70"/>
      <c r="AT1323" s="70"/>
      <c r="AU1323" s="70"/>
      <c r="AV1323" s="70"/>
      <c r="AW1323" s="70"/>
      <c r="AX1323" s="70"/>
      <c r="AY1323" s="70"/>
      <c r="AZ1323" s="70"/>
      <c r="BA1323" s="70"/>
      <c r="BB1323" s="70"/>
      <c r="BC1323" s="70"/>
      <c r="BD1323" s="70"/>
      <c r="BE1323" s="70"/>
      <c r="BF1323" s="70"/>
      <c r="BG1323" s="70"/>
      <c r="BH1323" s="70"/>
      <c r="BI1323" s="70"/>
      <c r="BJ1323" s="70"/>
      <c r="BL1323" s="70"/>
      <c r="BM1323" s="66"/>
      <c r="BN1323" s="70"/>
      <c r="BO1323" s="66"/>
      <c r="BP1323" s="66"/>
      <c r="BQ1323" s="66"/>
      <c r="BT1323" s="66"/>
      <c r="BU1323" s="66"/>
      <c r="BV1323" s="66"/>
      <c r="BW1323" s="66"/>
      <c r="BX1323" s="66"/>
      <c r="BY1323" s="66"/>
      <c r="CA1323" s="152"/>
      <c r="CB1323" s="66"/>
      <c r="CC1323" s="66"/>
      <c r="CD1323" s="66"/>
      <c r="CE1323" s="66"/>
      <c r="CF1323" s="66"/>
      <c r="CG1323" s="66"/>
      <c r="CH1323" s="66"/>
    </row>
    <row r="1324" spans="3:86">
      <c r="C1324" s="136" t="s">
        <v>1881</v>
      </c>
      <c r="D1324" s="76"/>
      <c r="F1324" s="75" t="s">
        <v>73</v>
      </c>
      <c r="H1324" s="76" t="s">
        <v>77</v>
      </c>
      <c r="I1324" s="76"/>
      <c r="J1324" s="76"/>
      <c r="K1324" s="76"/>
      <c r="U1324" s="75"/>
      <c r="V1324" s="75"/>
      <c r="W1324" s="75"/>
      <c r="Y1324" s="75"/>
      <c r="Z1324" s="57" t="s">
        <v>75</v>
      </c>
      <c r="AS1324" s="75"/>
      <c r="AT1324" s="75"/>
      <c r="AU1324" s="75"/>
      <c r="AV1324" s="75"/>
      <c r="AW1324" s="75"/>
      <c r="AX1324" s="75"/>
      <c r="AY1324" s="75"/>
      <c r="AZ1324" s="75"/>
      <c r="BA1324" s="75"/>
      <c r="BB1324" s="75"/>
      <c r="BC1324" s="75"/>
      <c r="BD1324" s="75"/>
      <c r="BE1324" s="75"/>
      <c r="BF1324" s="75"/>
      <c r="BG1324" s="75"/>
      <c r="BH1324" s="75"/>
      <c r="BI1324" s="75"/>
      <c r="BK1324" s="75"/>
      <c r="BR1324" s="75"/>
      <c r="BS1324" s="75"/>
      <c r="BT1324" s="75"/>
      <c r="BZ1324" s="75"/>
    </row>
    <row r="1325" spans="3:86">
      <c r="C1325" s="136" t="s">
        <v>1882</v>
      </c>
      <c r="F1325" s="57" t="s">
        <v>72</v>
      </c>
      <c r="P1325" s="170">
        <v>2004</v>
      </c>
      <c r="U1325" s="57"/>
      <c r="V1325" s="57"/>
      <c r="W1325" s="57"/>
      <c r="Y1325" s="57"/>
      <c r="Z1325" s="57" t="s">
        <v>74</v>
      </c>
      <c r="AA1325" s="57" t="s">
        <v>71</v>
      </c>
      <c r="AS1325" s="57"/>
      <c r="AT1325" s="57"/>
      <c r="AU1325" s="57"/>
      <c r="AV1325" s="57"/>
      <c r="AW1325" s="57"/>
      <c r="AX1325" s="57"/>
      <c r="AY1325" s="57"/>
      <c r="AZ1325" s="57"/>
      <c r="BA1325" s="57"/>
      <c r="BB1325" s="57"/>
      <c r="BC1325" s="57"/>
      <c r="BD1325" s="57"/>
      <c r="BE1325" s="57"/>
      <c r="BF1325" s="57"/>
      <c r="BG1325" s="57"/>
      <c r="BH1325" s="57"/>
      <c r="BI1325" s="57"/>
    </row>
    <row r="1326" spans="3:86">
      <c r="C1326" s="136" t="s">
        <v>1883</v>
      </c>
      <c r="F1326" s="57" t="s">
        <v>72</v>
      </c>
      <c r="P1326" s="170">
        <v>2</v>
      </c>
      <c r="U1326" s="57"/>
      <c r="V1326" s="57"/>
      <c r="W1326" s="57"/>
      <c r="Y1326" s="57"/>
      <c r="Z1326" s="57" t="s">
        <v>74</v>
      </c>
      <c r="AS1326" s="57"/>
      <c r="AT1326" s="57"/>
      <c r="AU1326" s="57"/>
      <c r="AV1326" s="57"/>
      <c r="AW1326" s="57"/>
      <c r="AX1326" s="57"/>
      <c r="AY1326" s="57"/>
      <c r="AZ1326" s="57"/>
      <c r="BA1326" s="57"/>
      <c r="BB1326" s="57"/>
      <c r="BC1326" s="57"/>
      <c r="BD1326" s="57"/>
      <c r="BE1326" s="57"/>
      <c r="BF1326" s="57"/>
      <c r="BG1326" s="57"/>
      <c r="BH1326" s="57"/>
      <c r="BI1326" s="57"/>
    </row>
    <row r="1327" spans="3:86">
      <c r="C1327" s="136" t="s">
        <v>1884</v>
      </c>
      <c r="F1327" s="57" t="s">
        <v>72</v>
      </c>
      <c r="P1327" s="170">
        <v>2005</v>
      </c>
      <c r="U1327" s="57"/>
      <c r="V1327" s="57"/>
      <c r="W1327" s="57"/>
      <c r="Y1327" s="57"/>
      <c r="Z1327" s="57" t="s">
        <v>74</v>
      </c>
      <c r="AS1327" s="57"/>
      <c r="AT1327" s="57"/>
      <c r="AU1327" s="57"/>
      <c r="AV1327" s="57"/>
      <c r="AW1327" s="57"/>
      <c r="AX1327" s="57"/>
      <c r="AY1327" s="57"/>
      <c r="AZ1327" s="57"/>
      <c r="BA1327" s="57"/>
      <c r="BB1327" s="57"/>
      <c r="BC1327" s="57"/>
      <c r="BD1327" s="57"/>
      <c r="BE1327" s="57"/>
      <c r="BF1327" s="57"/>
      <c r="BG1327" s="57"/>
      <c r="BH1327" s="57"/>
      <c r="BI1327" s="57"/>
    </row>
    <row r="1328" spans="3:86">
      <c r="C1328" s="136" t="s">
        <v>1885</v>
      </c>
      <c r="F1328" s="57" t="s">
        <v>72</v>
      </c>
      <c r="U1328" s="57"/>
      <c r="V1328" s="57"/>
      <c r="W1328" s="57"/>
      <c r="Y1328" s="57"/>
      <c r="Z1328" s="57" t="s">
        <v>74</v>
      </c>
      <c r="AS1328" s="57"/>
      <c r="AT1328" s="57"/>
      <c r="AU1328" s="57"/>
      <c r="AV1328" s="57"/>
      <c r="AW1328" s="57"/>
      <c r="AX1328" s="57"/>
      <c r="AY1328" s="57"/>
      <c r="AZ1328" s="57"/>
      <c r="BA1328" s="57"/>
      <c r="BB1328" s="57"/>
      <c r="BC1328" s="57"/>
      <c r="BD1328" s="57"/>
      <c r="BE1328" s="57"/>
      <c r="BF1328" s="57"/>
      <c r="BG1328" s="57"/>
      <c r="BH1328" s="57"/>
      <c r="BI1328" s="57"/>
    </row>
    <row r="1329" spans="3:78">
      <c r="C1329" s="136" t="s">
        <v>1886</v>
      </c>
      <c r="F1329" s="57" t="s">
        <v>72</v>
      </c>
      <c r="P1329" s="170">
        <v>2009</v>
      </c>
      <c r="U1329" s="57"/>
      <c r="V1329" s="57"/>
      <c r="W1329" s="57"/>
      <c r="Y1329" s="57"/>
      <c r="Z1329" s="57" t="s">
        <v>74</v>
      </c>
      <c r="AS1329" s="57"/>
      <c r="AT1329" s="57"/>
      <c r="AU1329" s="57"/>
      <c r="AV1329" s="57"/>
      <c r="AW1329" s="57"/>
      <c r="AX1329" s="57"/>
      <c r="AY1329" s="57"/>
      <c r="AZ1329" s="57"/>
      <c r="BA1329" s="57"/>
      <c r="BB1329" s="57"/>
      <c r="BC1329" s="57"/>
      <c r="BD1329" s="57"/>
      <c r="BE1329" s="57"/>
      <c r="BF1329" s="57"/>
      <c r="BG1329" s="57"/>
      <c r="BH1329" s="57"/>
      <c r="BI1329" s="57"/>
    </row>
    <row r="1330" spans="3:78" ht="27">
      <c r="C1330" s="136" t="s">
        <v>1887</v>
      </c>
      <c r="F1330" s="57" t="s">
        <v>72</v>
      </c>
      <c r="P1330" s="170">
        <v>2006</v>
      </c>
      <c r="U1330" s="57"/>
      <c r="V1330" s="57"/>
      <c r="W1330" s="57"/>
      <c r="Y1330" s="57"/>
      <c r="Z1330" s="57" t="s">
        <v>74</v>
      </c>
      <c r="AS1330" s="57"/>
      <c r="AT1330" s="57"/>
      <c r="AU1330" s="57"/>
      <c r="AV1330" s="57"/>
      <c r="AW1330" s="57"/>
      <c r="AX1330" s="57"/>
      <c r="AY1330" s="57"/>
      <c r="AZ1330" s="57"/>
      <c r="BA1330" s="57"/>
      <c r="BB1330" s="57"/>
      <c r="BC1330" s="57"/>
      <c r="BD1330" s="57"/>
      <c r="BE1330" s="57"/>
      <c r="BF1330" s="57"/>
      <c r="BG1330" s="57"/>
      <c r="BH1330" s="57"/>
      <c r="BI1330" s="57"/>
    </row>
    <row r="1331" spans="3:78">
      <c r="C1331" s="136" t="s">
        <v>1888</v>
      </c>
      <c r="F1331" s="57" t="s">
        <v>72</v>
      </c>
      <c r="U1331" s="57"/>
      <c r="V1331" s="57"/>
      <c r="W1331" s="57"/>
      <c r="Y1331" s="57"/>
      <c r="Z1331" s="57" t="s">
        <v>74</v>
      </c>
      <c r="AS1331" s="57"/>
      <c r="AT1331" s="57"/>
      <c r="AU1331" s="57"/>
      <c r="AV1331" s="57"/>
      <c r="AW1331" s="57"/>
      <c r="AX1331" s="57"/>
      <c r="AY1331" s="57"/>
      <c r="AZ1331" s="57"/>
      <c r="BA1331" s="57"/>
      <c r="BB1331" s="57"/>
      <c r="BC1331" s="57"/>
      <c r="BD1331" s="57"/>
      <c r="BE1331" s="57"/>
      <c r="BF1331" s="57"/>
      <c r="BG1331" s="57"/>
      <c r="BH1331" s="57"/>
      <c r="BI1331" s="57"/>
    </row>
    <row r="1332" spans="3:78">
      <c r="C1332" s="136" t="s">
        <v>1889</v>
      </c>
      <c r="F1332" s="57" t="s">
        <v>72</v>
      </c>
      <c r="U1332" s="57"/>
      <c r="V1332" s="57"/>
      <c r="W1332" s="57"/>
      <c r="Y1332" s="57"/>
      <c r="Z1332" s="57" t="s">
        <v>74</v>
      </c>
      <c r="AS1332" s="57"/>
      <c r="AT1332" s="57"/>
      <c r="AU1332" s="57"/>
      <c r="AV1332" s="57"/>
      <c r="AW1332" s="57"/>
      <c r="AX1332" s="57"/>
      <c r="AY1332" s="57"/>
      <c r="AZ1332" s="57"/>
      <c r="BA1332" s="57"/>
      <c r="BB1332" s="57"/>
      <c r="BC1332" s="57"/>
      <c r="BD1332" s="57"/>
      <c r="BE1332" s="57"/>
      <c r="BF1332" s="57"/>
      <c r="BG1332" s="57"/>
      <c r="BH1332" s="57"/>
      <c r="BI1332" s="57"/>
    </row>
    <row r="1333" spans="3:78">
      <c r="C1333" s="136" t="s">
        <v>1890</v>
      </c>
      <c r="F1333" s="57" t="s">
        <v>72</v>
      </c>
      <c r="P1333" s="170">
        <v>2009</v>
      </c>
      <c r="U1333" s="57"/>
      <c r="V1333" s="57"/>
      <c r="W1333" s="57"/>
      <c r="Y1333" s="57"/>
      <c r="Z1333" s="57" t="s">
        <v>74</v>
      </c>
      <c r="AS1333" s="57"/>
      <c r="AT1333" s="57"/>
      <c r="AU1333" s="57"/>
      <c r="AV1333" s="57"/>
      <c r="AW1333" s="57"/>
      <c r="AX1333" s="57"/>
      <c r="AY1333" s="57"/>
      <c r="AZ1333" s="57"/>
      <c r="BA1333" s="57"/>
      <c r="BB1333" s="57"/>
      <c r="BC1333" s="57"/>
      <c r="BD1333" s="57"/>
      <c r="BE1333" s="57"/>
      <c r="BF1333" s="57"/>
      <c r="BG1333" s="57"/>
      <c r="BH1333" s="57"/>
      <c r="BI1333" s="57"/>
    </row>
    <row r="1334" spans="3:78" ht="27">
      <c r="C1334" s="136" t="s">
        <v>1891</v>
      </c>
      <c r="F1334" s="57" t="s">
        <v>72</v>
      </c>
      <c r="P1334" s="170">
        <v>2004</v>
      </c>
      <c r="U1334" s="57"/>
      <c r="V1334" s="57"/>
      <c r="W1334" s="57"/>
      <c r="Y1334" s="57"/>
      <c r="Z1334" s="57" t="s">
        <v>74</v>
      </c>
      <c r="AS1334" s="57"/>
      <c r="AT1334" s="57"/>
      <c r="AU1334" s="57"/>
      <c r="AV1334" s="57"/>
      <c r="AW1334" s="57"/>
      <c r="AX1334" s="57"/>
      <c r="AY1334" s="57"/>
      <c r="AZ1334" s="57"/>
      <c r="BA1334" s="57"/>
      <c r="BB1334" s="57"/>
      <c r="BC1334" s="57"/>
      <c r="BD1334" s="57"/>
      <c r="BE1334" s="57"/>
      <c r="BF1334" s="57"/>
      <c r="BG1334" s="57"/>
      <c r="BH1334" s="57"/>
      <c r="BI1334" s="57"/>
    </row>
    <row r="1335" spans="3:78" ht="27">
      <c r="C1335" s="136" t="s">
        <v>1892</v>
      </c>
      <c r="F1335" s="57" t="s">
        <v>72</v>
      </c>
      <c r="P1335" s="170">
        <v>2005</v>
      </c>
      <c r="U1335" s="57"/>
      <c r="V1335" s="57"/>
      <c r="W1335" s="57"/>
      <c r="Y1335" s="57"/>
      <c r="Z1335" s="57" t="s">
        <v>74</v>
      </c>
      <c r="AS1335" s="57"/>
      <c r="AT1335" s="57"/>
      <c r="AU1335" s="57"/>
      <c r="AV1335" s="57"/>
      <c r="AW1335" s="57"/>
      <c r="AX1335" s="57"/>
      <c r="AY1335" s="57"/>
      <c r="AZ1335" s="57"/>
      <c r="BA1335" s="57"/>
      <c r="BB1335" s="57"/>
      <c r="BC1335" s="57"/>
      <c r="BD1335" s="57"/>
      <c r="BE1335" s="57"/>
      <c r="BF1335" s="57"/>
      <c r="BG1335" s="57"/>
      <c r="BH1335" s="57"/>
      <c r="BI1335" s="57"/>
    </row>
    <row r="1336" spans="3:78" ht="27">
      <c r="C1336" s="136" t="s">
        <v>1893</v>
      </c>
      <c r="F1336" s="57" t="s">
        <v>72</v>
      </c>
      <c r="P1336" s="170">
        <v>2005</v>
      </c>
      <c r="U1336" s="57"/>
      <c r="V1336" s="57"/>
      <c r="W1336" s="57"/>
      <c r="Y1336" s="57"/>
      <c r="Z1336" s="57" t="s">
        <v>74</v>
      </c>
      <c r="AS1336" s="57"/>
      <c r="AT1336" s="57"/>
      <c r="AU1336" s="57"/>
      <c r="AV1336" s="57"/>
      <c r="AW1336" s="57"/>
      <c r="AX1336" s="57"/>
      <c r="AY1336" s="57"/>
      <c r="AZ1336" s="57"/>
      <c r="BA1336" s="57"/>
      <c r="BB1336" s="57"/>
      <c r="BC1336" s="57"/>
      <c r="BD1336" s="57"/>
      <c r="BE1336" s="57"/>
      <c r="BF1336" s="57"/>
      <c r="BG1336" s="57"/>
      <c r="BH1336" s="57"/>
      <c r="BI1336" s="57"/>
    </row>
    <row r="1337" spans="3:78">
      <c r="C1337" s="136" t="s">
        <v>1894</v>
      </c>
      <c r="F1337" s="57" t="s">
        <v>72</v>
      </c>
      <c r="U1337" s="57"/>
      <c r="V1337" s="57"/>
      <c r="W1337" s="57"/>
      <c r="Y1337" s="57"/>
      <c r="Z1337" s="57" t="s">
        <v>74</v>
      </c>
      <c r="AS1337" s="57"/>
      <c r="AT1337" s="57"/>
      <c r="AU1337" s="57"/>
      <c r="AV1337" s="57"/>
      <c r="AW1337" s="57"/>
      <c r="AX1337" s="57"/>
      <c r="AY1337" s="57"/>
      <c r="AZ1337" s="57"/>
      <c r="BA1337" s="57"/>
      <c r="BB1337" s="57"/>
      <c r="BC1337" s="57"/>
      <c r="BD1337" s="57"/>
      <c r="BE1337" s="57"/>
      <c r="BF1337" s="57"/>
      <c r="BG1337" s="57"/>
      <c r="BH1337" s="57"/>
      <c r="BI1337" s="57"/>
    </row>
    <row r="1338" spans="3:78">
      <c r="C1338" s="136" t="s">
        <v>1895</v>
      </c>
      <c r="F1338" s="75" t="s">
        <v>73</v>
      </c>
      <c r="U1338" s="75"/>
      <c r="V1338" s="75"/>
      <c r="W1338" s="75"/>
      <c r="Y1338" s="75"/>
      <c r="Z1338" s="57" t="s">
        <v>75</v>
      </c>
      <c r="AA1338" s="57" t="s">
        <v>71</v>
      </c>
      <c r="AS1338" s="75"/>
      <c r="AT1338" s="75"/>
      <c r="AU1338" s="75"/>
      <c r="AV1338" s="75"/>
      <c r="AW1338" s="75"/>
      <c r="AX1338" s="75"/>
      <c r="AY1338" s="75"/>
      <c r="AZ1338" s="75"/>
      <c r="BA1338" s="75"/>
      <c r="BB1338" s="75"/>
      <c r="BC1338" s="75"/>
      <c r="BD1338" s="75"/>
      <c r="BE1338" s="75"/>
      <c r="BF1338" s="75"/>
      <c r="BG1338" s="75"/>
      <c r="BH1338" s="75"/>
      <c r="BI1338" s="75"/>
      <c r="BK1338" s="75"/>
      <c r="BR1338" s="75"/>
      <c r="BS1338" s="75"/>
      <c r="BT1338" s="75"/>
      <c r="BZ1338" s="75"/>
    </row>
    <row r="1339" spans="3:78">
      <c r="C1339" s="136" t="s">
        <v>1896</v>
      </c>
      <c r="F1339" s="75" t="s">
        <v>73</v>
      </c>
      <c r="U1339" s="75"/>
      <c r="V1339" s="75"/>
      <c r="W1339" s="75"/>
      <c r="Y1339" s="75"/>
      <c r="Z1339" s="57" t="s">
        <v>75</v>
      </c>
      <c r="AA1339" s="57" t="s">
        <v>71</v>
      </c>
      <c r="AS1339" s="75"/>
      <c r="AT1339" s="75"/>
      <c r="AU1339" s="75"/>
      <c r="AV1339" s="75"/>
      <c r="AW1339" s="75"/>
      <c r="AX1339" s="75"/>
      <c r="AY1339" s="75"/>
      <c r="AZ1339" s="75"/>
      <c r="BA1339" s="75"/>
      <c r="BB1339" s="75"/>
      <c r="BC1339" s="75"/>
      <c r="BD1339" s="75"/>
      <c r="BE1339" s="75"/>
      <c r="BF1339" s="75"/>
      <c r="BG1339" s="75"/>
      <c r="BH1339" s="75"/>
      <c r="BI1339" s="75"/>
      <c r="BK1339" s="75"/>
      <c r="BR1339" s="75"/>
      <c r="BS1339" s="75"/>
      <c r="BT1339" s="75"/>
      <c r="BZ1339" s="75"/>
    </row>
    <row r="1340" spans="3:78">
      <c r="C1340" s="136" t="s">
        <v>1897</v>
      </c>
      <c r="D1340" s="76"/>
      <c r="F1340" s="57" t="s">
        <v>72</v>
      </c>
      <c r="H1340" s="76" t="s">
        <v>76</v>
      </c>
      <c r="I1340" s="76"/>
      <c r="J1340" s="76"/>
      <c r="K1340" s="76"/>
      <c r="U1340" s="57"/>
      <c r="V1340" s="57"/>
      <c r="W1340" s="57"/>
      <c r="Y1340" s="57"/>
      <c r="AS1340" s="57"/>
      <c r="AT1340" s="57"/>
      <c r="AU1340" s="57"/>
      <c r="AV1340" s="57"/>
      <c r="AW1340" s="57"/>
      <c r="AX1340" s="57"/>
      <c r="AY1340" s="57"/>
      <c r="AZ1340" s="57"/>
      <c r="BA1340" s="57"/>
      <c r="BB1340" s="57"/>
      <c r="BC1340" s="57"/>
      <c r="BD1340" s="57"/>
      <c r="BE1340" s="57"/>
      <c r="BF1340" s="57"/>
      <c r="BG1340" s="57"/>
      <c r="BH1340" s="57"/>
      <c r="BI1340" s="57"/>
      <c r="BM1340" s="57" t="s">
        <v>75</v>
      </c>
    </row>
    <row r="1341" spans="3:78">
      <c r="C1341" s="136" t="s">
        <v>1898</v>
      </c>
      <c r="D1341" s="76"/>
      <c r="F1341" s="57" t="s">
        <v>72</v>
      </c>
      <c r="H1341" s="76" t="s">
        <v>76</v>
      </c>
      <c r="I1341" s="76"/>
      <c r="J1341" s="76"/>
      <c r="K1341" s="76"/>
      <c r="U1341" s="57"/>
      <c r="V1341" s="57"/>
      <c r="W1341" s="57"/>
      <c r="Y1341" s="57"/>
      <c r="AS1341" s="57"/>
      <c r="AT1341" s="57"/>
      <c r="AU1341" s="57"/>
      <c r="AV1341" s="57"/>
      <c r="AW1341" s="57"/>
      <c r="AX1341" s="57"/>
      <c r="AY1341" s="57"/>
      <c r="AZ1341" s="57"/>
      <c r="BA1341" s="57"/>
      <c r="BB1341" s="57"/>
      <c r="BC1341" s="57"/>
      <c r="BD1341" s="57"/>
      <c r="BE1341" s="57"/>
      <c r="BF1341" s="57"/>
      <c r="BG1341" s="57"/>
      <c r="BH1341" s="57"/>
      <c r="BI1341" s="57"/>
      <c r="BM1341" s="57" t="s">
        <v>75</v>
      </c>
    </row>
    <row r="1342" spans="3:78">
      <c r="C1342" s="136" t="s">
        <v>1899</v>
      </c>
      <c r="D1342" s="76"/>
      <c r="F1342" s="57" t="s">
        <v>72</v>
      </c>
      <c r="H1342" s="76" t="s">
        <v>76</v>
      </c>
      <c r="I1342" s="76"/>
      <c r="J1342" s="76"/>
      <c r="K1342" s="76"/>
      <c r="U1342" s="57"/>
      <c r="V1342" s="57"/>
      <c r="W1342" s="57"/>
      <c r="Y1342" s="57"/>
      <c r="AS1342" s="57"/>
      <c r="AT1342" s="57"/>
      <c r="AU1342" s="57"/>
      <c r="AV1342" s="57"/>
      <c r="AW1342" s="57"/>
      <c r="AX1342" s="57"/>
      <c r="AY1342" s="57"/>
      <c r="AZ1342" s="57"/>
      <c r="BA1342" s="57"/>
      <c r="BB1342" s="57"/>
      <c r="BC1342" s="57"/>
      <c r="BD1342" s="57"/>
      <c r="BE1342" s="57"/>
      <c r="BF1342" s="57"/>
      <c r="BG1342" s="57"/>
      <c r="BH1342" s="57"/>
      <c r="BI1342" s="57"/>
      <c r="BM1342" s="57" t="s">
        <v>75</v>
      </c>
    </row>
    <row r="1343" spans="3:78">
      <c r="C1343" s="136" t="s">
        <v>1900</v>
      </c>
      <c r="D1343" s="76"/>
      <c r="F1343" s="57" t="s">
        <v>72</v>
      </c>
      <c r="H1343" s="76" t="s">
        <v>76</v>
      </c>
      <c r="I1343" s="76"/>
      <c r="J1343" s="76"/>
      <c r="K1343" s="76"/>
      <c r="U1343" s="57"/>
      <c r="V1343" s="57"/>
      <c r="W1343" s="57"/>
      <c r="Y1343" s="57"/>
      <c r="AS1343" s="57"/>
      <c r="AT1343" s="57"/>
      <c r="AU1343" s="57"/>
      <c r="AV1343" s="57"/>
      <c r="AW1343" s="57"/>
      <c r="AX1343" s="57"/>
      <c r="AY1343" s="57"/>
      <c r="AZ1343" s="57"/>
      <c r="BA1343" s="57"/>
      <c r="BB1343" s="57"/>
      <c r="BC1343" s="57"/>
      <c r="BD1343" s="57"/>
      <c r="BE1343" s="57"/>
      <c r="BF1343" s="57"/>
      <c r="BG1343" s="57"/>
      <c r="BH1343" s="57"/>
      <c r="BI1343" s="57"/>
      <c r="BM1343" s="57" t="s">
        <v>75</v>
      </c>
    </row>
    <row r="1344" spans="3:78">
      <c r="C1344" s="136" t="s">
        <v>1901</v>
      </c>
      <c r="D1344" s="76"/>
      <c r="F1344" s="57" t="s">
        <v>72</v>
      </c>
      <c r="H1344" s="76" t="s">
        <v>76</v>
      </c>
      <c r="I1344" s="76"/>
      <c r="J1344" s="76"/>
      <c r="K1344" s="76"/>
      <c r="U1344" s="57"/>
      <c r="V1344" s="57"/>
      <c r="W1344" s="57"/>
      <c r="Y1344" s="57"/>
      <c r="AS1344" s="57"/>
      <c r="AT1344" s="57"/>
      <c r="AU1344" s="57"/>
      <c r="AV1344" s="57"/>
      <c r="AW1344" s="57"/>
      <c r="AX1344" s="57"/>
      <c r="AY1344" s="57"/>
      <c r="AZ1344" s="57"/>
      <c r="BA1344" s="57"/>
      <c r="BB1344" s="57"/>
      <c r="BC1344" s="57"/>
      <c r="BD1344" s="57"/>
      <c r="BE1344" s="57"/>
      <c r="BF1344" s="57"/>
      <c r="BG1344" s="57"/>
      <c r="BH1344" s="57"/>
      <c r="BI1344" s="57"/>
      <c r="BM1344" s="57" t="s">
        <v>75</v>
      </c>
    </row>
    <row r="1345" spans="3:78">
      <c r="C1345" s="136" t="s">
        <v>1902</v>
      </c>
      <c r="F1345" s="75" t="s">
        <v>73</v>
      </c>
      <c r="U1345" s="75"/>
      <c r="V1345" s="75"/>
      <c r="W1345" s="75"/>
      <c r="Y1345" s="75"/>
      <c r="Z1345" s="57" t="s">
        <v>75</v>
      </c>
      <c r="AA1345" s="57" t="s">
        <v>71</v>
      </c>
      <c r="AS1345" s="75"/>
      <c r="AT1345" s="75"/>
      <c r="AU1345" s="75"/>
      <c r="AV1345" s="75"/>
      <c r="AW1345" s="75"/>
      <c r="AX1345" s="75"/>
      <c r="AY1345" s="75"/>
      <c r="AZ1345" s="75"/>
      <c r="BA1345" s="75"/>
      <c r="BB1345" s="75"/>
      <c r="BC1345" s="75"/>
      <c r="BD1345" s="75"/>
      <c r="BE1345" s="75"/>
      <c r="BF1345" s="75"/>
      <c r="BG1345" s="75"/>
      <c r="BH1345" s="75"/>
      <c r="BI1345" s="75"/>
      <c r="BK1345" s="75"/>
      <c r="BR1345" s="75"/>
      <c r="BS1345" s="75"/>
      <c r="BT1345" s="75"/>
      <c r="BZ1345" s="75"/>
    </row>
    <row r="1346" spans="3:78">
      <c r="C1346" s="136" t="s">
        <v>1903</v>
      </c>
      <c r="F1346" s="57" t="s">
        <v>72</v>
      </c>
      <c r="U1346" s="57"/>
      <c r="V1346" s="57"/>
      <c r="W1346" s="57"/>
      <c r="Y1346" s="57"/>
      <c r="Z1346" s="57" t="s">
        <v>74</v>
      </c>
      <c r="AS1346" s="57"/>
      <c r="AT1346" s="57"/>
      <c r="AU1346" s="57"/>
      <c r="AV1346" s="57"/>
      <c r="AW1346" s="57"/>
      <c r="AX1346" s="57"/>
      <c r="AY1346" s="57"/>
      <c r="AZ1346" s="57"/>
      <c r="BA1346" s="57"/>
      <c r="BB1346" s="57"/>
      <c r="BC1346" s="57"/>
      <c r="BD1346" s="57"/>
      <c r="BE1346" s="57"/>
      <c r="BF1346" s="57"/>
      <c r="BG1346" s="57"/>
      <c r="BH1346" s="57"/>
      <c r="BI1346" s="57"/>
    </row>
    <row r="1347" spans="3:78">
      <c r="C1347" s="136" t="s">
        <v>1904</v>
      </c>
      <c r="F1347" s="57" t="s">
        <v>72</v>
      </c>
      <c r="U1347" s="57"/>
      <c r="V1347" s="57"/>
      <c r="W1347" s="57"/>
      <c r="Y1347" s="57"/>
      <c r="AA1347" s="57" t="s">
        <v>71</v>
      </c>
      <c r="AS1347" s="57"/>
      <c r="AT1347" s="57"/>
      <c r="AU1347" s="57"/>
      <c r="AV1347" s="57"/>
      <c r="AW1347" s="57"/>
      <c r="AX1347" s="57"/>
      <c r="AY1347" s="57"/>
      <c r="AZ1347" s="57"/>
      <c r="BA1347" s="57"/>
      <c r="BB1347" s="57"/>
      <c r="BC1347" s="57"/>
      <c r="BD1347" s="57"/>
      <c r="BE1347" s="57"/>
      <c r="BF1347" s="57"/>
      <c r="BG1347" s="57"/>
      <c r="BH1347" s="57"/>
      <c r="BI1347" s="57"/>
    </row>
    <row r="1348" spans="3:78">
      <c r="C1348" s="136" t="s">
        <v>1905</v>
      </c>
      <c r="F1348" s="57" t="s">
        <v>72</v>
      </c>
      <c r="U1348" s="57"/>
      <c r="V1348" s="57"/>
      <c r="W1348" s="57"/>
      <c r="Y1348" s="57"/>
      <c r="AA1348" s="57" t="s">
        <v>71</v>
      </c>
      <c r="AS1348" s="57"/>
      <c r="AT1348" s="57"/>
      <c r="AU1348" s="57"/>
      <c r="AV1348" s="57"/>
      <c r="AW1348" s="57"/>
      <c r="AX1348" s="57"/>
      <c r="AY1348" s="57"/>
      <c r="AZ1348" s="57"/>
      <c r="BA1348" s="57"/>
      <c r="BB1348" s="57"/>
      <c r="BC1348" s="57"/>
      <c r="BD1348" s="57"/>
      <c r="BE1348" s="57"/>
      <c r="BF1348" s="57"/>
      <c r="BG1348" s="57"/>
      <c r="BH1348" s="57"/>
      <c r="BI1348" s="57"/>
    </row>
    <row r="1349" spans="3:78">
      <c r="C1349" s="136" t="s">
        <v>1906</v>
      </c>
      <c r="F1349" s="57" t="s">
        <v>72</v>
      </c>
      <c r="U1349" s="57"/>
      <c r="V1349" s="57"/>
      <c r="W1349" s="57"/>
      <c r="Y1349" s="57"/>
      <c r="AA1349" s="57" t="s">
        <v>71</v>
      </c>
      <c r="AS1349" s="57"/>
      <c r="AT1349" s="57"/>
      <c r="AU1349" s="57"/>
      <c r="AV1349" s="57"/>
      <c r="AW1349" s="57"/>
      <c r="AX1349" s="57"/>
      <c r="AY1349" s="57"/>
      <c r="AZ1349" s="57"/>
      <c r="BA1349" s="57"/>
      <c r="BB1349" s="57"/>
      <c r="BC1349" s="57"/>
      <c r="BD1349" s="57"/>
      <c r="BE1349" s="57"/>
      <c r="BF1349" s="57"/>
      <c r="BG1349" s="57"/>
      <c r="BH1349" s="57"/>
      <c r="BI1349" s="57"/>
    </row>
    <row r="1350" spans="3:78">
      <c r="C1350" s="136" t="s">
        <v>1907</v>
      </c>
      <c r="F1350" s="57" t="s">
        <v>72</v>
      </c>
      <c r="U1350" s="57"/>
      <c r="V1350" s="57"/>
      <c r="W1350" s="57"/>
      <c r="Y1350" s="57"/>
      <c r="AA1350" s="57" t="s">
        <v>71</v>
      </c>
      <c r="AS1350" s="57"/>
      <c r="AT1350" s="57"/>
      <c r="AU1350" s="57"/>
      <c r="AV1350" s="57"/>
      <c r="AW1350" s="57"/>
      <c r="AX1350" s="57"/>
      <c r="AY1350" s="57"/>
      <c r="AZ1350" s="57"/>
      <c r="BA1350" s="57"/>
      <c r="BB1350" s="57"/>
      <c r="BC1350" s="57"/>
      <c r="BD1350" s="57"/>
      <c r="BE1350" s="57"/>
      <c r="BF1350" s="57"/>
      <c r="BG1350" s="57"/>
      <c r="BH1350" s="57"/>
      <c r="BI1350" s="57"/>
    </row>
    <row r="1351" spans="3:78">
      <c r="C1351" s="136" t="s">
        <v>1908</v>
      </c>
      <c r="F1351" s="57" t="s">
        <v>72</v>
      </c>
      <c r="U1351" s="57"/>
      <c r="V1351" s="57"/>
      <c r="W1351" s="57"/>
      <c r="Y1351" s="57"/>
      <c r="AA1351" s="57" t="s">
        <v>71</v>
      </c>
      <c r="AS1351" s="57"/>
      <c r="AT1351" s="57"/>
      <c r="AU1351" s="57"/>
      <c r="AV1351" s="57"/>
      <c r="AW1351" s="57"/>
      <c r="AX1351" s="57"/>
      <c r="AY1351" s="57"/>
      <c r="AZ1351" s="57"/>
      <c r="BA1351" s="57"/>
      <c r="BB1351" s="57"/>
      <c r="BC1351" s="57"/>
      <c r="BD1351" s="57"/>
      <c r="BE1351" s="57"/>
      <c r="BF1351" s="57"/>
      <c r="BG1351" s="57"/>
      <c r="BH1351" s="57"/>
      <c r="BI1351" s="57"/>
    </row>
    <row r="1352" spans="3:78" ht="27">
      <c r="C1352" s="136" t="s">
        <v>1909</v>
      </c>
      <c r="F1352" s="57" t="s">
        <v>72</v>
      </c>
      <c r="U1352" s="57"/>
      <c r="V1352" s="57"/>
      <c r="W1352" s="57"/>
      <c r="Y1352" s="57"/>
      <c r="AA1352" s="57" t="s">
        <v>71</v>
      </c>
      <c r="AS1352" s="57"/>
      <c r="AT1352" s="57"/>
      <c r="AU1352" s="57"/>
      <c r="AV1352" s="57"/>
      <c r="AW1352" s="57"/>
      <c r="AX1352" s="57"/>
      <c r="AY1352" s="57"/>
      <c r="AZ1352" s="57"/>
      <c r="BA1352" s="57"/>
      <c r="BB1352" s="57"/>
      <c r="BC1352" s="57"/>
      <c r="BD1352" s="57"/>
      <c r="BE1352" s="57"/>
      <c r="BF1352" s="57"/>
      <c r="BG1352" s="57"/>
      <c r="BH1352" s="57"/>
      <c r="BI1352" s="57"/>
    </row>
    <row r="1353" spans="3:78" ht="27">
      <c r="C1353" s="136" t="s">
        <v>1910</v>
      </c>
      <c r="F1353" s="57" t="s">
        <v>72</v>
      </c>
      <c r="U1353" s="57"/>
      <c r="V1353" s="57"/>
      <c r="W1353" s="57"/>
      <c r="Y1353" s="57"/>
      <c r="AA1353" s="57" t="s">
        <v>71</v>
      </c>
      <c r="AS1353" s="57"/>
      <c r="AT1353" s="57"/>
      <c r="AU1353" s="57"/>
      <c r="AV1353" s="57"/>
      <c r="AW1353" s="57"/>
      <c r="AX1353" s="57"/>
      <c r="AY1353" s="57"/>
      <c r="AZ1353" s="57"/>
      <c r="BA1353" s="57"/>
      <c r="BB1353" s="57"/>
      <c r="BC1353" s="57"/>
      <c r="BD1353" s="57"/>
      <c r="BE1353" s="57"/>
      <c r="BF1353" s="57"/>
      <c r="BG1353" s="57"/>
      <c r="BH1353" s="57"/>
      <c r="BI1353" s="57"/>
    </row>
    <row r="1354" spans="3:78">
      <c r="C1354" s="136" t="s">
        <v>1911</v>
      </c>
      <c r="F1354" s="57" t="s">
        <v>72</v>
      </c>
      <c r="U1354" s="57"/>
      <c r="V1354" s="57"/>
      <c r="W1354" s="57"/>
      <c r="Y1354" s="57"/>
      <c r="AS1354" s="57"/>
      <c r="AT1354" s="57"/>
      <c r="AU1354" s="57"/>
      <c r="AV1354" s="57"/>
      <c r="AW1354" s="57"/>
      <c r="AX1354" s="57"/>
      <c r="AY1354" s="57"/>
      <c r="AZ1354" s="57"/>
      <c r="BA1354" s="57"/>
      <c r="BB1354" s="57"/>
      <c r="BC1354" s="57"/>
      <c r="BD1354" s="57"/>
      <c r="BE1354" s="57"/>
      <c r="BF1354" s="57"/>
      <c r="BG1354" s="57"/>
      <c r="BH1354" s="57"/>
      <c r="BI1354" s="57"/>
    </row>
    <row r="1355" spans="3:78">
      <c r="C1355" s="136" t="s">
        <v>1912</v>
      </c>
      <c r="F1355" s="57" t="s">
        <v>72</v>
      </c>
      <c r="U1355" s="57"/>
      <c r="V1355" s="57"/>
      <c r="W1355" s="57"/>
      <c r="Y1355" s="57"/>
      <c r="AS1355" s="57"/>
      <c r="AT1355" s="57"/>
      <c r="AU1355" s="57"/>
      <c r="AV1355" s="57"/>
      <c r="AW1355" s="57"/>
      <c r="AX1355" s="57"/>
      <c r="AY1355" s="57"/>
      <c r="AZ1355" s="57"/>
      <c r="BA1355" s="57"/>
      <c r="BB1355" s="57"/>
      <c r="BC1355" s="57"/>
      <c r="BD1355" s="57"/>
      <c r="BE1355" s="57"/>
      <c r="BF1355" s="57"/>
      <c r="BG1355" s="57"/>
      <c r="BH1355" s="57"/>
      <c r="BI1355" s="57"/>
    </row>
    <row r="1356" spans="3:78">
      <c r="C1356" s="136" t="s">
        <v>1913</v>
      </c>
      <c r="F1356" s="57" t="s">
        <v>72</v>
      </c>
      <c r="U1356" s="57"/>
      <c r="V1356" s="57"/>
      <c r="W1356" s="57"/>
      <c r="Y1356" s="57"/>
      <c r="AS1356" s="57"/>
      <c r="AT1356" s="57"/>
      <c r="AU1356" s="57"/>
      <c r="AV1356" s="57"/>
      <c r="AW1356" s="57"/>
      <c r="AX1356" s="57"/>
      <c r="AY1356" s="57"/>
      <c r="AZ1356" s="57"/>
      <c r="BA1356" s="57"/>
      <c r="BB1356" s="57"/>
      <c r="BC1356" s="57"/>
      <c r="BD1356" s="57"/>
      <c r="BE1356" s="57"/>
      <c r="BF1356" s="57"/>
      <c r="BG1356" s="57"/>
      <c r="BH1356" s="57"/>
      <c r="BI1356" s="57"/>
    </row>
    <row r="1357" spans="3:78">
      <c r="F1357" s="57"/>
      <c r="U1357" s="57"/>
      <c r="V1357" s="57"/>
      <c r="W1357" s="57"/>
      <c r="Y1357" s="57"/>
      <c r="AS1357" s="57"/>
      <c r="AT1357" s="57"/>
      <c r="AU1357" s="57"/>
      <c r="AV1357" s="57"/>
      <c r="AW1357" s="57"/>
      <c r="AX1357" s="57"/>
      <c r="AY1357" s="57"/>
      <c r="AZ1357" s="57"/>
      <c r="BA1357" s="57"/>
      <c r="BB1357" s="57"/>
      <c r="BC1357" s="57"/>
      <c r="BD1357" s="57"/>
      <c r="BE1357" s="57"/>
      <c r="BF1357" s="57"/>
      <c r="BG1357" s="57"/>
      <c r="BH1357" s="57"/>
      <c r="BI1357" s="57"/>
    </row>
    <row r="1358" spans="3:78">
      <c r="C1358" s="136" t="s">
        <v>1914</v>
      </c>
      <c r="F1358" s="75" t="s">
        <v>73</v>
      </c>
      <c r="U1358" s="75"/>
      <c r="V1358" s="75"/>
      <c r="W1358" s="75"/>
      <c r="Y1358" s="75"/>
      <c r="AA1358" s="57" t="s">
        <v>71</v>
      </c>
      <c r="AS1358" s="75"/>
      <c r="AT1358" s="75"/>
      <c r="AU1358" s="75"/>
      <c r="AV1358" s="75"/>
      <c r="AW1358" s="75"/>
      <c r="AX1358" s="75"/>
      <c r="AY1358" s="75"/>
      <c r="AZ1358" s="75"/>
      <c r="BA1358" s="75"/>
      <c r="BB1358" s="75"/>
      <c r="BC1358" s="75"/>
      <c r="BD1358" s="75"/>
      <c r="BE1358" s="75"/>
      <c r="BF1358" s="75"/>
      <c r="BG1358" s="75"/>
      <c r="BH1358" s="75"/>
      <c r="BI1358" s="75"/>
      <c r="BK1358" s="75"/>
      <c r="BR1358" s="75"/>
      <c r="BS1358" s="75"/>
      <c r="BT1358" s="75"/>
      <c r="BZ1358" s="75"/>
    </row>
    <row r="1359" spans="3:78" ht="27">
      <c r="C1359" s="136" t="s">
        <v>1915</v>
      </c>
      <c r="F1359" s="75" t="s">
        <v>73</v>
      </c>
      <c r="U1359" s="75"/>
      <c r="V1359" s="75"/>
      <c r="W1359" s="75"/>
      <c r="Y1359" s="75"/>
      <c r="AA1359" s="57" t="s">
        <v>71</v>
      </c>
      <c r="AS1359" s="75"/>
      <c r="AT1359" s="75"/>
      <c r="AU1359" s="75"/>
      <c r="AV1359" s="75"/>
      <c r="AW1359" s="75"/>
      <c r="AX1359" s="75"/>
      <c r="AY1359" s="75"/>
      <c r="AZ1359" s="75"/>
      <c r="BA1359" s="75"/>
      <c r="BB1359" s="75"/>
      <c r="BC1359" s="75"/>
      <c r="BD1359" s="75"/>
      <c r="BE1359" s="75"/>
      <c r="BF1359" s="75"/>
      <c r="BG1359" s="75"/>
      <c r="BH1359" s="75"/>
      <c r="BI1359" s="75"/>
      <c r="BK1359" s="75"/>
      <c r="BR1359" s="75"/>
      <c r="BS1359" s="75"/>
      <c r="BT1359" s="75"/>
      <c r="BZ1359" s="75"/>
    </row>
    <row r="1360" spans="3:78">
      <c r="C1360" s="136" t="s">
        <v>1916</v>
      </c>
      <c r="F1360" s="75" t="s">
        <v>73</v>
      </c>
      <c r="U1360" s="75"/>
      <c r="V1360" s="75"/>
      <c r="W1360" s="75"/>
      <c r="Y1360" s="75"/>
      <c r="AA1360" s="57" t="s">
        <v>71</v>
      </c>
      <c r="AS1360" s="75"/>
      <c r="AT1360" s="75"/>
      <c r="AU1360" s="75"/>
      <c r="AV1360" s="75"/>
      <c r="AW1360" s="75"/>
      <c r="AX1360" s="75"/>
      <c r="AY1360" s="75"/>
      <c r="AZ1360" s="75"/>
      <c r="BA1360" s="75"/>
      <c r="BB1360" s="75"/>
      <c r="BC1360" s="75"/>
      <c r="BD1360" s="75"/>
      <c r="BE1360" s="75"/>
      <c r="BF1360" s="75"/>
      <c r="BG1360" s="75"/>
      <c r="BH1360" s="75"/>
      <c r="BI1360" s="75"/>
      <c r="BK1360" s="75"/>
      <c r="BR1360" s="75"/>
      <c r="BS1360" s="75"/>
      <c r="BT1360" s="75"/>
      <c r="BZ1360" s="75"/>
    </row>
    <row r="1361" spans="3:78">
      <c r="C1361" s="136" t="s">
        <v>1917</v>
      </c>
      <c r="F1361" s="75" t="s">
        <v>73</v>
      </c>
      <c r="U1361" s="75"/>
      <c r="V1361" s="75"/>
      <c r="W1361" s="75"/>
      <c r="Y1361" s="75"/>
      <c r="AA1361" s="57" t="s">
        <v>71</v>
      </c>
      <c r="AS1361" s="75"/>
      <c r="AT1361" s="75"/>
      <c r="AU1361" s="75"/>
      <c r="AV1361" s="75"/>
      <c r="AW1361" s="75"/>
      <c r="AX1361" s="75"/>
      <c r="AY1361" s="75"/>
      <c r="AZ1361" s="75"/>
      <c r="BA1361" s="75"/>
      <c r="BB1361" s="75"/>
      <c r="BC1361" s="75"/>
      <c r="BD1361" s="75"/>
      <c r="BE1361" s="75"/>
      <c r="BF1361" s="75"/>
      <c r="BG1361" s="75"/>
      <c r="BH1361" s="75"/>
      <c r="BI1361" s="75"/>
      <c r="BK1361" s="75"/>
      <c r="BR1361" s="75"/>
      <c r="BS1361" s="75"/>
      <c r="BT1361" s="75"/>
      <c r="BZ1361" s="75"/>
    </row>
    <row r="1362" spans="3:78">
      <c r="C1362" s="136" t="s">
        <v>1918</v>
      </c>
      <c r="F1362" s="75" t="s">
        <v>73</v>
      </c>
      <c r="U1362" s="75"/>
      <c r="V1362" s="75"/>
      <c r="W1362" s="75"/>
      <c r="Y1362" s="75"/>
      <c r="AA1362" s="57" t="s">
        <v>71</v>
      </c>
      <c r="AS1362" s="75"/>
      <c r="AT1362" s="75"/>
      <c r="AU1362" s="75"/>
      <c r="AV1362" s="75"/>
      <c r="AW1362" s="75"/>
      <c r="AX1362" s="75"/>
      <c r="AY1362" s="75"/>
      <c r="AZ1362" s="75"/>
      <c r="BA1362" s="75"/>
      <c r="BB1362" s="75"/>
      <c r="BC1362" s="75"/>
      <c r="BD1362" s="75"/>
      <c r="BE1362" s="75"/>
      <c r="BF1362" s="75"/>
      <c r="BG1362" s="75"/>
      <c r="BH1362" s="75"/>
      <c r="BI1362" s="75"/>
      <c r="BK1362" s="75"/>
      <c r="BR1362" s="75"/>
      <c r="BS1362" s="75"/>
      <c r="BT1362" s="75"/>
      <c r="BZ1362" s="75"/>
    </row>
    <row r="1363" spans="3:78">
      <c r="C1363" s="136" t="s">
        <v>1919</v>
      </c>
      <c r="F1363" s="75" t="s">
        <v>73</v>
      </c>
      <c r="U1363" s="75"/>
      <c r="V1363" s="75"/>
      <c r="W1363" s="75"/>
      <c r="Y1363" s="75"/>
      <c r="AA1363" s="57" t="s">
        <v>71</v>
      </c>
      <c r="AS1363" s="75"/>
      <c r="AT1363" s="75"/>
      <c r="AU1363" s="75"/>
      <c r="AV1363" s="75"/>
      <c r="AW1363" s="75"/>
      <c r="AX1363" s="75"/>
      <c r="AY1363" s="75"/>
      <c r="AZ1363" s="75"/>
      <c r="BA1363" s="75"/>
      <c r="BB1363" s="75"/>
      <c r="BC1363" s="75"/>
      <c r="BD1363" s="75"/>
      <c r="BE1363" s="75"/>
      <c r="BF1363" s="75"/>
      <c r="BG1363" s="75"/>
      <c r="BH1363" s="75"/>
      <c r="BI1363" s="75"/>
      <c r="BK1363" s="75"/>
      <c r="BR1363" s="75"/>
      <c r="BS1363" s="75"/>
      <c r="BT1363" s="75"/>
      <c r="BZ1363" s="75"/>
    </row>
    <row r="1364" spans="3:78" ht="27">
      <c r="C1364" s="136" t="s">
        <v>1920</v>
      </c>
      <c r="F1364" s="75" t="s">
        <v>73</v>
      </c>
      <c r="U1364" s="75"/>
      <c r="V1364" s="75"/>
      <c r="W1364" s="75"/>
      <c r="Y1364" s="75"/>
      <c r="AA1364" s="57" t="s">
        <v>71</v>
      </c>
      <c r="AS1364" s="75"/>
      <c r="AT1364" s="75"/>
      <c r="AU1364" s="75"/>
      <c r="AV1364" s="75"/>
      <c r="AW1364" s="75"/>
      <c r="AX1364" s="75"/>
      <c r="AY1364" s="75"/>
      <c r="AZ1364" s="75"/>
      <c r="BA1364" s="75"/>
      <c r="BB1364" s="75"/>
      <c r="BC1364" s="75"/>
      <c r="BD1364" s="75"/>
      <c r="BE1364" s="75"/>
      <c r="BF1364" s="75"/>
      <c r="BG1364" s="75"/>
      <c r="BH1364" s="75"/>
      <c r="BI1364" s="75"/>
      <c r="BK1364" s="75"/>
      <c r="BR1364" s="75"/>
      <c r="BS1364" s="75"/>
      <c r="BT1364" s="75"/>
      <c r="BZ1364" s="75"/>
    </row>
    <row r="1365" spans="3:78">
      <c r="C1365" s="136" t="s">
        <v>1921</v>
      </c>
      <c r="F1365" s="75" t="s">
        <v>73</v>
      </c>
      <c r="U1365" s="75"/>
      <c r="V1365" s="75"/>
      <c r="W1365" s="75"/>
      <c r="Y1365" s="75"/>
      <c r="AA1365" s="57" t="s">
        <v>71</v>
      </c>
      <c r="AS1365" s="75"/>
      <c r="AT1365" s="75"/>
      <c r="AU1365" s="75"/>
      <c r="AV1365" s="75"/>
      <c r="AW1365" s="75"/>
      <c r="AX1365" s="75"/>
      <c r="AY1365" s="75"/>
      <c r="AZ1365" s="75"/>
      <c r="BA1365" s="75"/>
      <c r="BB1365" s="75"/>
      <c r="BC1365" s="75"/>
      <c r="BD1365" s="75"/>
      <c r="BE1365" s="75"/>
      <c r="BF1365" s="75"/>
      <c r="BG1365" s="75"/>
      <c r="BH1365" s="75"/>
      <c r="BI1365" s="75"/>
      <c r="BK1365" s="75"/>
      <c r="BR1365" s="75"/>
      <c r="BS1365" s="75"/>
      <c r="BT1365" s="75"/>
      <c r="BZ1365" s="75"/>
    </row>
    <row r="1366" spans="3:78">
      <c r="C1366" s="136" t="s">
        <v>1922</v>
      </c>
      <c r="F1366" s="75" t="s">
        <v>73</v>
      </c>
      <c r="U1366" s="75"/>
      <c r="V1366" s="75"/>
      <c r="W1366" s="75"/>
      <c r="Y1366" s="75"/>
      <c r="AA1366" s="57" t="s">
        <v>71</v>
      </c>
      <c r="AS1366" s="75"/>
      <c r="AT1366" s="75"/>
      <c r="AU1366" s="75"/>
      <c r="AV1366" s="75"/>
      <c r="AW1366" s="75"/>
      <c r="AX1366" s="75"/>
      <c r="AY1366" s="75"/>
      <c r="AZ1366" s="75"/>
      <c r="BA1366" s="75"/>
      <c r="BB1366" s="75"/>
      <c r="BC1366" s="75"/>
      <c r="BD1366" s="75"/>
      <c r="BE1366" s="75"/>
      <c r="BF1366" s="75"/>
      <c r="BG1366" s="75"/>
      <c r="BH1366" s="75"/>
      <c r="BI1366" s="75"/>
      <c r="BK1366" s="75"/>
      <c r="BR1366" s="75"/>
      <c r="BS1366" s="75"/>
      <c r="BT1366" s="75"/>
      <c r="BZ1366" s="75"/>
    </row>
    <row r="1367" spans="3:78">
      <c r="C1367" s="136" t="s">
        <v>1923</v>
      </c>
      <c r="F1367" s="75" t="s">
        <v>73</v>
      </c>
      <c r="U1367" s="75"/>
      <c r="V1367" s="75"/>
      <c r="W1367" s="75"/>
      <c r="Y1367" s="75"/>
      <c r="AA1367" s="57" t="s">
        <v>71</v>
      </c>
      <c r="AS1367" s="75"/>
      <c r="AT1367" s="75"/>
      <c r="AU1367" s="75"/>
      <c r="AV1367" s="75"/>
      <c r="AW1367" s="75"/>
      <c r="AX1367" s="75"/>
      <c r="AY1367" s="75"/>
      <c r="AZ1367" s="75"/>
      <c r="BA1367" s="75"/>
      <c r="BB1367" s="75"/>
      <c r="BC1367" s="75"/>
      <c r="BD1367" s="75"/>
      <c r="BE1367" s="75"/>
      <c r="BF1367" s="75"/>
      <c r="BG1367" s="75"/>
      <c r="BH1367" s="75"/>
      <c r="BI1367" s="75"/>
      <c r="BK1367" s="75"/>
      <c r="BR1367" s="75"/>
      <c r="BS1367" s="75"/>
      <c r="BT1367" s="75"/>
      <c r="BZ1367" s="75"/>
    </row>
    <row r="1368" spans="3:78">
      <c r="C1368" s="136" t="s">
        <v>1924</v>
      </c>
      <c r="F1368" s="75" t="s">
        <v>73</v>
      </c>
      <c r="U1368" s="75"/>
      <c r="V1368" s="75"/>
      <c r="W1368" s="75"/>
      <c r="Y1368" s="75"/>
      <c r="AA1368" s="57" t="s">
        <v>71</v>
      </c>
      <c r="AS1368" s="75"/>
      <c r="AT1368" s="75"/>
      <c r="AU1368" s="75"/>
      <c r="AV1368" s="75"/>
      <c r="AW1368" s="75"/>
      <c r="AX1368" s="75"/>
      <c r="AY1368" s="75"/>
      <c r="AZ1368" s="75"/>
      <c r="BA1368" s="75"/>
      <c r="BB1368" s="75"/>
      <c r="BC1368" s="75"/>
      <c r="BD1368" s="75"/>
      <c r="BE1368" s="75"/>
      <c r="BF1368" s="75"/>
      <c r="BG1368" s="75"/>
      <c r="BH1368" s="75"/>
      <c r="BI1368" s="75"/>
      <c r="BK1368" s="75"/>
      <c r="BR1368" s="75"/>
      <c r="BS1368" s="75"/>
      <c r="BT1368" s="75"/>
      <c r="BZ1368" s="75"/>
    </row>
    <row r="1369" spans="3:78">
      <c r="C1369" s="136" t="s">
        <v>1925</v>
      </c>
      <c r="F1369" s="75" t="s">
        <v>73</v>
      </c>
      <c r="U1369" s="75"/>
      <c r="V1369" s="75"/>
      <c r="W1369" s="75"/>
      <c r="Y1369" s="75"/>
      <c r="AA1369" s="57" t="s">
        <v>71</v>
      </c>
      <c r="AS1369" s="75"/>
      <c r="AT1369" s="75"/>
      <c r="AU1369" s="75"/>
      <c r="AV1369" s="75"/>
      <c r="AW1369" s="75"/>
      <c r="AX1369" s="75"/>
      <c r="AY1369" s="75"/>
      <c r="AZ1369" s="75"/>
      <c r="BA1369" s="75"/>
      <c r="BB1369" s="75"/>
      <c r="BC1369" s="75"/>
      <c r="BD1369" s="75"/>
      <c r="BE1369" s="75"/>
      <c r="BF1369" s="75"/>
      <c r="BG1369" s="75"/>
      <c r="BH1369" s="75"/>
      <c r="BI1369" s="75"/>
      <c r="BK1369" s="75"/>
      <c r="BR1369" s="75"/>
      <c r="BS1369" s="75"/>
      <c r="BT1369" s="75"/>
      <c r="BZ1369" s="75"/>
    </row>
    <row r="1370" spans="3:78">
      <c r="F1370" s="57"/>
      <c r="U1370" s="57"/>
      <c r="V1370" s="57"/>
      <c r="W1370" s="57"/>
      <c r="Y1370" s="57"/>
      <c r="AS1370" s="57"/>
      <c r="AT1370" s="57"/>
      <c r="AU1370" s="57"/>
      <c r="AV1370" s="57"/>
      <c r="AW1370" s="57"/>
      <c r="AX1370" s="57"/>
      <c r="AY1370" s="57"/>
      <c r="AZ1370" s="57"/>
      <c r="BA1370" s="57"/>
      <c r="BB1370" s="57"/>
      <c r="BC1370" s="57"/>
      <c r="BD1370" s="57"/>
      <c r="BE1370" s="57"/>
      <c r="BF1370" s="57"/>
      <c r="BG1370" s="57"/>
      <c r="BH1370" s="57"/>
      <c r="BI1370" s="57"/>
    </row>
    <row r="1371" spans="3:78">
      <c r="C1371" s="136" t="s">
        <v>1926</v>
      </c>
      <c r="F1371" s="57" t="s">
        <v>72</v>
      </c>
      <c r="U1371" s="57"/>
      <c r="V1371" s="57"/>
      <c r="W1371" s="57"/>
      <c r="Y1371" s="57"/>
      <c r="AA1371" s="57" t="s">
        <v>71</v>
      </c>
      <c r="AS1371" s="57"/>
      <c r="AT1371" s="57"/>
      <c r="AU1371" s="57"/>
      <c r="AV1371" s="57"/>
      <c r="AW1371" s="57"/>
      <c r="AX1371" s="57"/>
      <c r="AY1371" s="57"/>
      <c r="AZ1371" s="57"/>
      <c r="BA1371" s="57"/>
      <c r="BB1371" s="57"/>
      <c r="BC1371" s="57"/>
      <c r="BD1371" s="57"/>
      <c r="BE1371" s="57"/>
      <c r="BF1371" s="57"/>
      <c r="BG1371" s="57"/>
      <c r="BH1371" s="57"/>
      <c r="BI1371" s="57"/>
    </row>
    <row r="1372" spans="3:78" ht="27">
      <c r="C1372" s="136" t="s">
        <v>1927</v>
      </c>
      <c r="F1372" s="57" t="s">
        <v>72</v>
      </c>
      <c r="U1372" s="57"/>
      <c r="V1372" s="57"/>
      <c r="W1372" s="57"/>
      <c r="Y1372" s="57"/>
      <c r="AA1372" s="57" t="s">
        <v>71</v>
      </c>
      <c r="AS1372" s="57"/>
      <c r="AT1372" s="57"/>
      <c r="AU1372" s="57"/>
      <c r="AV1372" s="57"/>
      <c r="AW1372" s="57"/>
      <c r="AX1372" s="57"/>
      <c r="AY1372" s="57"/>
      <c r="AZ1372" s="57"/>
      <c r="BA1372" s="57"/>
      <c r="BB1372" s="57"/>
      <c r="BC1372" s="57"/>
      <c r="BD1372" s="57"/>
      <c r="BE1372" s="57"/>
      <c r="BF1372" s="57"/>
      <c r="BG1372" s="57"/>
      <c r="BH1372" s="57"/>
      <c r="BI1372" s="57"/>
    </row>
    <row r="1373" spans="3:78">
      <c r="C1373" s="136" t="s">
        <v>1928</v>
      </c>
      <c r="F1373" s="57" t="s">
        <v>72</v>
      </c>
      <c r="U1373" s="57"/>
      <c r="V1373" s="57"/>
      <c r="W1373" s="57"/>
      <c r="Y1373" s="57"/>
      <c r="AA1373" s="57" t="s">
        <v>71</v>
      </c>
      <c r="AS1373" s="57"/>
      <c r="AT1373" s="57"/>
      <c r="AU1373" s="57"/>
      <c r="AV1373" s="57"/>
      <c r="AW1373" s="57"/>
      <c r="AX1373" s="57"/>
      <c r="AY1373" s="57"/>
      <c r="AZ1373" s="57"/>
      <c r="BA1373" s="57"/>
      <c r="BB1373" s="57"/>
      <c r="BC1373" s="57"/>
      <c r="BD1373" s="57"/>
      <c r="BE1373" s="57"/>
      <c r="BF1373" s="57"/>
      <c r="BG1373" s="57"/>
      <c r="BH1373" s="57"/>
      <c r="BI1373" s="57"/>
    </row>
    <row r="1374" spans="3:78">
      <c r="C1374" s="136" t="s">
        <v>1929</v>
      </c>
      <c r="F1374" s="57" t="s">
        <v>72</v>
      </c>
      <c r="U1374" s="57"/>
      <c r="V1374" s="57"/>
      <c r="W1374" s="57"/>
      <c r="Y1374" s="57"/>
      <c r="AA1374" s="57" t="s">
        <v>71</v>
      </c>
      <c r="AS1374" s="57"/>
      <c r="AT1374" s="57"/>
      <c r="AU1374" s="57"/>
      <c r="AV1374" s="57"/>
      <c r="AW1374" s="57"/>
      <c r="AX1374" s="57"/>
      <c r="AY1374" s="57"/>
      <c r="AZ1374" s="57"/>
      <c r="BA1374" s="57"/>
      <c r="BB1374" s="57"/>
      <c r="BC1374" s="57"/>
      <c r="BD1374" s="57"/>
      <c r="BE1374" s="57"/>
      <c r="BF1374" s="57"/>
      <c r="BG1374" s="57"/>
      <c r="BH1374" s="57"/>
      <c r="BI1374" s="57"/>
    </row>
    <row r="1375" spans="3:78">
      <c r="C1375" s="136" t="s">
        <v>1930</v>
      </c>
      <c r="F1375" s="57" t="s">
        <v>72</v>
      </c>
      <c r="U1375" s="57"/>
      <c r="V1375" s="57"/>
      <c r="W1375" s="57"/>
      <c r="Y1375" s="57"/>
      <c r="AA1375" s="57" t="s">
        <v>71</v>
      </c>
      <c r="AS1375" s="57"/>
      <c r="AT1375" s="57"/>
      <c r="AU1375" s="57"/>
      <c r="AV1375" s="57"/>
      <c r="AW1375" s="57"/>
      <c r="AX1375" s="57"/>
      <c r="AY1375" s="57"/>
      <c r="AZ1375" s="57"/>
      <c r="BA1375" s="57"/>
      <c r="BB1375" s="57"/>
      <c r="BC1375" s="57"/>
      <c r="BD1375" s="57"/>
      <c r="BE1375" s="57"/>
      <c r="BF1375" s="57"/>
      <c r="BG1375" s="57"/>
      <c r="BH1375" s="57"/>
      <c r="BI1375" s="57"/>
    </row>
    <row r="1376" spans="3:78">
      <c r="C1376" s="136" t="s">
        <v>1931</v>
      </c>
      <c r="F1376" s="57" t="s">
        <v>72</v>
      </c>
      <c r="U1376" s="57"/>
      <c r="V1376" s="57"/>
      <c r="W1376" s="57"/>
      <c r="Y1376" s="57"/>
      <c r="AA1376" s="57" t="s">
        <v>71</v>
      </c>
      <c r="AS1376" s="57"/>
      <c r="AT1376" s="57"/>
      <c r="AU1376" s="57"/>
      <c r="AV1376" s="57"/>
      <c r="AW1376" s="57"/>
      <c r="AX1376" s="57"/>
      <c r="AY1376" s="57"/>
      <c r="AZ1376" s="57"/>
      <c r="BA1376" s="57"/>
      <c r="BB1376" s="57"/>
      <c r="BC1376" s="57"/>
      <c r="BD1376" s="57"/>
      <c r="BE1376" s="57"/>
      <c r="BF1376" s="57"/>
      <c r="BG1376" s="57"/>
      <c r="BH1376" s="57"/>
      <c r="BI1376" s="57"/>
    </row>
    <row r="1377" spans="3:61">
      <c r="C1377" s="136" t="s">
        <v>1932</v>
      </c>
      <c r="F1377" s="57" t="s">
        <v>72</v>
      </c>
      <c r="U1377" s="57"/>
      <c r="V1377" s="57"/>
      <c r="W1377" s="57"/>
      <c r="Y1377" s="57"/>
      <c r="AA1377" s="57" t="s">
        <v>71</v>
      </c>
      <c r="AS1377" s="57"/>
      <c r="AT1377" s="57"/>
      <c r="AU1377" s="57"/>
      <c r="AV1377" s="57"/>
      <c r="AW1377" s="57"/>
      <c r="AX1377" s="57"/>
      <c r="AY1377" s="57"/>
      <c r="AZ1377" s="57"/>
      <c r="BA1377" s="57"/>
      <c r="BB1377" s="57"/>
      <c r="BC1377" s="57"/>
      <c r="BD1377" s="57"/>
      <c r="BE1377" s="57"/>
      <c r="BF1377" s="57"/>
      <c r="BG1377" s="57"/>
      <c r="BH1377" s="57"/>
      <c r="BI1377" s="57"/>
    </row>
    <row r="1379" spans="3:61">
      <c r="C1379" s="136" t="s">
        <v>1933</v>
      </c>
    </row>
    <row r="1380" spans="3:61">
      <c r="C1380" s="136" t="s">
        <v>1934</v>
      </c>
    </row>
    <row r="1381" spans="3:61">
      <c r="C1381" s="136" t="s">
        <v>1935</v>
      </c>
    </row>
    <row r="1382" spans="3:61">
      <c r="C1382" s="136" t="s">
        <v>1936</v>
      </c>
    </row>
    <row r="1383" spans="3:61">
      <c r="C1383" s="136" t="s">
        <v>1937</v>
      </c>
    </row>
    <row r="1384" spans="3:61">
      <c r="C1384" s="136" t="s">
        <v>1938</v>
      </c>
    </row>
    <row r="1385" spans="3:61" ht="27">
      <c r="C1385" s="136" t="s">
        <v>1939</v>
      </c>
    </row>
    <row r="1387" spans="3:61">
      <c r="C1387" s="136" t="s">
        <v>1940</v>
      </c>
    </row>
    <row r="1388" spans="3:61" ht="27">
      <c r="C1388" s="136" t="s">
        <v>1941</v>
      </c>
    </row>
    <row r="1389" spans="3:61" ht="32.25">
      <c r="C1389" s="136" t="s">
        <v>1942</v>
      </c>
    </row>
    <row r="1390" spans="3:61" ht="37.5">
      <c r="C1390" s="136" t="s">
        <v>1943</v>
      </c>
    </row>
    <row r="1391" spans="3:61" ht="32.25">
      <c r="C1391" s="136" t="s">
        <v>1944</v>
      </c>
    </row>
    <row r="1393" spans="3:3">
      <c r="C1393" s="136" t="s">
        <v>1945</v>
      </c>
    </row>
    <row r="1394" spans="3:3">
      <c r="C1394" s="136" t="s">
        <v>1946</v>
      </c>
    </row>
    <row r="1395" spans="3:3">
      <c r="C1395" s="136" t="s">
        <v>1897</v>
      </c>
    </row>
    <row r="1396" spans="3:3">
      <c r="C1396" s="136" t="s">
        <v>1898</v>
      </c>
    </row>
    <row r="1397" spans="3:3">
      <c r="C1397" s="136" t="s">
        <v>1899</v>
      </c>
    </row>
    <row r="1398" spans="3:3">
      <c r="C1398" s="136" t="s">
        <v>1900</v>
      </c>
    </row>
    <row r="1399" spans="3:3">
      <c r="C1399" s="136" t="s">
        <v>1901</v>
      </c>
    </row>
    <row r="1401" spans="3:3" ht="27">
      <c r="C1401" s="136" t="s">
        <v>1947</v>
      </c>
    </row>
    <row r="1402" spans="3:3" ht="27">
      <c r="C1402" s="136" t="s">
        <v>1948</v>
      </c>
    </row>
    <row r="1403" spans="3:3">
      <c r="C1403" s="136" t="s">
        <v>1949</v>
      </c>
    </row>
    <row r="1404" spans="3:3" ht="27">
      <c r="C1404" s="136" t="s">
        <v>1950</v>
      </c>
    </row>
    <row r="1405" spans="3:3" ht="27">
      <c r="C1405" s="136" t="s">
        <v>1951</v>
      </c>
    </row>
    <row r="1406" spans="3:3" ht="40.5">
      <c r="C1406" s="136" t="s">
        <v>1952</v>
      </c>
    </row>
    <row r="1407" spans="3:3">
      <c r="C1407" s="136" t="s">
        <v>1953</v>
      </c>
    </row>
    <row r="1408" spans="3:3" ht="27">
      <c r="C1408" s="136" t="s">
        <v>1954</v>
      </c>
    </row>
    <row r="1409" spans="3:3">
      <c r="C1409" s="136" t="s">
        <v>1955</v>
      </c>
    </row>
    <row r="1410" spans="3:3" ht="40.5">
      <c r="C1410" s="136" t="s">
        <v>1956</v>
      </c>
    </row>
    <row r="1411" spans="3:3" ht="27">
      <c r="C1411" s="136" t="s">
        <v>1957</v>
      </c>
    </row>
    <row r="1412" spans="3:3" ht="54">
      <c r="C1412" s="136" t="s">
        <v>1958</v>
      </c>
    </row>
    <row r="1413" spans="3:3" ht="27">
      <c r="C1413" s="136" t="s">
        <v>1959</v>
      </c>
    </row>
    <row r="1414" spans="3:3" ht="27">
      <c r="C1414" s="136" t="s">
        <v>1960</v>
      </c>
    </row>
    <row r="1415" spans="3:3">
      <c r="C1415" s="136" t="s">
        <v>1961</v>
      </c>
    </row>
    <row r="1416" spans="3:3">
      <c r="C1416" s="136" t="s">
        <v>1962</v>
      </c>
    </row>
    <row r="1417" spans="3:3" ht="27">
      <c r="C1417" s="136" t="s">
        <v>1963</v>
      </c>
    </row>
    <row r="1418" spans="3:3" ht="27">
      <c r="C1418" s="136" t="s">
        <v>1964</v>
      </c>
    </row>
    <row r="1419" spans="3:3">
      <c r="C1419" s="136" t="s">
        <v>1965</v>
      </c>
    </row>
    <row r="1420" spans="3:3">
      <c r="C1420" s="136" t="s">
        <v>1966</v>
      </c>
    </row>
    <row r="1421" spans="3:3">
      <c r="C1421" s="136" t="s">
        <v>1967</v>
      </c>
    </row>
    <row r="1422" spans="3:3">
      <c r="C1422" s="136" t="s">
        <v>1968</v>
      </c>
    </row>
    <row r="1423" spans="3:3">
      <c r="C1423" s="136" t="s">
        <v>1969</v>
      </c>
    </row>
    <row r="1424" spans="3:3">
      <c r="C1424" s="136" t="s">
        <v>1970</v>
      </c>
    </row>
    <row r="1425" spans="3:3" ht="27">
      <c r="C1425" s="136" t="s">
        <v>1971</v>
      </c>
    </row>
    <row r="1426" spans="3:3" ht="27">
      <c r="C1426" s="136" t="s">
        <v>1972</v>
      </c>
    </row>
    <row r="1427" spans="3:3" ht="27">
      <c r="C1427" s="136" t="s">
        <v>1973</v>
      </c>
    </row>
    <row r="1428" spans="3:3">
      <c r="C1428" s="136" t="s">
        <v>1974</v>
      </c>
    </row>
    <row r="1429" spans="3:3" ht="27">
      <c r="C1429" s="136" t="s">
        <v>1975</v>
      </c>
    </row>
    <row r="1430" spans="3:3">
      <c r="C1430" s="136" t="s">
        <v>1976</v>
      </c>
    </row>
    <row r="1431" spans="3:3" ht="27">
      <c r="C1431" s="136" t="s">
        <v>1977</v>
      </c>
    </row>
    <row r="1432" spans="3:3" ht="27">
      <c r="C1432" s="136" t="s">
        <v>1978</v>
      </c>
    </row>
    <row r="1433" spans="3:3" ht="27">
      <c r="C1433" s="136" t="s">
        <v>1979</v>
      </c>
    </row>
    <row r="1434" spans="3:3" ht="27">
      <c r="C1434" s="136" t="s">
        <v>1980</v>
      </c>
    </row>
    <row r="1435" spans="3:3" ht="27">
      <c r="C1435" s="136" t="s">
        <v>1981</v>
      </c>
    </row>
    <row r="1436" spans="3:3">
      <c r="C1436" s="136" t="s">
        <v>1982</v>
      </c>
    </row>
    <row r="1437" spans="3:3">
      <c r="C1437" s="136" t="s">
        <v>1983</v>
      </c>
    </row>
    <row r="1438" spans="3:3" ht="27">
      <c r="C1438" s="136" t="s">
        <v>1985</v>
      </c>
    </row>
    <row r="1439" spans="3:3">
      <c r="C1439" s="136" t="s">
        <v>1986</v>
      </c>
    </row>
    <row r="1440" spans="3:3">
      <c r="C1440" s="136" t="s">
        <v>916</v>
      </c>
    </row>
    <row r="1441" spans="3:76">
      <c r="C1441" s="136" t="s">
        <v>1987</v>
      </c>
    </row>
    <row r="1442" spans="3:76" ht="40.5">
      <c r="C1442" s="136" t="s">
        <v>1988</v>
      </c>
    </row>
    <row r="1443" spans="3:76">
      <c r="C1443" s="136" t="s">
        <v>1989</v>
      </c>
    </row>
    <row r="1444" spans="3:76">
      <c r="C1444" s="136" t="s">
        <v>1990</v>
      </c>
    </row>
    <row r="1445" spans="3:76" ht="27">
      <c r="C1445" s="136" t="s">
        <v>1991</v>
      </c>
    </row>
    <row r="1446" spans="3:76" ht="27">
      <c r="C1446" s="136" t="s">
        <v>1992</v>
      </c>
    </row>
    <row r="1447" spans="3:76" ht="27">
      <c r="C1447" s="136" t="s">
        <v>1993</v>
      </c>
    </row>
    <row r="1448" spans="3:76">
      <c r="C1448" s="136" t="s">
        <v>1994</v>
      </c>
      <c r="F1448" s="57" t="s">
        <v>72</v>
      </c>
      <c r="U1448" s="57"/>
      <c r="V1448" s="57"/>
      <c r="W1448" s="57"/>
      <c r="Y1448" s="57"/>
      <c r="AA1448" s="57" t="s">
        <v>71</v>
      </c>
      <c r="AS1448" s="57"/>
      <c r="AT1448" s="57"/>
      <c r="AU1448" s="57"/>
      <c r="AV1448" s="57"/>
      <c r="AW1448" s="57"/>
      <c r="AX1448" s="57"/>
      <c r="AY1448" s="57"/>
      <c r="AZ1448" s="57"/>
      <c r="BA1448" s="57"/>
      <c r="BB1448" s="57"/>
      <c r="BC1448" s="57"/>
      <c r="BD1448" s="57"/>
      <c r="BE1448" s="57"/>
      <c r="BF1448" s="57"/>
      <c r="BG1448" s="57"/>
      <c r="BH1448" s="57"/>
      <c r="BI1448" s="57"/>
      <c r="BU1448" s="57" t="s">
        <v>71</v>
      </c>
      <c r="BV1448" s="57" t="s">
        <v>71</v>
      </c>
      <c r="BX1448" s="57" t="s">
        <v>71</v>
      </c>
    </row>
    <row r="1449" spans="3:76">
      <c r="C1449" s="136" t="s">
        <v>1995</v>
      </c>
      <c r="F1449" s="57" t="s">
        <v>72</v>
      </c>
      <c r="U1449" s="57"/>
      <c r="V1449" s="57"/>
      <c r="W1449" s="57"/>
      <c r="Y1449" s="57"/>
      <c r="AA1449" s="57" t="s">
        <v>71</v>
      </c>
      <c r="AS1449" s="57"/>
      <c r="AT1449" s="57"/>
      <c r="AU1449" s="57"/>
      <c r="AV1449" s="57"/>
      <c r="AW1449" s="57"/>
      <c r="AX1449" s="57"/>
      <c r="AY1449" s="57"/>
      <c r="AZ1449" s="57"/>
      <c r="BA1449" s="57"/>
      <c r="BB1449" s="57"/>
      <c r="BC1449" s="57"/>
      <c r="BD1449" s="57"/>
      <c r="BE1449" s="57"/>
      <c r="BF1449" s="57"/>
      <c r="BG1449" s="57"/>
      <c r="BH1449" s="57"/>
      <c r="BI1449" s="57"/>
      <c r="BU1449" s="57" t="s">
        <v>71</v>
      </c>
      <c r="BV1449" s="57" t="s">
        <v>71</v>
      </c>
      <c r="BX1449" s="57" t="s">
        <v>71</v>
      </c>
    </row>
    <row r="1450" spans="3:76">
      <c r="C1450" s="136" t="s">
        <v>1996</v>
      </c>
      <c r="F1450" s="57" t="s">
        <v>72</v>
      </c>
      <c r="U1450" s="57"/>
      <c r="V1450" s="57"/>
      <c r="W1450" s="57"/>
      <c r="Y1450" s="57"/>
      <c r="AA1450" s="57" t="s">
        <v>71</v>
      </c>
      <c r="AS1450" s="57"/>
      <c r="AT1450" s="57"/>
      <c r="AU1450" s="57"/>
      <c r="AV1450" s="57"/>
      <c r="AW1450" s="57"/>
      <c r="AX1450" s="57"/>
      <c r="AY1450" s="57"/>
      <c r="AZ1450" s="57"/>
      <c r="BA1450" s="57"/>
      <c r="BB1450" s="57"/>
      <c r="BC1450" s="57"/>
      <c r="BD1450" s="57"/>
      <c r="BE1450" s="57"/>
      <c r="BF1450" s="57"/>
      <c r="BG1450" s="57"/>
      <c r="BH1450" s="57"/>
      <c r="BI1450" s="57"/>
      <c r="BU1450" s="57" t="s">
        <v>71</v>
      </c>
      <c r="BV1450" s="57" t="s">
        <v>71</v>
      </c>
      <c r="BX1450" s="57" t="s">
        <v>71</v>
      </c>
    </row>
    <row r="1451" spans="3:76" ht="12.75" customHeight="1">
      <c r="C1451" s="136" t="s">
        <v>1997</v>
      </c>
      <c r="F1451" s="57" t="s">
        <v>72</v>
      </c>
      <c r="U1451" s="57"/>
      <c r="V1451" s="57"/>
      <c r="W1451" s="57"/>
      <c r="Y1451" s="57"/>
      <c r="AA1451" s="57" t="s">
        <v>71</v>
      </c>
      <c r="AS1451" s="57"/>
      <c r="AT1451" s="57"/>
      <c r="AU1451" s="57"/>
      <c r="AV1451" s="57"/>
      <c r="AW1451" s="57"/>
      <c r="AX1451" s="57"/>
      <c r="AY1451" s="57"/>
      <c r="AZ1451" s="57"/>
      <c r="BA1451" s="57"/>
      <c r="BB1451" s="57"/>
      <c r="BC1451" s="57"/>
      <c r="BD1451" s="57"/>
      <c r="BE1451" s="57"/>
      <c r="BF1451" s="57"/>
      <c r="BG1451" s="57"/>
      <c r="BH1451" s="57"/>
      <c r="BI1451" s="57"/>
      <c r="BU1451" s="57" t="s">
        <v>71</v>
      </c>
      <c r="BV1451" s="57" t="s">
        <v>71</v>
      </c>
      <c r="BX1451" s="57" t="s">
        <v>71</v>
      </c>
    </row>
    <row r="1452" spans="3:76" ht="12.75" customHeight="1">
      <c r="C1452" s="136" t="s">
        <v>1998</v>
      </c>
      <c r="F1452" s="57" t="s">
        <v>72</v>
      </c>
      <c r="U1452" s="57"/>
      <c r="V1452" s="57"/>
      <c r="W1452" s="57"/>
      <c r="Y1452" s="57"/>
      <c r="AA1452" s="57" t="s">
        <v>71</v>
      </c>
      <c r="AS1452" s="57"/>
      <c r="AT1452" s="57"/>
      <c r="AU1452" s="57"/>
      <c r="AV1452" s="57"/>
      <c r="AW1452" s="57"/>
      <c r="AX1452" s="57"/>
      <c r="AY1452" s="57"/>
      <c r="AZ1452" s="57"/>
      <c r="BA1452" s="57"/>
      <c r="BB1452" s="57"/>
      <c r="BC1452" s="57"/>
      <c r="BD1452" s="57"/>
      <c r="BE1452" s="57"/>
      <c r="BF1452" s="57"/>
      <c r="BG1452" s="57"/>
      <c r="BH1452" s="57"/>
      <c r="BI1452" s="57"/>
      <c r="BU1452" s="57" t="s">
        <v>71</v>
      </c>
      <c r="BV1452" s="57" t="s">
        <v>71</v>
      </c>
      <c r="BX1452" s="57" t="s">
        <v>71</v>
      </c>
    </row>
    <row r="1453" spans="3:76">
      <c r="C1453" s="136" t="s">
        <v>1999</v>
      </c>
      <c r="F1453" s="57" t="s">
        <v>72</v>
      </c>
      <c r="U1453" s="57"/>
      <c r="V1453" s="57"/>
      <c r="W1453" s="57"/>
      <c r="Y1453" s="57"/>
      <c r="AA1453" s="57" t="s">
        <v>71</v>
      </c>
      <c r="AS1453" s="57"/>
      <c r="AT1453" s="57"/>
      <c r="AU1453" s="57"/>
      <c r="AV1453" s="57"/>
      <c r="AW1453" s="57"/>
      <c r="AX1453" s="57"/>
      <c r="AY1453" s="57"/>
      <c r="AZ1453" s="57"/>
      <c r="BA1453" s="57"/>
      <c r="BB1453" s="57"/>
      <c r="BC1453" s="57"/>
      <c r="BD1453" s="57"/>
      <c r="BE1453" s="57"/>
      <c r="BF1453" s="57"/>
      <c r="BG1453" s="57"/>
      <c r="BH1453" s="57"/>
      <c r="BI1453" s="57"/>
      <c r="BU1453" s="57" t="s">
        <v>71</v>
      </c>
      <c r="BV1453" s="57" t="s">
        <v>71</v>
      </c>
      <c r="BX1453" s="57" t="s">
        <v>71</v>
      </c>
    </row>
    <row r="1454" spans="3:76" ht="27">
      <c r="C1454" s="136" t="s">
        <v>2000</v>
      </c>
      <c r="F1454" s="57" t="s">
        <v>72</v>
      </c>
      <c r="U1454" s="57"/>
      <c r="V1454" s="57"/>
      <c r="W1454" s="57"/>
      <c r="Y1454" s="57"/>
      <c r="AA1454" s="57" t="s">
        <v>71</v>
      </c>
      <c r="AS1454" s="57"/>
      <c r="AT1454" s="57"/>
      <c r="AU1454" s="57"/>
      <c r="AV1454" s="57"/>
      <c r="AW1454" s="57"/>
      <c r="AX1454" s="57"/>
      <c r="AY1454" s="57"/>
      <c r="AZ1454" s="57"/>
      <c r="BA1454" s="57"/>
      <c r="BB1454" s="57"/>
      <c r="BC1454" s="57"/>
      <c r="BD1454" s="57"/>
      <c r="BE1454" s="57"/>
      <c r="BF1454" s="57"/>
      <c r="BG1454" s="57"/>
      <c r="BH1454" s="57"/>
      <c r="BI1454" s="57"/>
      <c r="BU1454" s="57" t="s">
        <v>71</v>
      </c>
      <c r="BV1454" s="57" t="s">
        <v>71</v>
      </c>
      <c r="BX1454" s="57" t="s">
        <v>71</v>
      </c>
    </row>
    <row r="1455" spans="3:76">
      <c r="C1455" s="136" t="s">
        <v>2001</v>
      </c>
      <c r="F1455" s="57" t="s">
        <v>72</v>
      </c>
      <c r="U1455" s="57"/>
      <c r="V1455" s="57"/>
      <c r="W1455" s="57"/>
      <c r="Y1455" s="57"/>
      <c r="AA1455" s="57" t="s">
        <v>71</v>
      </c>
      <c r="AS1455" s="57"/>
      <c r="AT1455" s="57"/>
      <c r="AU1455" s="57"/>
      <c r="AV1455" s="57"/>
      <c r="AW1455" s="57"/>
      <c r="AX1455" s="57"/>
      <c r="AY1455" s="57"/>
      <c r="AZ1455" s="57"/>
      <c r="BA1455" s="57"/>
      <c r="BB1455" s="57"/>
      <c r="BC1455" s="57"/>
      <c r="BD1455" s="57"/>
      <c r="BE1455" s="57"/>
      <c r="BF1455" s="57"/>
      <c r="BG1455" s="57"/>
      <c r="BH1455" s="57"/>
      <c r="BI1455" s="57"/>
      <c r="BU1455" s="57" t="s">
        <v>71</v>
      </c>
      <c r="BV1455" s="57" t="s">
        <v>71</v>
      </c>
      <c r="BX1455" s="57" t="s">
        <v>71</v>
      </c>
    </row>
    <row r="1456" spans="3:76">
      <c r="C1456" s="136" t="s">
        <v>2002</v>
      </c>
      <c r="F1456" s="57" t="s">
        <v>72</v>
      </c>
      <c r="U1456" s="57"/>
      <c r="V1456" s="57"/>
      <c r="W1456" s="57"/>
      <c r="Y1456" s="57"/>
      <c r="AA1456" s="57" t="s">
        <v>71</v>
      </c>
      <c r="AS1456" s="57"/>
      <c r="AT1456" s="57"/>
      <c r="AU1456" s="57"/>
      <c r="AV1456" s="57"/>
      <c r="AW1456" s="57"/>
      <c r="AX1456" s="57"/>
      <c r="AY1456" s="57"/>
      <c r="AZ1456" s="57"/>
      <c r="BA1456" s="57"/>
      <c r="BB1456" s="57"/>
      <c r="BC1456" s="57"/>
      <c r="BD1456" s="57"/>
      <c r="BE1456" s="57"/>
      <c r="BF1456" s="57"/>
      <c r="BG1456" s="57"/>
      <c r="BH1456" s="57"/>
      <c r="BI1456" s="57"/>
      <c r="BU1456" s="57" t="s">
        <v>71</v>
      </c>
      <c r="BV1456" s="57" t="s">
        <v>71</v>
      </c>
      <c r="BX1456" s="57" t="s">
        <v>71</v>
      </c>
    </row>
    <row r="1457" spans="3:76">
      <c r="C1457" s="136" t="s">
        <v>2003</v>
      </c>
      <c r="F1457" s="57" t="s">
        <v>72</v>
      </c>
      <c r="U1457" s="57"/>
      <c r="V1457" s="57"/>
      <c r="W1457" s="57"/>
      <c r="Y1457" s="57"/>
      <c r="AA1457" s="57" t="s">
        <v>71</v>
      </c>
      <c r="AS1457" s="57"/>
      <c r="AT1457" s="57"/>
      <c r="AU1457" s="57"/>
      <c r="AV1457" s="57"/>
      <c r="AW1457" s="57"/>
      <c r="AX1457" s="57"/>
      <c r="AY1457" s="57"/>
      <c r="AZ1457" s="57"/>
      <c r="BA1457" s="57"/>
      <c r="BB1457" s="57"/>
      <c r="BC1457" s="57"/>
      <c r="BD1457" s="57"/>
      <c r="BE1457" s="57"/>
      <c r="BF1457" s="57"/>
      <c r="BG1457" s="57"/>
      <c r="BH1457" s="57"/>
      <c r="BI1457" s="57"/>
      <c r="BU1457" s="57" t="s">
        <v>71</v>
      </c>
      <c r="BV1457" s="57" t="s">
        <v>71</v>
      </c>
      <c r="BX1457" s="57" t="s">
        <v>71</v>
      </c>
    </row>
    <row r="1458" spans="3:76" ht="27">
      <c r="C1458" s="136" t="s">
        <v>2004</v>
      </c>
      <c r="F1458" s="57" t="s">
        <v>72</v>
      </c>
      <c r="U1458" s="57"/>
      <c r="V1458" s="57"/>
      <c r="W1458" s="57"/>
      <c r="Y1458" s="57"/>
      <c r="AA1458" s="57" t="s">
        <v>71</v>
      </c>
      <c r="AS1458" s="57"/>
      <c r="AT1458" s="57"/>
      <c r="AU1458" s="57"/>
      <c r="AV1458" s="57"/>
      <c r="AW1458" s="57"/>
      <c r="AX1458" s="57"/>
      <c r="AY1458" s="57"/>
      <c r="AZ1458" s="57"/>
      <c r="BA1458" s="57"/>
      <c r="BB1458" s="57"/>
      <c r="BC1458" s="57"/>
      <c r="BD1458" s="57"/>
      <c r="BE1458" s="57"/>
      <c r="BF1458" s="57"/>
      <c r="BG1458" s="57"/>
      <c r="BH1458" s="57"/>
      <c r="BI1458" s="57"/>
      <c r="BU1458" s="57" t="s">
        <v>71</v>
      </c>
      <c r="BV1458" s="57" t="s">
        <v>71</v>
      </c>
      <c r="BX1458" s="57" t="s">
        <v>71</v>
      </c>
    </row>
    <row r="1459" spans="3:76" ht="27">
      <c r="C1459" s="136" t="s">
        <v>2005</v>
      </c>
      <c r="F1459" s="57" t="s">
        <v>72</v>
      </c>
      <c r="U1459" s="57"/>
      <c r="V1459" s="57"/>
      <c r="W1459" s="57"/>
      <c r="Y1459" s="57"/>
      <c r="AA1459" s="57" t="s">
        <v>71</v>
      </c>
      <c r="AS1459" s="57"/>
      <c r="AT1459" s="57"/>
      <c r="AU1459" s="57"/>
      <c r="AV1459" s="57"/>
      <c r="AW1459" s="57"/>
      <c r="AX1459" s="57"/>
      <c r="AY1459" s="57"/>
      <c r="AZ1459" s="57"/>
      <c r="BA1459" s="57"/>
      <c r="BB1459" s="57"/>
      <c r="BC1459" s="57"/>
      <c r="BD1459" s="57"/>
      <c r="BE1459" s="57"/>
      <c r="BF1459" s="57"/>
      <c r="BG1459" s="57"/>
      <c r="BH1459" s="57"/>
      <c r="BI1459" s="57"/>
      <c r="BU1459" s="57" t="s">
        <v>71</v>
      </c>
      <c r="BX1459" s="57" t="s">
        <v>71</v>
      </c>
    </row>
    <row r="1460" spans="3:76">
      <c r="C1460" s="136" t="s">
        <v>2006</v>
      </c>
      <c r="F1460" s="57" t="s">
        <v>72</v>
      </c>
      <c r="U1460" s="57"/>
      <c r="V1460" s="57"/>
      <c r="W1460" s="57"/>
      <c r="Y1460" s="57"/>
      <c r="AA1460" s="57" t="s">
        <v>71</v>
      </c>
      <c r="AS1460" s="57"/>
      <c r="AT1460" s="57"/>
      <c r="AU1460" s="57"/>
      <c r="AV1460" s="57"/>
      <c r="AW1460" s="57"/>
      <c r="AX1460" s="57"/>
      <c r="AY1460" s="57"/>
      <c r="AZ1460" s="57"/>
      <c r="BA1460" s="57"/>
      <c r="BB1460" s="57"/>
      <c r="BC1460" s="57"/>
      <c r="BD1460" s="57"/>
      <c r="BE1460" s="57"/>
      <c r="BF1460" s="57"/>
      <c r="BG1460" s="57"/>
      <c r="BH1460" s="57"/>
      <c r="BI1460" s="57"/>
      <c r="BU1460" s="57" t="s">
        <v>71</v>
      </c>
      <c r="BX1460" s="57" t="s">
        <v>71</v>
      </c>
    </row>
    <row r="1461" spans="3:76">
      <c r="C1461" s="136" t="s">
        <v>2007</v>
      </c>
      <c r="F1461" s="57" t="s">
        <v>72</v>
      </c>
      <c r="U1461" s="57"/>
      <c r="V1461" s="57"/>
      <c r="W1461" s="57"/>
      <c r="Y1461" s="57"/>
      <c r="AA1461" s="57" t="s">
        <v>71</v>
      </c>
      <c r="AS1461" s="57"/>
      <c r="AT1461" s="57"/>
      <c r="AU1461" s="57"/>
      <c r="AV1461" s="57"/>
      <c r="AW1461" s="57"/>
      <c r="AX1461" s="57"/>
      <c r="AY1461" s="57"/>
      <c r="AZ1461" s="57"/>
      <c r="BA1461" s="57"/>
      <c r="BB1461" s="57"/>
      <c r="BC1461" s="57"/>
      <c r="BD1461" s="57"/>
      <c r="BE1461" s="57"/>
      <c r="BF1461" s="57"/>
      <c r="BG1461" s="57"/>
      <c r="BH1461" s="57"/>
      <c r="BI1461" s="57"/>
      <c r="BU1461" s="57" t="s">
        <v>71</v>
      </c>
      <c r="BX1461" s="57" t="s">
        <v>71</v>
      </c>
    </row>
    <row r="1462" spans="3:76">
      <c r="C1462" s="136" t="s">
        <v>2008</v>
      </c>
      <c r="F1462" s="57" t="s">
        <v>72</v>
      </c>
      <c r="U1462" s="57"/>
      <c r="V1462" s="57"/>
      <c r="W1462" s="57"/>
      <c r="Y1462" s="57"/>
      <c r="AA1462" s="57" t="s">
        <v>71</v>
      </c>
      <c r="AS1462" s="57"/>
      <c r="AT1462" s="57"/>
      <c r="AU1462" s="57"/>
      <c r="AV1462" s="57"/>
      <c r="AW1462" s="57"/>
      <c r="AX1462" s="57"/>
      <c r="AY1462" s="57"/>
      <c r="AZ1462" s="57"/>
      <c r="BA1462" s="57"/>
      <c r="BB1462" s="57"/>
      <c r="BC1462" s="57"/>
      <c r="BD1462" s="57"/>
      <c r="BE1462" s="57"/>
      <c r="BF1462" s="57"/>
      <c r="BG1462" s="57"/>
      <c r="BH1462" s="57"/>
      <c r="BI1462" s="57"/>
      <c r="BU1462" s="57" t="s">
        <v>71</v>
      </c>
      <c r="BX1462" s="57" t="s">
        <v>71</v>
      </c>
    </row>
    <row r="1463" spans="3:76" ht="27">
      <c r="C1463" s="136" t="s">
        <v>2004</v>
      </c>
      <c r="F1463" s="57" t="s">
        <v>72</v>
      </c>
      <c r="U1463" s="57"/>
      <c r="V1463" s="57"/>
      <c r="W1463" s="57"/>
      <c r="Y1463" s="57"/>
      <c r="AA1463" s="57" t="s">
        <v>71</v>
      </c>
      <c r="AS1463" s="57"/>
      <c r="AT1463" s="57"/>
      <c r="AU1463" s="57"/>
      <c r="AV1463" s="57"/>
      <c r="AW1463" s="57"/>
      <c r="AX1463" s="57"/>
      <c r="AY1463" s="57"/>
      <c r="AZ1463" s="57"/>
      <c r="BA1463" s="57"/>
      <c r="BB1463" s="57"/>
      <c r="BC1463" s="57"/>
      <c r="BD1463" s="57"/>
      <c r="BE1463" s="57"/>
      <c r="BF1463" s="57"/>
      <c r="BG1463" s="57"/>
      <c r="BH1463" s="57"/>
      <c r="BI1463" s="57"/>
      <c r="BU1463" s="57" t="s">
        <v>71</v>
      </c>
      <c r="BX1463" s="57" t="s">
        <v>71</v>
      </c>
    </row>
    <row r="1464" spans="3:76" ht="27">
      <c r="C1464" s="136" t="s">
        <v>2009</v>
      </c>
      <c r="F1464" s="57" t="s">
        <v>72</v>
      </c>
      <c r="U1464" s="57"/>
      <c r="V1464" s="57"/>
      <c r="W1464" s="57"/>
      <c r="Y1464" s="57"/>
      <c r="AA1464" s="57" t="s">
        <v>71</v>
      </c>
      <c r="AS1464" s="57"/>
      <c r="AT1464" s="57"/>
      <c r="AU1464" s="57"/>
      <c r="AV1464" s="57"/>
      <c r="AW1464" s="57"/>
      <c r="AX1464" s="57"/>
      <c r="AY1464" s="57"/>
      <c r="AZ1464" s="57"/>
      <c r="BA1464" s="57"/>
      <c r="BB1464" s="57"/>
      <c r="BC1464" s="57"/>
      <c r="BD1464" s="57"/>
      <c r="BE1464" s="57"/>
      <c r="BF1464" s="57"/>
      <c r="BG1464" s="57"/>
      <c r="BH1464" s="57"/>
      <c r="BI1464" s="57"/>
      <c r="BU1464" s="57" t="s">
        <v>71</v>
      </c>
      <c r="BX1464" s="57" t="s">
        <v>71</v>
      </c>
    </row>
    <row r="1465" spans="3:76">
      <c r="C1465" s="136" t="s">
        <v>2010</v>
      </c>
      <c r="F1465" s="57" t="s">
        <v>72</v>
      </c>
      <c r="U1465" s="57"/>
      <c r="V1465" s="57"/>
      <c r="W1465" s="57"/>
      <c r="Y1465" s="57"/>
      <c r="AA1465" s="57" t="s">
        <v>71</v>
      </c>
      <c r="AS1465" s="57"/>
      <c r="AT1465" s="57"/>
      <c r="AU1465" s="57"/>
      <c r="AV1465" s="57"/>
      <c r="AW1465" s="57"/>
      <c r="AX1465" s="57"/>
      <c r="AY1465" s="57"/>
      <c r="AZ1465" s="57"/>
      <c r="BA1465" s="57"/>
      <c r="BB1465" s="57"/>
      <c r="BC1465" s="57"/>
      <c r="BD1465" s="57"/>
      <c r="BE1465" s="57"/>
      <c r="BF1465" s="57"/>
      <c r="BG1465" s="57"/>
      <c r="BH1465" s="57"/>
      <c r="BI1465" s="57"/>
      <c r="BU1465" s="57" t="s">
        <v>71</v>
      </c>
      <c r="BX1465" s="57" t="s">
        <v>71</v>
      </c>
    </row>
    <row r="1466" spans="3:76">
      <c r="C1466" s="136" t="s">
        <v>2011</v>
      </c>
      <c r="F1466" s="57" t="s">
        <v>72</v>
      </c>
      <c r="U1466" s="57"/>
      <c r="V1466" s="57"/>
      <c r="W1466" s="57"/>
      <c r="Y1466" s="57"/>
      <c r="AA1466" s="57" t="s">
        <v>71</v>
      </c>
      <c r="AS1466" s="57"/>
      <c r="AT1466" s="57"/>
      <c r="AU1466" s="57"/>
      <c r="AV1466" s="57"/>
      <c r="AW1466" s="57"/>
      <c r="AX1466" s="57"/>
      <c r="AY1466" s="57"/>
      <c r="AZ1466" s="57"/>
      <c r="BA1466" s="57"/>
      <c r="BB1466" s="57"/>
      <c r="BC1466" s="57"/>
      <c r="BD1466" s="57"/>
      <c r="BE1466" s="57"/>
      <c r="BF1466" s="57"/>
      <c r="BG1466" s="57"/>
      <c r="BH1466" s="57"/>
      <c r="BI1466" s="57"/>
      <c r="BU1466" s="57" t="s">
        <v>71</v>
      </c>
      <c r="BX1466" s="57" t="s">
        <v>71</v>
      </c>
    </row>
    <row r="1467" spans="3:76">
      <c r="C1467" s="136" t="s">
        <v>2012</v>
      </c>
      <c r="F1467" s="57" t="s">
        <v>72</v>
      </c>
      <c r="U1467" s="57"/>
      <c r="V1467" s="57"/>
      <c r="W1467" s="57"/>
      <c r="Y1467" s="57"/>
      <c r="AA1467" s="57" t="s">
        <v>71</v>
      </c>
      <c r="AS1467" s="57"/>
      <c r="AT1467" s="57"/>
      <c r="AU1467" s="57"/>
      <c r="AV1467" s="57"/>
      <c r="AW1467" s="57"/>
      <c r="AX1467" s="57"/>
      <c r="AY1467" s="57"/>
      <c r="AZ1467" s="57"/>
      <c r="BA1467" s="57"/>
      <c r="BB1467" s="57"/>
      <c r="BC1467" s="57"/>
      <c r="BD1467" s="57"/>
      <c r="BE1467" s="57"/>
      <c r="BF1467" s="57"/>
      <c r="BG1467" s="57"/>
      <c r="BH1467" s="57"/>
      <c r="BI1467" s="57"/>
      <c r="BU1467" s="57" t="s">
        <v>71</v>
      </c>
      <c r="BX1467" s="57" t="s">
        <v>71</v>
      </c>
    </row>
    <row r="1468" spans="3:76">
      <c r="C1468" s="136" t="s">
        <v>2013</v>
      </c>
      <c r="F1468" s="57" t="s">
        <v>72</v>
      </c>
      <c r="U1468" s="57"/>
      <c r="V1468" s="57"/>
      <c r="W1468" s="57"/>
      <c r="Y1468" s="57"/>
      <c r="AA1468" s="57" t="s">
        <v>71</v>
      </c>
      <c r="AS1468" s="57"/>
      <c r="AT1468" s="57"/>
      <c r="AU1468" s="57"/>
      <c r="AV1468" s="57"/>
      <c r="AW1468" s="57"/>
      <c r="AX1468" s="57"/>
      <c r="AY1468" s="57"/>
      <c r="AZ1468" s="57"/>
      <c r="BA1468" s="57"/>
      <c r="BB1468" s="57"/>
      <c r="BC1468" s="57"/>
      <c r="BD1468" s="57"/>
      <c r="BE1468" s="57"/>
      <c r="BF1468" s="57"/>
      <c r="BG1468" s="57"/>
      <c r="BH1468" s="57"/>
      <c r="BI1468" s="57"/>
      <c r="BU1468" s="57" t="s">
        <v>71</v>
      </c>
      <c r="BX1468" s="57" t="s">
        <v>71</v>
      </c>
    </row>
    <row r="1469" spans="3:76" ht="27">
      <c r="C1469" s="136" t="s">
        <v>2014</v>
      </c>
      <c r="F1469" s="57" t="s">
        <v>72</v>
      </c>
      <c r="U1469" s="57"/>
      <c r="V1469" s="57"/>
      <c r="W1469" s="57"/>
      <c r="Y1469" s="57"/>
      <c r="AA1469" s="57" t="s">
        <v>71</v>
      </c>
      <c r="AS1469" s="57"/>
      <c r="AT1469" s="57"/>
      <c r="AU1469" s="57"/>
      <c r="AV1469" s="57"/>
      <c r="AW1469" s="57"/>
      <c r="AX1469" s="57"/>
      <c r="AY1469" s="57"/>
      <c r="AZ1469" s="57"/>
      <c r="BA1469" s="57"/>
      <c r="BB1469" s="57"/>
      <c r="BC1469" s="57"/>
      <c r="BD1469" s="57"/>
      <c r="BE1469" s="57"/>
      <c r="BF1469" s="57"/>
      <c r="BG1469" s="57"/>
      <c r="BH1469" s="57"/>
      <c r="BI1469" s="57"/>
      <c r="BU1469" s="57" t="s">
        <v>71</v>
      </c>
      <c r="BX1469" s="57" t="s">
        <v>71</v>
      </c>
    </row>
    <row r="1470" spans="3:76" ht="27">
      <c r="C1470" s="136" t="s">
        <v>2015</v>
      </c>
      <c r="F1470" s="57" t="s">
        <v>72</v>
      </c>
      <c r="U1470" s="57"/>
      <c r="V1470" s="57"/>
      <c r="W1470" s="57"/>
      <c r="Y1470" s="57"/>
      <c r="AA1470" s="57" t="s">
        <v>71</v>
      </c>
      <c r="AS1470" s="57"/>
      <c r="AT1470" s="57"/>
      <c r="AU1470" s="57"/>
      <c r="AV1470" s="57"/>
      <c r="AW1470" s="57"/>
      <c r="AX1470" s="57"/>
      <c r="AY1470" s="57"/>
      <c r="AZ1470" s="57"/>
      <c r="BA1470" s="57"/>
      <c r="BB1470" s="57"/>
      <c r="BC1470" s="57"/>
      <c r="BD1470" s="57"/>
      <c r="BE1470" s="57"/>
      <c r="BF1470" s="57"/>
      <c r="BG1470" s="57"/>
      <c r="BH1470" s="57"/>
      <c r="BI1470" s="57"/>
      <c r="BU1470" s="57" t="s">
        <v>71</v>
      </c>
      <c r="BX1470" s="57" t="s">
        <v>71</v>
      </c>
    </row>
    <row r="1471" spans="3:76">
      <c r="C1471" s="136" t="s">
        <v>2016</v>
      </c>
      <c r="F1471" s="57" t="s">
        <v>72</v>
      </c>
      <c r="U1471" s="57"/>
      <c r="V1471" s="57"/>
      <c r="W1471" s="57"/>
      <c r="Y1471" s="57"/>
      <c r="AA1471" s="57" t="s">
        <v>71</v>
      </c>
      <c r="AS1471" s="57"/>
      <c r="AT1471" s="57"/>
      <c r="AU1471" s="57"/>
      <c r="AV1471" s="57"/>
      <c r="AW1471" s="57"/>
      <c r="AX1471" s="57"/>
      <c r="AY1471" s="57"/>
      <c r="AZ1471" s="57"/>
      <c r="BA1471" s="57"/>
      <c r="BB1471" s="57"/>
      <c r="BC1471" s="57"/>
      <c r="BD1471" s="57"/>
      <c r="BE1471" s="57"/>
      <c r="BF1471" s="57"/>
      <c r="BG1471" s="57"/>
      <c r="BH1471" s="57"/>
      <c r="BI1471" s="57"/>
      <c r="BU1471" s="57" t="s">
        <v>71</v>
      </c>
      <c r="BX1471" s="57" t="s">
        <v>71</v>
      </c>
    </row>
    <row r="1472" spans="3:76">
      <c r="C1472" s="136" t="s">
        <v>2017</v>
      </c>
      <c r="F1472" s="57" t="s">
        <v>72</v>
      </c>
      <c r="U1472" s="57"/>
      <c r="V1472" s="57"/>
      <c r="W1472" s="57"/>
      <c r="Y1472" s="57"/>
      <c r="AA1472" s="57" t="s">
        <v>71</v>
      </c>
      <c r="AS1472" s="57"/>
      <c r="AT1472" s="57"/>
      <c r="AU1472" s="57"/>
      <c r="AV1472" s="57"/>
      <c r="AW1472" s="57"/>
      <c r="AX1472" s="57"/>
      <c r="AY1472" s="57"/>
      <c r="AZ1472" s="57"/>
      <c r="BA1472" s="57"/>
      <c r="BB1472" s="57"/>
      <c r="BC1472" s="57"/>
      <c r="BD1472" s="57"/>
      <c r="BE1472" s="57"/>
      <c r="BF1472" s="57"/>
      <c r="BG1472" s="57"/>
      <c r="BH1472" s="57"/>
      <c r="BI1472" s="57"/>
      <c r="BU1472" s="57" t="s">
        <v>71</v>
      </c>
      <c r="BX1472" s="57" t="s">
        <v>71</v>
      </c>
    </row>
    <row r="1473" spans="3:76">
      <c r="C1473" s="136" t="s">
        <v>2003</v>
      </c>
      <c r="F1473" s="57" t="s">
        <v>72</v>
      </c>
      <c r="U1473" s="57"/>
      <c r="V1473" s="57"/>
      <c r="W1473" s="57"/>
      <c r="Y1473" s="57"/>
      <c r="AA1473" s="57" t="s">
        <v>71</v>
      </c>
      <c r="AS1473" s="57"/>
      <c r="AT1473" s="57"/>
      <c r="AU1473" s="57"/>
      <c r="AV1473" s="57"/>
      <c r="AW1473" s="57"/>
      <c r="AX1473" s="57"/>
      <c r="AY1473" s="57"/>
      <c r="AZ1473" s="57"/>
      <c r="BA1473" s="57"/>
      <c r="BB1473" s="57"/>
      <c r="BC1473" s="57"/>
      <c r="BD1473" s="57"/>
      <c r="BE1473" s="57"/>
      <c r="BF1473" s="57"/>
      <c r="BG1473" s="57"/>
      <c r="BH1473" s="57"/>
      <c r="BI1473" s="57"/>
      <c r="BU1473" s="57" t="s">
        <v>71</v>
      </c>
      <c r="BX1473" s="57" t="s">
        <v>71</v>
      </c>
    </row>
    <row r="1474" spans="3:76">
      <c r="C1474" s="136" t="s">
        <v>2018</v>
      </c>
      <c r="F1474" s="57" t="s">
        <v>72</v>
      </c>
      <c r="U1474" s="57"/>
      <c r="V1474" s="57"/>
      <c r="W1474" s="57"/>
      <c r="Y1474" s="57"/>
      <c r="AA1474" s="57" t="s">
        <v>71</v>
      </c>
      <c r="AS1474" s="57"/>
      <c r="AT1474" s="57"/>
      <c r="AU1474" s="57"/>
      <c r="AV1474" s="57"/>
      <c r="AW1474" s="57"/>
      <c r="AX1474" s="57"/>
      <c r="AY1474" s="57"/>
      <c r="AZ1474" s="57"/>
      <c r="BA1474" s="57"/>
      <c r="BB1474" s="57"/>
      <c r="BC1474" s="57"/>
      <c r="BD1474" s="57"/>
      <c r="BE1474" s="57"/>
      <c r="BF1474" s="57"/>
      <c r="BG1474" s="57"/>
      <c r="BH1474" s="57"/>
      <c r="BI1474" s="57"/>
      <c r="BU1474" s="57" t="s">
        <v>71</v>
      </c>
      <c r="BX1474" s="57" t="s">
        <v>71</v>
      </c>
    </row>
    <row r="1475" spans="3:76">
      <c r="C1475" s="136" t="s">
        <v>2019</v>
      </c>
      <c r="F1475" s="57" t="s">
        <v>72</v>
      </c>
      <c r="U1475" s="57"/>
      <c r="V1475" s="57"/>
      <c r="W1475" s="57"/>
      <c r="Y1475" s="57"/>
      <c r="AA1475" s="57" t="s">
        <v>71</v>
      </c>
      <c r="AS1475" s="57"/>
      <c r="AT1475" s="57"/>
      <c r="AU1475" s="57"/>
      <c r="AV1475" s="57"/>
      <c r="AW1475" s="57"/>
      <c r="AX1475" s="57"/>
      <c r="AY1475" s="57"/>
      <c r="AZ1475" s="57"/>
      <c r="BA1475" s="57"/>
      <c r="BB1475" s="57"/>
      <c r="BC1475" s="57"/>
      <c r="BD1475" s="57"/>
      <c r="BE1475" s="57"/>
      <c r="BF1475" s="57"/>
      <c r="BG1475" s="57"/>
      <c r="BH1475" s="57"/>
      <c r="BI1475" s="57"/>
      <c r="BU1475" s="57" t="s">
        <v>71</v>
      </c>
      <c r="BX1475" s="57" t="s">
        <v>71</v>
      </c>
    </row>
    <row r="1476" spans="3:76" ht="27">
      <c r="C1476" s="136" t="s">
        <v>2020</v>
      </c>
      <c r="F1476" s="57" t="s">
        <v>72</v>
      </c>
      <c r="U1476" s="57"/>
      <c r="V1476" s="57"/>
      <c r="W1476" s="57"/>
      <c r="Y1476" s="57"/>
      <c r="AA1476" s="57" t="s">
        <v>71</v>
      </c>
      <c r="AS1476" s="57"/>
      <c r="AT1476" s="57"/>
      <c r="AU1476" s="57"/>
      <c r="AV1476" s="57"/>
      <c r="AW1476" s="57"/>
      <c r="AX1476" s="57"/>
      <c r="AY1476" s="57"/>
      <c r="AZ1476" s="57"/>
      <c r="BA1476" s="57"/>
      <c r="BB1476" s="57"/>
      <c r="BC1476" s="57"/>
      <c r="BD1476" s="57"/>
      <c r="BE1476" s="57"/>
      <c r="BF1476" s="57"/>
      <c r="BG1476" s="57"/>
      <c r="BH1476" s="57"/>
      <c r="BI1476" s="57"/>
      <c r="BU1476" s="57" t="s">
        <v>71</v>
      </c>
      <c r="BX1476" s="57" t="s">
        <v>71</v>
      </c>
    </row>
    <row r="1477" spans="3:76">
      <c r="C1477" s="136" t="s">
        <v>2021</v>
      </c>
      <c r="F1477" s="57" t="s">
        <v>72</v>
      </c>
      <c r="U1477" s="57"/>
      <c r="V1477" s="57"/>
      <c r="W1477" s="57"/>
      <c r="Y1477" s="57"/>
      <c r="AA1477" s="57" t="s">
        <v>71</v>
      </c>
      <c r="AS1477" s="57"/>
      <c r="AT1477" s="57"/>
      <c r="AU1477" s="57"/>
      <c r="AV1477" s="57"/>
      <c r="AW1477" s="57"/>
      <c r="AX1477" s="57"/>
      <c r="AY1477" s="57"/>
      <c r="AZ1477" s="57"/>
      <c r="BA1477" s="57"/>
      <c r="BB1477" s="57"/>
      <c r="BC1477" s="57"/>
      <c r="BD1477" s="57"/>
      <c r="BE1477" s="57"/>
      <c r="BF1477" s="57"/>
      <c r="BG1477" s="57"/>
      <c r="BH1477" s="57"/>
      <c r="BI1477" s="57"/>
      <c r="BU1477" s="57" t="s">
        <v>71</v>
      </c>
      <c r="BX1477" s="57" t="s">
        <v>71</v>
      </c>
    </row>
    <row r="1478" spans="3:76">
      <c r="C1478" s="136" t="s">
        <v>2022</v>
      </c>
      <c r="F1478" s="57" t="s">
        <v>72</v>
      </c>
      <c r="U1478" s="57"/>
      <c r="V1478" s="57"/>
      <c r="W1478" s="57"/>
      <c r="Y1478" s="57"/>
      <c r="AA1478" s="57" t="s">
        <v>71</v>
      </c>
      <c r="AS1478" s="57"/>
      <c r="AT1478" s="57"/>
      <c r="AU1478" s="57"/>
      <c r="AV1478" s="57"/>
      <c r="AW1478" s="57"/>
      <c r="AX1478" s="57"/>
      <c r="AY1478" s="57"/>
      <c r="AZ1478" s="57"/>
      <c r="BA1478" s="57"/>
      <c r="BB1478" s="57"/>
      <c r="BC1478" s="57"/>
      <c r="BD1478" s="57"/>
      <c r="BE1478" s="57"/>
      <c r="BF1478" s="57"/>
      <c r="BG1478" s="57"/>
      <c r="BH1478" s="57"/>
      <c r="BI1478" s="57"/>
      <c r="BU1478" s="57" t="s">
        <v>71</v>
      </c>
      <c r="BX1478" s="57" t="s">
        <v>71</v>
      </c>
    </row>
    <row r="1479" spans="3:76">
      <c r="C1479" s="136" t="s">
        <v>2023</v>
      </c>
      <c r="F1479" s="57" t="s">
        <v>72</v>
      </c>
      <c r="U1479" s="57"/>
      <c r="V1479" s="57"/>
      <c r="W1479" s="57"/>
      <c r="Y1479" s="57"/>
      <c r="AA1479" s="57" t="s">
        <v>71</v>
      </c>
      <c r="AS1479" s="57"/>
      <c r="AT1479" s="57"/>
      <c r="AU1479" s="57"/>
      <c r="AV1479" s="57"/>
      <c r="AW1479" s="57"/>
      <c r="AX1479" s="57"/>
      <c r="AY1479" s="57"/>
      <c r="AZ1479" s="57"/>
      <c r="BA1479" s="57"/>
      <c r="BB1479" s="57"/>
      <c r="BC1479" s="57"/>
      <c r="BD1479" s="57"/>
      <c r="BE1479" s="57"/>
      <c r="BF1479" s="57"/>
      <c r="BG1479" s="57"/>
      <c r="BH1479" s="57"/>
      <c r="BI1479" s="57"/>
      <c r="BU1479" s="57" t="s">
        <v>71</v>
      </c>
      <c r="BX1479" s="57" t="s">
        <v>71</v>
      </c>
    </row>
    <row r="1480" spans="3:76">
      <c r="F1480" s="57"/>
      <c r="U1480" s="57"/>
      <c r="V1480" s="57"/>
      <c r="W1480" s="57"/>
      <c r="Y1480" s="57"/>
      <c r="AA1480" s="57" t="s">
        <v>71</v>
      </c>
      <c r="AS1480" s="57"/>
      <c r="AT1480" s="57"/>
      <c r="AU1480" s="57"/>
      <c r="AV1480" s="57"/>
      <c r="AW1480" s="57"/>
      <c r="AX1480" s="57"/>
      <c r="AY1480" s="57"/>
      <c r="AZ1480" s="57"/>
      <c r="BA1480" s="57"/>
      <c r="BB1480" s="57"/>
      <c r="BC1480" s="57"/>
      <c r="BD1480" s="57"/>
      <c r="BE1480" s="57"/>
      <c r="BF1480" s="57"/>
      <c r="BG1480" s="57"/>
      <c r="BH1480" s="57"/>
      <c r="BI1480" s="57"/>
      <c r="BU1480" s="57" t="s">
        <v>71</v>
      </c>
      <c r="BX1480" s="57" t="s">
        <v>71</v>
      </c>
    </row>
    <row r="1481" spans="3:76">
      <c r="C1481" s="136" t="s">
        <v>2024</v>
      </c>
      <c r="F1481" s="57" t="s">
        <v>72</v>
      </c>
      <c r="U1481" s="57"/>
      <c r="V1481" s="57"/>
      <c r="W1481" s="57"/>
      <c r="Y1481" s="57"/>
      <c r="AA1481" s="57" t="s">
        <v>71</v>
      </c>
      <c r="AB1481" s="57" t="s">
        <v>71</v>
      </c>
      <c r="AS1481" s="57"/>
      <c r="AT1481" s="57"/>
      <c r="AU1481" s="57"/>
      <c r="AV1481" s="57"/>
      <c r="AW1481" s="57"/>
      <c r="AX1481" s="57"/>
      <c r="AY1481" s="57"/>
      <c r="AZ1481" s="57"/>
      <c r="BA1481" s="57"/>
      <c r="BB1481" s="57"/>
      <c r="BC1481" s="57"/>
      <c r="BD1481" s="57"/>
      <c r="BE1481" s="57"/>
      <c r="BF1481" s="57"/>
      <c r="BG1481" s="57"/>
      <c r="BH1481" s="57"/>
      <c r="BI1481" s="57"/>
      <c r="BT1481" s="61" t="s">
        <v>87</v>
      </c>
    </row>
    <row r="1482" spans="3:76" ht="27">
      <c r="C1482" s="136" t="s">
        <v>2025</v>
      </c>
      <c r="F1482" s="57" t="s">
        <v>72</v>
      </c>
      <c r="U1482" s="57"/>
      <c r="V1482" s="57"/>
      <c r="W1482" s="57"/>
      <c r="Y1482" s="57"/>
      <c r="AS1482" s="57"/>
      <c r="AT1482" s="57"/>
      <c r="AU1482" s="57"/>
      <c r="AV1482" s="57"/>
      <c r="AW1482" s="57"/>
      <c r="AX1482" s="57"/>
      <c r="AY1482" s="57"/>
      <c r="AZ1482" s="57"/>
      <c r="BA1482" s="57"/>
      <c r="BB1482" s="57"/>
      <c r="BC1482" s="57"/>
      <c r="BD1482" s="57"/>
      <c r="BE1482" s="57"/>
      <c r="BF1482" s="57"/>
      <c r="BG1482" s="57"/>
      <c r="BH1482" s="57"/>
      <c r="BI1482" s="57"/>
      <c r="BT1482" s="61" t="s">
        <v>87</v>
      </c>
    </row>
    <row r="1483" spans="3:76" ht="27">
      <c r="C1483" s="136" t="s">
        <v>2026</v>
      </c>
      <c r="F1483" s="57" t="s">
        <v>72</v>
      </c>
      <c r="U1483" s="57"/>
      <c r="V1483" s="57"/>
      <c r="W1483" s="57"/>
      <c r="Y1483" s="57"/>
      <c r="AS1483" s="57"/>
      <c r="AT1483" s="57"/>
      <c r="AU1483" s="57"/>
      <c r="AV1483" s="57"/>
      <c r="AW1483" s="57"/>
      <c r="AX1483" s="57"/>
      <c r="AY1483" s="57"/>
      <c r="AZ1483" s="57"/>
      <c r="BA1483" s="57"/>
      <c r="BB1483" s="57"/>
      <c r="BC1483" s="57"/>
      <c r="BD1483" s="57"/>
      <c r="BE1483" s="57"/>
      <c r="BF1483" s="57"/>
      <c r="BG1483" s="57"/>
      <c r="BH1483" s="57"/>
      <c r="BI1483" s="57"/>
      <c r="BT1483" s="61" t="s">
        <v>87</v>
      </c>
    </row>
    <row r="1484" spans="3:76" ht="27">
      <c r="C1484" s="136" t="s">
        <v>2027</v>
      </c>
    </row>
    <row r="1485" spans="3:76">
      <c r="C1485" s="136" t="s">
        <v>2028</v>
      </c>
    </row>
    <row r="1487" spans="3:76" ht="27">
      <c r="C1487" s="136" t="s">
        <v>2029</v>
      </c>
      <c r="BQ1487" s="76" t="s">
        <v>86</v>
      </c>
    </row>
    <row r="1488" spans="3:76" ht="27">
      <c r="C1488" s="136" t="s">
        <v>2030</v>
      </c>
      <c r="BQ1488" s="76" t="s">
        <v>85</v>
      </c>
    </row>
    <row r="1495" spans="72:72">
      <c r="BT1495" s="77" t="s">
        <v>84</v>
      </c>
    </row>
    <row r="1496" spans="72:72">
      <c r="BT1496" s="77" t="s">
        <v>83</v>
      </c>
    </row>
    <row r="1497" spans="72:72">
      <c r="BT1497" s="77" t="s">
        <v>82</v>
      </c>
    </row>
    <row r="1498" spans="72:72">
      <c r="BT1498" s="77" t="s">
        <v>81</v>
      </c>
    </row>
    <row r="1499" spans="72:72">
      <c r="BT1499" s="77" t="s">
        <v>80</v>
      </c>
    </row>
    <row r="1500" spans="72:72">
      <c r="BT1500" s="77" t="s">
        <v>79</v>
      </c>
    </row>
    <row r="1501" spans="72:72">
      <c r="BT1501" s="77" t="s">
        <v>78</v>
      </c>
    </row>
    <row r="1502" spans="72:72">
      <c r="BT1502" s="77"/>
    </row>
    <row r="1503" spans="72:72">
      <c r="BT1503" s="77"/>
    </row>
    <row r="1504" spans="72:72">
      <c r="BT1504" s="77"/>
    </row>
    <row r="1505" spans="3:72">
      <c r="C1505" s="136" t="s">
        <v>2031</v>
      </c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Q1505" s="78"/>
      <c r="R1505" s="78"/>
      <c r="S1505" s="203"/>
      <c r="T1505" s="203"/>
      <c r="U1505" s="78"/>
      <c r="V1505" s="78"/>
      <c r="W1505" s="78"/>
      <c r="X1505" s="78"/>
      <c r="Y1505" s="78"/>
      <c r="AS1505" s="78"/>
      <c r="AT1505" s="78"/>
      <c r="AU1505" s="78"/>
      <c r="AV1505" s="78"/>
      <c r="AW1505" s="78"/>
      <c r="AX1505" s="78"/>
      <c r="AY1505" s="78"/>
      <c r="AZ1505" s="78"/>
      <c r="BA1505" s="78"/>
      <c r="BB1505" s="78"/>
      <c r="BC1505" s="78"/>
      <c r="BD1505" s="78"/>
      <c r="BE1505" s="78"/>
      <c r="BF1505" s="78"/>
      <c r="BG1505" s="78"/>
      <c r="BH1505" s="78"/>
      <c r="BI1505" s="78"/>
      <c r="BJ1505" s="78"/>
      <c r="BL1505" s="78"/>
      <c r="BN1505" s="78"/>
      <c r="BT1505" s="77"/>
    </row>
    <row r="1506" spans="3:72">
      <c r="C1506" s="136" t="s">
        <v>2032</v>
      </c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Q1506" s="78"/>
      <c r="R1506" s="78"/>
      <c r="S1506" s="203"/>
      <c r="T1506" s="203"/>
      <c r="U1506" s="78"/>
      <c r="V1506" s="78"/>
      <c r="W1506" s="78"/>
      <c r="X1506" s="78"/>
      <c r="Y1506" s="78"/>
      <c r="AS1506" s="78"/>
      <c r="AT1506" s="78"/>
      <c r="AU1506" s="78"/>
      <c r="AV1506" s="78"/>
      <c r="AW1506" s="78"/>
      <c r="AX1506" s="78"/>
      <c r="AY1506" s="78"/>
      <c r="AZ1506" s="78"/>
      <c r="BA1506" s="78"/>
      <c r="BB1506" s="78"/>
      <c r="BC1506" s="78"/>
      <c r="BD1506" s="78"/>
      <c r="BE1506" s="78"/>
      <c r="BF1506" s="78"/>
      <c r="BG1506" s="78"/>
      <c r="BH1506" s="78"/>
      <c r="BI1506" s="78"/>
      <c r="BJ1506" s="78"/>
      <c r="BL1506" s="78"/>
      <c r="BN1506" s="78"/>
      <c r="BT1506" s="77"/>
    </row>
    <row r="1507" spans="3:72" ht="27">
      <c r="C1507" s="136" t="s">
        <v>2033</v>
      </c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Q1507" s="78"/>
      <c r="R1507" s="78"/>
      <c r="S1507" s="203"/>
      <c r="T1507" s="203"/>
      <c r="U1507" s="78"/>
      <c r="V1507" s="78"/>
      <c r="W1507" s="78"/>
      <c r="X1507" s="78"/>
      <c r="Y1507" s="78"/>
      <c r="AS1507" s="78"/>
      <c r="AT1507" s="78"/>
      <c r="AU1507" s="78"/>
      <c r="AV1507" s="78"/>
      <c r="AW1507" s="78"/>
      <c r="AX1507" s="78"/>
      <c r="AY1507" s="78"/>
      <c r="AZ1507" s="78"/>
      <c r="BA1507" s="78"/>
      <c r="BB1507" s="78"/>
      <c r="BC1507" s="78"/>
      <c r="BD1507" s="78"/>
      <c r="BE1507" s="78"/>
      <c r="BF1507" s="78"/>
      <c r="BG1507" s="78"/>
      <c r="BH1507" s="78"/>
      <c r="BI1507" s="78"/>
      <c r="BJ1507" s="78"/>
      <c r="BL1507" s="78"/>
      <c r="BN1507" s="78"/>
      <c r="BT1507" s="77"/>
    </row>
    <row r="1508" spans="3:72" ht="27">
      <c r="C1508" s="136" t="s">
        <v>2034</v>
      </c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Q1508" s="78"/>
      <c r="R1508" s="78"/>
      <c r="S1508" s="203"/>
      <c r="T1508" s="203"/>
      <c r="U1508" s="78"/>
      <c r="V1508" s="78"/>
      <c r="W1508" s="78"/>
      <c r="X1508" s="78"/>
      <c r="Y1508" s="78"/>
      <c r="AS1508" s="78"/>
      <c r="AT1508" s="78"/>
      <c r="AU1508" s="78"/>
      <c r="AV1508" s="78"/>
      <c r="AW1508" s="78"/>
      <c r="AX1508" s="78"/>
      <c r="AY1508" s="78"/>
      <c r="AZ1508" s="78"/>
      <c r="BA1508" s="78"/>
      <c r="BB1508" s="78"/>
      <c r="BC1508" s="78"/>
      <c r="BD1508" s="78"/>
      <c r="BE1508" s="78"/>
      <c r="BF1508" s="78"/>
      <c r="BG1508" s="78"/>
      <c r="BH1508" s="78"/>
      <c r="BI1508" s="78"/>
      <c r="BJ1508" s="78"/>
      <c r="BL1508" s="78"/>
      <c r="BN1508" s="78"/>
      <c r="BT1508" s="77"/>
    </row>
    <row r="1509" spans="3:72">
      <c r="C1509" s="136" t="s">
        <v>2035</v>
      </c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Q1509" s="78"/>
      <c r="R1509" s="78"/>
      <c r="S1509" s="203"/>
      <c r="T1509" s="203"/>
      <c r="U1509" s="78"/>
      <c r="V1509" s="78"/>
      <c r="W1509" s="78"/>
      <c r="X1509" s="78"/>
      <c r="Y1509" s="78"/>
      <c r="AS1509" s="78"/>
      <c r="AT1509" s="78"/>
      <c r="AU1509" s="78"/>
      <c r="AV1509" s="78"/>
      <c r="AW1509" s="78"/>
      <c r="AX1509" s="78"/>
      <c r="AY1509" s="78"/>
      <c r="AZ1509" s="78"/>
      <c r="BA1509" s="78"/>
      <c r="BB1509" s="78"/>
      <c r="BC1509" s="78"/>
      <c r="BD1509" s="78"/>
      <c r="BE1509" s="78"/>
      <c r="BF1509" s="78"/>
      <c r="BG1509" s="78"/>
      <c r="BH1509" s="78"/>
      <c r="BI1509" s="78"/>
      <c r="BJ1509" s="78"/>
      <c r="BL1509" s="78"/>
      <c r="BN1509" s="78"/>
      <c r="BT1509" s="77"/>
    </row>
    <row r="1510" spans="3:72" ht="27">
      <c r="C1510" s="136" t="s">
        <v>2036</v>
      </c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Q1510" s="78"/>
      <c r="R1510" s="78"/>
      <c r="S1510" s="203"/>
      <c r="T1510" s="203"/>
      <c r="U1510" s="78"/>
      <c r="V1510" s="78"/>
      <c r="W1510" s="78"/>
      <c r="X1510" s="78"/>
      <c r="Y1510" s="78"/>
      <c r="AS1510" s="78"/>
      <c r="AT1510" s="78"/>
      <c r="AU1510" s="78"/>
      <c r="AV1510" s="78"/>
      <c r="AW1510" s="78"/>
      <c r="AX1510" s="78"/>
      <c r="AY1510" s="78"/>
      <c r="AZ1510" s="78"/>
      <c r="BA1510" s="78"/>
      <c r="BB1510" s="78"/>
      <c r="BC1510" s="78"/>
      <c r="BD1510" s="78"/>
      <c r="BE1510" s="78"/>
      <c r="BF1510" s="78"/>
      <c r="BG1510" s="78"/>
      <c r="BH1510" s="78"/>
      <c r="BI1510" s="78"/>
      <c r="BJ1510" s="78"/>
      <c r="BL1510" s="78"/>
      <c r="BN1510" s="78"/>
      <c r="BT1510" s="77"/>
    </row>
    <row r="1511" spans="3:72" ht="27">
      <c r="C1511" s="136" t="s">
        <v>2037</v>
      </c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Q1511" s="78"/>
      <c r="R1511" s="78"/>
      <c r="S1511" s="203"/>
      <c r="T1511" s="203"/>
      <c r="U1511" s="78"/>
      <c r="V1511" s="78"/>
      <c r="W1511" s="78"/>
      <c r="X1511" s="78"/>
      <c r="Y1511" s="78"/>
      <c r="AS1511" s="78"/>
      <c r="AT1511" s="78"/>
      <c r="AU1511" s="78"/>
      <c r="AV1511" s="78"/>
      <c r="AW1511" s="78"/>
      <c r="AX1511" s="78"/>
      <c r="AY1511" s="78"/>
      <c r="AZ1511" s="78"/>
      <c r="BA1511" s="78"/>
      <c r="BB1511" s="78"/>
      <c r="BC1511" s="78"/>
      <c r="BD1511" s="78"/>
      <c r="BE1511" s="78"/>
      <c r="BF1511" s="78"/>
      <c r="BG1511" s="78"/>
      <c r="BH1511" s="78"/>
      <c r="BI1511" s="78"/>
      <c r="BJ1511" s="78"/>
      <c r="BL1511" s="78"/>
      <c r="BN1511" s="78"/>
      <c r="BT1511" s="77"/>
    </row>
    <row r="1512" spans="3:72" ht="27">
      <c r="C1512" s="136" t="s">
        <v>2038</v>
      </c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Q1512" s="78"/>
      <c r="R1512" s="78"/>
      <c r="S1512" s="203"/>
      <c r="T1512" s="203"/>
      <c r="U1512" s="78"/>
      <c r="V1512" s="78"/>
      <c r="W1512" s="78"/>
      <c r="X1512" s="78"/>
      <c r="Y1512" s="78"/>
      <c r="AS1512" s="78"/>
      <c r="AT1512" s="78"/>
      <c r="AU1512" s="78"/>
      <c r="AV1512" s="78"/>
      <c r="AW1512" s="78"/>
      <c r="AX1512" s="78"/>
      <c r="AY1512" s="78"/>
      <c r="AZ1512" s="78"/>
      <c r="BA1512" s="78"/>
      <c r="BB1512" s="78"/>
      <c r="BC1512" s="78"/>
      <c r="BD1512" s="78"/>
      <c r="BE1512" s="78"/>
      <c r="BF1512" s="78"/>
      <c r="BG1512" s="78"/>
      <c r="BH1512" s="78"/>
      <c r="BI1512" s="78"/>
      <c r="BJ1512" s="78"/>
      <c r="BL1512" s="78"/>
      <c r="BN1512" s="78"/>
      <c r="BT1512" s="77"/>
    </row>
    <row r="1513" spans="3:72">
      <c r="C1513" s="136" t="s">
        <v>2039</v>
      </c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Q1513" s="78"/>
      <c r="R1513" s="78"/>
      <c r="S1513" s="203"/>
      <c r="T1513" s="203"/>
      <c r="U1513" s="78"/>
      <c r="V1513" s="78"/>
      <c r="W1513" s="78"/>
      <c r="X1513" s="78"/>
      <c r="Y1513" s="78"/>
      <c r="AS1513" s="78"/>
      <c r="AT1513" s="78"/>
      <c r="AU1513" s="78"/>
      <c r="AV1513" s="78"/>
      <c r="AW1513" s="78"/>
      <c r="AX1513" s="78"/>
      <c r="AY1513" s="78"/>
      <c r="AZ1513" s="78"/>
      <c r="BA1513" s="78"/>
      <c r="BB1513" s="78"/>
      <c r="BC1513" s="78"/>
      <c r="BD1513" s="78"/>
      <c r="BE1513" s="78"/>
      <c r="BF1513" s="78"/>
      <c r="BG1513" s="78"/>
      <c r="BH1513" s="78"/>
      <c r="BI1513" s="78"/>
      <c r="BJ1513" s="78"/>
      <c r="BL1513" s="78"/>
      <c r="BN1513" s="78"/>
      <c r="BT1513" s="77"/>
    </row>
    <row r="1514" spans="3:72">
      <c r="C1514" s="136" t="s">
        <v>2040</v>
      </c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Q1514" s="78"/>
      <c r="R1514" s="78"/>
      <c r="S1514" s="203"/>
      <c r="T1514" s="203"/>
      <c r="U1514" s="78"/>
      <c r="V1514" s="78"/>
      <c r="W1514" s="78"/>
      <c r="X1514" s="78"/>
      <c r="Y1514" s="78"/>
      <c r="AS1514" s="78"/>
      <c r="AT1514" s="78"/>
      <c r="AU1514" s="78"/>
      <c r="AV1514" s="78"/>
      <c r="AW1514" s="78"/>
      <c r="AX1514" s="78"/>
      <c r="AY1514" s="78"/>
      <c r="AZ1514" s="78"/>
      <c r="BA1514" s="78"/>
      <c r="BB1514" s="78"/>
      <c r="BC1514" s="78"/>
      <c r="BD1514" s="78"/>
      <c r="BE1514" s="78"/>
      <c r="BF1514" s="78"/>
      <c r="BG1514" s="78"/>
      <c r="BH1514" s="78"/>
      <c r="BI1514" s="78"/>
      <c r="BJ1514" s="78"/>
      <c r="BL1514" s="78"/>
      <c r="BN1514" s="78"/>
      <c r="BT1514" s="77"/>
    </row>
    <row r="1515" spans="3:72"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Q1515" s="78"/>
      <c r="R1515" s="78"/>
      <c r="S1515" s="203"/>
      <c r="T1515" s="203"/>
      <c r="U1515" s="78"/>
      <c r="V1515" s="78"/>
      <c r="W1515" s="78"/>
      <c r="X1515" s="78"/>
      <c r="Y1515" s="78"/>
      <c r="AS1515" s="78"/>
      <c r="AT1515" s="78"/>
      <c r="AU1515" s="78"/>
      <c r="AV1515" s="78"/>
      <c r="AW1515" s="78"/>
      <c r="AX1515" s="78"/>
      <c r="AY1515" s="78"/>
      <c r="AZ1515" s="78"/>
      <c r="BA1515" s="78"/>
      <c r="BB1515" s="78"/>
      <c r="BC1515" s="78"/>
      <c r="BD1515" s="78"/>
      <c r="BE1515" s="78"/>
      <c r="BF1515" s="78"/>
      <c r="BG1515" s="78"/>
      <c r="BH1515" s="78"/>
      <c r="BI1515" s="78"/>
      <c r="BJ1515" s="78"/>
      <c r="BL1515" s="78"/>
      <c r="BN1515" s="78"/>
      <c r="BT1515" s="77"/>
    </row>
    <row r="1516" spans="3:72">
      <c r="C1516" s="136" t="s">
        <v>2041</v>
      </c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Q1516" s="78"/>
      <c r="R1516" s="78"/>
      <c r="S1516" s="203"/>
      <c r="T1516" s="203"/>
      <c r="U1516" s="78"/>
      <c r="V1516" s="78"/>
      <c r="W1516" s="78"/>
      <c r="X1516" s="78"/>
      <c r="Y1516" s="78"/>
      <c r="AS1516" s="78"/>
      <c r="AT1516" s="78"/>
      <c r="AU1516" s="78"/>
      <c r="AV1516" s="78"/>
      <c r="AW1516" s="78"/>
      <c r="AX1516" s="78"/>
      <c r="AY1516" s="78"/>
      <c r="AZ1516" s="78"/>
      <c r="BA1516" s="78"/>
      <c r="BB1516" s="78"/>
      <c r="BC1516" s="78"/>
      <c r="BD1516" s="78"/>
      <c r="BE1516" s="78"/>
      <c r="BF1516" s="78"/>
      <c r="BG1516" s="78"/>
      <c r="BH1516" s="78"/>
      <c r="BI1516" s="78"/>
      <c r="BJ1516" s="78"/>
      <c r="BL1516" s="78"/>
      <c r="BN1516" s="78"/>
      <c r="BT1516" s="77"/>
    </row>
    <row r="1517" spans="3:72">
      <c r="C1517" s="136" t="s">
        <v>2042</v>
      </c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Q1517" s="78"/>
      <c r="R1517" s="78"/>
      <c r="S1517" s="203"/>
      <c r="T1517" s="203"/>
      <c r="U1517" s="78"/>
      <c r="V1517" s="78"/>
      <c r="W1517" s="78"/>
      <c r="X1517" s="78"/>
      <c r="Y1517" s="78"/>
      <c r="AS1517" s="78"/>
      <c r="AT1517" s="78"/>
      <c r="AU1517" s="78"/>
      <c r="AV1517" s="78"/>
      <c r="AW1517" s="78"/>
      <c r="AX1517" s="78"/>
      <c r="AY1517" s="78"/>
      <c r="AZ1517" s="78"/>
      <c r="BA1517" s="78"/>
      <c r="BB1517" s="78"/>
      <c r="BC1517" s="78"/>
      <c r="BD1517" s="78"/>
      <c r="BE1517" s="78"/>
      <c r="BF1517" s="78"/>
      <c r="BG1517" s="78"/>
      <c r="BH1517" s="78"/>
      <c r="BI1517" s="78"/>
      <c r="BJ1517" s="78"/>
      <c r="BL1517" s="78"/>
      <c r="BN1517" s="78"/>
      <c r="BT1517" s="77"/>
    </row>
    <row r="1518" spans="3:72"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Q1518" s="78"/>
      <c r="R1518" s="78"/>
      <c r="S1518" s="203"/>
      <c r="T1518" s="203"/>
      <c r="U1518" s="78"/>
      <c r="V1518" s="78"/>
      <c r="W1518" s="78"/>
      <c r="X1518" s="78"/>
      <c r="Y1518" s="78"/>
      <c r="AS1518" s="78"/>
      <c r="AT1518" s="78"/>
      <c r="AU1518" s="78"/>
      <c r="AV1518" s="78"/>
      <c r="AW1518" s="78"/>
      <c r="AX1518" s="78"/>
      <c r="AY1518" s="78"/>
      <c r="AZ1518" s="78"/>
      <c r="BA1518" s="78"/>
      <c r="BB1518" s="78"/>
      <c r="BC1518" s="78"/>
      <c r="BD1518" s="78"/>
      <c r="BE1518" s="78"/>
      <c r="BF1518" s="78"/>
      <c r="BG1518" s="78"/>
      <c r="BH1518" s="78"/>
      <c r="BI1518" s="78"/>
      <c r="BJ1518" s="78"/>
      <c r="BL1518" s="78"/>
      <c r="BN1518" s="78"/>
      <c r="BT1518" s="77"/>
    </row>
    <row r="1519" spans="3:72"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Q1519" s="78"/>
      <c r="R1519" s="78"/>
      <c r="S1519" s="203"/>
      <c r="T1519" s="203"/>
      <c r="U1519" s="78"/>
      <c r="V1519" s="78"/>
      <c r="W1519" s="78"/>
      <c r="X1519" s="78"/>
      <c r="Y1519" s="78"/>
      <c r="AS1519" s="78"/>
      <c r="AT1519" s="78"/>
      <c r="AU1519" s="78"/>
      <c r="AV1519" s="78"/>
      <c r="AW1519" s="78"/>
      <c r="AX1519" s="78"/>
      <c r="AY1519" s="78"/>
      <c r="AZ1519" s="78"/>
      <c r="BA1519" s="78"/>
      <c r="BB1519" s="78"/>
      <c r="BC1519" s="78"/>
      <c r="BD1519" s="78"/>
      <c r="BE1519" s="78"/>
      <c r="BF1519" s="78"/>
      <c r="BG1519" s="78"/>
      <c r="BH1519" s="78"/>
      <c r="BI1519" s="78"/>
      <c r="BJ1519" s="78"/>
      <c r="BL1519" s="78"/>
      <c r="BN1519" s="78"/>
      <c r="BT1519" s="77"/>
    </row>
    <row r="1520" spans="3:72">
      <c r="C1520" s="136" t="s">
        <v>2043</v>
      </c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Q1520" s="78"/>
      <c r="R1520" s="78"/>
      <c r="S1520" s="203"/>
      <c r="T1520" s="203"/>
      <c r="U1520" s="78"/>
      <c r="V1520" s="78"/>
      <c r="W1520" s="78"/>
      <c r="X1520" s="78"/>
      <c r="Y1520" s="78"/>
      <c r="AS1520" s="78"/>
      <c r="AT1520" s="78"/>
      <c r="AU1520" s="78"/>
      <c r="AV1520" s="78"/>
      <c r="AW1520" s="78"/>
      <c r="AX1520" s="78"/>
      <c r="AY1520" s="78"/>
      <c r="AZ1520" s="78"/>
      <c r="BA1520" s="78"/>
      <c r="BB1520" s="78"/>
      <c r="BC1520" s="78"/>
      <c r="BD1520" s="78"/>
      <c r="BE1520" s="78"/>
      <c r="BF1520" s="78"/>
      <c r="BG1520" s="78"/>
      <c r="BH1520" s="78"/>
      <c r="BI1520" s="78"/>
      <c r="BJ1520" s="78"/>
      <c r="BL1520" s="78"/>
      <c r="BN1520" s="78"/>
      <c r="BT1520" s="77"/>
    </row>
    <row r="1521" spans="3:72">
      <c r="C1521" s="136" t="s">
        <v>2044</v>
      </c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Q1521" s="78"/>
      <c r="R1521" s="78"/>
      <c r="S1521" s="203"/>
      <c r="T1521" s="203"/>
      <c r="U1521" s="78"/>
      <c r="V1521" s="78"/>
      <c r="W1521" s="78"/>
      <c r="X1521" s="78"/>
      <c r="Y1521" s="78"/>
      <c r="AS1521" s="78"/>
      <c r="AT1521" s="78"/>
      <c r="AU1521" s="78"/>
      <c r="AV1521" s="78"/>
      <c r="AW1521" s="78"/>
      <c r="AX1521" s="78"/>
      <c r="AY1521" s="78"/>
      <c r="AZ1521" s="78"/>
      <c r="BA1521" s="78"/>
      <c r="BB1521" s="78"/>
      <c r="BC1521" s="78"/>
      <c r="BD1521" s="78"/>
      <c r="BE1521" s="78"/>
      <c r="BF1521" s="78"/>
      <c r="BG1521" s="78"/>
      <c r="BH1521" s="78"/>
      <c r="BI1521" s="78"/>
      <c r="BJ1521" s="78"/>
      <c r="BL1521" s="78"/>
      <c r="BN1521" s="78"/>
      <c r="BT1521" s="77"/>
    </row>
    <row r="1522" spans="3:72">
      <c r="C1522" s="136" t="s">
        <v>2045</v>
      </c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Q1522" s="78"/>
      <c r="R1522" s="78"/>
      <c r="S1522" s="203"/>
      <c r="T1522" s="203"/>
      <c r="U1522" s="78"/>
      <c r="V1522" s="78"/>
      <c r="W1522" s="78"/>
      <c r="X1522" s="78"/>
      <c r="Y1522" s="78"/>
      <c r="AS1522" s="78"/>
      <c r="AT1522" s="78"/>
      <c r="AU1522" s="78"/>
      <c r="AV1522" s="78"/>
      <c r="AW1522" s="78"/>
      <c r="AX1522" s="78"/>
      <c r="AY1522" s="78"/>
      <c r="AZ1522" s="78"/>
      <c r="BA1522" s="78"/>
      <c r="BB1522" s="78"/>
      <c r="BC1522" s="78"/>
      <c r="BD1522" s="78"/>
      <c r="BE1522" s="78"/>
      <c r="BF1522" s="78"/>
      <c r="BG1522" s="78"/>
      <c r="BH1522" s="78"/>
      <c r="BI1522" s="78"/>
      <c r="BJ1522" s="78"/>
      <c r="BL1522" s="78"/>
      <c r="BN1522" s="78"/>
      <c r="BT1522" s="77"/>
    </row>
    <row r="1523" spans="3:72">
      <c r="C1523" s="136" t="s">
        <v>2046</v>
      </c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Q1523" s="78"/>
      <c r="R1523" s="78"/>
      <c r="S1523" s="203"/>
      <c r="T1523" s="203"/>
      <c r="U1523" s="78"/>
      <c r="V1523" s="78"/>
      <c r="W1523" s="78"/>
      <c r="X1523" s="78"/>
      <c r="Y1523" s="78"/>
      <c r="AS1523" s="78"/>
      <c r="AT1523" s="78"/>
      <c r="AU1523" s="78"/>
      <c r="AV1523" s="78"/>
      <c r="AW1523" s="78"/>
      <c r="AX1523" s="78"/>
      <c r="AY1523" s="78"/>
      <c r="AZ1523" s="78"/>
      <c r="BA1523" s="78"/>
      <c r="BB1523" s="78"/>
      <c r="BC1523" s="78"/>
      <c r="BD1523" s="78"/>
      <c r="BE1523" s="78"/>
      <c r="BF1523" s="78"/>
      <c r="BG1523" s="78"/>
      <c r="BH1523" s="78"/>
      <c r="BI1523" s="78"/>
      <c r="BJ1523" s="78"/>
      <c r="BL1523" s="78"/>
      <c r="BN1523" s="78"/>
      <c r="BT1523" s="77"/>
    </row>
    <row r="1524" spans="3:72">
      <c r="C1524" s="136" t="s">
        <v>2047</v>
      </c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Q1524" s="78"/>
      <c r="R1524" s="78"/>
      <c r="S1524" s="203"/>
      <c r="T1524" s="203"/>
      <c r="U1524" s="78"/>
      <c r="V1524" s="78"/>
      <c r="W1524" s="78"/>
      <c r="X1524" s="78"/>
      <c r="Y1524" s="78"/>
      <c r="AS1524" s="78"/>
      <c r="AT1524" s="78"/>
      <c r="AU1524" s="78"/>
      <c r="AV1524" s="78"/>
      <c r="AW1524" s="78"/>
      <c r="AX1524" s="78"/>
      <c r="AY1524" s="78"/>
      <c r="AZ1524" s="78"/>
      <c r="BA1524" s="78"/>
      <c r="BB1524" s="78"/>
      <c r="BC1524" s="78"/>
      <c r="BD1524" s="78"/>
      <c r="BE1524" s="78"/>
      <c r="BF1524" s="78"/>
      <c r="BG1524" s="78"/>
      <c r="BH1524" s="78"/>
      <c r="BI1524" s="78"/>
      <c r="BJ1524" s="78"/>
      <c r="BL1524" s="78"/>
      <c r="BN1524" s="78"/>
      <c r="BT1524" s="77"/>
    </row>
    <row r="1525" spans="3:72">
      <c r="C1525" s="136" t="s">
        <v>2048</v>
      </c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Q1525" s="78"/>
      <c r="R1525" s="78"/>
      <c r="S1525" s="203"/>
      <c r="T1525" s="203"/>
      <c r="U1525" s="78"/>
      <c r="V1525" s="78"/>
      <c r="W1525" s="78"/>
      <c r="X1525" s="78"/>
      <c r="Y1525" s="78"/>
      <c r="AS1525" s="78"/>
      <c r="AT1525" s="78"/>
      <c r="AU1525" s="78"/>
      <c r="AV1525" s="78"/>
      <c r="AW1525" s="78"/>
      <c r="AX1525" s="78"/>
      <c r="AY1525" s="78"/>
      <c r="AZ1525" s="78"/>
      <c r="BA1525" s="78"/>
      <c r="BB1525" s="78"/>
      <c r="BC1525" s="78"/>
      <c r="BD1525" s="78"/>
      <c r="BE1525" s="78"/>
      <c r="BF1525" s="78"/>
      <c r="BG1525" s="78"/>
      <c r="BH1525" s="78"/>
      <c r="BI1525" s="78"/>
      <c r="BJ1525" s="78"/>
      <c r="BL1525" s="78"/>
      <c r="BN1525" s="78"/>
      <c r="BT1525" s="77"/>
    </row>
    <row r="1526" spans="3:72">
      <c r="C1526" s="136" t="s">
        <v>2049</v>
      </c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Q1526" s="78"/>
      <c r="R1526" s="78"/>
      <c r="S1526" s="203"/>
      <c r="T1526" s="203"/>
      <c r="U1526" s="78"/>
      <c r="V1526" s="78"/>
      <c r="W1526" s="78"/>
      <c r="X1526" s="78"/>
      <c r="Y1526" s="78"/>
      <c r="AS1526" s="78"/>
      <c r="AT1526" s="78"/>
      <c r="AU1526" s="78"/>
      <c r="AV1526" s="78"/>
      <c r="AW1526" s="78"/>
      <c r="AX1526" s="78"/>
      <c r="AY1526" s="78"/>
      <c r="AZ1526" s="78"/>
      <c r="BA1526" s="78"/>
      <c r="BB1526" s="78"/>
      <c r="BC1526" s="78"/>
      <c r="BD1526" s="78"/>
      <c r="BE1526" s="78"/>
      <c r="BF1526" s="78"/>
      <c r="BG1526" s="78"/>
      <c r="BH1526" s="78"/>
      <c r="BI1526" s="78"/>
      <c r="BJ1526" s="78"/>
      <c r="BL1526" s="78"/>
      <c r="BN1526" s="78"/>
      <c r="BT1526" s="77"/>
    </row>
    <row r="1527" spans="3:72">
      <c r="C1527" s="136" t="s">
        <v>2050</v>
      </c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Q1527" s="78"/>
      <c r="R1527" s="78"/>
      <c r="S1527" s="203"/>
      <c r="T1527" s="203"/>
      <c r="U1527" s="78"/>
      <c r="V1527" s="78"/>
      <c r="W1527" s="78"/>
      <c r="X1527" s="78"/>
      <c r="Y1527" s="78"/>
      <c r="AS1527" s="78"/>
      <c r="AT1527" s="78"/>
      <c r="AU1527" s="78"/>
      <c r="AV1527" s="78"/>
      <c r="AW1527" s="78"/>
      <c r="AX1527" s="78"/>
      <c r="AY1527" s="78"/>
      <c r="AZ1527" s="78"/>
      <c r="BA1527" s="78"/>
      <c r="BB1527" s="78"/>
      <c r="BC1527" s="78"/>
      <c r="BD1527" s="78"/>
      <c r="BE1527" s="78"/>
      <c r="BF1527" s="78"/>
      <c r="BG1527" s="78"/>
      <c r="BH1527" s="78"/>
      <c r="BI1527" s="78"/>
      <c r="BJ1527" s="78"/>
      <c r="BL1527" s="78"/>
      <c r="BN1527" s="78"/>
      <c r="BT1527" s="77"/>
    </row>
    <row r="1528" spans="3:72">
      <c r="C1528" s="136" t="s">
        <v>2051</v>
      </c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Q1528" s="78"/>
      <c r="R1528" s="78"/>
      <c r="S1528" s="203"/>
      <c r="T1528" s="203"/>
      <c r="U1528" s="78"/>
      <c r="V1528" s="78"/>
      <c r="W1528" s="78"/>
      <c r="X1528" s="78"/>
      <c r="Y1528" s="78"/>
      <c r="AS1528" s="78"/>
      <c r="AT1528" s="78"/>
      <c r="AU1528" s="78"/>
      <c r="AV1528" s="78"/>
      <c r="AW1528" s="78"/>
      <c r="AX1528" s="78"/>
      <c r="AY1528" s="78"/>
      <c r="AZ1528" s="78"/>
      <c r="BA1528" s="78"/>
      <c r="BB1528" s="78"/>
      <c r="BC1528" s="78"/>
      <c r="BD1528" s="78"/>
      <c r="BE1528" s="78"/>
      <c r="BF1528" s="78"/>
      <c r="BG1528" s="78"/>
      <c r="BH1528" s="78"/>
      <c r="BI1528" s="78"/>
      <c r="BJ1528" s="78"/>
      <c r="BL1528" s="78"/>
      <c r="BN1528" s="78"/>
      <c r="BT1528" s="77"/>
    </row>
    <row r="1529" spans="3:72">
      <c r="C1529" s="136" t="s">
        <v>2052</v>
      </c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Q1529" s="78"/>
      <c r="R1529" s="78"/>
      <c r="S1529" s="203"/>
      <c r="T1529" s="203"/>
      <c r="U1529" s="78"/>
      <c r="V1529" s="78"/>
      <c r="W1529" s="78"/>
      <c r="X1529" s="78"/>
      <c r="Y1529" s="78"/>
      <c r="AS1529" s="78"/>
      <c r="AT1529" s="78"/>
      <c r="AU1529" s="78"/>
      <c r="AV1529" s="78"/>
      <c r="AW1529" s="78"/>
      <c r="AX1529" s="78"/>
      <c r="AY1529" s="78"/>
      <c r="AZ1529" s="78"/>
      <c r="BA1529" s="78"/>
      <c r="BB1529" s="78"/>
      <c r="BC1529" s="78"/>
      <c r="BD1529" s="78"/>
      <c r="BE1529" s="78"/>
      <c r="BF1529" s="78"/>
      <c r="BG1529" s="78"/>
      <c r="BH1529" s="78"/>
      <c r="BI1529" s="78"/>
      <c r="BJ1529" s="78"/>
      <c r="BL1529" s="78"/>
      <c r="BN1529" s="78"/>
      <c r="BT1529" s="77"/>
    </row>
    <row r="1530" spans="3:72">
      <c r="C1530" s="136" t="s">
        <v>2053</v>
      </c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Q1530" s="78"/>
      <c r="R1530" s="78"/>
      <c r="S1530" s="203"/>
      <c r="T1530" s="203"/>
      <c r="U1530" s="78"/>
      <c r="V1530" s="78"/>
      <c r="W1530" s="78"/>
      <c r="X1530" s="78"/>
      <c r="Y1530" s="78"/>
      <c r="AS1530" s="78"/>
      <c r="AT1530" s="78"/>
      <c r="AU1530" s="78"/>
      <c r="AV1530" s="78"/>
      <c r="AW1530" s="78"/>
      <c r="AX1530" s="78"/>
      <c r="AY1530" s="78"/>
      <c r="AZ1530" s="78"/>
      <c r="BA1530" s="78"/>
      <c r="BB1530" s="78"/>
      <c r="BC1530" s="78"/>
      <c r="BD1530" s="78"/>
      <c r="BE1530" s="78"/>
      <c r="BF1530" s="78"/>
      <c r="BG1530" s="78"/>
      <c r="BH1530" s="78"/>
      <c r="BI1530" s="78"/>
      <c r="BJ1530" s="78"/>
      <c r="BL1530" s="78"/>
      <c r="BN1530" s="78"/>
      <c r="BT1530" s="77"/>
    </row>
    <row r="1531" spans="3:72">
      <c r="C1531" s="136" t="s">
        <v>2054</v>
      </c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Q1531" s="78"/>
      <c r="R1531" s="78"/>
      <c r="S1531" s="203"/>
      <c r="T1531" s="203"/>
      <c r="U1531" s="78"/>
      <c r="V1531" s="78"/>
      <c r="W1531" s="78"/>
      <c r="X1531" s="78"/>
      <c r="Y1531" s="78"/>
      <c r="AS1531" s="78"/>
      <c r="AT1531" s="78"/>
      <c r="AU1531" s="78"/>
      <c r="AV1531" s="78"/>
      <c r="AW1531" s="78"/>
      <c r="AX1531" s="78"/>
      <c r="AY1531" s="78"/>
      <c r="AZ1531" s="78"/>
      <c r="BA1531" s="78"/>
      <c r="BB1531" s="78"/>
      <c r="BC1531" s="78"/>
      <c r="BD1531" s="78"/>
      <c r="BE1531" s="78"/>
      <c r="BF1531" s="78"/>
      <c r="BG1531" s="78"/>
      <c r="BH1531" s="78"/>
      <c r="BI1531" s="78"/>
      <c r="BJ1531" s="78"/>
      <c r="BL1531" s="78"/>
      <c r="BN1531" s="78"/>
      <c r="BT1531" s="77"/>
    </row>
    <row r="1532" spans="3:72">
      <c r="C1532" s="136" t="s">
        <v>2055</v>
      </c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Q1532" s="78"/>
      <c r="R1532" s="78"/>
      <c r="S1532" s="203"/>
      <c r="T1532" s="203"/>
      <c r="U1532" s="78"/>
      <c r="V1532" s="78"/>
      <c r="W1532" s="78"/>
      <c r="X1532" s="78"/>
      <c r="Y1532" s="78"/>
      <c r="AS1532" s="78"/>
      <c r="AT1532" s="78"/>
      <c r="AU1532" s="78"/>
      <c r="AV1532" s="78"/>
      <c r="AW1532" s="78"/>
      <c r="AX1532" s="78"/>
      <c r="AY1532" s="78"/>
      <c r="AZ1532" s="78"/>
      <c r="BA1532" s="78"/>
      <c r="BB1532" s="78"/>
      <c r="BC1532" s="78"/>
      <c r="BD1532" s="78"/>
      <c r="BE1532" s="78"/>
      <c r="BF1532" s="78"/>
      <c r="BG1532" s="78"/>
      <c r="BH1532" s="78"/>
      <c r="BI1532" s="78"/>
      <c r="BJ1532" s="78"/>
      <c r="BL1532" s="78"/>
      <c r="BN1532" s="78"/>
      <c r="BT1532" s="77"/>
    </row>
    <row r="1533" spans="3:72">
      <c r="C1533" s="136" t="s">
        <v>2056</v>
      </c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Q1533" s="78"/>
      <c r="R1533" s="78"/>
      <c r="S1533" s="203"/>
      <c r="T1533" s="203"/>
      <c r="U1533" s="78"/>
      <c r="V1533" s="78"/>
      <c r="W1533" s="78"/>
      <c r="X1533" s="78"/>
      <c r="Y1533" s="78"/>
      <c r="AS1533" s="78"/>
      <c r="AT1533" s="78"/>
      <c r="AU1533" s="78"/>
      <c r="AV1533" s="78"/>
      <c r="AW1533" s="78"/>
      <c r="AX1533" s="78"/>
      <c r="AY1533" s="78"/>
      <c r="AZ1533" s="78"/>
      <c r="BA1533" s="78"/>
      <c r="BB1533" s="78"/>
      <c r="BC1533" s="78"/>
      <c r="BD1533" s="78"/>
      <c r="BE1533" s="78"/>
      <c r="BF1533" s="78"/>
      <c r="BG1533" s="78"/>
      <c r="BH1533" s="78"/>
      <c r="BI1533" s="78"/>
      <c r="BJ1533" s="78"/>
      <c r="BL1533" s="78"/>
      <c r="BN1533" s="78"/>
      <c r="BT1533" s="77"/>
    </row>
    <row r="1534" spans="3:72">
      <c r="C1534" s="136" t="s">
        <v>2057</v>
      </c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Q1534" s="78"/>
      <c r="R1534" s="78"/>
      <c r="S1534" s="203"/>
      <c r="T1534" s="203"/>
      <c r="U1534" s="78"/>
      <c r="V1534" s="78"/>
      <c r="W1534" s="78"/>
      <c r="X1534" s="78"/>
      <c r="Y1534" s="78"/>
      <c r="AS1534" s="78"/>
      <c r="AT1534" s="78"/>
      <c r="AU1534" s="78"/>
      <c r="AV1534" s="78"/>
      <c r="AW1534" s="78"/>
      <c r="AX1534" s="78"/>
      <c r="AY1534" s="78"/>
      <c r="AZ1534" s="78"/>
      <c r="BA1534" s="78"/>
      <c r="BB1534" s="78"/>
      <c r="BC1534" s="78"/>
      <c r="BD1534" s="78"/>
      <c r="BE1534" s="78"/>
      <c r="BF1534" s="78"/>
      <c r="BG1534" s="78"/>
      <c r="BH1534" s="78"/>
      <c r="BI1534" s="78"/>
      <c r="BJ1534" s="78"/>
      <c r="BL1534" s="78"/>
      <c r="BN1534" s="78"/>
      <c r="BT1534" s="77"/>
    </row>
    <row r="1535" spans="3:72">
      <c r="C1535" s="136" t="s">
        <v>2058</v>
      </c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Q1535" s="78"/>
      <c r="R1535" s="78"/>
      <c r="S1535" s="203"/>
      <c r="T1535" s="203"/>
      <c r="U1535" s="78"/>
      <c r="V1535" s="78"/>
      <c r="W1535" s="78"/>
      <c r="X1535" s="78"/>
      <c r="Y1535" s="78"/>
      <c r="AS1535" s="78"/>
      <c r="AT1535" s="78"/>
      <c r="AU1535" s="78"/>
      <c r="AV1535" s="78"/>
      <c r="AW1535" s="78"/>
      <c r="AX1535" s="78"/>
      <c r="AY1535" s="78"/>
      <c r="AZ1535" s="78"/>
      <c r="BA1535" s="78"/>
      <c r="BB1535" s="78"/>
      <c r="BC1535" s="78"/>
      <c r="BD1535" s="78"/>
      <c r="BE1535" s="78"/>
      <c r="BF1535" s="78"/>
      <c r="BG1535" s="78"/>
      <c r="BH1535" s="78"/>
      <c r="BI1535" s="78"/>
      <c r="BJ1535" s="78"/>
      <c r="BL1535" s="78"/>
      <c r="BN1535" s="78"/>
      <c r="BT1535" s="77"/>
    </row>
    <row r="1536" spans="3:72">
      <c r="C1536" s="136" t="s">
        <v>2059</v>
      </c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Q1536" s="78"/>
      <c r="R1536" s="78"/>
      <c r="S1536" s="203"/>
      <c r="T1536" s="203"/>
      <c r="U1536" s="78"/>
      <c r="V1536" s="78"/>
      <c r="W1536" s="78"/>
      <c r="X1536" s="78"/>
      <c r="Y1536" s="78"/>
      <c r="AS1536" s="78"/>
      <c r="AT1536" s="78"/>
      <c r="AU1536" s="78"/>
      <c r="AV1536" s="78"/>
      <c r="AW1536" s="78"/>
      <c r="AX1536" s="78"/>
      <c r="AY1536" s="78"/>
      <c r="AZ1536" s="78"/>
      <c r="BA1536" s="78"/>
      <c r="BB1536" s="78"/>
      <c r="BC1536" s="78"/>
      <c r="BD1536" s="78"/>
      <c r="BE1536" s="78"/>
      <c r="BF1536" s="78"/>
      <c r="BG1536" s="78"/>
      <c r="BH1536" s="78"/>
      <c r="BI1536" s="78"/>
      <c r="BJ1536" s="78"/>
      <c r="BL1536" s="78"/>
      <c r="BN1536" s="78"/>
      <c r="BT1536" s="77"/>
    </row>
    <row r="1537" spans="3:79">
      <c r="C1537" s="136" t="s">
        <v>2060</v>
      </c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Q1537" s="78"/>
      <c r="R1537" s="78"/>
      <c r="S1537" s="203"/>
      <c r="T1537" s="203"/>
      <c r="U1537" s="78"/>
      <c r="V1537" s="78"/>
      <c r="W1537" s="78"/>
      <c r="X1537" s="78"/>
      <c r="Y1537" s="78"/>
      <c r="AS1537" s="78"/>
      <c r="AT1537" s="78"/>
      <c r="AU1537" s="78"/>
      <c r="AV1537" s="78"/>
      <c r="AW1537" s="78"/>
      <c r="AX1537" s="78"/>
      <c r="AY1537" s="78"/>
      <c r="AZ1537" s="78"/>
      <c r="BA1537" s="78"/>
      <c r="BB1537" s="78"/>
      <c r="BC1537" s="78"/>
      <c r="BD1537" s="78"/>
      <c r="BE1537" s="78"/>
      <c r="BF1537" s="78"/>
      <c r="BG1537" s="78"/>
      <c r="BH1537" s="78"/>
      <c r="BI1537" s="78"/>
      <c r="BJ1537" s="78"/>
      <c r="BL1537" s="78"/>
      <c r="BN1537" s="78"/>
      <c r="BT1537" s="77"/>
    </row>
    <row r="1538" spans="3:79">
      <c r="C1538" s="136" t="s">
        <v>2061</v>
      </c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Q1538" s="78"/>
      <c r="R1538" s="78"/>
      <c r="S1538" s="203"/>
      <c r="T1538" s="203"/>
      <c r="U1538" s="78"/>
      <c r="V1538" s="78"/>
      <c r="W1538" s="78"/>
      <c r="X1538" s="78"/>
      <c r="Y1538" s="78"/>
      <c r="AS1538" s="78"/>
      <c r="AT1538" s="78"/>
      <c r="AU1538" s="78"/>
      <c r="AV1538" s="78"/>
      <c r="AW1538" s="78"/>
      <c r="AX1538" s="78"/>
      <c r="AY1538" s="78"/>
      <c r="AZ1538" s="78"/>
      <c r="BA1538" s="78"/>
      <c r="BB1538" s="78"/>
      <c r="BC1538" s="78"/>
      <c r="BD1538" s="78"/>
      <c r="BE1538" s="78"/>
      <c r="BF1538" s="78"/>
      <c r="BG1538" s="78"/>
      <c r="BH1538" s="78"/>
      <c r="BI1538" s="78"/>
      <c r="BJ1538" s="78"/>
      <c r="BL1538" s="78"/>
      <c r="BN1538" s="78"/>
      <c r="BT1538" s="77"/>
    </row>
    <row r="1542" spans="3:79" s="80" customFormat="1">
      <c r="C1542" s="136" t="s">
        <v>1881</v>
      </c>
      <c r="E1542" s="79"/>
      <c r="F1542" s="81" t="s">
        <v>73</v>
      </c>
      <c r="G1542" s="79"/>
      <c r="H1542" s="80" t="s">
        <v>77</v>
      </c>
      <c r="L1542" s="79"/>
      <c r="M1542" s="79"/>
      <c r="N1542" s="79"/>
      <c r="O1542" s="79"/>
      <c r="P1542" s="178"/>
      <c r="Q1542" s="79"/>
      <c r="R1542" s="79"/>
      <c r="S1542" s="204"/>
      <c r="T1542" s="204"/>
      <c r="U1542" s="81"/>
      <c r="V1542" s="81"/>
      <c r="W1542" s="81"/>
      <c r="Y1542" s="81"/>
      <c r="Z1542" s="82" t="s">
        <v>75</v>
      </c>
      <c r="AA1542" s="82"/>
      <c r="AS1542" s="81"/>
      <c r="AT1542" s="81"/>
      <c r="AU1542" s="81"/>
      <c r="AV1542" s="81"/>
      <c r="AW1542" s="81"/>
      <c r="AX1542" s="81"/>
      <c r="AY1542" s="81"/>
      <c r="AZ1542" s="81"/>
      <c r="BA1542" s="81"/>
      <c r="BB1542" s="81"/>
      <c r="BC1542" s="81"/>
      <c r="BD1542" s="81"/>
      <c r="BE1542" s="81"/>
      <c r="BF1542" s="81"/>
      <c r="BG1542" s="81"/>
      <c r="BH1542" s="81"/>
      <c r="BI1542" s="81"/>
      <c r="BL1542" s="82"/>
      <c r="BM1542" s="82"/>
      <c r="BN1542" s="82"/>
      <c r="BS1542" s="82"/>
      <c r="CA1542" s="147"/>
    </row>
    <row r="1543" spans="3:79" s="80" customFormat="1">
      <c r="C1543" s="136" t="s">
        <v>1882</v>
      </c>
      <c r="F1543" s="82" t="s">
        <v>72</v>
      </c>
      <c r="P1543" s="178">
        <v>2004</v>
      </c>
      <c r="S1543" s="192"/>
      <c r="T1543" s="192"/>
      <c r="U1543" s="82"/>
      <c r="V1543" s="82"/>
      <c r="W1543" s="82"/>
      <c r="Y1543" s="82"/>
      <c r="Z1543" s="82" t="s">
        <v>74</v>
      </c>
      <c r="AA1543" s="82" t="s">
        <v>71</v>
      </c>
      <c r="AS1543" s="82"/>
      <c r="AT1543" s="82"/>
      <c r="AU1543" s="82"/>
      <c r="AV1543" s="82"/>
      <c r="AW1543" s="82"/>
      <c r="AX1543" s="82"/>
      <c r="AY1543" s="82"/>
      <c r="AZ1543" s="82"/>
      <c r="BA1543" s="82"/>
      <c r="BB1543" s="82"/>
      <c r="BC1543" s="82"/>
      <c r="BD1543" s="82"/>
      <c r="BE1543" s="82"/>
      <c r="BF1543" s="82"/>
      <c r="BG1543" s="82"/>
      <c r="BH1543" s="82"/>
      <c r="BI1543" s="82"/>
      <c r="BL1543" s="82"/>
      <c r="BM1543" s="82"/>
      <c r="BN1543" s="82"/>
      <c r="BS1543" s="82"/>
      <c r="CA1543" s="147"/>
    </row>
    <row r="1544" spans="3:79" s="80" customFormat="1">
      <c r="C1544" s="136" t="s">
        <v>1883</v>
      </c>
      <c r="F1544" s="82" t="s">
        <v>72</v>
      </c>
      <c r="P1544" s="178">
        <v>2</v>
      </c>
      <c r="S1544" s="192"/>
      <c r="T1544" s="192"/>
      <c r="U1544" s="82"/>
      <c r="V1544" s="82"/>
      <c r="W1544" s="82"/>
      <c r="Y1544" s="82"/>
      <c r="Z1544" s="82" t="s">
        <v>74</v>
      </c>
      <c r="AA1544" s="82"/>
      <c r="AS1544" s="82"/>
      <c r="AT1544" s="82"/>
      <c r="AU1544" s="82"/>
      <c r="AV1544" s="82"/>
      <c r="AW1544" s="82"/>
      <c r="AX1544" s="82"/>
      <c r="AY1544" s="82"/>
      <c r="AZ1544" s="82"/>
      <c r="BA1544" s="82"/>
      <c r="BB1544" s="82"/>
      <c r="BC1544" s="82"/>
      <c r="BD1544" s="82"/>
      <c r="BE1544" s="82"/>
      <c r="BF1544" s="82"/>
      <c r="BG1544" s="82"/>
      <c r="BH1544" s="82"/>
      <c r="BI1544" s="82"/>
      <c r="BL1544" s="82"/>
      <c r="BM1544" s="82"/>
      <c r="BN1544" s="82"/>
      <c r="BS1544" s="82"/>
      <c r="CA1544" s="147"/>
    </row>
    <row r="1545" spans="3:79" s="80" customFormat="1">
      <c r="C1545" s="136" t="s">
        <v>1884</v>
      </c>
      <c r="F1545" s="82" t="s">
        <v>72</v>
      </c>
      <c r="P1545" s="178">
        <v>2005</v>
      </c>
      <c r="S1545" s="192"/>
      <c r="T1545" s="192"/>
      <c r="U1545" s="82"/>
      <c r="V1545" s="82"/>
      <c r="W1545" s="82"/>
      <c r="Y1545" s="82"/>
      <c r="Z1545" s="82" t="s">
        <v>74</v>
      </c>
      <c r="AA1545" s="82"/>
      <c r="AS1545" s="82"/>
      <c r="AT1545" s="82"/>
      <c r="AU1545" s="82"/>
      <c r="AV1545" s="82"/>
      <c r="AW1545" s="82"/>
      <c r="AX1545" s="82"/>
      <c r="AY1545" s="82"/>
      <c r="AZ1545" s="82"/>
      <c r="BA1545" s="82"/>
      <c r="BB1545" s="82"/>
      <c r="BC1545" s="82"/>
      <c r="BD1545" s="82"/>
      <c r="BE1545" s="82"/>
      <c r="BF1545" s="82"/>
      <c r="BG1545" s="82"/>
      <c r="BH1545" s="82"/>
      <c r="BI1545" s="82"/>
      <c r="BL1545" s="82"/>
      <c r="BM1545" s="82"/>
      <c r="BN1545" s="82"/>
      <c r="BS1545" s="82"/>
      <c r="CA1545" s="147"/>
    </row>
    <row r="1546" spans="3:79" s="80" customFormat="1">
      <c r="C1546" s="136" t="s">
        <v>1885</v>
      </c>
      <c r="F1546" s="82" t="s">
        <v>72</v>
      </c>
      <c r="P1546" s="178"/>
      <c r="S1546" s="192"/>
      <c r="T1546" s="192"/>
      <c r="U1546" s="82"/>
      <c r="V1546" s="82"/>
      <c r="W1546" s="82"/>
      <c r="Y1546" s="82"/>
      <c r="Z1546" s="82" t="s">
        <v>74</v>
      </c>
      <c r="AA1546" s="82"/>
      <c r="AS1546" s="82"/>
      <c r="AT1546" s="82"/>
      <c r="AU1546" s="82"/>
      <c r="AV1546" s="82"/>
      <c r="AW1546" s="82"/>
      <c r="AX1546" s="82"/>
      <c r="AY1546" s="82"/>
      <c r="AZ1546" s="82"/>
      <c r="BA1546" s="82"/>
      <c r="BB1546" s="82"/>
      <c r="BC1546" s="82"/>
      <c r="BD1546" s="82"/>
      <c r="BE1546" s="82"/>
      <c r="BF1546" s="82"/>
      <c r="BG1546" s="82"/>
      <c r="BH1546" s="82"/>
      <c r="BI1546" s="82"/>
      <c r="BL1546" s="82"/>
      <c r="BM1546" s="82"/>
      <c r="BN1546" s="82"/>
      <c r="BS1546" s="82"/>
      <c r="CA1546" s="147"/>
    </row>
    <row r="1547" spans="3:79" s="80" customFormat="1">
      <c r="C1547" s="136" t="s">
        <v>1886</v>
      </c>
      <c r="F1547" s="82" t="s">
        <v>72</v>
      </c>
      <c r="P1547" s="178">
        <v>2009</v>
      </c>
      <c r="S1547" s="192"/>
      <c r="T1547" s="192"/>
      <c r="U1547" s="82"/>
      <c r="V1547" s="82"/>
      <c r="W1547" s="82"/>
      <c r="Y1547" s="82"/>
      <c r="Z1547" s="82" t="s">
        <v>74</v>
      </c>
      <c r="AA1547" s="82"/>
      <c r="AS1547" s="82"/>
      <c r="AT1547" s="82"/>
      <c r="AU1547" s="82"/>
      <c r="AV1547" s="82"/>
      <c r="AW1547" s="82"/>
      <c r="AX1547" s="82"/>
      <c r="AY1547" s="82"/>
      <c r="AZ1547" s="82"/>
      <c r="BA1547" s="82"/>
      <c r="BB1547" s="82"/>
      <c r="BC1547" s="82"/>
      <c r="BD1547" s="82"/>
      <c r="BE1547" s="82"/>
      <c r="BF1547" s="82"/>
      <c r="BG1547" s="82"/>
      <c r="BH1547" s="82"/>
      <c r="BI1547" s="82"/>
      <c r="BL1547" s="82"/>
      <c r="BM1547" s="82"/>
      <c r="BN1547" s="82"/>
      <c r="BS1547" s="82"/>
      <c r="CA1547" s="147"/>
    </row>
    <row r="1548" spans="3:79" s="80" customFormat="1" ht="27">
      <c r="C1548" s="136" t="s">
        <v>1887</v>
      </c>
      <c r="F1548" s="82" t="s">
        <v>72</v>
      </c>
      <c r="P1548" s="178">
        <v>2006</v>
      </c>
      <c r="S1548" s="192"/>
      <c r="T1548" s="192"/>
      <c r="U1548" s="82"/>
      <c r="V1548" s="82"/>
      <c r="W1548" s="82"/>
      <c r="Y1548" s="82"/>
      <c r="Z1548" s="82" t="s">
        <v>74</v>
      </c>
      <c r="AA1548" s="82"/>
      <c r="AS1548" s="82"/>
      <c r="AT1548" s="82"/>
      <c r="AU1548" s="82"/>
      <c r="AV1548" s="82"/>
      <c r="AW1548" s="82"/>
      <c r="AX1548" s="82"/>
      <c r="AY1548" s="82"/>
      <c r="AZ1548" s="82"/>
      <c r="BA1548" s="82"/>
      <c r="BB1548" s="82"/>
      <c r="BC1548" s="82"/>
      <c r="BD1548" s="82"/>
      <c r="BE1548" s="82"/>
      <c r="BF1548" s="82"/>
      <c r="BG1548" s="82"/>
      <c r="BH1548" s="82"/>
      <c r="BI1548" s="82"/>
      <c r="BL1548" s="82"/>
      <c r="BM1548" s="82"/>
      <c r="BN1548" s="82"/>
      <c r="BS1548" s="82"/>
      <c r="CA1548" s="147"/>
    </row>
    <row r="1549" spans="3:79" s="80" customFormat="1">
      <c r="C1549" s="136" t="s">
        <v>1888</v>
      </c>
      <c r="F1549" s="82" t="s">
        <v>72</v>
      </c>
      <c r="P1549" s="178"/>
      <c r="S1549" s="192"/>
      <c r="T1549" s="192"/>
      <c r="U1549" s="82"/>
      <c r="V1549" s="82"/>
      <c r="W1549" s="82"/>
      <c r="Y1549" s="82"/>
      <c r="Z1549" s="82" t="s">
        <v>74</v>
      </c>
      <c r="AA1549" s="82"/>
      <c r="AS1549" s="82"/>
      <c r="AT1549" s="82"/>
      <c r="AU1549" s="82"/>
      <c r="AV1549" s="82"/>
      <c r="AW1549" s="82"/>
      <c r="AX1549" s="82"/>
      <c r="AY1549" s="82"/>
      <c r="AZ1549" s="82"/>
      <c r="BA1549" s="82"/>
      <c r="BB1549" s="82"/>
      <c r="BC1549" s="82"/>
      <c r="BD1549" s="82"/>
      <c r="BE1549" s="82"/>
      <c r="BF1549" s="82"/>
      <c r="BG1549" s="82"/>
      <c r="BH1549" s="82"/>
      <c r="BI1549" s="82"/>
      <c r="BL1549" s="82"/>
      <c r="BM1549" s="82"/>
      <c r="BN1549" s="82"/>
      <c r="BS1549" s="82"/>
      <c r="CA1549" s="147"/>
    </row>
    <row r="1550" spans="3:79" s="80" customFormat="1">
      <c r="C1550" s="136" t="s">
        <v>1889</v>
      </c>
      <c r="F1550" s="82" t="s">
        <v>72</v>
      </c>
      <c r="P1550" s="178"/>
      <c r="S1550" s="192"/>
      <c r="T1550" s="192"/>
      <c r="U1550" s="82"/>
      <c r="V1550" s="82"/>
      <c r="W1550" s="82"/>
      <c r="Y1550" s="82"/>
      <c r="Z1550" s="82" t="s">
        <v>74</v>
      </c>
      <c r="AA1550" s="82"/>
      <c r="AS1550" s="82"/>
      <c r="AT1550" s="82"/>
      <c r="AU1550" s="82"/>
      <c r="AV1550" s="82"/>
      <c r="AW1550" s="82"/>
      <c r="AX1550" s="82"/>
      <c r="AY1550" s="82"/>
      <c r="AZ1550" s="82"/>
      <c r="BA1550" s="82"/>
      <c r="BB1550" s="82"/>
      <c r="BC1550" s="82"/>
      <c r="BD1550" s="82"/>
      <c r="BE1550" s="82"/>
      <c r="BF1550" s="82"/>
      <c r="BG1550" s="82"/>
      <c r="BH1550" s="82"/>
      <c r="BI1550" s="82"/>
      <c r="BL1550" s="82"/>
      <c r="BM1550" s="82"/>
      <c r="BN1550" s="82"/>
      <c r="BS1550" s="82"/>
      <c r="CA1550" s="147"/>
    </row>
    <row r="1551" spans="3:79" s="80" customFormat="1">
      <c r="C1551" s="136" t="s">
        <v>1890</v>
      </c>
      <c r="F1551" s="82" t="s">
        <v>72</v>
      </c>
      <c r="P1551" s="178">
        <v>2009</v>
      </c>
      <c r="S1551" s="192"/>
      <c r="T1551" s="192"/>
      <c r="U1551" s="82"/>
      <c r="V1551" s="82"/>
      <c r="W1551" s="82"/>
      <c r="Y1551" s="82"/>
      <c r="Z1551" s="82" t="s">
        <v>74</v>
      </c>
      <c r="AA1551" s="82"/>
      <c r="AS1551" s="82"/>
      <c r="AT1551" s="82"/>
      <c r="AU1551" s="82"/>
      <c r="AV1551" s="82"/>
      <c r="AW1551" s="82"/>
      <c r="AX1551" s="82"/>
      <c r="AY1551" s="82"/>
      <c r="AZ1551" s="82"/>
      <c r="BA1551" s="82"/>
      <c r="BB1551" s="82"/>
      <c r="BC1551" s="82"/>
      <c r="BD1551" s="82"/>
      <c r="BE1551" s="82"/>
      <c r="BF1551" s="82"/>
      <c r="BG1551" s="82"/>
      <c r="BH1551" s="82"/>
      <c r="BI1551" s="82"/>
      <c r="BL1551" s="82"/>
      <c r="BM1551" s="82"/>
      <c r="BN1551" s="82"/>
      <c r="BS1551" s="82"/>
      <c r="CA1551" s="147"/>
    </row>
    <row r="1552" spans="3:79" s="80" customFormat="1" ht="27">
      <c r="C1552" s="136" t="s">
        <v>1891</v>
      </c>
      <c r="F1552" s="82" t="s">
        <v>72</v>
      </c>
      <c r="P1552" s="178">
        <v>2004</v>
      </c>
      <c r="S1552" s="192"/>
      <c r="T1552" s="192"/>
      <c r="U1552" s="82"/>
      <c r="V1552" s="82"/>
      <c r="W1552" s="82"/>
      <c r="Y1552" s="82"/>
      <c r="Z1552" s="82" t="s">
        <v>74</v>
      </c>
      <c r="AA1552" s="82"/>
      <c r="AS1552" s="82"/>
      <c r="AT1552" s="82"/>
      <c r="AU1552" s="82"/>
      <c r="AV1552" s="82"/>
      <c r="AW1552" s="82"/>
      <c r="AX1552" s="82"/>
      <c r="AY1552" s="82"/>
      <c r="AZ1552" s="82"/>
      <c r="BA1552" s="82"/>
      <c r="BB1552" s="82"/>
      <c r="BC1552" s="82"/>
      <c r="BD1552" s="82"/>
      <c r="BE1552" s="82"/>
      <c r="BF1552" s="82"/>
      <c r="BG1552" s="82"/>
      <c r="BH1552" s="82"/>
      <c r="BI1552" s="82"/>
      <c r="BL1552" s="82"/>
      <c r="BM1552" s="82"/>
      <c r="BN1552" s="82"/>
      <c r="BS1552" s="82"/>
      <c r="CA1552" s="147"/>
    </row>
    <row r="1553" spans="3:79" s="80" customFormat="1" ht="27">
      <c r="C1553" s="136" t="s">
        <v>1892</v>
      </c>
      <c r="F1553" s="82" t="s">
        <v>72</v>
      </c>
      <c r="P1553" s="178">
        <v>2005</v>
      </c>
      <c r="S1553" s="192"/>
      <c r="T1553" s="192"/>
      <c r="U1553" s="82"/>
      <c r="V1553" s="82"/>
      <c r="W1553" s="82"/>
      <c r="Y1553" s="82"/>
      <c r="Z1553" s="82" t="s">
        <v>74</v>
      </c>
      <c r="AA1553" s="82"/>
      <c r="AS1553" s="82"/>
      <c r="AT1553" s="82"/>
      <c r="AU1553" s="82"/>
      <c r="AV1553" s="82"/>
      <c r="AW1553" s="82"/>
      <c r="AX1553" s="82"/>
      <c r="AY1553" s="82"/>
      <c r="AZ1553" s="82"/>
      <c r="BA1553" s="82"/>
      <c r="BB1553" s="82"/>
      <c r="BC1553" s="82"/>
      <c r="BD1553" s="82"/>
      <c r="BE1553" s="82"/>
      <c r="BF1553" s="82"/>
      <c r="BG1553" s="82"/>
      <c r="BH1553" s="82"/>
      <c r="BI1553" s="82"/>
      <c r="BL1553" s="82"/>
      <c r="BM1553" s="82"/>
      <c r="BN1553" s="82"/>
      <c r="BS1553" s="82"/>
      <c r="CA1553" s="147"/>
    </row>
    <row r="1554" spans="3:79" s="80" customFormat="1" ht="27">
      <c r="C1554" s="136" t="s">
        <v>1893</v>
      </c>
      <c r="F1554" s="82" t="s">
        <v>72</v>
      </c>
      <c r="P1554" s="178">
        <v>2005</v>
      </c>
      <c r="S1554" s="192"/>
      <c r="T1554" s="192"/>
      <c r="U1554" s="82"/>
      <c r="V1554" s="82"/>
      <c r="W1554" s="82"/>
      <c r="Y1554" s="82"/>
      <c r="Z1554" s="82" t="s">
        <v>74</v>
      </c>
      <c r="AA1554" s="82"/>
      <c r="AS1554" s="82"/>
      <c r="AT1554" s="82"/>
      <c r="AU1554" s="82"/>
      <c r="AV1554" s="82"/>
      <c r="AW1554" s="82"/>
      <c r="AX1554" s="82"/>
      <c r="AY1554" s="82"/>
      <c r="AZ1554" s="82"/>
      <c r="BA1554" s="82"/>
      <c r="BB1554" s="82"/>
      <c r="BC1554" s="82"/>
      <c r="BD1554" s="82"/>
      <c r="BE1554" s="82"/>
      <c r="BF1554" s="82"/>
      <c r="BG1554" s="82"/>
      <c r="BH1554" s="82"/>
      <c r="BI1554" s="82"/>
      <c r="BL1554" s="82"/>
      <c r="BM1554" s="82"/>
      <c r="BN1554" s="82"/>
      <c r="BS1554" s="82"/>
      <c r="CA1554" s="147"/>
    </row>
    <row r="1555" spans="3:79" s="80" customFormat="1">
      <c r="C1555" s="136" t="s">
        <v>1894</v>
      </c>
      <c r="F1555" s="82" t="s">
        <v>72</v>
      </c>
      <c r="P1555" s="178"/>
      <c r="S1555" s="192"/>
      <c r="T1555" s="192"/>
      <c r="U1555" s="82"/>
      <c r="V1555" s="82"/>
      <c r="W1555" s="82"/>
      <c r="Y1555" s="82"/>
      <c r="Z1555" s="82" t="s">
        <v>74</v>
      </c>
      <c r="AA1555" s="82"/>
      <c r="AS1555" s="82"/>
      <c r="AT1555" s="82"/>
      <c r="AU1555" s="82"/>
      <c r="AV1555" s="82"/>
      <c r="AW1555" s="82"/>
      <c r="AX1555" s="82"/>
      <c r="AY1555" s="82"/>
      <c r="AZ1555" s="82"/>
      <c r="BA1555" s="82"/>
      <c r="BB1555" s="82"/>
      <c r="BC1555" s="82"/>
      <c r="BD1555" s="82"/>
      <c r="BE1555" s="82"/>
      <c r="BF1555" s="82"/>
      <c r="BG1555" s="82"/>
      <c r="BH1555" s="82"/>
      <c r="BI1555" s="82"/>
      <c r="BL1555" s="82"/>
      <c r="BM1555" s="82"/>
      <c r="BN1555" s="82"/>
      <c r="BS1555" s="82"/>
      <c r="CA1555" s="147"/>
    </row>
    <row r="1556" spans="3:79" s="80" customFormat="1">
      <c r="C1556" s="136" t="s">
        <v>1895</v>
      </c>
      <c r="E1556" s="79"/>
      <c r="F1556" s="81" t="s">
        <v>73</v>
      </c>
      <c r="G1556" s="79"/>
      <c r="L1556" s="79"/>
      <c r="M1556" s="79"/>
      <c r="N1556" s="79"/>
      <c r="O1556" s="79"/>
      <c r="P1556" s="178"/>
      <c r="Q1556" s="79"/>
      <c r="R1556" s="79"/>
      <c r="S1556" s="204"/>
      <c r="T1556" s="204"/>
      <c r="U1556" s="81"/>
      <c r="V1556" s="81"/>
      <c r="W1556" s="81"/>
      <c r="Y1556" s="81"/>
      <c r="Z1556" s="82" t="s">
        <v>75</v>
      </c>
      <c r="AA1556" s="82" t="s">
        <v>71</v>
      </c>
      <c r="AS1556" s="81"/>
      <c r="AT1556" s="81"/>
      <c r="AU1556" s="81"/>
      <c r="AV1556" s="81"/>
      <c r="AW1556" s="81"/>
      <c r="AX1556" s="81"/>
      <c r="AY1556" s="81"/>
      <c r="AZ1556" s="81"/>
      <c r="BA1556" s="81"/>
      <c r="BB1556" s="81"/>
      <c r="BC1556" s="81"/>
      <c r="BD1556" s="81"/>
      <c r="BE1556" s="81"/>
      <c r="BF1556" s="81"/>
      <c r="BG1556" s="81"/>
      <c r="BH1556" s="81"/>
      <c r="BI1556" s="81"/>
      <c r="BL1556" s="82"/>
      <c r="BM1556" s="82"/>
      <c r="BN1556" s="82"/>
      <c r="BS1556" s="82"/>
      <c r="CA1556" s="147"/>
    </row>
    <row r="1557" spans="3:79" s="80" customFormat="1">
      <c r="C1557" s="136" t="s">
        <v>1896</v>
      </c>
      <c r="E1557" s="79"/>
      <c r="F1557" s="81" t="s">
        <v>73</v>
      </c>
      <c r="G1557" s="79"/>
      <c r="L1557" s="79"/>
      <c r="M1557" s="79"/>
      <c r="N1557" s="79"/>
      <c r="O1557" s="79"/>
      <c r="P1557" s="178"/>
      <c r="Q1557" s="79"/>
      <c r="R1557" s="79"/>
      <c r="S1557" s="204"/>
      <c r="T1557" s="204"/>
      <c r="U1557" s="81"/>
      <c r="V1557" s="81"/>
      <c r="W1557" s="81"/>
      <c r="Y1557" s="81"/>
      <c r="Z1557" s="82" t="s">
        <v>75</v>
      </c>
      <c r="AA1557" s="82" t="s">
        <v>71</v>
      </c>
      <c r="AS1557" s="81"/>
      <c r="AT1557" s="81"/>
      <c r="AU1557" s="81"/>
      <c r="AV1557" s="81"/>
      <c r="AW1557" s="81"/>
      <c r="AX1557" s="81"/>
      <c r="AY1557" s="81"/>
      <c r="AZ1557" s="81"/>
      <c r="BA1557" s="81"/>
      <c r="BB1557" s="81"/>
      <c r="BC1557" s="81"/>
      <c r="BD1557" s="81"/>
      <c r="BE1557" s="81"/>
      <c r="BF1557" s="81"/>
      <c r="BG1557" s="81"/>
      <c r="BH1557" s="81"/>
      <c r="BI1557" s="81"/>
      <c r="BL1557" s="82"/>
      <c r="BM1557" s="82"/>
      <c r="BN1557" s="82"/>
      <c r="BS1557" s="82"/>
      <c r="CA1557" s="147"/>
    </row>
    <row r="1558" spans="3:79" s="80" customFormat="1">
      <c r="C1558" s="136" t="s">
        <v>1897</v>
      </c>
      <c r="F1558" s="82" t="s">
        <v>72</v>
      </c>
      <c r="H1558" s="80" t="s">
        <v>76</v>
      </c>
      <c r="P1558" s="178"/>
      <c r="S1558" s="192"/>
      <c r="T1558" s="192"/>
      <c r="U1558" s="82"/>
      <c r="V1558" s="82"/>
      <c r="W1558" s="82"/>
      <c r="Y1558" s="82"/>
      <c r="Z1558" s="82"/>
      <c r="AA1558" s="82"/>
      <c r="AS1558" s="82"/>
      <c r="AT1558" s="82"/>
      <c r="AU1558" s="82"/>
      <c r="AV1558" s="82"/>
      <c r="AW1558" s="82"/>
      <c r="AX1558" s="82"/>
      <c r="AY1558" s="82"/>
      <c r="AZ1558" s="82"/>
      <c r="BA1558" s="82"/>
      <c r="BB1558" s="82"/>
      <c r="BC1558" s="82"/>
      <c r="BD1558" s="82"/>
      <c r="BE1558" s="82"/>
      <c r="BF1558" s="82"/>
      <c r="BG1558" s="82"/>
      <c r="BH1558" s="82"/>
      <c r="BI1558" s="82"/>
      <c r="BL1558" s="82"/>
      <c r="BM1558" s="82" t="s">
        <v>75</v>
      </c>
      <c r="BN1558" s="82"/>
      <c r="BS1558" s="82"/>
      <c r="CA1558" s="147"/>
    </row>
    <row r="1559" spans="3:79" s="80" customFormat="1">
      <c r="C1559" s="136" t="s">
        <v>1898</v>
      </c>
      <c r="F1559" s="82" t="s">
        <v>72</v>
      </c>
      <c r="H1559" s="80" t="s">
        <v>76</v>
      </c>
      <c r="P1559" s="178"/>
      <c r="S1559" s="192"/>
      <c r="T1559" s="192"/>
      <c r="U1559" s="82"/>
      <c r="V1559" s="82"/>
      <c r="W1559" s="82"/>
      <c r="Y1559" s="82"/>
      <c r="Z1559" s="82"/>
      <c r="AA1559" s="82"/>
      <c r="AS1559" s="82"/>
      <c r="AT1559" s="82"/>
      <c r="AU1559" s="82"/>
      <c r="AV1559" s="82"/>
      <c r="AW1559" s="82"/>
      <c r="AX1559" s="82"/>
      <c r="AY1559" s="82"/>
      <c r="AZ1559" s="82"/>
      <c r="BA1559" s="82"/>
      <c r="BB1559" s="82"/>
      <c r="BC1559" s="82"/>
      <c r="BD1559" s="82"/>
      <c r="BE1559" s="82"/>
      <c r="BF1559" s="82"/>
      <c r="BG1559" s="82"/>
      <c r="BH1559" s="82"/>
      <c r="BI1559" s="82"/>
      <c r="BL1559" s="82"/>
      <c r="BM1559" s="82" t="s">
        <v>75</v>
      </c>
      <c r="BN1559" s="82"/>
      <c r="BS1559" s="82"/>
      <c r="CA1559" s="147"/>
    </row>
    <row r="1560" spans="3:79" s="80" customFormat="1">
      <c r="C1560" s="136" t="s">
        <v>1899</v>
      </c>
      <c r="F1560" s="82" t="s">
        <v>72</v>
      </c>
      <c r="H1560" s="80" t="s">
        <v>76</v>
      </c>
      <c r="P1560" s="178"/>
      <c r="S1560" s="192"/>
      <c r="T1560" s="192"/>
      <c r="U1560" s="82"/>
      <c r="V1560" s="82"/>
      <c r="W1560" s="82"/>
      <c r="Y1560" s="82"/>
      <c r="Z1560" s="82"/>
      <c r="AA1560" s="82"/>
      <c r="AS1560" s="82"/>
      <c r="AT1560" s="82"/>
      <c r="AU1560" s="82"/>
      <c r="AV1560" s="82"/>
      <c r="AW1560" s="82"/>
      <c r="AX1560" s="82"/>
      <c r="AY1560" s="82"/>
      <c r="AZ1560" s="82"/>
      <c r="BA1560" s="82"/>
      <c r="BB1560" s="82"/>
      <c r="BC1560" s="82"/>
      <c r="BD1560" s="82"/>
      <c r="BE1560" s="82"/>
      <c r="BF1560" s="82"/>
      <c r="BG1560" s="82"/>
      <c r="BH1560" s="82"/>
      <c r="BI1560" s="82"/>
      <c r="BL1560" s="82"/>
      <c r="BM1560" s="82" t="s">
        <v>75</v>
      </c>
      <c r="BN1560" s="82"/>
      <c r="BS1560" s="82"/>
      <c r="CA1560" s="147"/>
    </row>
    <row r="1561" spans="3:79" s="80" customFormat="1">
      <c r="C1561" s="136" t="s">
        <v>1900</v>
      </c>
      <c r="F1561" s="82" t="s">
        <v>72</v>
      </c>
      <c r="H1561" s="80" t="s">
        <v>76</v>
      </c>
      <c r="P1561" s="178"/>
      <c r="S1561" s="192"/>
      <c r="T1561" s="192"/>
      <c r="U1561" s="82"/>
      <c r="V1561" s="82"/>
      <c r="W1561" s="82"/>
      <c r="Y1561" s="82"/>
      <c r="Z1561" s="82"/>
      <c r="AA1561" s="82"/>
      <c r="AS1561" s="82"/>
      <c r="AT1561" s="82"/>
      <c r="AU1561" s="82"/>
      <c r="AV1561" s="82"/>
      <c r="AW1561" s="82"/>
      <c r="AX1561" s="82"/>
      <c r="AY1561" s="82"/>
      <c r="AZ1561" s="82"/>
      <c r="BA1561" s="82"/>
      <c r="BB1561" s="82"/>
      <c r="BC1561" s="82"/>
      <c r="BD1561" s="82"/>
      <c r="BE1561" s="82"/>
      <c r="BF1561" s="82"/>
      <c r="BG1561" s="82"/>
      <c r="BH1561" s="82"/>
      <c r="BI1561" s="82"/>
      <c r="BL1561" s="82"/>
      <c r="BM1561" s="82" t="s">
        <v>75</v>
      </c>
      <c r="BN1561" s="82"/>
      <c r="BS1561" s="82"/>
      <c r="CA1561" s="147"/>
    </row>
    <row r="1562" spans="3:79" s="80" customFormat="1">
      <c r="C1562" s="136" t="s">
        <v>1901</v>
      </c>
      <c r="F1562" s="82" t="s">
        <v>72</v>
      </c>
      <c r="H1562" s="80" t="s">
        <v>76</v>
      </c>
      <c r="P1562" s="178"/>
      <c r="S1562" s="192"/>
      <c r="T1562" s="192"/>
      <c r="U1562" s="82"/>
      <c r="V1562" s="82"/>
      <c r="W1562" s="82"/>
      <c r="Y1562" s="82"/>
      <c r="Z1562" s="82"/>
      <c r="AA1562" s="82"/>
      <c r="AS1562" s="82"/>
      <c r="AT1562" s="82"/>
      <c r="AU1562" s="82"/>
      <c r="AV1562" s="82"/>
      <c r="AW1562" s="82"/>
      <c r="AX1562" s="82"/>
      <c r="AY1562" s="82"/>
      <c r="AZ1562" s="82"/>
      <c r="BA1562" s="82"/>
      <c r="BB1562" s="82"/>
      <c r="BC1562" s="82"/>
      <c r="BD1562" s="82"/>
      <c r="BE1562" s="82"/>
      <c r="BF1562" s="82"/>
      <c r="BG1562" s="82"/>
      <c r="BH1562" s="82"/>
      <c r="BI1562" s="82"/>
      <c r="BL1562" s="82"/>
      <c r="BM1562" s="82" t="s">
        <v>75</v>
      </c>
      <c r="BN1562" s="82"/>
      <c r="BS1562" s="82"/>
      <c r="CA1562" s="147"/>
    </row>
    <row r="1563" spans="3:79" s="80" customFormat="1">
      <c r="C1563" s="136" t="s">
        <v>1902</v>
      </c>
      <c r="D1563" s="79"/>
      <c r="E1563" s="79"/>
      <c r="F1563" s="81" t="s">
        <v>73</v>
      </c>
      <c r="G1563" s="79"/>
      <c r="H1563" s="79"/>
      <c r="I1563" s="79"/>
      <c r="J1563" s="79"/>
      <c r="K1563" s="79"/>
      <c r="L1563" s="79"/>
      <c r="M1563" s="79"/>
      <c r="N1563" s="79"/>
      <c r="O1563" s="79"/>
      <c r="P1563" s="178"/>
      <c r="Q1563" s="79"/>
      <c r="R1563" s="79"/>
      <c r="S1563" s="204"/>
      <c r="T1563" s="204"/>
      <c r="U1563" s="81"/>
      <c r="V1563" s="81"/>
      <c r="W1563" s="81"/>
      <c r="Y1563" s="81"/>
      <c r="Z1563" s="82" t="s">
        <v>75</v>
      </c>
      <c r="AA1563" s="82" t="s">
        <v>71</v>
      </c>
      <c r="AS1563" s="81"/>
      <c r="AT1563" s="81"/>
      <c r="AU1563" s="81"/>
      <c r="AV1563" s="81"/>
      <c r="AW1563" s="81"/>
      <c r="AX1563" s="81"/>
      <c r="AY1563" s="81"/>
      <c r="AZ1563" s="81"/>
      <c r="BA1563" s="81"/>
      <c r="BB1563" s="81"/>
      <c r="BC1563" s="81"/>
      <c r="BD1563" s="81"/>
      <c r="BE1563" s="81"/>
      <c r="BF1563" s="81"/>
      <c r="BG1563" s="81"/>
      <c r="BH1563" s="81"/>
      <c r="BI1563" s="81"/>
      <c r="BL1563" s="82"/>
      <c r="BM1563" s="82"/>
      <c r="BN1563" s="82"/>
      <c r="BS1563" s="82"/>
      <c r="CA1563" s="147"/>
    </row>
    <row r="1564" spans="3:79" s="80" customFormat="1">
      <c r="C1564" s="136" t="s">
        <v>1903</v>
      </c>
      <c r="F1564" s="82" t="s">
        <v>72</v>
      </c>
      <c r="P1564" s="178"/>
      <c r="S1564" s="192"/>
      <c r="T1564" s="192"/>
      <c r="U1564" s="82"/>
      <c r="V1564" s="82"/>
      <c r="W1564" s="82"/>
      <c r="Y1564" s="82"/>
      <c r="Z1564" s="82" t="s">
        <v>74</v>
      </c>
      <c r="AA1564" s="82"/>
      <c r="AS1564" s="82"/>
      <c r="AT1564" s="82"/>
      <c r="AU1564" s="82"/>
      <c r="AV1564" s="82"/>
      <c r="AW1564" s="82"/>
      <c r="AX1564" s="82"/>
      <c r="AY1564" s="82"/>
      <c r="AZ1564" s="82"/>
      <c r="BA1564" s="82"/>
      <c r="BB1564" s="82"/>
      <c r="BC1564" s="82"/>
      <c r="BD1564" s="82"/>
      <c r="BE1564" s="82"/>
      <c r="BF1564" s="82"/>
      <c r="BG1564" s="82"/>
      <c r="BH1564" s="82"/>
      <c r="BI1564" s="82"/>
      <c r="BL1564" s="82"/>
      <c r="BM1564" s="82"/>
      <c r="BN1564" s="82"/>
      <c r="BS1564" s="82"/>
      <c r="CA1564" s="147"/>
    </row>
    <row r="1565" spans="3:79" s="80" customFormat="1">
      <c r="C1565" s="136" t="s">
        <v>1904</v>
      </c>
      <c r="F1565" s="82" t="s">
        <v>72</v>
      </c>
      <c r="P1565" s="178"/>
      <c r="S1565" s="192"/>
      <c r="T1565" s="192"/>
      <c r="U1565" s="82"/>
      <c r="V1565" s="82"/>
      <c r="W1565" s="82"/>
      <c r="Y1565" s="82"/>
      <c r="Z1565" s="82"/>
      <c r="AA1565" s="82" t="s">
        <v>71</v>
      </c>
      <c r="AS1565" s="82"/>
      <c r="AT1565" s="82"/>
      <c r="AU1565" s="82"/>
      <c r="AV1565" s="82"/>
      <c r="AW1565" s="82"/>
      <c r="AX1565" s="82"/>
      <c r="AY1565" s="82"/>
      <c r="AZ1565" s="82"/>
      <c r="BA1565" s="82"/>
      <c r="BB1565" s="82"/>
      <c r="BC1565" s="82"/>
      <c r="BD1565" s="82"/>
      <c r="BE1565" s="82"/>
      <c r="BF1565" s="82"/>
      <c r="BG1565" s="82"/>
      <c r="BH1565" s="82"/>
      <c r="BI1565" s="82"/>
      <c r="BL1565" s="82"/>
      <c r="BM1565" s="82"/>
      <c r="BN1565" s="82"/>
      <c r="BS1565" s="82"/>
      <c r="CA1565" s="147"/>
    </row>
    <row r="1566" spans="3:79" s="80" customFormat="1">
      <c r="C1566" s="136" t="s">
        <v>1905</v>
      </c>
      <c r="F1566" s="82" t="s">
        <v>72</v>
      </c>
      <c r="P1566" s="178"/>
      <c r="S1566" s="192"/>
      <c r="T1566" s="192"/>
      <c r="U1566" s="82"/>
      <c r="V1566" s="82"/>
      <c r="W1566" s="82"/>
      <c r="Y1566" s="82"/>
      <c r="Z1566" s="82"/>
      <c r="AA1566" s="82" t="s">
        <v>71</v>
      </c>
      <c r="AS1566" s="82"/>
      <c r="AT1566" s="82"/>
      <c r="AU1566" s="82"/>
      <c r="AV1566" s="82"/>
      <c r="AW1566" s="82"/>
      <c r="AX1566" s="82"/>
      <c r="AY1566" s="82"/>
      <c r="AZ1566" s="82"/>
      <c r="BA1566" s="82"/>
      <c r="BB1566" s="82"/>
      <c r="BC1566" s="82"/>
      <c r="BD1566" s="82"/>
      <c r="BE1566" s="82"/>
      <c r="BF1566" s="82"/>
      <c r="BG1566" s="82"/>
      <c r="BH1566" s="82"/>
      <c r="BI1566" s="82"/>
      <c r="BL1566" s="82"/>
      <c r="BM1566" s="82"/>
      <c r="BN1566" s="82"/>
      <c r="BS1566" s="82"/>
      <c r="CA1566" s="147"/>
    </row>
    <row r="1567" spans="3:79" s="80" customFormat="1">
      <c r="C1567" s="136" t="s">
        <v>1906</v>
      </c>
      <c r="F1567" s="82" t="s">
        <v>72</v>
      </c>
      <c r="P1567" s="178"/>
      <c r="S1567" s="192"/>
      <c r="T1567" s="192"/>
      <c r="U1567" s="82"/>
      <c r="V1567" s="82"/>
      <c r="W1567" s="82"/>
      <c r="Y1567" s="82"/>
      <c r="Z1567" s="82"/>
      <c r="AA1567" s="82" t="s">
        <v>71</v>
      </c>
      <c r="AS1567" s="82"/>
      <c r="AT1567" s="82"/>
      <c r="AU1567" s="82"/>
      <c r="AV1567" s="82"/>
      <c r="AW1567" s="82"/>
      <c r="AX1567" s="82"/>
      <c r="AY1567" s="82"/>
      <c r="AZ1567" s="82"/>
      <c r="BA1567" s="82"/>
      <c r="BB1567" s="82"/>
      <c r="BC1567" s="82"/>
      <c r="BD1567" s="82"/>
      <c r="BE1567" s="82"/>
      <c r="BF1567" s="82"/>
      <c r="BG1567" s="82"/>
      <c r="BH1567" s="82"/>
      <c r="BI1567" s="82"/>
      <c r="BL1567" s="82"/>
      <c r="BM1567" s="82"/>
      <c r="BN1567" s="82"/>
      <c r="BS1567" s="82"/>
      <c r="CA1567" s="147"/>
    </row>
    <row r="1568" spans="3:79" s="80" customFormat="1">
      <c r="C1568" s="136" t="s">
        <v>1907</v>
      </c>
      <c r="F1568" s="82" t="s">
        <v>72</v>
      </c>
      <c r="P1568" s="178"/>
      <c r="S1568" s="192"/>
      <c r="T1568" s="192"/>
      <c r="U1568" s="82"/>
      <c r="V1568" s="82"/>
      <c r="W1568" s="82"/>
      <c r="Y1568" s="82"/>
      <c r="Z1568" s="82"/>
      <c r="AA1568" s="82" t="s">
        <v>71</v>
      </c>
      <c r="AS1568" s="82"/>
      <c r="AT1568" s="82"/>
      <c r="AU1568" s="82"/>
      <c r="AV1568" s="82"/>
      <c r="AW1568" s="82"/>
      <c r="AX1568" s="82"/>
      <c r="AY1568" s="82"/>
      <c r="AZ1568" s="82"/>
      <c r="BA1568" s="82"/>
      <c r="BB1568" s="82"/>
      <c r="BC1568" s="82"/>
      <c r="BD1568" s="82"/>
      <c r="BE1568" s="82"/>
      <c r="BF1568" s="82"/>
      <c r="BG1568" s="82"/>
      <c r="BH1568" s="82"/>
      <c r="BI1568" s="82"/>
      <c r="BL1568" s="82"/>
      <c r="BM1568" s="82"/>
      <c r="BN1568" s="82"/>
      <c r="BS1568" s="82"/>
      <c r="CA1568" s="147"/>
    </row>
    <row r="1569" spans="3:79" s="80" customFormat="1">
      <c r="C1569" s="136" t="s">
        <v>1908</v>
      </c>
      <c r="F1569" s="82" t="s">
        <v>72</v>
      </c>
      <c r="P1569" s="178"/>
      <c r="S1569" s="192"/>
      <c r="T1569" s="192"/>
      <c r="U1569" s="82"/>
      <c r="V1569" s="82"/>
      <c r="W1569" s="82"/>
      <c r="Y1569" s="82"/>
      <c r="Z1569" s="82"/>
      <c r="AA1569" s="82" t="s">
        <v>71</v>
      </c>
      <c r="AS1569" s="82"/>
      <c r="AT1569" s="82"/>
      <c r="AU1569" s="82"/>
      <c r="AV1569" s="82"/>
      <c r="AW1569" s="82"/>
      <c r="AX1569" s="82"/>
      <c r="AY1569" s="82"/>
      <c r="AZ1569" s="82"/>
      <c r="BA1569" s="82"/>
      <c r="BB1569" s="82"/>
      <c r="BC1569" s="82"/>
      <c r="BD1569" s="82"/>
      <c r="BE1569" s="82"/>
      <c r="BF1569" s="82"/>
      <c r="BG1569" s="82"/>
      <c r="BH1569" s="82"/>
      <c r="BI1569" s="82"/>
      <c r="BL1569" s="82"/>
      <c r="BM1569" s="82"/>
      <c r="BN1569" s="82"/>
      <c r="BS1569" s="82"/>
      <c r="CA1569" s="147"/>
    </row>
    <row r="1570" spans="3:79" s="80" customFormat="1" ht="27">
      <c r="C1570" s="136" t="s">
        <v>1909</v>
      </c>
      <c r="F1570" s="82" t="s">
        <v>72</v>
      </c>
      <c r="P1570" s="178"/>
      <c r="S1570" s="192"/>
      <c r="T1570" s="192"/>
      <c r="U1570" s="82"/>
      <c r="V1570" s="82"/>
      <c r="W1570" s="82"/>
      <c r="Y1570" s="82"/>
      <c r="Z1570" s="82"/>
      <c r="AA1570" s="82" t="s">
        <v>71</v>
      </c>
      <c r="AS1570" s="82"/>
      <c r="AT1570" s="82"/>
      <c r="AU1570" s="82"/>
      <c r="AV1570" s="82"/>
      <c r="AW1570" s="82"/>
      <c r="AX1570" s="82"/>
      <c r="AY1570" s="82"/>
      <c r="AZ1570" s="82"/>
      <c r="BA1570" s="82"/>
      <c r="BB1570" s="82"/>
      <c r="BC1570" s="82"/>
      <c r="BD1570" s="82"/>
      <c r="BE1570" s="82"/>
      <c r="BF1570" s="82"/>
      <c r="BG1570" s="82"/>
      <c r="BH1570" s="82"/>
      <c r="BI1570" s="82"/>
      <c r="BL1570" s="82"/>
      <c r="BM1570" s="82"/>
      <c r="BN1570" s="82"/>
      <c r="BS1570" s="82"/>
      <c r="CA1570" s="147"/>
    </row>
    <row r="1571" spans="3:79" s="80" customFormat="1" ht="27">
      <c r="C1571" s="136" t="s">
        <v>1910</v>
      </c>
      <c r="F1571" s="82" t="s">
        <v>72</v>
      </c>
      <c r="P1571" s="178"/>
      <c r="S1571" s="192"/>
      <c r="T1571" s="192"/>
      <c r="U1571" s="82"/>
      <c r="V1571" s="82"/>
      <c r="W1571" s="82"/>
      <c r="Y1571" s="82"/>
      <c r="Z1571" s="82"/>
      <c r="AA1571" s="82" t="s">
        <v>71</v>
      </c>
      <c r="AS1571" s="82"/>
      <c r="AT1571" s="82"/>
      <c r="AU1571" s="82"/>
      <c r="AV1571" s="82"/>
      <c r="AW1571" s="82"/>
      <c r="AX1571" s="82"/>
      <c r="AY1571" s="82"/>
      <c r="AZ1571" s="82"/>
      <c r="BA1571" s="82"/>
      <c r="BB1571" s="82"/>
      <c r="BC1571" s="82"/>
      <c r="BD1571" s="82"/>
      <c r="BE1571" s="82"/>
      <c r="BF1571" s="82"/>
      <c r="BG1571" s="82"/>
      <c r="BH1571" s="82"/>
      <c r="BI1571" s="82"/>
      <c r="BL1571" s="82"/>
      <c r="BM1571" s="82"/>
      <c r="BN1571" s="82"/>
      <c r="BS1571" s="82"/>
      <c r="CA1571" s="147"/>
    </row>
    <row r="1572" spans="3:79" s="80" customFormat="1">
      <c r="C1572" s="136" t="s">
        <v>1911</v>
      </c>
      <c r="F1572" s="82" t="s">
        <v>72</v>
      </c>
      <c r="P1572" s="178"/>
      <c r="S1572" s="192"/>
      <c r="T1572" s="192"/>
      <c r="U1572" s="82"/>
      <c r="V1572" s="82"/>
      <c r="W1572" s="82"/>
      <c r="Y1572" s="82"/>
      <c r="Z1572" s="82"/>
      <c r="AA1572" s="82"/>
      <c r="AS1572" s="82"/>
      <c r="AT1572" s="82"/>
      <c r="AU1572" s="82"/>
      <c r="AV1572" s="82"/>
      <c r="AW1572" s="82"/>
      <c r="AX1572" s="82"/>
      <c r="AY1572" s="82"/>
      <c r="AZ1572" s="82"/>
      <c r="BA1572" s="82"/>
      <c r="BB1572" s="82"/>
      <c r="BC1572" s="82"/>
      <c r="BD1572" s="82"/>
      <c r="BE1572" s="82"/>
      <c r="BF1572" s="82"/>
      <c r="BG1572" s="82"/>
      <c r="BH1572" s="82"/>
      <c r="BI1572" s="82"/>
      <c r="BL1572" s="82"/>
      <c r="BM1572" s="82"/>
      <c r="BN1572" s="82"/>
      <c r="BS1572" s="82"/>
      <c r="CA1572" s="147"/>
    </row>
    <row r="1573" spans="3:79" s="80" customFormat="1">
      <c r="C1573" s="136" t="s">
        <v>1912</v>
      </c>
      <c r="F1573" s="82" t="s">
        <v>72</v>
      </c>
      <c r="P1573" s="178"/>
      <c r="S1573" s="192"/>
      <c r="T1573" s="192"/>
      <c r="U1573" s="82"/>
      <c r="V1573" s="82"/>
      <c r="W1573" s="82"/>
      <c r="Y1573" s="82"/>
      <c r="Z1573" s="82"/>
      <c r="AA1573" s="82"/>
      <c r="AS1573" s="82"/>
      <c r="AT1573" s="82"/>
      <c r="AU1573" s="82"/>
      <c r="AV1573" s="82"/>
      <c r="AW1573" s="82"/>
      <c r="AX1573" s="82"/>
      <c r="AY1573" s="82"/>
      <c r="AZ1573" s="82"/>
      <c r="BA1573" s="82"/>
      <c r="BB1573" s="82"/>
      <c r="BC1573" s="82"/>
      <c r="BD1573" s="82"/>
      <c r="BE1573" s="82"/>
      <c r="BF1573" s="82"/>
      <c r="BG1573" s="82"/>
      <c r="BH1573" s="82"/>
      <c r="BI1573" s="82"/>
      <c r="BL1573" s="82"/>
      <c r="BM1573" s="82"/>
      <c r="BN1573" s="82"/>
      <c r="BS1573" s="82"/>
      <c r="CA1573" s="147"/>
    </row>
    <row r="1574" spans="3:79" s="80" customFormat="1">
      <c r="C1574" s="136" t="s">
        <v>1913</v>
      </c>
      <c r="F1574" s="82" t="s">
        <v>72</v>
      </c>
      <c r="P1574" s="178"/>
      <c r="S1574" s="192"/>
      <c r="T1574" s="192"/>
      <c r="U1574" s="82"/>
      <c r="V1574" s="82"/>
      <c r="W1574" s="82"/>
      <c r="Y1574" s="82"/>
      <c r="Z1574" s="82"/>
      <c r="AA1574" s="82"/>
      <c r="AS1574" s="82"/>
      <c r="AT1574" s="82"/>
      <c r="AU1574" s="82"/>
      <c r="AV1574" s="82"/>
      <c r="AW1574" s="82"/>
      <c r="AX1574" s="82"/>
      <c r="AY1574" s="82"/>
      <c r="AZ1574" s="82"/>
      <c r="BA1574" s="82"/>
      <c r="BB1574" s="82"/>
      <c r="BC1574" s="82"/>
      <c r="BD1574" s="82"/>
      <c r="BE1574" s="82"/>
      <c r="BF1574" s="82"/>
      <c r="BG1574" s="82"/>
      <c r="BH1574" s="82"/>
      <c r="BI1574" s="82"/>
      <c r="BL1574" s="82"/>
      <c r="BM1574" s="82"/>
      <c r="BN1574" s="82"/>
      <c r="BS1574" s="82"/>
      <c r="CA1574" s="147"/>
    </row>
    <row r="1575" spans="3:79" s="80" customFormat="1">
      <c r="C1575" s="136"/>
      <c r="F1575" s="82"/>
      <c r="P1575" s="178"/>
      <c r="S1575" s="192"/>
      <c r="T1575" s="192"/>
      <c r="U1575" s="82"/>
      <c r="V1575" s="82"/>
      <c r="W1575" s="82"/>
      <c r="Y1575" s="82"/>
      <c r="Z1575" s="82"/>
      <c r="AA1575" s="82"/>
      <c r="AS1575" s="82"/>
      <c r="AT1575" s="82"/>
      <c r="AU1575" s="82"/>
      <c r="AV1575" s="82"/>
      <c r="AW1575" s="82"/>
      <c r="AX1575" s="82"/>
      <c r="AY1575" s="82"/>
      <c r="AZ1575" s="82"/>
      <c r="BA1575" s="82"/>
      <c r="BB1575" s="82"/>
      <c r="BC1575" s="82"/>
      <c r="BD1575" s="82"/>
      <c r="BE1575" s="82"/>
      <c r="BF1575" s="82"/>
      <c r="BG1575" s="82"/>
      <c r="BH1575" s="82"/>
      <c r="BI1575" s="82"/>
      <c r="BL1575" s="82"/>
      <c r="BM1575" s="82"/>
      <c r="BN1575" s="82"/>
      <c r="BS1575" s="82"/>
      <c r="CA1575" s="147"/>
    </row>
    <row r="1576" spans="3:79" s="80" customFormat="1">
      <c r="C1576" s="136" t="s">
        <v>1914</v>
      </c>
      <c r="F1576" s="81" t="s">
        <v>73</v>
      </c>
      <c r="P1576" s="178"/>
      <c r="S1576" s="192"/>
      <c r="T1576" s="192"/>
      <c r="U1576" s="81"/>
      <c r="V1576" s="81"/>
      <c r="W1576" s="81"/>
      <c r="Y1576" s="81"/>
      <c r="AA1576" s="82" t="s">
        <v>71</v>
      </c>
      <c r="AS1576" s="81"/>
      <c r="AT1576" s="81"/>
      <c r="AU1576" s="81"/>
      <c r="AV1576" s="81"/>
      <c r="AW1576" s="81"/>
      <c r="AX1576" s="81"/>
      <c r="AY1576" s="81"/>
      <c r="AZ1576" s="81"/>
      <c r="BA1576" s="81"/>
      <c r="BB1576" s="81"/>
      <c r="BC1576" s="81"/>
      <c r="BD1576" s="81"/>
      <c r="BE1576" s="81"/>
      <c r="BF1576" s="81"/>
      <c r="BG1576" s="81"/>
      <c r="BH1576" s="81"/>
      <c r="BI1576" s="81"/>
      <c r="BL1576" s="82"/>
      <c r="BM1576" s="82"/>
      <c r="BN1576" s="82"/>
      <c r="BS1576" s="82"/>
      <c r="CA1576" s="147"/>
    </row>
    <row r="1577" spans="3:79" s="80" customFormat="1" ht="27">
      <c r="C1577" s="136" t="s">
        <v>1915</v>
      </c>
      <c r="F1577" s="81" t="s">
        <v>73</v>
      </c>
      <c r="P1577" s="178"/>
      <c r="S1577" s="192"/>
      <c r="T1577" s="192"/>
      <c r="U1577" s="81"/>
      <c r="V1577" s="81"/>
      <c r="W1577" s="81"/>
      <c r="Y1577" s="81"/>
      <c r="AA1577" s="82" t="s">
        <v>71</v>
      </c>
      <c r="AS1577" s="81"/>
      <c r="AT1577" s="81"/>
      <c r="AU1577" s="81"/>
      <c r="AV1577" s="81"/>
      <c r="AW1577" s="81"/>
      <c r="AX1577" s="81"/>
      <c r="AY1577" s="81"/>
      <c r="AZ1577" s="81"/>
      <c r="BA1577" s="81"/>
      <c r="BB1577" s="81"/>
      <c r="BC1577" s="81"/>
      <c r="BD1577" s="81"/>
      <c r="BE1577" s="81"/>
      <c r="BF1577" s="81"/>
      <c r="BG1577" s="81"/>
      <c r="BH1577" s="81"/>
      <c r="BI1577" s="81"/>
      <c r="BL1577" s="82"/>
      <c r="BM1577" s="82"/>
      <c r="BN1577" s="82"/>
      <c r="BS1577" s="82"/>
      <c r="CA1577" s="147"/>
    </row>
    <row r="1578" spans="3:79" s="80" customFormat="1">
      <c r="C1578" s="136" t="s">
        <v>1916</v>
      </c>
      <c r="F1578" s="81" t="s">
        <v>73</v>
      </c>
      <c r="P1578" s="178"/>
      <c r="S1578" s="192"/>
      <c r="T1578" s="192"/>
      <c r="U1578" s="81"/>
      <c r="V1578" s="81"/>
      <c r="W1578" s="81"/>
      <c r="Y1578" s="81"/>
      <c r="AA1578" s="82" t="s">
        <v>71</v>
      </c>
      <c r="AS1578" s="81"/>
      <c r="AT1578" s="81"/>
      <c r="AU1578" s="81"/>
      <c r="AV1578" s="81"/>
      <c r="AW1578" s="81"/>
      <c r="AX1578" s="81"/>
      <c r="AY1578" s="81"/>
      <c r="AZ1578" s="81"/>
      <c r="BA1578" s="81"/>
      <c r="BB1578" s="81"/>
      <c r="BC1578" s="81"/>
      <c r="BD1578" s="81"/>
      <c r="BE1578" s="81"/>
      <c r="BF1578" s="81"/>
      <c r="BG1578" s="81"/>
      <c r="BH1578" s="81"/>
      <c r="BI1578" s="81"/>
      <c r="BL1578" s="82"/>
      <c r="BM1578" s="82"/>
      <c r="BN1578" s="82"/>
      <c r="BS1578" s="82"/>
      <c r="CA1578" s="147"/>
    </row>
    <row r="1579" spans="3:79" s="80" customFormat="1">
      <c r="C1579" s="136" t="s">
        <v>1917</v>
      </c>
      <c r="F1579" s="81" t="s">
        <v>73</v>
      </c>
      <c r="P1579" s="178"/>
      <c r="S1579" s="192"/>
      <c r="T1579" s="192"/>
      <c r="U1579" s="81"/>
      <c r="V1579" s="81"/>
      <c r="W1579" s="81"/>
      <c r="Y1579" s="81"/>
      <c r="AA1579" s="82" t="s">
        <v>71</v>
      </c>
      <c r="AS1579" s="81"/>
      <c r="AT1579" s="81"/>
      <c r="AU1579" s="81"/>
      <c r="AV1579" s="81"/>
      <c r="AW1579" s="81"/>
      <c r="AX1579" s="81"/>
      <c r="AY1579" s="81"/>
      <c r="AZ1579" s="81"/>
      <c r="BA1579" s="81"/>
      <c r="BB1579" s="81"/>
      <c r="BC1579" s="81"/>
      <c r="BD1579" s="81"/>
      <c r="BE1579" s="81"/>
      <c r="BF1579" s="81"/>
      <c r="BG1579" s="81"/>
      <c r="BH1579" s="81"/>
      <c r="BI1579" s="81"/>
      <c r="BL1579" s="82"/>
      <c r="BM1579" s="82"/>
      <c r="BN1579" s="82"/>
      <c r="BS1579" s="82"/>
      <c r="CA1579" s="147"/>
    </row>
    <row r="1580" spans="3:79" s="80" customFormat="1">
      <c r="C1580" s="136" t="s">
        <v>1918</v>
      </c>
      <c r="F1580" s="81" t="s">
        <v>73</v>
      </c>
      <c r="P1580" s="178"/>
      <c r="S1580" s="192"/>
      <c r="T1580" s="192"/>
      <c r="U1580" s="81"/>
      <c r="V1580" s="81"/>
      <c r="W1580" s="81"/>
      <c r="Y1580" s="81"/>
      <c r="AA1580" s="82" t="s">
        <v>71</v>
      </c>
      <c r="AS1580" s="81"/>
      <c r="AT1580" s="81"/>
      <c r="AU1580" s="81"/>
      <c r="AV1580" s="81"/>
      <c r="AW1580" s="81"/>
      <c r="AX1580" s="81"/>
      <c r="AY1580" s="81"/>
      <c r="AZ1580" s="81"/>
      <c r="BA1580" s="81"/>
      <c r="BB1580" s="81"/>
      <c r="BC1580" s="81"/>
      <c r="BD1580" s="81"/>
      <c r="BE1580" s="81"/>
      <c r="BF1580" s="81"/>
      <c r="BG1580" s="81"/>
      <c r="BH1580" s="81"/>
      <c r="BI1580" s="81"/>
      <c r="BL1580" s="82"/>
      <c r="BM1580" s="82"/>
      <c r="BN1580" s="82"/>
      <c r="BS1580" s="82"/>
      <c r="CA1580" s="147"/>
    </row>
    <row r="1581" spans="3:79" s="80" customFormat="1">
      <c r="C1581" s="136" t="s">
        <v>1919</v>
      </c>
      <c r="F1581" s="81" t="s">
        <v>73</v>
      </c>
      <c r="P1581" s="178"/>
      <c r="S1581" s="192"/>
      <c r="T1581" s="192"/>
      <c r="U1581" s="81"/>
      <c r="V1581" s="81"/>
      <c r="W1581" s="81"/>
      <c r="Y1581" s="81"/>
      <c r="AA1581" s="82" t="s">
        <v>71</v>
      </c>
      <c r="AS1581" s="81"/>
      <c r="AT1581" s="81"/>
      <c r="AU1581" s="81"/>
      <c r="AV1581" s="81"/>
      <c r="AW1581" s="81"/>
      <c r="AX1581" s="81"/>
      <c r="AY1581" s="81"/>
      <c r="AZ1581" s="81"/>
      <c r="BA1581" s="81"/>
      <c r="BB1581" s="81"/>
      <c r="BC1581" s="81"/>
      <c r="BD1581" s="81"/>
      <c r="BE1581" s="81"/>
      <c r="BF1581" s="81"/>
      <c r="BG1581" s="81"/>
      <c r="BH1581" s="81"/>
      <c r="BI1581" s="81"/>
      <c r="BL1581" s="82"/>
      <c r="BM1581" s="82"/>
      <c r="BN1581" s="82"/>
      <c r="BS1581" s="82"/>
      <c r="CA1581" s="147"/>
    </row>
    <row r="1582" spans="3:79" s="80" customFormat="1" ht="27">
      <c r="C1582" s="136" t="s">
        <v>1920</v>
      </c>
      <c r="F1582" s="81" t="s">
        <v>73</v>
      </c>
      <c r="P1582" s="178"/>
      <c r="S1582" s="192"/>
      <c r="T1582" s="192"/>
      <c r="U1582" s="81"/>
      <c r="V1582" s="81"/>
      <c r="W1582" s="81"/>
      <c r="Y1582" s="81"/>
      <c r="AA1582" s="82" t="s">
        <v>71</v>
      </c>
      <c r="AS1582" s="81"/>
      <c r="AT1582" s="81"/>
      <c r="AU1582" s="81"/>
      <c r="AV1582" s="81"/>
      <c r="AW1582" s="81"/>
      <c r="AX1582" s="81"/>
      <c r="AY1582" s="81"/>
      <c r="AZ1582" s="81"/>
      <c r="BA1582" s="81"/>
      <c r="BB1582" s="81"/>
      <c r="BC1582" s="81"/>
      <c r="BD1582" s="81"/>
      <c r="BE1582" s="81"/>
      <c r="BF1582" s="81"/>
      <c r="BG1582" s="81"/>
      <c r="BH1582" s="81"/>
      <c r="BI1582" s="81"/>
      <c r="BL1582" s="82"/>
      <c r="BM1582" s="82"/>
      <c r="BN1582" s="82"/>
      <c r="BS1582" s="82"/>
      <c r="CA1582" s="147"/>
    </row>
    <row r="1583" spans="3:79" s="80" customFormat="1">
      <c r="C1583" s="136" t="s">
        <v>1921</v>
      </c>
      <c r="F1583" s="81" t="s">
        <v>73</v>
      </c>
      <c r="P1583" s="178"/>
      <c r="S1583" s="192"/>
      <c r="T1583" s="192"/>
      <c r="U1583" s="81"/>
      <c r="V1583" s="81"/>
      <c r="W1583" s="81"/>
      <c r="Y1583" s="81"/>
      <c r="AA1583" s="82" t="s">
        <v>71</v>
      </c>
      <c r="AS1583" s="81"/>
      <c r="AT1583" s="81"/>
      <c r="AU1583" s="81"/>
      <c r="AV1583" s="81"/>
      <c r="AW1583" s="81"/>
      <c r="AX1583" s="81"/>
      <c r="AY1583" s="81"/>
      <c r="AZ1583" s="81"/>
      <c r="BA1583" s="81"/>
      <c r="BB1583" s="81"/>
      <c r="BC1583" s="81"/>
      <c r="BD1583" s="81"/>
      <c r="BE1583" s="81"/>
      <c r="BF1583" s="81"/>
      <c r="BG1583" s="81"/>
      <c r="BH1583" s="81"/>
      <c r="BI1583" s="81"/>
      <c r="BL1583" s="82"/>
      <c r="BM1583" s="82"/>
      <c r="BN1583" s="82"/>
      <c r="BS1583" s="82"/>
      <c r="CA1583" s="147"/>
    </row>
    <row r="1584" spans="3:79" s="80" customFormat="1">
      <c r="C1584" s="136" t="s">
        <v>1922</v>
      </c>
      <c r="F1584" s="81" t="s">
        <v>73</v>
      </c>
      <c r="P1584" s="178"/>
      <c r="S1584" s="192"/>
      <c r="T1584" s="192"/>
      <c r="U1584" s="81"/>
      <c r="V1584" s="81"/>
      <c r="W1584" s="81"/>
      <c r="Y1584" s="81"/>
      <c r="AA1584" s="82" t="s">
        <v>71</v>
      </c>
      <c r="AS1584" s="81"/>
      <c r="AT1584" s="81"/>
      <c r="AU1584" s="81"/>
      <c r="AV1584" s="81"/>
      <c r="AW1584" s="81"/>
      <c r="AX1584" s="81"/>
      <c r="AY1584" s="81"/>
      <c r="AZ1584" s="81"/>
      <c r="BA1584" s="81"/>
      <c r="BB1584" s="81"/>
      <c r="BC1584" s="81"/>
      <c r="BD1584" s="81"/>
      <c r="BE1584" s="81"/>
      <c r="BF1584" s="81"/>
      <c r="BG1584" s="81"/>
      <c r="BH1584" s="81"/>
      <c r="BI1584" s="81"/>
      <c r="BL1584" s="82"/>
      <c r="BM1584" s="82"/>
      <c r="BN1584" s="82"/>
      <c r="BS1584" s="82"/>
      <c r="CA1584" s="147"/>
    </row>
    <row r="1585" spans="3:79" s="80" customFormat="1">
      <c r="C1585" s="136" t="s">
        <v>1923</v>
      </c>
      <c r="F1585" s="81" t="s">
        <v>73</v>
      </c>
      <c r="P1585" s="178"/>
      <c r="S1585" s="192"/>
      <c r="T1585" s="192"/>
      <c r="U1585" s="81"/>
      <c r="V1585" s="81"/>
      <c r="W1585" s="81"/>
      <c r="Y1585" s="81"/>
      <c r="AA1585" s="82" t="s">
        <v>71</v>
      </c>
      <c r="AS1585" s="81"/>
      <c r="AT1585" s="81"/>
      <c r="AU1585" s="81"/>
      <c r="AV1585" s="81"/>
      <c r="AW1585" s="81"/>
      <c r="AX1585" s="81"/>
      <c r="AY1585" s="81"/>
      <c r="AZ1585" s="81"/>
      <c r="BA1585" s="81"/>
      <c r="BB1585" s="81"/>
      <c r="BC1585" s="81"/>
      <c r="BD1585" s="81"/>
      <c r="BE1585" s="81"/>
      <c r="BF1585" s="81"/>
      <c r="BG1585" s="81"/>
      <c r="BH1585" s="81"/>
      <c r="BI1585" s="81"/>
      <c r="BL1585" s="82"/>
      <c r="BM1585" s="82"/>
      <c r="BN1585" s="82"/>
      <c r="BS1585" s="82"/>
      <c r="CA1585" s="147"/>
    </row>
    <row r="1586" spans="3:79" s="80" customFormat="1">
      <c r="C1586" s="136" t="s">
        <v>1924</v>
      </c>
      <c r="F1586" s="81" t="s">
        <v>73</v>
      </c>
      <c r="P1586" s="178"/>
      <c r="S1586" s="192"/>
      <c r="T1586" s="192"/>
      <c r="U1586" s="81"/>
      <c r="V1586" s="81"/>
      <c r="W1586" s="81"/>
      <c r="Y1586" s="81"/>
      <c r="AA1586" s="82" t="s">
        <v>71</v>
      </c>
      <c r="AS1586" s="81"/>
      <c r="AT1586" s="81"/>
      <c r="AU1586" s="81"/>
      <c r="AV1586" s="81"/>
      <c r="AW1586" s="81"/>
      <c r="AX1586" s="81"/>
      <c r="AY1586" s="81"/>
      <c r="AZ1586" s="81"/>
      <c r="BA1586" s="81"/>
      <c r="BB1586" s="81"/>
      <c r="BC1586" s="81"/>
      <c r="BD1586" s="81"/>
      <c r="BE1586" s="81"/>
      <c r="BF1586" s="81"/>
      <c r="BG1586" s="81"/>
      <c r="BH1586" s="81"/>
      <c r="BI1586" s="81"/>
      <c r="BL1586" s="82"/>
      <c r="BM1586" s="82"/>
      <c r="BN1586" s="82"/>
      <c r="BS1586" s="82"/>
      <c r="CA1586" s="147"/>
    </row>
    <row r="1587" spans="3:79" s="80" customFormat="1">
      <c r="C1587" s="136" t="s">
        <v>1925</v>
      </c>
      <c r="F1587" s="81" t="s">
        <v>73</v>
      </c>
      <c r="P1587" s="178"/>
      <c r="S1587" s="192"/>
      <c r="T1587" s="192"/>
      <c r="U1587" s="81"/>
      <c r="V1587" s="81"/>
      <c r="W1587" s="81"/>
      <c r="Y1587" s="81"/>
      <c r="AA1587" s="82" t="s">
        <v>71</v>
      </c>
      <c r="AS1587" s="81"/>
      <c r="AT1587" s="81"/>
      <c r="AU1587" s="81"/>
      <c r="AV1587" s="81"/>
      <c r="AW1587" s="81"/>
      <c r="AX1587" s="81"/>
      <c r="AY1587" s="81"/>
      <c r="AZ1587" s="81"/>
      <c r="BA1587" s="81"/>
      <c r="BB1587" s="81"/>
      <c r="BC1587" s="81"/>
      <c r="BD1587" s="81"/>
      <c r="BE1587" s="81"/>
      <c r="BF1587" s="81"/>
      <c r="BG1587" s="81"/>
      <c r="BH1587" s="81"/>
      <c r="BI1587" s="81"/>
      <c r="BL1587" s="82"/>
      <c r="BM1587" s="82"/>
      <c r="BN1587" s="82"/>
      <c r="BS1587" s="82"/>
      <c r="CA1587" s="147"/>
    </row>
    <row r="1588" spans="3:79" s="80" customFormat="1">
      <c r="C1588" s="136"/>
      <c r="F1588" s="82"/>
      <c r="P1588" s="178"/>
      <c r="S1588" s="192"/>
      <c r="T1588" s="192"/>
      <c r="U1588" s="82"/>
      <c r="V1588" s="82"/>
      <c r="W1588" s="82"/>
      <c r="Y1588" s="82"/>
      <c r="AA1588" s="82"/>
      <c r="AS1588" s="82"/>
      <c r="AT1588" s="82"/>
      <c r="AU1588" s="82"/>
      <c r="AV1588" s="82"/>
      <c r="AW1588" s="82"/>
      <c r="AX1588" s="82"/>
      <c r="AY1588" s="82"/>
      <c r="AZ1588" s="82"/>
      <c r="BA1588" s="82"/>
      <c r="BB1588" s="82"/>
      <c r="BC1588" s="82"/>
      <c r="BD1588" s="82"/>
      <c r="BE1588" s="82"/>
      <c r="BF1588" s="82"/>
      <c r="BG1588" s="82"/>
      <c r="BH1588" s="82"/>
      <c r="BI1588" s="82"/>
      <c r="BL1588" s="82"/>
      <c r="BM1588" s="82"/>
      <c r="BN1588" s="82"/>
      <c r="BS1588" s="82"/>
      <c r="CA1588" s="147"/>
    </row>
    <row r="1589" spans="3:79" s="80" customFormat="1">
      <c r="C1589" s="136" t="s">
        <v>1926</v>
      </c>
      <c r="F1589" s="82" t="s">
        <v>72</v>
      </c>
      <c r="P1589" s="178"/>
      <c r="S1589" s="192"/>
      <c r="T1589" s="192"/>
      <c r="U1589" s="82"/>
      <c r="V1589" s="82"/>
      <c r="W1589" s="82"/>
      <c r="Y1589" s="82"/>
      <c r="AA1589" s="82" t="s">
        <v>71</v>
      </c>
      <c r="AS1589" s="82"/>
      <c r="AT1589" s="82"/>
      <c r="AU1589" s="82"/>
      <c r="AV1589" s="82"/>
      <c r="AW1589" s="82"/>
      <c r="AX1589" s="82"/>
      <c r="AY1589" s="82"/>
      <c r="AZ1589" s="82"/>
      <c r="BA1589" s="82"/>
      <c r="BB1589" s="82"/>
      <c r="BC1589" s="82"/>
      <c r="BD1589" s="82"/>
      <c r="BE1589" s="82"/>
      <c r="BF1589" s="82"/>
      <c r="BG1589" s="82"/>
      <c r="BH1589" s="82"/>
      <c r="BI1589" s="82"/>
      <c r="BL1589" s="82"/>
      <c r="BM1589" s="82"/>
      <c r="BN1589" s="82"/>
      <c r="BS1589" s="82"/>
      <c r="CA1589" s="147"/>
    </row>
    <row r="1590" spans="3:79" s="80" customFormat="1" ht="27">
      <c r="C1590" s="136" t="s">
        <v>1927</v>
      </c>
      <c r="F1590" s="82" t="s">
        <v>72</v>
      </c>
      <c r="P1590" s="178"/>
      <c r="S1590" s="192"/>
      <c r="T1590" s="192"/>
      <c r="U1590" s="82"/>
      <c r="V1590" s="82"/>
      <c r="W1590" s="82"/>
      <c r="Y1590" s="82"/>
      <c r="AA1590" s="82" t="s">
        <v>71</v>
      </c>
      <c r="AS1590" s="82"/>
      <c r="AT1590" s="82"/>
      <c r="AU1590" s="82"/>
      <c r="AV1590" s="82"/>
      <c r="AW1590" s="82"/>
      <c r="AX1590" s="82"/>
      <c r="AY1590" s="82"/>
      <c r="AZ1590" s="82"/>
      <c r="BA1590" s="82"/>
      <c r="BB1590" s="82"/>
      <c r="BC1590" s="82"/>
      <c r="BD1590" s="82"/>
      <c r="BE1590" s="82"/>
      <c r="BF1590" s="82"/>
      <c r="BG1590" s="82"/>
      <c r="BH1590" s="82"/>
      <c r="BI1590" s="82"/>
      <c r="BL1590" s="82"/>
      <c r="BM1590" s="82"/>
      <c r="BN1590" s="82"/>
      <c r="BS1590" s="82"/>
      <c r="CA1590" s="147"/>
    </row>
    <row r="1591" spans="3:79" s="80" customFormat="1">
      <c r="C1591" s="136" t="s">
        <v>1928</v>
      </c>
      <c r="F1591" s="82" t="s">
        <v>72</v>
      </c>
      <c r="P1591" s="178"/>
      <c r="S1591" s="192"/>
      <c r="T1591" s="192"/>
      <c r="U1591" s="82"/>
      <c r="V1591" s="82"/>
      <c r="W1591" s="82"/>
      <c r="Y1591" s="82"/>
      <c r="AA1591" s="82" t="s">
        <v>71</v>
      </c>
      <c r="AS1591" s="82"/>
      <c r="AT1591" s="82"/>
      <c r="AU1591" s="82"/>
      <c r="AV1591" s="82"/>
      <c r="AW1591" s="82"/>
      <c r="AX1591" s="82"/>
      <c r="AY1591" s="82"/>
      <c r="AZ1591" s="82"/>
      <c r="BA1591" s="82"/>
      <c r="BB1591" s="82"/>
      <c r="BC1591" s="82"/>
      <c r="BD1591" s="82"/>
      <c r="BE1591" s="82"/>
      <c r="BF1591" s="82"/>
      <c r="BG1591" s="82"/>
      <c r="BH1591" s="82"/>
      <c r="BI1591" s="82"/>
      <c r="BL1591" s="82"/>
      <c r="BM1591" s="82"/>
      <c r="BN1591" s="82"/>
      <c r="BS1591" s="82"/>
      <c r="CA1591" s="147"/>
    </row>
    <row r="1592" spans="3:79" s="80" customFormat="1">
      <c r="C1592" s="136" t="s">
        <v>1929</v>
      </c>
      <c r="F1592" s="82" t="s">
        <v>72</v>
      </c>
      <c r="P1592" s="178"/>
      <c r="S1592" s="192"/>
      <c r="T1592" s="192"/>
      <c r="U1592" s="82"/>
      <c r="V1592" s="82"/>
      <c r="W1592" s="82"/>
      <c r="Y1592" s="82"/>
      <c r="AA1592" s="82" t="s">
        <v>71</v>
      </c>
      <c r="AS1592" s="82"/>
      <c r="AT1592" s="82"/>
      <c r="AU1592" s="82"/>
      <c r="AV1592" s="82"/>
      <c r="AW1592" s="82"/>
      <c r="AX1592" s="82"/>
      <c r="AY1592" s="82"/>
      <c r="AZ1592" s="82"/>
      <c r="BA1592" s="82"/>
      <c r="BB1592" s="82"/>
      <c r="BC1592" s="82"/>
      <c r="BD1592" s="82"/>
      <c r="BE1592" s="82"/>
      <c r="BF1592" s="82"/>
      <c r="BG1592" s="82"/>
      <c r="BH1592" s="82"/>
      <c r="BI1592" s="82"/>
      <c r="BL1592" s="82"/>
      <c r="BN1592" s="82"/>
      <c r="BS1592" s="82"/>
      <c r="CA1592" s="147"/>
    </row>
    <row r="1593" spans="3:79" s="80" customFormat="1">
      <c r="C1593" s="136" t="s">
        <v>1930</v>
      </c>
      <c r="F1593" s="82" t="s">
        <v>72</v>
      </c>
      <c r="P1593" s="178"/>
      <c r="S1593" s="192"/>
      <c r="T1593" s="192"/>
      <c r="U1593" s="82"/>
      <c r="V1593" s="82"/>
      <c r="W1593" s="82"/>
      <c r="Y1593" s="82"/>
      <c r="AA1593" s="82" t="s">
        <v>71</v>
      </c>
      <c r="AS1593" s="82"/>
      <c r="AT1593" s="82"/>
      <c r="AU1593" s="82"/>
      <c r="AV1593" s="82"/>
      <c r="AW1593" s="82"/>
      <c r="AX1593" s="82"/>
      <c r="AY1593" s="82"/>
      <c r="AZ1593" s="82"/>
      <c r="BA1593" s="82"/>
      <c r="BB1593" s="82"/>
      <c r="BC1593" s="82"/>
      <c r="BD1593" s="82"/>
      <c r="BE1593" s="82"/>
      <c r="BF1593" s="82"/>
      <c r="BG1593" s="82"/>
      <c r="BH1593" s="82"/>
      <c r="BI1593" s="82"/>
      <c r="BL1593" s="82"/>
      <c r="BN1593" s="82"/>
      <c r="BS1593" s="82"/>
      <c r="CA1593" s="147"/>
    </row>
    <row r="1594" spans="3:79" s="80" customFormat="1">
      <c r="C1594" s="136" t="s">
        <v>1931</v>
      </c>
      <c r="F1594" s="82" t="s">
        <v>72</v>
      </c>
      <c r="P1594" s="178"/>
      <c r="S1594" s="192"/>
      <c r="T1594" s="192"/>
      <c r="U1594" s="82"/>
      <c r="V1594" s="82"/>
      <c r="W1594" s="82"/>
      <c r="Y1594" s="82"/>
      <c r="AA1594" s="82" t="s">
        <v>71</v>
      </c>
      <c r="AS1594" s="82"/>
      <c r="AT1594" s="82"/>
      <c r="AU1594" s="82"/>
      <c r="AV1594" s="82"/>
      <c r="AW1594" s="82"/>
      <c r="AX1594" s="82"/>
      <c r="AY1594" s="82"/>
      <c r="AZ1594" s="82"/>
      <c r="BA1594" s="82"/>
      <c r="BB1594" s="82"/>
      <c r="BC1594" s="82"/>
      <c r="BD1594" s="82"/>
      <c r="BE1594" s="82"/>
      <c r="BF1594" s="82"/>
      <c r="BG1594" s="82"/>
      <c r="BH1594" s="82"/>
      <c r="BI1594" s="82"/>
      <c r="BL1594" s="82"/>
      <c r="BN1594" s="82"/>
      <c r="BS1594" s="82"/>
      <c r="CA1594" s="147"/>
    </row>
    <row r="1595" spans="3:79" s="80" customFormat="1">
      <c r="C1595" s="136" t="s">
        <v>1932</v>
      </c>
      <c r="F1595" s="82" t="s">
        <v>72</v>
      </c>
      <c r="P1595" s="178"/>
      <c r="S1595" s="192"/>
      <c r="T1595" s="192"/>
      <c r="U1595" s="82"/>
      <c r="V1595" s="82"/>
      <c r="W1595" s="82"/>
      <c r="Y1595" s="82"/>
      <c r="AA1595" s="82" t="s">
        <v>71</v>
      </c>
      <c r="AS1595" s="82"/>
      <c r="AT1595" s="82"/>
      <c r="AU1595" s="82"/>
      <c r="AV1595" s="82"/>
      <c r="AW1595" s="82"/>
      <c r="AX1595" s="82"/>
      <c r="AY1595" s="82"/>
      <c r="AZ1595" s="82"/>
      <c r="BA1595" s="82"/>
      <c r="BB1595" s="82"/>
      <c r="BC1595" s="82"/>
      <c r="BD1595" s="82"/>
      <c r="BE1595" s="82"/>
      <c r="BF1595" s="82"/>
      <c r="BG1595" s="82"/>
      <c r="BH1595" s="82"/>
      <c r="BI1595" s="82"/>
      <c r="BL1595" s="82"/>
      <c r="BN1595" s="82"/>
      <c r="BS1595" s="82"/>
      <c r="CA1595" s="147"/>
    </row>
    <row r="1596" spans="3:79" s="80" customFormat="1">
      <c r="C1596" s="136"/>
      <c r="F1596" s="82"/>
      <c r="P1596" s="168"/>
      <c r="S1596" s="192"/>
      <c r="T1596" s="192"/>
      <c r="U1596" s="82"/>
      <c r="V1596" s="82"/>
      <c r="W1596" s="82"/>
      <c r="Y1596" s="82"/>
      <c r="AC1596" s="82"/>
      <c r="AS1596" s="82"/>
      <c r="AT1596" s="82"/>
      <c r="AU1596" s="82"/>
      <c r="AV1596" s="82"/>
      <c r="AW1596" s="82"/>
      <c r="AX1596" s="82"/>
      <c r="AY1596" s="82"/>
      <c r="AZ1596" s="82"/>
      <c r="BA1596" s="82"/>
      <c r="BB1596" s="82"/>
      <c r="BC1596" s="82"/>
      <c r="BD1596" s="82"/>
      <c r="BE1596" s="82"/>
      <c r="BF1596" s="82"/>
      <c r="BG1596" s="82"/>
      <c r="BH1596" s="82"/>
      <c r="BI1596" s="82"/>
      <c r="BL1596" s="82"/>
      <c r="CA1596" s="147"/>
    </row>
    <row r="1597" spans="3:79" s="80" customFormat="1">
      <c r="C1597" s="136" t="s">
        <v>1933</v>
      </c>
      <c r="F1597" s="82"/>
      <c r="P1597" s="168"/>
      <c r="S1597" s="192"/>
      <c r="T1597" s="192"/>
      <c r="U1597" s="82"/>
      <c r="V1597" s="82"/>
      <c r="W1597" s="82"/>
      <c r="Y1597" s="82"/>
      <c r="AC1597" s="82"/>
      <c r="AS1597" s="82"/>
      <c r="AT1597" s="82"/>
      <c r="AU1597" s="82"/>
      <c r="AV1597" s="82"/>
      <c r="AW1597" s="82"/>
      <c r="AX1597" s="82"/>
      <c r="AY1597" s="82"/>
      <c r="AZ1597" s="82"/>
      <c r="BA1597" s="82"/>
      <c r="BB1597" s="82"/>
      <c r="BC1597" s="82"/>
      <c r="BD1597" s="82"/>
      <c r="BE1597" s="82"/>
      <c r="BF1597" s="82"/>
      <c r="BG1597" s="82"/>
      <c r="BH1597" s="82"/>
      <c r="BI1597" s="82"/>
      <c r="BL1597" s="82"/>
      <c r="CA1597" s="147"/>
    </row>
    <row r="1598" spans="3:79" s="80" customFormat="1">
      <c r="C1598" s="136" t="s">
        <v>1934</v>
      </c>
      <c r="F1598" s="82"/>
      <c r="P1598" s="168"/>
      <c r="S1598" s="192"/>
      <c r="T1598" s="192"/>
      <c r="U1598" s="82"/>
      <c r="V1598" s="82"/>
      <c r="W1598" s="82"/>
      <c r="Y1598" s="82"/>
      <c r="AC1598" s="82"/>
      <c r="AS1598" s="82"/>
      <c r="AT1598" s="82"/>
      <c r="AU1598" s="82"/>
      <c r="AV1598" s="82"/>
      <c r="AW1598" s="82"/>
      <c r="AX1598" s="82"/>
      <c r="AY1598" s="82"/>
      <c r="AZ1598" s="82"/>
      <c r="BA1598" s="82"/>
      <c r="BB1598" s="82"/>
      <c r="BC1598" s="82"/>
      <c r="BD1598" s="82"/>
      <c r="BE1598" s="82"/>
      <c r="BF1598" s="82"/>
      <c r="BG1598" s="82"/>
      <c r="BH1598" s="82"/>
      <c r="BI1598" s="82"/>
      <c r="BL1598" s="82"/>
      <c r="CA1598" s="147"/>
    </row>
    <row r="1599" spans="3:79" s="80" customFormat="1">
      <c r="C1599" s="136" t="s">
        <v>1935</v>
      </c>
      <c r="F1599" s="82"/>
      <c r="P1599" s="168"/>
      <c r="S1599" s="192"/>
      <c r="T1599" s="192"/>
      <c r="U1599" s="82"/>
      <c r="V1599" s="82"/>
      <c r="W1599" s="82"/>
      <c r="Y1599" s="82"/>
      <c r="AC1599" s="82"/>
      <c r="AS1599" s="82"/>
      <c r="AT1599" s="82"/>
      <c r="AU1599" s="82"/>
      <c r="AV1599" s="82"/>
      <c r="AW1599" s="82"/>
      <c r="AX1599" s="82"/>
      <c r="AY1599" s="82"/>
      <c r="AZ1599" s="82"/>
      <c r="BA1599" s="82"/>
      <c r="BB1599" s="82"/>
      <c r="BC1599" s="82"/>
      <c r="BD1599" s="82"/>
      <c r="BE1599" s="82"/>
      <c r="BF1599" s="82"/>
      <c r="BG1599" s="82"/>
      <c r="BH1599" s="82"/>
      <c r="BI1599" s="82"/>
      <c r="BL1599" s="82"/>
      <c r="CA1599" s="147"/>
    </row>
    <row r="1600" spans="3:79" s="80" customFormat="1">
      <c r="C1600" s="136" t="s">
        <v>1936</v>
      </c>
      <c r="F1600" s="82"/>
      <c r="P1600" s="168"/>
      <c r="S1600" s="192"/>
      <c r="T1600" s="192"/>
      <c r="U1600" s="82"/>
      <c r="V1600" s="82"/>
      <c r="W1600" s="82"/>
      <c r="Y1600" s="82"/>
      <c r="AC1600" s="82"/>
      <c r="AS1600" s="82"/>
      <c r="AT1600" s="82"/>
      <c r="AU1600" s="82"/>
      <c r="AV1600" s="82"/>
      <c r="AW1600" s="82"/>
      <c r="AX1600" s="82"/>
      <c r="AY1600" s="82"/>
      <c r="AZ1600" s="82"/>
      <c r="BA1600" s="82"/>
      <c r="BB1600" s="82"/>
      <c r="BC1600" s="82"/>
      <c r="BD1600" s="82"/>
      <c r="BE1600" s="82"/>
      <c r="BF1600" s="82"/>
      <c r="BG1600" s="82"/>
      <c r="BH1600" s="82"/>
      <c r="BI1600" s="82"/>
      <c r="BL1600" s="82"/>
      <c r="CA1600" s="147"/>
    </row>
    <row r="1601" spans="3:79" s="80" customFormat="1">
      <c r="C1601" s="136" t="s">
        <v>1937</v>
      </c>
      <c r="F1601" s="82"/>
      <c r="P1601" s="168"/>
      <c r="S1601" s="192"/>
      <c r="T1601" s="192"/>
      <c r="U1601" s="82"/>
      <c r="V1601" s="82"/>
      <c r="W1601" s="82"/>
      <c r="Y1601" s="82"/>
      <c r="AC1601" s="82"/>
      <c r="AS1601" s="82"/>
      <c r="AT1601" s="82"/>
      <c r="AU1601" s="82"/>
      <c r="AV1601" s="82"/>
      <c r="AW1601" s="82"/>
      <c r="AX1601" s="82"/>
      <c r="AY1601" s="82"/>
      <c r="AZ1601" s="82"/>
      <c r="BA1601" s="82"/>
      <c r="BB1601" s="82"/>
      <c r="BC1601" s="82"/>
      <c r="BD1601" s="82"/>
      <c r="BE1601" s="82"/>
      <c r="BF1601" s="82"/>
      <c r="BG1601" s="82"/>
      <c r="BH1601" s="82"/>
      <c r="BI1601" s="82"/>
      <c r="BL1601" s="82"/>
      <c r="CA1601" s="147"/>
    </row>
    <row r="1602" spans="3:79" s="80" customFormat="1">
      <c r="C1602" s="136" t="s">
        <v>1938</v>
      </c>
      <c r="F1602" s="82"/>
      <c r="P1602" s="168"/>
      <c r="S1602" s="192"/>
      <c r="T1602" s="192"/>
      <c r="U1602" s="82"/>
      <c r="V1602" s="82"/>
      <c r="W1602" s="82"/>
      <c r="Y1602" s="82"/>
      <c r="AC1602" s="82"/>
      <c r="AS1602" s="82"/>
      <c r="AT1602" s="82"/>
      <c r="AU1602" s="82"/>
      <c r="AV1602" s="82"/>
      <c r="AW1602" s="82"/>
      <c r="AX1602" s="82"/>
      <c r="AY1602" s="82"/>
      <c r="AZ1602" s="82"/>
      <c r="BA1602" s="82"/>
      <c r="BB1602" s="82"/>
      <c r="BC1602" s="82"/>
      <c r="BD1602" s="82"/>
      <c r="BE1602" s="82"/>
      <c r="BF1602" s="82"/>
      <c r="BG1602" s="82"/>
      <c r="BH1602" s="82"/>
      <c r="BI1602" s="82"/>
      <c r="BL1602" s="82"/>
      <c r="CA1602" s="147"/>
    </row>
    <row r="1603" spans="3:79" s="80" customFormat="1" ht="27">
      <c r="C1603" s="136" t="s">
        <v>1939</v>
      </c>
      <c r="F1603" s="82"/>
      <c r="P1603" s="168"/>
      <c r="S1603" s="192"/>
      <c r="T1603" s="192"/>
      <c r="U1603" s="82"/>
      <c r="V1603" s="82"/>
      <c r="W1603" s="82"/>
      <c r="Y1603" s="82"/>
      <c r="AC1603" s="82"/>
      <c r="AS1603" s="82"/>
      <c r="AT1603" s="82"/>
      <c r="AU1603" s="82"/>
      <c r="AV1603" s="82"/>
      <c r="AW1603" s="82"/>
      <c r="AX1603" s="82"/>
      <c r="AY1603" s="82"/>
      <c r="AZ1603" s="82"/>
      <c r="BA1603" s="82"/>
      <c r="BB1603" s="82"/>
      <c r="BC1603" s="82"/>
      <c r="BD1603" s="82"/>
      <c r="BE1603" s="82"/>
      <c r="BF1603" s="82"/>
      <c r="BG1603" s="82"/>
      <c r="BH1603" s="82"/>
      <c r="BI1603" s="82"/>
      <c r="BL1603" s="82"/>
      <c r="CA1603" s="147"/>
    </row>
    <row r="1604" spans="3:79" s="80" customFormat="1">
      <c r="C1604" s="136"/>
      <c r="F1604" s="82"/>
      <c r="P1604" s="168"/>
      <c r="S1604" s="192"/>
      <c r="T1604" s="192"/>
      <c r="U1604" s="82"/>
      <c r="V1604" s="82"/>
      <c r="W1604" s="82"/>
      <c r="Y1604" s="82"/>
      <c r="AC1604" s="82"/>
      <c r="AS1604" s="82"/>
      <c r="AT1604" s="82"/>
      <c r="AU1604" s="82"/>
      <c r="AV1604" s="82"/>
      <c r="AW1604" s="82"/>
      <c r="AX1604" s="82"/>
      <c r="AY1604" s="82"/>
      <c r="AZ1604" s="82"/>
      <c r="BA1604" s="82"/>
      <c r="BB1604" s="82"/>
      <c r="BC1604" s="82"/>
      <c r="BD1604" s="82"/>
      <c r="BE1604" s="82"/>
      <c r="BF1604" s="82"/>
      <c r="BG1604" s="82"/>
      <c r="BH1604" s="82"/>
      <c r="BI1604" s="82"/>
      <c r="BL1604" s="82"/>
      <c r="CA1604" s="147"/>
    </row>
    <row r="1605" spans="3:79" s="80" customFormat="1">
      <c r="C1605" s="136" t="s">
        <v>1940</v>
      </c>
      <c r="F1605" s="82"/>
      <c r="P1605" s="168"/>
      <c r="S1605" s="192"/>
      <c r="T1605" s="192"/>
      <c r="U1605" s="82"/>
      <c r="V1605" s="82"/>
      <c r="W1605" s="82"/>
      <c r="Y1605" s="82"/>
      <c r="AC1605" s="82"/>
      <c r="AS1605" s="82"/>
      <c r="AT1605" s="82"/>
      <c r="AU1605" s="82"/>
      <c r="AV1605" s="82"/>
      <c r="AW1605" s="82"/>
      <c r="AX1605" s="82"/>
      <c r="AY1605" s="82"/>
      <c r="AZ1605" s="82"/>
      <c r="BA1605" s="82"/>
      <c r="BB1605" s="82"/>
      <c r="BC1605" s="82"/>
      <c r="BD1605" s="82"/>
      <c r="BE1605" s="82"/>
      <c r="BF1605" s="82"/>
      <c r="BG1605" s="82"/>
      <c r="BH1605" s="82"/>
      <c r="BI1605" s="82"/>
      <c r="BL1605" s="82"/>
      <c r="CA1605" s="147"/>
    </row>
    <row r="1606" spans="3:79" s="80" customFormat="1" ht="27">
      <c r="C1606" s="136" t="s">
        <v>1941</v>
      </c>
      <c r="F1606" s="82"/>
      <c r="P1606" s="168"/>
      <c r="S1606" s="192"/>
      <c r="T1606" s="192"/>
      <c r="U1606" s="82"/>
      <c r="V1606" s="82"/>
      <c r="W1606" s="82"/>
      <c r="Y1606" s="82"/>
      <c r="AC1606" s="82"/>
      <c r="AS1606" s="82"/>
      <c r="AT1606" s="82"/>
      <c r="AU1606" s="82"/>
      <c r="AV1606" s="82"/>
      <c r="AW1606" s="82"/>
      <c r="AX1606" s="82"/>
      <c r="AY1606" s="82"/>
      <c r="AZ1606" s="82"/>
      <c r="BA1606" s="82"/>
      <c r="BB1606" s="82"/>
      <c r="BC1606" s="82"/>
      <c r="BD1606" s="82"/>
      <c r="BE1606" s="82"/>
      <c r="BF1606" s="82"/>
      <c r="BG1606" s="82"/>
      <c r="BH1606" s="82"/>
      <c r="BI1606" s="82"/>
      <c r="BL1606" s="82"/>
      <c r="CA1606" s="147"/>
    </row>
    <row r="1607" spans="3:79" s="80" customFormat="1" ht="32.25">
      <c r="C1607" s="136" t="s">
        <v>1942</v>
      </c>
      <c r="F1607" s="82"/>
      <c r="P1607" s="168"/>
      <c r="S1607" s="192"/>
      <c r="T1607" s="192"/>
      <c r="U1607" s="82"/>
      <c r="V1607" s="82"/>
      <c r="W1607" s="82"/>
      <c r="Y1607" s="82"/>
      <c r="AC1607" s="82"/>
      <c r="AS1607" s="82"/>
      <c r="AT1607" s="82"/>
      <c r="AU1607" s="82"/>
      <c r="AV1607" s="82"/>
      <c r="AW1607" s="82"/>
      <c r="AX1607" s="82"/>
      <c r="AY1607" s="82"/>
      <c r="AZ1607" s="82"/>
      <c r="BA1607" s="82"/>
      <c r="BB1607" s="82"/>
      <c r="BC1607" s="82"/>
      <c r="BD1607" s="82"/>
      <c r="BE1607" s="82"/>
      <c r="BF1607" s="82"/>
      <c r="BG1607" s="82"/>
      <c r="BH1607" s="82"/>
      <c r="BI1607" s="82"/>
      <c r="BL1607" s="82"/>
      <c r="CA1607" s="147"/>
    </row>
    <row r="1608" spans="3:79" s="80" customFormat="1" ht="37.5">
      <c r="C1608" s="136" t="s">
        <v>1943</v>
      </c>
      <c r="F1608" s="82"/>
      <c r="P1608" s="168"/>
      <c r="S1608" s="192"/>
      <c r="T1608" s="192"/>
      <c r="U1608" s="82"/>
      <c r="V1608" s="82"/>
      <c r="W1608" s="82"/>
      <c r="Y1608" s="82"/>
      <c r="AC1608" s="82"/>
      <c r="AS1608" s="82"/>
      <c r="AT1608" s="82"/>
      <c r="AU1608" s="82"/>
      <c r="AV1608" s="82"/>
      <c r="AW1608" s="82"/>
      <c r="AX1608" s="82"/>
      <c r="AY1608" s="82"/>
      <c r="AZ1608" s="82"/>
      <c r="BA1608" s="82"/>
      <c r="BB1608" s="82"/>
      <c r="BC1608" s="82"/>
      <c r="BD1608" s="82"/>
      <c r="BE1608" s="82"/>
      <c r="BF1608" s="82"/>
      <c r="BG1608" s="82"/>
      <c r="BH1608" s="82"/>
      <c r="BI1608" s="82"/>
      <c r="BL1608" s="82"/>
      <c r="CA1608" s="147"/>
    </row>
    <row r="1609" spans="3:79" s="80" customFormat="1" ht="32.25">
      <c r="C1609" s="136" t="s">
        <v>1944</v>
      </c>
      <c r="F1609" s="82"/>
      <c r="P1609" s="168"/>
      <c r="S1609" s="192"/>
      <c r="T1609" s="192"/>
      <c r="U1609" s="82"/>
      <c r="V1609" s="82"/>
      <c r="W1609" s="82"/>
      <c r="Y1609" s="82"/>
      <c r="AC1609" s="82"/>
      <c r="AS1609" s="82"/>
      <c r="AT1609" s="82"/>
      <c r="AU1609" s="82"/>
      <c r="AV1609" s="82"/>
      <c r="AW1609" s="82"/>
      <c r="AX1609" s="82"/>
      <c r="AY1609" s="82"/>
      <c r="AZ1609" s="82"/>
      <c r="BA1609" s="82"/>
      <c r="BB1609" s="82"/>
      <c r="BC1609" s="82"/>
      <c r="BD1609" s="82"/>
      <c r="BE1609" s="82"/>
      <c r="BF1609" s="82"/>
      <c r="BG1609" s="82"/>
      <c r="BH1609" s="82"/>
      <c r="BI1609" s="82"/>
      <c r="BL1609" s="82"/>
      <c r="CA1609" s="147"/>
    </row>
    <row r="1610" spans="3:79" s="80" customFormat="1">
      <c r="C1610" s="136"/>
      <c r="F1610" s="82"/>
      <c r="P1610" s="168"/>
      <c r="S1610" s="192"/>
      <c r="T1610" s="192"/>
      <c r="U1610" s="82"/>
      <c r="V1610" s="82"/>
      <c r="W1610" s="82"/>
      <c r="Y1610" s="82"/>
      <c r="AC1610" s="82"/>
      <c r="AS1610" s="82"/>
      <c r="AT1610" s="82"/>
      <c r="AU1610" s="82"/>
      <c r="AV1610" s="82"/>
      <c r="AW1610" s="82"/>
      <c r="AX1610" s="82"/>
      <c r="AY1610" s="82"/>
      <c r="AZ1610" s="82"/>
      <c r="BA1610" s="82"/>
      <c r="BB1610" s="82"/>
      <c r="BC1610" s="82"/>
      <c r="BD1610" s="82"/>
      <c r="BE1610" s="82"/>
      <c r="BF1610" s="82"/>
      <c r="BG1610" s="82"/>
      <c r="BH1610" s="82"/>
      <c r="BI1610" s="82"/>
      <c r="BL1610" s="82"/>
      <c r="CA1610" s="147"/>
    </row>
    <row r="1611" spans="3:79" s="80" customFormat="1">
      <c r="C1611" s="136" t="s">
        <v>1945</v>
      </c>
      <c r="F1611" s="82"/>
      <c r="P1611" s="168"/>
      <c r="S1611" s="192"/>
      <c r="T1611" s="192"/>
      <c r="U1611" s="82"/>
      <c r="V1611" s="82"/>
      <c r="W1611" s="82"/>
      <c r="Y1611" s="82"/>
      <c r="AC1611" s="82"/>
      <c r="AS1611" s="82"/>
      <c r="AT1611" s="82"/>
      <c r="AU1611" s="82"/>
      <c r="AV1611" s="82"/>
      <c r="AW1611" s="82"/>
      <c r="AX1611" s="82"/>
      <c r="AY1611" s="82"/>
      <c r="AZ1611" s="82"/>
      <c r="BA1611" s="82"/>
      <c r="BB1611" s="82"/>
      <c r="BC1611" s="82"/>
      <c r="BD1611" s="82"/>
      <c r="BE1611" s="82"/>
      <c r="BF1611" s="82"/>
      <c r="BG1611" s="82"/>
      <c r="BH1611" s="82"/>
      <c r="BI1611" s="82"/>
      <c r="BL1611" s="82"/>
      <c r="CA1611" s="147"/>
    </row>
    <row r="1612" spans="3:79" s="80" customFormat="1">
      <c r="C1612" s="136" t="s">
        <v>1946</v>
      </c>
      <c r="F1612" s="82"/>
      <c r="P1612" s="168"/>
      <c r="S1612" s="192"/>
      <c r="T1612" s="192"/>
      <c r="U1612" s="82"/>
      <c r="V1612" s="82"/>
      <c r="W1612" s="82"/>
      <c r="Y1612" s="82"/>
      <c r="AC1612" s="82"/>
      <c r="AS1612" s="82"/>
      <c r="AT1612" s="82"/>
      <c r="AU1612" s="82"/>
      <c r="AV1612" s="82"/>
      <c r="AW1612" s="82"/>
      <c r="AX1612" s="82"/>
      <c r="AY1612" s="82"/>
      <c r="AZ1612" s="82"/>
      <c r="BA1612" s="82"/>
      <c r="BB1612" s="82"/>
      <c r="BC1612" s="82"/>
      <c r="BD1612" s="82"/>
      <c r="BE1612" s="82"/>
      <c r="BF1612" s="82"/>
      <c r="BG1612" s="82"/>
      <c r="BH1612" s="82"/>
      <c r="BI1612" s="82"/>
      <c r="BL1612" s="82"/>
      <c r="CA1612" s="147"/>
    </row>
    <row r="1613" spans="3:79" s="80" customFormat="1">
      <c r="C1613" s="136" t="s">
        <v>1897</v>
      </c>
      <c r="F1613" s="82"/>
      <c r="P1613" s="168"/>
      <c r="S1613" s="192"/>
      <c r="T1613" s="192"/>
      <c r="U1613" s="82"/>
      <c r="V1613" s="82"/>
      <c r="W1613" s="82"/>
      <c r="Y1613" s="82"/>
      <c r="AC1613" s="82"/>
      <c r="AS1613" s="82"/>
      <c r="AT1613" s="82"/>
      <c r="AU1613" s="82"/>
      <c r="AV1613" s="82"/>
      <c r="AW1613" s="82"/>
      <c r="AX1613" s="82"/>
      <c r="AY1613" s="82"/>
      <c r="AZ1613" s="82"/>
      <c r="BA1613" s="82"/>
      <c r="BB1613" s="82"/>
      <c r="BC1613" s="82"/>
      <c r="BD1613" s="82"/>
      <c r="BE1613" s="82"/>
      <c r="BF1613" s="82"/>
      <c r="BG1613" s="82"/>
      <c r="BH1613" s="82"/>
      <c r="BI1613" s="82"/>
      <c r="BL1613" s="82"/>
      <c r="CA1613" s="147"/>
    </row>
    <row r="1614" spans="3:79" s="80" customFormat="1">
      <c r="C1614" s="136" t="s">
        <v>1898</v>
      </c>
      <c r="F1614" s="82"/>
      <c r="P1614" s="168"/>
      <c r="S1614" s="192"/>
      <c r="T1614" s="192"/>
      <c r="U1614" s="82"/>
      <c r="V1614" s="82"/>
      <c r="W1614" s="82"/>
      <c r="Y1614" s="82"/>
      <c r="AC1614" s="82"/>
      <c r="AS1614" s="82"/>
      <c r="AT1614" s="82"/>
      <c r="AU1614" s="82"/>
      <c r="AV1614" s="82"/>
      <c r="AW1614" s="82"/>
      <c r="AX1614" s="82"/>
      <c r="AY1614" s="82"/>
      <c r="AZ1614" s="82"/>
      <c r="BA1614" s="82"/>
      <c r="BB1614" s="82"/>
      <c r="BC1614" s="82"/>
      <c r="BD1614" s="82"/>
      <c r="BE1614" s="82"/>
      <c r="BF1614" s="82"/>
      <c r="BG1614" s="82"/>
      <c r="BH1614" s="82"/>
      <c r="BI1614" s="82"/>
      <c r="BL1614" s="82"/>
      <c r="CA1614" s="147"/>
    </row>
    <row r="1615" spans="3:79" s="80" customFormat="1">
      <c r="C1615" s="136" t="s">
        <v>1899</v>
      </c>
      <c r="F1615" s="82"/>
      <c r="P1615" s="168"/>
      <c r="S1615" s="192"/>
      <c r="T1615" s="192"/>
      <c r="U1615" s="82"/>
      <c r="V1615" s="82"/>
      <c r="W1615" s="82"/>
      <c r="Y1615" s="82"/>
      <c r="AC1615" s="82"/>
      <c r="AS1615" s="82"/>
      <c r="AT1615" s="82"/>
      <c r="AU1615" s="82"/>
      <c r="AV1615" s="82"/>
      <c r="AW1615" s="82"/>
      <c r="AX1615" s="82"/>
      <c r="AY1615" s="82"/>
      <c r="AZ1615" s="82"/>
      <c r="BA1615" s="82"/>
      <c r="BB1615" s="82"/>
      <c r="BC1615" s="82"/>
      <c r="BD1615" s="82"/>
      <c r="BE1615" s="82"/>
      <c r="BF1615" s="82"/>
      <c r="BG1615" s="82"/>
      <c r="BH1615" s="82"/>
      <c r="BI1615" s="82"/>
      <c r="BL1615" s="82"/>
      <c r="CA1615" s="147"/>
    </row>
    <row r="1616" spans="3:79" s="80" customFormat="1">
      <c r="C1616" s="136" t="s">
        <v>1900</v>
      </c>
      <c r="F1616" s="82"/>
      <c r="P1616" s="168"/>
      <c r="S1616" s="192"/>
      <c r="T1616" s="192"/>
      <c r="U1616" s="82"/>
      <c r="V1616" s="82"/>
      <c r="W1616" s="82"/>
      <c r="Y1616" s="82"/>
      <c r="AC1616" s="82"/>
      <c r="AS1616" s="82"/>
      <c r="AT1616" s="82"/>
      <c r="AU1616" s="82"/>
      <c r="AV1616" s="82"/>
      <c r="AW1616" s="82"/>
      <c r="AX1616" s="82"/>
      <c r="AY1616" s="82"/>
      <c r="AZ1616" s="82"/>
      <c r="BA1616" s="82"/>
      <c r="BB1616" s="82"/>
      <c r="BC1616" s="82"/>
      <c r="BD1616" s="82"/>
      <c r="BE1616" s="82"/>
      <c r="BF1616" s="82"/>
      <c r="BG1616" s="82"/>
      <c r="BH1616" s="82"/>
      <c r="BI1616" s="82"/>
      <c r="BL1616" s="82"/>
      <c r="CA1616" s="147"/>
    </row>
    <row r="1617" spans="3:79" s="80" customFormat="1">
      <c r="C1617" s="136" t="s">
        <v>1901</v>
      </c>
      <c r="F1617" s="82"/>
      <c r="P1617" s="168"/>
      <c r="S1617" s="192"/>
      <c r="T1617" s="192"/>
      <c r="U1617" s="82"/>
      <c r="V1617" s="82"/>
      <c r="W1617" s="82"/>
      <c r="Y1617" s="82"/>
      <c r="AC1617" s="82"/>
      <c r="AS1617" s="82"/>
      <c r="AT1617" s="82"/>
      <c r="AU1617" s="82"/>
      <c r="AV1617" s="82"/>
      <c r="AW1617" s="82"/>
      <c r="AX1617" s="82"/>
      <c r="AY1617" s="82"/>
      <c r="AZ1617" s="82"/>
      <c r="BA1617" s="82"/>
      <c r="BB1617" s="82"/>
      <c r="BC1617" s="82"/>
      <c r="BD1617" s="82"/>
      <c r="BE1617" s="82"/>
      <c r="BF1617" s="82"/>
      <c r="BG1617" s="82"/>
      <c r="BH1617" s="82"/>
      <c r="BI1617" s="82"/>
      <c r="BL1617" s="82"/>
      <c r="CA1617" s="147"/>
    </row>
    <row r="1618" spans="3:79" s="80" customFormat="1">
      <c r="C1618" s="136"/>
      <c r="F1618" s="82"/>
      <c r="P1618" s="168"/>
      <c r="S1618" s="192"/>
      <c r="T1618" s="192"/>
      <c r="U1618" s="82"/>
      <c r="V1618" s="82"/>
      <c r="W1618" s="82"/>
      <c r="Y1618" s="82"/>
      <c r="AC1618" s="82"/>
      <c r="AS1618" s="82"/>
      <c r="AT1618" s="82"/>
      <c r="AU1618" s="82"/>
      <c r="AV1618" s="82"/>
      <c r="AW1618" s="82"/>
      <c r="AX1618" s="82"/>
      <c r="AY1618" s="82"/>
      <c r="AZ1618" s="82"/>
      <c r="BA1618" s="82"/>
      <c r="BB1618" s="82"/>
      <c r="BC1618" s="82"/>
      <c r="BD1618" s="82"/>
      <c r="BE1618" s="82"/>
      <c r="BF1618" s="82"/>
      <c r="BG1618" s="82"/>
      <c r="BH1618" s="82"/>
      <c r="BI1618" s="82"/>
      <c r="BL1618" s="82"/>
      <c r="CA1618" s="147"/>
    </row>
    <row r="1619" spans="3:79" s="80" customFormat="1" ht="27">
      <c r="C1619" s="136" t="s">
        <v>1947</v>
      </c>
      <c r="F1619" s="82"/>
      <c r="P1619" s="168"/>
      <c r="S1619" s="192"/>
      <c r="T1619" s="192"/>
      <c r="U1619" s="82"/>
      <c r="V1619" s="82"/>
      <c r="W1619" s="82"/>
      <c r="Y1619" s="82"/>
      <c r="AC1619" s="82"/>
      <c r="AS1619" s="82"/>
      <c r="AT1619" s="82"/>
      <c r="AU1619" s="82"/>
      <c r="AV1619" s="82"/>
      <c r="AW1619" s="82"/>
      <c r="AX1619" s="82"/>
      <c r="AY1619" s="82"/>
      <c r="AZ1619" s="82"/>
      <c r="BA1619" s="82"/>
      <c r="BB1619" s="82"/>
      <c r="BC1619" s="82"/>
      <c r="BD1619" s="82"/>
      <c r="BE1619" s="82"/>
      <c r="BF1619" s="82"/>
      <c r="BG1619" s="82"/>
      <c r="BH1619" s="82"/>
      <c r="BI1619" s="82"/>
      <c r="BL1619" s="82"/>
      <c r="CA1619" s="147"/>
    </row>
    <row r="1620" spans="3:79" s="80" customFormat="1" ht="27">
      <c r="C1620" s="136" t="s">
        <v>1948</v>
      </c>
      <c r="F1620" s="82"/>
      <c r="P1620" s="168"/>
      <c r="S1620" s="192"/>
      <c r="T1620" s="192"/>
      <c r="U1620" s="82"/>
      <c r="V1620" s="82"/>
      <c r="W1620" s="82"/>
      <c r="Y1620" s="82"/>
      <c r="AC1620" s="82"/>
      <c r="AS1620" s="82"/>
      <c r="AT1620" s="82"/>
      <c r="AU1620" s="82"/>
      <c r="AV1620" s="82"/>
      <c r="AW1620" s="82"/>
      <c r="AX1620" s="82"/>
      <c r="AY1620" s="82"/>
      <c r="AZ1620" s="82"/>
      <c r="BA1620" s="82"/>
      <c r="BB1620" s="82"/>
      <c r="BC1620" s="82"/>
      <c r="BD1620" s="82"/>
      <c r="BE1620" s="82"/>
      <c r="BF1620" s="82"/>
      <c r="BG1620" s="82"/>
      <c r="BH1620" s="82"/>
      <c r="BI1620" s="82"/>
      <c r="BL1620" s="82"/>
      <c r="CA1620" s="147"/>
    </row>
    <row r="1621" spans="3:79" s="80" customFormat="1">
      <c r="C1621" s="136" t="s">
        <v>1949</v>
      </c>
      <c r="F1621" s="82"/>
      <c r="P1621" s="168"/>
      <c r="S1621" s="192"/>
      <c r="T1621" s="192"/>
      <c r="U1621" s="82"/>
      <c r="V1621" s="82"/>
      <c r="W1621" s="82"/>
      <c r="Y1621" s="82"/>
      <c r="AC1621" s="82"/>
      <c r="AS1621" s="82"/>
      <c r="AT1621" s="82"/>
      <c r="AU1621" s="82"/>
      <c r="AV1621" s="82"/>
      <c r="AW1621" s="82"/>
      <c r="AX1621" s="82"/>
      <c r="AY1621" s="82"/>
      <c r="AZ1621" s="82"/>
      <c r="BA1621" s="82"/>
      <c r="BB1621" s="82"/>
      <c r="BC1621" s="82"/>
      <c r="BD1621" s="82"/>
      <c r="BE1621" s="82"/>
      <c r="BF1621" s="82"/>
      <c r="BG1621" s="82"/>
      <c r="BH1621" s="82"/>
      <c r="BI1621" s="82"/>
      <c r="BL1621" s="82"/>
      <c r="CA1621" s="147"/>
    </row>
    <row r="1622" spans="3:79" s="80" customFormat="1" ht="27">
      <c r="C1622" s="136" t="s">
        <v>1950</v>
      </c>
      <c r="F1622" s="82"/>
      <c r="P1622" s="168"/>
      <c r="S1622" s="192"/>
      <c r="T1622" s="192"/>
      <c r="U1622" s="82"/>
      <c r="V1622" s="82"/>
      <c r="W1622" s="82"/>
      <c r="Y1622" s="82"/>
      <c r="AC1622" s="82"/>
      <c r="AS1622" s="82"/>
      <c r="AT1622" s="82"/>
      <c r="AU1622" s="82"/>
      <c r="AV1622" s="82"/>
      <c r="AW1622" s="82"/>
      <c r="AX1622" s="82"/>
      <c r="AY1622" s="82"/>
      <c r="AZ1622" s="82"/>
      <c r="BA1622" s="82"/>
      <c r="BB1622" s="82"/>
      <c r="BC1622" s="82"/>
      <c r="BD1622" s="82"/>
      <c r="BE1622" s="82"/>
      <c r="BF1622" s="82"/>
      <c r="BG1622" s="82"/>
      <c r="BH1622" s="82"/>
      <c r="BI1622" s="82"/>
      <c r="BL1622" s="82"/>
      <c r="CA1622" s="147"/>
    </row>
    <row r="1623" spans="3:79" s="80" customFormat="1" ht="27">
      <c r="C1623" s="136" t="s">
        <v>1951</v>
      </c>
      <c r="F1623" s="82"/>
      <c r="P1623" s="168"/>
      <c r="S1623" s="192"/>
      <c r="T1623" s="192"/>
      <c r="U1623" s="82"/>
      <c r="V1623" s="82"/>
      <c r="W1623" s="82"/>
      <c r="Y1623" s="82"/>
      <c r="AC1623" s="82"/>
      <c r="AS1623" s="82"/>
      <c r="AT1623" s="82"/>
      <c r="AU1623" s="82"/>
      <c r="AV1623" s="82"/>
      <c r="AW1623" s="82"/>
      <c r="AX1623" s="82"/>
      <c r="AY1623" s="82"/>
      <c r="AZ1623" s="82"/>
      <c r="BA1623" s="82"/>
      <c r="BB1623" s="82"/>
      <c r="BC1623" s="82"/>
      <c r="BD1623" s="82"/>
      <c r="BE1623" s="82"/>
      <c r="BF1623" s="82"/>
      <c r="BG1623" s="82"/>
      <c r="BH1623" s="82"/>
      <c r="BI1623" s="82"/>
      <c r="BL1623" s="82"/>
      <c r="CA1623" s="147"/>
    </row>
    <row r="1624" spans="3:79" s="80" customFormat="1" ht="40.5">
      <c r="C1624" s="136" t="s">
        <v>1952</v>
      </c>
      <c r="F1624" s="82"/>
      <c r="P1624" s="168"/>
      <c r="S1624" s="192"/>
      <c r="T1624" s="192"/>
      <c r="U1624" s="82"/>
      <c r="V1624" s="82"/>
      <c r="W1624" s="82"/>
      <c r="Y1624" s="82"/>
      <c r="AC1624" s="82"/>
      <c r="AS1624" s="82"/>
      <c r="AT1624" s="82"/>
      <c r="AU1624" s="82"/>
      <c r="AV1624" s="82"/>
      <c r="AW1624" s="82"/>
      <c r="AX1624" s="82"/>
      <c r="AY1624" s="82"/>
      <c r="AZ1624" s="82"/>
      <c r="BA1624" s="82"/>
      <c r="BB1624" s="82"/>
      <c r="BC1624" s="82"/>
      <c r="BD1624" s="82"/>
      <c r="BE1624" s="82"/>
      <c r="BF1624" s="82"/>
      <c r="BG1624" s="82"/>
      <c r="BH1624" s="82"/>
      <c r="BI1624" s="82"/>
      <c r="BL1624" s="82"/>
      <c r="CA1624" s="147"/>
    </row>
    <row r="1625" spans="3:79" s="80" customFormat="1">
      <c r="C1625" s="136" t="s">
        <v>1953</v>
      </c>
      <c r="F1625" s="82"/>
      <c r="P1625" s="168"/>
      <c r="S1625" s="192"/>
      <c r="T1625" s="192"/>
      <c r="U1625" s="82"/>
      <c r="V1625" s="82"/>
      <c r="W1625" s="82"/>
      <c r="Y1625" s="82"/>
      <c r="AC1625" s="82"/>
      <c r="AS1625" s="82"/>
      <c r="AT1625" s="82"/>
      <c r="AU1625" s="82"/>
      <c r="AV1625" s="82"/>
      <c r="AW1625" s="82"/>
      <c r="AX1625" s="82"/>
      <c r="AY1625" s="82"/>
      <c r="AZ1625" s="82"/>
      <c r="BA1625" s="82"/>
      <c r="BB1625" s="82"/>
      <c r="BC1625" s="82"/>
      <c r="BD1625" s="82"/>
      <c r="BE1625" s="82"/>
      <c r="BF1625" s="82"/>
      <c r="BG1625" s="82"/>
      <c r="BH1625" s="82"/>
      <c r="BI1625" s="82"/>
      <c r="BL1625" s="82"/>
      <c r="CA1625" s="147"/>
    </row>
    <row r="1626" spans="3:79" s="80" customFormat="1" ht="27">
      <c r="C1626" s="136" t="s">
        <v>1954</v>
      </c>
      <c r="F1626" s="82"/>
      <c r="P1626" s="168"/>
      <c r="S1626" s="192"/>
      <c r="T1626" s="192"/>
      <c r="U1626" s="82"/>
      <c r="V1626" s="82"/>
      <c r="W1626" s="82"/>
      <c r="Y1626" s="82"/>
      <c r="AC1626" s="82"/>
      <c r="AS1626" s="82"/>
      <c r="AT1626" s="82"/>
      <c r="AU1626" s="82"/>
      <c r="AV1626" s="82"/>
      <c r="AW1626" s="82"/>
      <c r="AX1626" s="82"/>
      <c r="AY1626" s="82"/>
      <c r="AZ1626" s="82"/>
      <c r="BA1626" s="82"/>
      <c r="BB1626" s="82"/>
      <c r="BC1626" s="82"/>
      <c r="BD1626" s="82"/>
      <c r="BE1626" s="82"/>
      <c r="BF1626" s="82"/>
      <c r="BG1626" s="82"/>
      <c r="BH1626" s="82"/>
      <c r="BI1626" s="82"/>
      <c r="BL1626" s="82"/>
      <c r="CA1626" s="147"/>
    </row>
    <row r="1627" spans="3:79" s="80" customFormat="1">
      <c r="C1627" s="136" t="s">
        <v>1955</v>
      </c>
      <c r="F1627" s="82"/>
      <c r="P1627" s="168"/>
      <c r="S1627" s="192"/>
      <c r="T1627" s="192"/>
      <c r="U1627" s="82"/>
      <c r="V1627" s="82"/>
      <c r="W1627" s="82"/>
      <c r="Y1627" s="82"/>
      <c r="AC1627" s="82"/>
      <c r="AS1627" s="82"/>
      <c r="AT1627" s="82"/>
      <c r="AU1627" s="82"/>
      <c r="AV1627" s="82"/>
      <c r="AW1627" s="82"/>
      <c r="AX1627" s="82"/>
      <c r="AY1627" s="82"/>
      <c r="AZ1627" s="82"/>
      <c r="BA1627" s="82"/>
      <c r="BB1627" s="82"/>
      <c r="BC1627" s="82"/>
      <c r="BD1627" s="82"/>
      <c r="BE1627" s="82"/>
      <c r="BF1627" s="82"/>
      <c r="BG1627" s="82"/>
      <c r="BH1627" s="82"/>
      <c r="BI1627" s="82"/>
      <c r="BL1627" s="82"/>
      <c r="CA1627" s="147"/>
    </row>
    <row r="1628" spans="3:79" s="80" customFormat="1" ht="40.5">
      <c r="C1628" s="136" t="s">
        <v>1956</v>
      </c>
      <c r="F1628" s="82"/>
      <c r="P1628" s="168"/>
      <c r="S1628" s="192"/>
      <c r="T1628" s="192"/>
      <c r="U1628" s="82"/>
      <c r="V1628" s="82"/>
      <c r="W1628" s="82"/>
      <c r="Y1628" s="82"/>
      <c r="AC1628" s="82"/>
      <c r="AS1628" s="82"/>
      <c r="AT1628" s="82"/>
      <c r="AU1628" s="82"/>
      <c r="AV1628" s="82"/>
      <c r="AW1628" s="82"/>
      <c r="AX1628" s="82"/>
      <c r="AY1628" s="82"/>
      <c r="AZ1628" s="82"/>
      <c r="BA1628" s="82"/>
      <c r="BB1628" s="82"/>
      <c r="BC1628" s="82"/>
      <c r="BD1628" s="82"/>
      <c r="BE1628" s="82"/>
      <c r="BF1628" s="82"/>
      <c r="BG1628" s="82"/>
      <c r="BH1628" s="82"/>
      <c r="BI1628" s="82"/>
      <c r="BL1628" s="82"/>
      <c r="CA1628" s="147"/>
    </row>
    <row r="1629" spans="3:79" s="80" customFormat="1" ht="27">
      <c r="C1629" s="136" t="s">
        <v>1957</v>
      </c>
      <c r="F1629" s="82"/>
      <c r="P1629" s="168"/>
      <c r="S1629" s="192"/>
      <c r="T1629" s="192"/>
      <c r="U1629" s="82"/>
      <c r="V1629" s="82"/>
      <c r="W1629" s="82"/>
      <c r="Y1629" s="82"/>
      <c r="AC1629" s="82"/>
      <c r="AS1629" s="82"/>
      <c r="AT1629" s="82"/>
      <c r="AU1629" s="82"/>
      <c r="AV1629" s="82"/>
      <c r="AW1629" s="82"/>
      <c r="AX1629" s="82"/>
      <c r="AY1629" s="82"/>
      <c r="AZ1629" s="82"/>
      <c r="BA1629" s="82"/>
      <c r="BB1629" s="82"/>
      <c r="BC1629" s="82"/>
      <c r="BD1629" s="82"/>
      <c r="BE1629" s="82"/>
      <c r="BF1629" s="82"/>
      <c r="BG1629" s="82"/>
      <c r="BH1629" s="82"/>
      <c r="BI1629" s="82"/>
      <c r="BL1629" s="82"/>
      <c r="CA1629" s="147"/>
    </row>
    <row r="1630" spans="3:79" s="80" customFormat="1" ht="54">
      <c r="C1630" s="136" t="s">
        <v>1958</v>
      </c>
      <c r="F1630" s="82"/>
      <c r="P1630" s="168"/>
      <c r="S1630" s="192"/>
      <c r="T1630" s="192"/>
      <c r="U1630" s="82"/>
      <c r="V1630" s="82"/>
      <c r="W1630" s="82"/>
      <c r="Y1630" s="82"/>
      <c r="AC1630" s="82"/>
      <c r="AS1630" s="82"/>
      <c r="AT1630" s="82"/>
      <c r="AU1630" s="82"/>
      <c r="AV1630" s="82"/>
      <c r="AW1630" s="82"/>
      <c r="AX1630" s="82"/>
      <c r="AY1630" s="82"/>
      <c r="AZ1630" s="82"/>
      <c r="BA1630" s="82"/>
      <c r="BB1630" s="82"/>
      <c r="BC1630" s="82"/>
      <c r="BD1630" s="82"/>
      <c r="BE1630" s="82"/>
      <c r="BF1630" s="82"/>
      <c r="BG1630" s="82"/>
      <c r="BH1630" s="82"/>
      <c r="BI1630" s="82"/>
      <c r="BL1630" s="82"/>
      <c r="CA1630" s="147"/>
    </row>
    <row r="1631" spans="3:79" s="80" customFormat="1" ht="27">
      <c r="C1631" s="136" t="s">
        <v>1959</v>
      </c>
      <c r="F1631" s="82"/>
      <c r="P1631" s="168"/>
      <c r="S1631" s="192"/>
      <c r="T1631" s="192"/>
      <c r="U1631" s="82"/>
      <c r="V1631" s="82"/>
      <c r="W1631" s="82"/>
      <c r="Y1631" s="82"/>
      <c r="AC1631" s="82"/>
      <c r="AS1631" s="82"/>
      <c r="AT1631" s="82"/>
      <c r="AU1631" s="82"/>
      <c r="AV1631" s="82"/>
      <c r="AW1631" s="82"/>
      <c r="AX1631" s="82"/>
      <c r="AY1631" s="82"/>
      <c r="AZ1631" s="82"/>
      <c r="BA1631" s="82"/>
      <c r="BB1631" s="82"/>
      <c r="BC1631" s="82"/>
      <c r="BD1631" s="82"/>
      <c r="BE1631" s="82"/>
      <c r="BF1631" s="82"/>
      <c r="BG1631" s="82"/>
      <c r="BH1631" s="82"/>
      <c r="BI1631" s="82"/>
      <c r="BL1631" s="82"/>
      <c r="CA1631" s="147"/>
    </row>
    <row r="1632" spans="3:79" s="80" customFormat="1" ht="27">
      <c r="C1632" s="136" t="s">
        <v>1960</v>
      </c>
      <c r="F1632" s="82"/>
      <c r="P1632" s="168"/>
      <c r="S1632" s="192"/>
      <c r="T1632" s="192"/>
      <c r="U1632" s="82"/>
      <c r="V1632" s="82"/>
      <c r="W1632" s="82"/>
      <c r="Y1632" s="82"/>
      <c r="AC1632" s="82"/>
      <c r="AS1632" s="82"/>
      <c r="AT1632" s="82"/>
      <c r="AU1632" s="82"/>
      <c r="AV1632" s="82"/>
      <c r="AW1632" s="82"/>
      <c r="AX1632" s="82"/>
      <c r="AY1632" s="82"/>
      <c r="AZ1632" s="82"/>
      <c r="BA1632" s="82"/>
      <c r="BB1632" s="82"/>
      <c r="BC1632" s="82"/>
      <c r="BD1632" s="82"/>
      <c r="BE1632" s="82"/>
      <c r="BF1632" s="82"/>
      <c r="BG1632" s="82"/>
      <c r="BH1632" s="82"/>
      <c r="BI1632" s="82"/>
      <c r="BL1632" s="82"/>
      <c r="CA1632" s="147"/>
    </row>
    <row r="1633" spans="3:79" s="80" customFormat="1">
      <c r="C1633" s="136" t="s">
        <v>1961</v>
      </c>
      <c r="F1633" s="82"/>
      <c r="P1633" s="168"/>
      <c r="S1633" s="192"/>
      <c r="T1633" s="192"/>
      <c r="U1633" s="82"/>
      <c r="V1633" s="82"/>
      <c r="W1633" s="82"/>
      <c r="Y1633" s="82"/>
      <c r="AC1633" s="82"/>
      <c r="AS1633" s="82"/>
      <c r="AT1633" s="82"/>
      <c r="AU1633" s="82"/>
      <c r="AV1633" s="82"/>
      <c r="AW1633" s="82"/>
      <c r="AX1633" s="82"/>
      <c r="AY1633" s="82"/>
      <c r="AZ1633" s="82"/>
      <c r="BA1633" s="82"/>
      <c r="BB1633" s="82"/>
      <c r="BC1633" s="82"/>
      <c r="BD1633" s="82"/>
      <c r="BE1633" s="82"/>
      <c r="BF1633" s="82"/>
      <c r="BG1633" s="82"/>
      <c r="BH1633" s="82"/>
      <c r="BI1633" s="82"/>
      <c r="BL1633" s="82"/>
      <c r="CA1633" s="147"/>
    </row>
    <row r="1634" spans="3:79" s="80" customFormat="1">
      <c r="C1634" s="136" t="s">
        <v>1962</v>
      </c>
      <c r="F1634" s="82"/>
      <c r="P1634" s="168"/>
      <c r="S1634" s="192"/>
      <c r="T1634" s="192"/>
      <c r="U1634" s="82"/>
      <c r="V1634" s="82"/>
      <c r="W1634" s="82"/>
      <c r="Y1634" s="82"/>
      <c r="AC1634" s="82"/>
      <c r="AS1634" s="82"/>
      <c r="AT1634" s="82"/>
      <c r="AU1634" s="82"/>
      <c r="AV1634" s="82"/>
      <c r="AW1634" s="82"/>
      <c r="AX1634" s="82"/>
      <c r="AY1634" s="82"/>
      <c r="AZ1634" s="82"/>
      <c r="BA1634" s="82"/>
      <c r="BB1634" s="82"/>
      <c r="BC1634" s="82"/>
      <c r="BD1634" s="82"/>
      <c r="BE1634" s="82"/>
      <c r="BF1634" s="82"/>
      <c r="BG1634" s="82"/>
      <c r="BH1634" s="82"/>
      <c r="BI1634" s="82"/>
      <c r="BL1634" s="82"/>
      <c r="CA1634" s="147"/>
    </row>
    <row r="1635" spans="3:79" s="80" customFormat="1" ht="27">
      <c r="C1635" s="136" t="s">
        <v>1963</v>
      </c>
      <c r="F1635" s="82"/>
      <c r="P1635" s="168"/>
      <c r="S1635" s="192"/>
      <c r="T1635" s="192"/>
      <c r="U1635" s="82"/>
      <c r="V1635" s="82"/>
      <c r="W1635" s="82"/>
      <c r="Y1635" s="82"/>
      <c r="AC1635" s="82"/>
      <c r="AS1635" s="82"/>
      <c r="AT1635" s="82"/>
      <c r="AU1635" s="82"/>
      <c r="AV1635" s="82"/>
      <c r="AW1635" s="82"/>
      <c r="AX1635" s="82"/>
      <c r="AY1635" s="82"/>
      <c r="AZ1635" s="82"/>
      <c r="BA1635" s="82"/>
      <c r="BB1635" s="82"/>
      <c r="BC1635" s="82"/>
      <c r="BD1635" s="82"/>
      <c r="BE1635" s="82"/>
      <c r="BF1635" s="82"/>
      <c r="BG1635" s="82"/>
      <c r="BH1635" s="82"/>
      <c r="BI1635" s="82"/>
      <c r="BL1635" s="82"/>
      <c r="CA1635" s="147"/>
    </row>
    <row r="1636" spans="3:79" s="80" customFormat="1" ht="27">
      <c r="C1636" s="136" t="s">
        <v>1964</v>
      </c>
      <c r="F1636" s="82"/>
      <c r="P1636" s="168"/>
      <c r="S1636" s="192"/>
      <c r="T1636" s="192"/>
      <c r="U1636" s="82"/>
      <c r="V1636" s="82"/>
      <c r="W1636" s="82"/>
      <c r="Y1636" s="82"/>
      <c r="AC1636" s="82"/>
      <c r="AS1636" s="82"/>
      <c r="AT1636" s="82"/>
      <c r="AU1636" s="82"/>
      <c r="AV1636" s="82"/>
      <c r="AW1636" s="82"/>
      <c r="AX1636" s="82"/>
      <c r="AY1636" s="82"/>
      <c r="AZ1636" s="82"/>
      <c r="BA1636" s="82"/>
      <c r="BB1636" s="82"/>
      <c r="BC1636" s="82"/>
      <c r="BD1636" s="82"/>
      <c r="BE1636" s="82"/>
      <c r="BF1636" s="82"/>
      <c r="BG1636" s="82"/>
      <c r="BH1636" s="82"/>
      <c r="BI1636" s="82"/>
      <c r="BL1636" s="82"/>
      <c r="CA1636" s="147"/>
    </row>
    <row r="1637" spans="3:79" s="80" customFormat="1">
      <c r="C1637" s="136" t="s">
        <v>1965</v>
      </c>
      <c r="F1637" s="82"/>
      <c r="P1637" s="168"/>
      <c r="S1637" s="192"/>
      <c r="T1637" s="192"/>
      <c r="U1637" s="82"/>
      <c r="V1637" s="82"/>
      <c r="W1637" s="82"/>
      <c r="Y1637" s="82"/>
      <c r="AC1637" s="82"/>
      <c r="AS1637" s="82"/>
      <c r="AT1637" s="82"/>
      <c r="AU1637" s="82"/>
      <c r="AV1637" s="82"/>
      <c r="AW1637" s="82"/>
      <c r="AX1637" s="82"/>
      <c r="AY1637" s="82"/>
      <c r="AZ1637" s="82"/>
      <c r="BA1637" s="82"/>
      <c r="BB1637" s="82"/>
      <c r="BC1637" s="82"/>
      <c r="BD1637" s="82"/>
      <c r="BE1637" s="82"/>
      <c r="BF1637" s="82"/>
      <c r="BG1637" s="82"/>
      <c r="BH1637" s="82"/>
      <c r="BI1637" s="82"/>
      <c r="BL1637" s="82"/>
      <c r="CA1637" s="147"/>
    </row>
    <row r="1638" spans="3:79" s="80" customFormat="1">
      <c r="C1638" s="136" t="s">
        <v>1966</v>
      </c>
      <c r="F1638" s="82"/>
      <c r="P1638" s="168"/>
      <c r="S1638" s="192"/>
      <c r="T1638" s="192"/>
      <c r="U1638" s="82"/>
      <c r="V1638" s="82"/>
      <c r="W1638" s="82"/>
      <c r="Y1638" s="82"/>
      <c r="AC1638" s="82"/>
      <c r="AS1638" s="82"/>
      <c r="AT1638" s="82"/>
      <c r="AU1638" s="82"/>
      <c r="AV1638" s="82"/>
      <c r="AW1638" s="82"/>
      <c r="AX1638" s="82"/>
      <c r="AY1638" s="82"/>
      <c r="AZ1638" s="82"/>
      <c r="BA1638" s="82"/>
      <c r="BB1638" s="82"/>
      <c r="BC1638" s="82"/>
      <c r="BD1638" s="82"/>
      <c r="BE1638" s="82"/>
      <c r="BF1638" s="82"/>
      <c r="BG1638" s="82"/>
      <c r="BH1638" s="82"/>
      <c r="BI1638" s="82"/>
      <c r="BL1638" s="82"/>
      <c r="CA1638" s="147"/>
    </row>
    <row r="1639" spans="3:79" s="80" customFormat="1">
      <c r="C1639" s="136" t="s">
        <v>1967</v>
      </c>
      <c r="F1639" s="82"/>
      <c r="P1639" s="168"/>
      <c r="S1639" s="192"/>
      <c r="T1639" s="192"/>
      <c r="U1639" s="82"/>
      <c r="V1639" s="82"/>
      <c r="W1639" s="82"/>
      <c r="Y1639" s="82"/>
      <c r="AC1639" s="82"/>
      <c r="AS1639" s="82"/>
      <c r="AT1639" s="82"/>
      <c r="AU1639" s="82"/>
      <c r="AV1639" s="82"/>
      <c r="AW1639" s="82"/>
      <c r="AX1639" s="82"/>
      <c r="AY1639" s="82"/>
      <c r="AZ1639" s="82"/>
      <c r="BA1639" s="82"/>
      <c r="BB1639" s="82"/>
      <c r="BC1639" s="82"/>
      <c r="BD1639" s="82"/>
      <c r="BE1639" s="82"/>
      <c r="BF1639" s="82"/>
      <c r="BG1639" s="82"/>
      <c r="BH1639" s="82"/>
      <c r="BI1639" s="82"/>
      <c r="BL1639" s="82"/>
      <c r="CA1639" s="147"/>
    </row>
    <row r="1640" spans="3:79" s="80" customFormat="1">
      <c r="C1640" s="136" t="s">
        <v>1968</v>
      </c>
      <c r="F1640" s="82"/>
      <c r="P1640" s="168"/>
      <c r="S1640" s="192"/>
      <c r="T1640" s="192"/>
      <c r="U1640" s="82"/>
      <c r="V1640" s="82"/>
      <c r="W1640" s="82"/>
      <c r="Y1640" s="82"/>
      <c r="AC1640" s="82"/>
      <c r="AS1640" s="82"/>
      <c r="AT1640" s="82"/>
      <c r="AU1640" s="82"/>
      <c r="AV1640" s="82"/>
      <c r="AW1640" s="82"/>
      <c r="AX1640" s="82"/>
      <c r="AY1640" s="82"/>
      <c r="AZ1640" s="82"/>
      <c r="BA1640" s="82"/>
      <c r="BB1640" s="82"/>
      <c r="BC1640" s="82"/>
      <c r="BD1640" s="82"/>
      <c r="BE1640" s="82"/>
      <c r="BF1640" s="82"/>
      <c r="BG1640" s="82"/>
      <c r="BH1640" s="82"/>
      <c r="BI1640" s="82"/>
      <c r="BL1640" s="82"/>
      <c r="CA1640" s="147"/>
    </row>
    <row r="1641" spans="3:79" s="80" customFormat="1">
      <c r="C1641" s="136" t="s">
        <v>1969</v>
      </c>
      <c r="F1641" s="82"/>
      <c r="P1641" s="168"/>
      <c r="S1641" s="192"/>
      <c r="T1641" s="192"/>
      <c r="U1641" s="82"/>
      <c r="V1641" s="82"/>
      <c r="W1641" s="82"/>
      <c r="Y1641" s="82"/>
      <c r="AC1641" s="82"/>
      <c r="AS1641" s="82"/>
      <c r="AT1641" s="82"/>
      <c r="AU1641" s="82"/>
      <c r="AV1641" s="82"/>
      <c r="AW1641" s="82"/>
      <c r="AX1641" s="82"/>
      <c r="AY1641" s="82"/>
      <c r="AZ1641" s="82"/>
      <c r="BA1641" s="82"/>
      <c r="BB1641" s="82"/>
      <c r="BC1641" s="82"/>
      <c r="BD1641" s="82"/>
      <c r="BE1641" s="82"/>
      <c r="BF1641" s="82"/>
      <c r="BG1641" s="82"/>
      <c r="BH1641" s="82"/>
      <c r="BI1641" s="82"/>
      <c r="BL1641" s="82"/>
      <c r="CA1641" s="147"/>
    </row>
    <row r="1642" spans="3:79" s="80" customFormat="1">
      <c r="C1642" s="136" t="s">
        <v>1970</v>
      </c>
      <c r="F1642" s="82"/>
      <c r="P1642" s="168"/>
      <c r="S1642" s="192"/>
      <c r="T1642" s="192"/>
      <c r="U1642" s="82"/>
      <c r="V1642" s="82"/>
      <c r="W1642" s="82"/>
      <c r="Y1642" s="82"/>
      <c r="AC1642" s="82"/>
      <c r="AS1642" s="82"/>
      <c r="AT1642" s="82"/>
      <c r="AU1642" s="82"/>
      <c r="AV1642" s="82"/>
      <c r="AW1642" s="82"/>
      <c r="AX1642" s="82"/>
      <c r="AY1642" s="82"/>
      <c r="AZ1642" s="82"/>
      <c r="BA1642" s="82"/>
      <c r="BB1642" s="82"/>
      <c r="BC1642" s="82"/>
      <c r="BD1642" s="82"/>
      <c r="BE1642" s="82"/>
      <c r="BF1642" s="82"/>
      <c r="BG1642" s="82"/>
      <c r="BH1642" s="82"/>
      <c r="BI1642" s="82"/>
      <c r="BL1642" s="82"/>
      <c r="CA1642" s="147"/>
    </row>
    <row r="1643" spans="3:79" s="80" customFormat="1" ht="27">
      <c r="C1643" s="136" t="s">
        <v>1971</v>
      </c>
      <c r="F1643" s="82"/>
      <c r="P1643" s="168"/>
      <c r="S1643" s="192"/>
      <c r="T1643" s="192"/>
      <c r="U1643" s="82"/>
      <c r="V1643" s="82"/>
      <c r="W1643" s="82"/>
      <c r="Y1643" s="82"/>
      <c r="AC1643" s="82"/>
      <c r="AS1643" s="82"/>
      <c r="AT1643" s="82"/>
      <c r="AU1643" s="82"/>
      <c r="AV1643" s="82"/>
      <c r="AW1643" s="82"/>
      <c r="AX1643" s="82"/>
      <c r="AY1643" s="82"/>
      <c r="AZ1643" s="82"/>
      <c r="BA1643" s="82"/>
      <c r="BB1643" s="82"/>
      <c r="BC1643" s="82"/>
      <c r="BD1643" s="82"/>
      <c r="BE1643" s="82"/>
      <c r="BF1643" s="82"/>
      <c r="BG1643" s="82"/>
      <c r="BH1643" s="82"/>
      <c r="BI1643" s="82"/>
      <c r="BL1643" s="82"/>
      <c r="CA1643" s="147"/>
    </row>
    <row r="1644" spans="3:79" s="80" customFormat="1" ht="27">
      <c r="C1644" s="136" t="s">
        <v>1972</v>
      </c>
      <c r="F1644" s="82"/>
      <c r="P1644" s="168"/>
      <c r="S1644" s="192"/>
      <c r="T1644" s="192"/>
      <c r="U1644" s="82"/>
      <c r="V1644" s="82"/>
      <c r="W1644" s="82"/>
      <c r="Y1644" s="82"/>
      <c r="AC1644" s="82"/>
      <c r="AS1644" s="82"/>
      <c r="AT1644" s="82"/>
      <c r="AU1644" s="82"/>
      <c r="AV1644" s="82"/>
      <c r="AW1644" s="82"/>
      <c r="AX1644" s="82"/>
      <c r="AY1644" s="82"/>
      <c r="AZ1644" s="82"/>
      <c r="BA1644" s="82"/>
      <c r="BB1644" s="82"/>
      <c r="BC1644" s="82"/>
      <c r="BD1644" s="82"/>
      <c r="BE1644" s="82"/>
      <c r="BF1644" s="82"/>
      <c r="BG1644" s="82"/>
      <c r="BH1644" s="82"/>
      <c r="BI1644" s="82"/>
      <c r="BL1644" s="82"/>
      <c r="CA1644" s="147"/>
    </row>
    <row r="1645" spans="3:79" s="80" customFormat="1" ht="27">
      <c r="C1645" s="136" t="s">
        <v>1973</v>
      </c>
      <c r="F1645" s="82"/>
      <c r="P1645" s="168"/>
      <c r="S1645" s="192"/>
      <c r="T1645" s="192"/>
      <c r="U1645" s="82"/>
      <c r="V1645" s="82"/>
      <c r="W1645" s="82"/>
      <c r="Y1645" s="82"/>
      <c r="AC1645" s="82"/>
      <c r="AS1645" s="82"/>
      <c r="AT1645" s="82"/>
      <c r="AU1645" s="82"/>
      <c r="AV1645" s="82"/>
      <c r="AW1645" s="82"/>
      <c r="AX1645" s="82"/>
      <c r="AY1645" s="82"/>
      <c r="AZ1645" s="82"/>
      <c r="BA1645" s="82"/>
      <c r="BB1645" s="82"/>
      <c r="BC1645" s="82"/>
      <c r="BD1645" s="82"/>
      <c r="BE1645" s="82"/>
      <c r="BF1645" s="82"/>
      <c r="BG1645" s="82"/>
      <c r="BH1645" s="82"/>
      <c r="BI1645" s="82"/>
      <c r="BL1645" s="82"/>
      <c r="CA1645" s="147"/>
    </row>
    <row r="1646" spans="3:79" s="80" customFormat="1">
      <c r="C1646" s="136" t="s">
        <v>1974</v>
      </c>
      <c r="F1646" s="82"/>
      <c r="P1646" s="168"/>
      <c r="S1646" s="192"/>
      <c r="T1646" s="192"/>
      <c r="U1646" s="82"/>
      <c r="V1646" s="82"/>
      <c r="W1646" s="82"/>
      <c r="Y1646" s="82"/>
      <c r="AC1646" s="82"/>
      <c r="AS1646" s="82"/>
      <c r="AT1646" s="82"/>
      <c r="AU1646" s="82"/>
      <c r="AV1646" s="82"/>
      <c r="AW1646" s="82"/>
      <c r="AX1646" s="82"/>
      <c r="AY1646" s="82"/>
      <c r="AZ1646" s="82"/>
      <c r="BA1646" s="82"/>
      <c r="BB1646" s="82"/>
      <c r="BC1646" s="82"/>
      <c r="BD1646" s="82"/>
      <c r="BE1646" s="82"/>
      <c r="BF1646" s="82"/>
      <c r="BG1646" s="82"/>
      <c r="BH1646" s="82"/>
      <c r="BI1646" s="82"/>
      <c r="BL1646" s="82"/>
      <c r="CA1646" s="147"/>
    </row>
    <row r="1647" spans="3:79" s="80" customFormat="1" ht="27">
      <c r="C1647" s="136" t="s">
        <v>1975</v>
      </c>
      <c r="F1647" s="82"/>
      <c r="P1647" s="168"/>
      <c r="S1647" s="192"/>
      <c r="T1647" s="192"/>
      <c r="U1647" s="82"/>
      <c r="V1647" s="82"/>
      <c r="W1647" s="82"/>
      <c r="Y1647" s="82"/>
      <c r="AC1647" s="82"/>
      <c r="AS1647" s="82"/>
      <c r="AT1647" s="82"/>
      <c r="AU1647" s="82"/>
      <c r="AV1647" s="82"/>
      <c r="AW1647" s="82"/>
      <c r="AX1647" s="82"/>
      <c r="AY1647" s="82"/>
      <c r="AZ1647" s="82"/>
      <c r="BA1647" s="82"/>
      <c r="BB1647" s="82"/>
      <c r="BC1647" s="82"/>
      <c r="BD1647" s="82"/>
      <c r="BE1647" s="82"/>
      <c r="BF1647" s="82"/>
      <c r="BG1647" s="82"/>
      <c r="BH1647" s="82"/>
      <c r="BI1647" s="82"/>
      <c r="BL1647" s="82"/>
      <c r="CA1647" s="147"/>
    </row>
    <row r="1648" spans="3:79" s="80" customFormat="1">
      <c r="C1648" s="136" t="s">
        <v>1976</v>
      </c>
      <c r="F1648" s="82"/>
      <c r="P1648" s="168"/>
      <c r="S1648" s="192"/>
      <c r="T1648" s="192"/>
      <c r="U1648" s="82"/>
      <c r="V1648" s="82"/>
      <c r="W1648" s="82"/>
      <c r="Y1648" s="82"/>
      <c r="AC1648" s="82"/>
      <c r="AS1648" s="82"/>
      <c r="AT1648" s="82"/>
      <c r="AU1648" s="82"/>
      <c r="AV1648" s="82"/>
      <c r="AW1648" s="82"/>
      <c r="AX1648" s="82"/>
      <c r="AY1648" s="82"/>
      <c r="AZ1648" s="82"/>
      <c r="BA1648" s="82"/>
      <c r="BB1648" s="82"/>
      <c r="BC1648" s="82"/>
      <c r="BD1648" s="82"/>
      <c r="BE1648" s="82"/>
      <c r="BF1648" s="82"/>
      <c r="BG1648" s="82"/>
      <c r="BH1648" s="82"/>
      <c r="BI1648" s="82"/>
      <c r="BL1648" s="82"/>
      <c r="CA1648" s="147"/>
    </row>
    <row r="1649" spans="3:79" s="80" customFormat="1">
      <c r="C1649" s="136" t="s">
        <v>983</v>
      </c>
      <c r="F1649" s="82"/>
      <c r="P1649" s="168"/>
      <c r="S1649" s="192"/>
      <c r="T1649" s="192"/>
      <c r="U1649" s="82"/>
      <c r="V1649" s="82"/>
      <c r="W1649" s="82"/>
      <c r="Y1649" s="82"/>
      <c r="AC1649" s="82"/>
      <c r="AS1649" s="82"/>
      <c r="AT1649" s="82"/>
      <c r="AU1649" s="82"/>
      <c r="AV1649" s="82"/>
      <c r="AW1649" s="82"/>
      <c r="AX1649" s="82"/>
      <c r="AY1649" s="82"/>
      <c r="AZ1649" s="82"/>
      <c r="BA1649" s="82"/>
      <c r="BB1649" s="82"/>
      <c r="BC1649" s="82"/>
      <c r="BD1649" s="82"/>
      <c r="BE1649" s="82"/>
      <c r="BF1649" s="82"/>
      <c r="BG1649" s="82"/>
      <c r="BH1649" s="82"/>
      <c r="BI1649" s="82"/>
      <c r="BL1649" s="82"/>
      <c r="CA1649" s="147"/>
    </row>
    <row r="1650" spans="3:79" s="80" customFormat="1" ht="27">
      <c r="C1650" s="136" t="s">
        <v>1979</v>
      </c>
      <c r="F1650" s="82"/>
      <c r="P1650" s="168"/>
      <c r="S1650" s="192"/>
      <c r="T1650" s="192"/>
      <c r="U1650" s="82"/>
      <c r="V1650" s="82"/>
      <c r="W1650" s="82"/>
      <c r="Y1650" s="82"/>
      <c r="AC1650" s="82"/>
      <c r="AS1650" s="82"/>
      <c r="AT1650" s="82"/>
      <c r="AU1650" s="82"/>
      <c r="AV1650" s="82"/>
      <c r="AW1650" s="82"/>
      <c r="AX1650" s="82"/>
      <c r="AY1650" s="82"/>
      <c r="AZ1650" s="82"/>
      <c r="BA1650" s="82"/>
      <c r="BB1650" s="82"/>
      <c r="BC1650" s="82"/>
      <c r="BD1650" s="82"/>
      <c r="BE1650" s="82"/>
      <c r="BF1650" s="82"/>
      <c r="BG1650" s="82"/>
      <c r="BH1650" s="82"/>
      <c r="BI1650" s="82"/>
      <c r="BL1650" s="82"/>
      <c r="CA1650" s="147"/>
    </row>
    <row r="1651" spans="3:79" s="80" customFormat="1" ht="27">
      <c r="C1651" s="136" t="s">
        <v>1980</v>
      </c>
      <c r="F1651" s="82"/>
      <c r="P1651" s="168"/>
      <c r="S1651" s="192"/>
      <c r="T1651" s="192"/>
      <c r="U1651" s="82"/>
      <c r="V1651" s="82"/>
      <c r="W1651" s="82"/>
      <c r="Y1651" s="82"/>
      <c r="AC1651" s="82"/>
      <c r="AS1651" s="82"/>
      <c r="AT1651" s="82"/>
      <c r="AU1651" s="82"/>
      <c r="AV1651" s="82"/>
      <c r="AW1651" s="82"/>
      <c r="AX1651" s="82"/>
      <c r="AY1651" s="82"/>
      <c r="AZ1651" s="82"/>
      <c r="BA1651" s="82"/>
      <c r="BB1651" s="82"/>
      <c r="BC1651" s="82"/>
      <c r="BD1651" s="82"/>
      <c r="BE1651" s="82"/>
      <c r="BF1651" s="82"/>
      <c r="BG1651" s="82"/>
      <c r="BH1651" s="82"/>
      <c r="BI1651" s="82"/>
      <c r="BL1651" s="82"/>
      <c r="CA1651" s="147"/>
    </row>
    <row r="1652" spans="3:79" s="80" customFormat="1" ht="27">
      <c r="C1652" s="136" t="s">
        <v>1981</v>
      </c>
      <c r="F1652" s="82"/>
      <c r="P1652" s="168"/>
      <c r="S1652" s="192"/>
      <c r="T1652" s="192"/>
      <c r="U1652" s="82"/>
      <c r="V1652" s="82"/>
      <c r="W1652" s="82"/>
      <c r="Y1652" s="82"/>
      <c r="AC1652" s="82"/>
      <c r="AS1652" s="82"/>
      <c r="AT1652" s="82"/>
      <c r="AU1652" s="82"/>
      <c r="AV1652" s="82"/>
      <c r="AW1652" s="82"/>
      <c r="AX1652" s="82"/>
      <c r="AY1652" s="82"/>
      <c r="AZ1652" s="82"/>
      <c r="BA1652" s="82"/>
      <c r="BB1652" s="82"/>
      <c r="BC1652" s="82"/>
      <c r="BD1652" s="82"/>
      <c r="BE1652" s="82"/>
      <c r="BF1652" s="82"/>
      <c r="BG1652" s="82"/>
      <c r="BH1652" s="82"/>
      <c r="BI1652" s="82"/>
      <c r="BL1652" s="82"/>
      <c r="CA1652" s="147"/>
    </row>
    <row r="1653" spans="3:79" s="80" customFormat="1">
      <c r="C1653" s="136" t="s">
        <v>1982</v>
      </c>
      <c r="F1653" s="82"/>
      <c r="P1653" s="168"/>
      <c r="S1653" s="192"/>
      <c r="T1653" s="192"/>
      <c r="U1653" s="82"/>
      <c r="V1653" s="82"/>
      <c r="W1653" s="82"/>
      <c r="Y1653" s="82"/>
      <c r="AC1653" s="82"/>
      <c r="AS1653" s="82"/>
      <c r="AT1653" s="82"/>
      <c r="AU1653" s="82"/>
      <c r="AV1653" s="82"/>
      <c r="AW1653" s="82"/>
      <c r="AX1653" s="82"/>
      <c r="AY1653" s="82"/>
      <c r="AZ1653" s="82"/>
      <c r="BA1653" s="82"/>
      <c r="BB1653" s="82"/>
      <c r="BC1653" s="82"/>
      <c r="BD1653" s="82"/>
      <c r="BE1653" s="82"/>
      <c r="BF1653" s="82"/>
      <c r="BG1653" s="82"/>
      <c r="BH1653" s="82"/>
      <c r="BI1653" s="82"/>
      <c r="BL1653" s="82"/>
      <c r="CA1653" s="147"/>
    </row>
    <row r="1654" spans="3:79" s="80" customFormat="1">
      <c r="C1654" s="136" t="s">
        <v>1983</v>
      </c>
      <c r="F1654" s="82"/>
      <c r="P1654" s="168"/>
      <c r="S1654" s="192"/>
      <c r="T1654" s="192"/>
      <c r="U1654" s="82"/>
      <c r="V1654" s="82"/>
      <c r="W1654" s="82"/>
      <c r="Y1654" s="82"/>
      <c r="AC1654" s="82"/>
      <c r="AS1654" s="82"/>
      <c r="AT1654" s="82"/>
      <c r="AU1654" s="82"/>
      <c r="AV1654" s="82"/>
      <c r="AW1654" s="82"/>
      <c r="AX1654" s="82"/>
      <c r="AY1654" s="82"/>
      <c r="AZ1654" s="82"/>
      <c r="BA1654" s="82"/>
      <c r="BB1654" s="82"/>
      <c r="BC1654" s="82"/>
      <c r="BD1654" s="82"/>
      <c r="BE1654" s="82"/>
      <c r="BF1654" s="82"/>
      <c r="BG1654" s="82"/>
      <c r="BH1654" s="82"/>
      <c r="BI1654" s="82"/>
      <c r="BL1654" s="82"/>
      <c r="CA1654" s="147"/>
    </row>
    <row r="1655" spans="3:79" s="80" customFormat="1">
      <c r="C1655" s="136" t="s">
        <v>1984</v>
      </c>
      <c r="F1655" s="82"/>
      <c r="P1655" s="168"/>
      <c r="S1655" s="192"/>
      <c r="T1655" s="192"/>
      <c r="U1655" s="82"/>
      <c r="V1655" s="82"/>
      <c r="W1655" s="82"/>
      <c r="Y1655" s="82"/>
      <c r="AC1655" s="82"/>
      <c r="AS1655" s="82"/>
      <c r="AT1655" s="82"/>
      <c r="AU1655" s="82"/>
      <c r="AV1655" s="82"/>
      <c r="AW1655" s="82"/>
      <c r="AX1655" s="82"/>
      <c r="AY1655" s="82"/>
      <c r="AZ1655" s="82"/>
      <c r="BA1655" s="82"/>
      <c r="BB1655" s="82"/>
      <c r="BC1655" s="82"/>
      <c r="BD1655" s="82"/>
      <c r="BE1655" s="82"/>
      <c r="BF1655" s="82"/>
      <c r="BG1655" s="82"/>
      <c r="BH1655" s="82"/>
      <c r="BI1655" s="82"/>
      <c r="BL1655" s="82"/>
      <c r="CA1655" s="147"/>
    </row>
    <row r="1656" spans="3:79" s="80" customFormat="1" ht="27">
      <c r="C1656" s="136" t="s">
        <v>1985</v>
      </c>
      <c r="F1656" s="82"/>
      <c r="P1656" s="168"/>
      <c r="S1656" s="192"/>
      <c r="T1656" s="192"/>
      <c r="U1656" s="82"/>
      <c r="V1656" s="82"/>
      <c r="W1656" s="82"/>
      <c r="Y1656" s="82"/>
      <c r="AC1656" s="82"/>
      <c r="AS1656" s="82"/>
      <c r="AT1656" s="82"/>
      <c r="AU1656" s="82"/>
      <c r="AV1656" s="82"/>
      <c r="AW1656" s="82"/>
      <c r="AX1656" s="82"/>
      <c r="AY1656" s="82"/>
      <c r="AZ1656" s="82"/>
      <c r="BA1656" s="82"/>
      <c r="BB1656" s="82"/>
      <c r="BC1656" s="82"/>
      <c r="BD1656" s="82"/>
      <c r="BE1656" s="82"/>
      <c r="BF1656" s="82"/>
      <c r="BG1656" s="82"/>
      <c r="BH1656" s="82"/>
      <c r="BI1656" s="82"/>
      <c r="BL1656" s="82"/>
      <c r="CA1656" s="147"/>
    </row>
    <row r="1657" spans="3:79" s="80" customFormat="1">
      <c r="C1657" s="136" t="s">
        <v>1986</v>
      </c>
      <c r="F1657" s="82"/>
      <c r="P1657" s="168"/>
      <c r="S1657" s="192"/>
      <c r="T1657" s="192"/>
      <c r="U1657" s="82"/>
      <c r="V1657" s="82"/>
      <c r="W1657" s="82"/>
      <c r="Y1657" s="82"/>
      <c r="AC1657" s="82"/>
      <c r="AS1657" s="82"/>
      <c r="AT1657" s="82"/>
      <c r="AU1657" s="82"/>
      <c r="AV1657" s="82"/>
      <c r="AW1657" s="82"/>
      <c r="AX1657" s="82"/>
      <c r="AY1657" s="82"/>
      <c r="AZ1657" s="82"/>
      <c r="BA1657" s="82"/>
      <c r="BB1657" s="82"/>
      <c r="BC1657" s="82"/>
      <c r="BD1657" s="82"/>
      <c r="BE1657" s="82"/>
      <c r="BF1657" s="82"/>
      <c r="BG1657" s="82"/>
      <c r="BH1657" s="82"/>
      <c r="BI1657" s="82"/>
      <c r="BL1657" s="82"/>
      <c r="CA1657" s="147"/>
    </row>
    <row r="1658" spans="3:79" s="80" customFormat="1">
      <c r="C1658" s="136" t="s">
        <v>916</v>
      </c>
      <c r="F1658" s="82"/>
      <c r="P1658" s="168"/>
      <c r="S1658" s="192"/>
      <c r="T1658" s="192"/>
      <c r="U1658" s="82"/>
      <c r="V1658" s="82"/>
      <c r="W1658" s="82"/>
      <c r="Y1658" s="82"/>
      <c r="AC1658" s="82"/>
      <c r="AS1658" s="82"/>
      <c r="AT1658" s="82"/>
      <c r="AU1658" s="82"/>
      <c r="AV1658" s="82"/>
      <c r="AW1658" s="82"/>
      <c r="AX1658" s="82"/>
      <c r="AY1658" s="82"/>
      <c r="AZ1658" s="82"/>
      <c r="BA1658" s="82"/>
      <c r="BB1658" s="82"/>
      <c r="BC1658" s="82"/>
      <c r="BD1658" s="82"/>
      <c r="BE1658" s="82"/>
      <c r="BF1658" s="82"/>
      <c r="BG1658" s="82"/>
      <c r="BH1658" s="82"/>
      <c r="BI1658" s="82"/>
      <c r="BL1658" s="82"/>
      <c r="CA1658" s="147"/>
    </row>
    <row r="1659" spans="3:79" s="80" customFormat="1">
      <c r="C1659" s="136" t="s">
        <v>1987</v>
      </c>
      <c r="F1659" s="82"/>
      <c r="P1659" s="168"/>
      <c r="S1659" s="192"/>
      <c r="T1659" s="192"/>
      <c r="U1659" s="82"/>
      <c r="V1659" s="82"/>
      <c r="W1659" s="82"/>
      <c r="Y1659" s="82"/>
      <c r="AC1659" s="82"/>
      <c r="AS1659" s="82"/>
      <c r="AT1659" s="82"/>
      <c r="AU1659" s="82"/>
      <c r="AV1659" s="82"/>
      <c r="AW1659" s="82"/>
      <c r="AX1659" s="82"/>
      <c r="AY1659" s="82"/>
      <c r="AZ1659" s="82"/>
      <c r="BA1659" s="82"/>
      <c r="BB1659" s="82"/>
      <c r="BC1659" s="82"/>
      <c r="BD1659" s="82"/>
      <c r="BE1659" s="82"/>
      <c r="BF1659" s="82"/>
      <c r="BG1659" s="82"/>
      <c r="BH1659" s="82"/>
      <c r="BI1659" s="82"/>
      <c r="BL1659" s="82"/>
      <c r="CA1659" s="147"/>
    </row>
    <row r="1660" spans="3:79" s="80" customFormat="1" ht="40.5">
      <c r="C1660" s="136" t="s">
        <v>1988</v>
      </c>
      <c r="F1660" s="82"/>
      <c r="P1660" s="168"/>
      <c r="S1660" s="192"/>
      <c r="T1660" s="192"/>
      <c r="U1660" s="82"/>
      <c r="V1660" s="82"/>
      <c r="W1660" s="82"/>
      <c r="Y1660" s="82"/>
      <c r="AC1660" s="82"/>
      <c r="AS1660" s="82"/>
      <c r="AT1660" s="82"/>
      <c r="AU1660" s="82"/>
      <c r="AV1660" s="82"/>
      <c r="AW1660" s="82"/>
      <c r="AX1660" s="82"/>
      <c r="AY1660" s="82"/>
      <c r="AZ1660" s="82"/>
      <c r="BA1660" s="82"/>
      <c r="BB1660" s="82"/>
      <c r="BC1660" s="82"/>
      <c r="BD1660" s="82"/>
      <c r="BE1660" s="82"/>
      <c r="BF1660" s="82"/>
      <c r="BG1660" s="82"/>
      <c r="BH1660" s="82"/>
      <c r="BI1660" s="82"/>
      <c r="BL1660" s="82"/>
      <c r="CA1660" s="147"/>
    </row>
    <row r="1661" spans="3:79" s="80" customFormat="1">
      <c r="C1661" s="136" t="s">
        <v>1989</v>
      </c>
      <c r="F1661" s="82"/>
      <c r="P1661" s="168"/>
      <c r="S1661" s="192"/>
      <c r="T1661" s="192"/>
      <c r="U1661" s="82"/>
      <c r="V1661" s="82"/>
      <c r="W1661" s="82"/>
      <c r="Y1661" s="82"/>
      <c r="AC1661" s="82"/>
      <c r="AS1661" s="82"/>
      <c r="AT1661" s="82"/>
      <c r="AU1661" s="82"/>
      <c r="AV1661" s="82"/>
      <c r="AW1661" s="82"/>
      <c r="AX1661" s="82"/>
      <c r="AY1661" s="82"/>
      <c r="AZ1661" s="82"/>
      <c r="BA1661" s="82"/>
      <c r="BB1661" s="82"/>
      <c r="BC1661" s="82"/>
      <c r="BD1661" s="82"/>
      <c r="BE1661" s="82"/>
      <c r="BF1661" s="82"/>
      <c r="BG1661" s="82"/>
      <c r="BH1661" s="82"/>
      <c r="BI1661" s="82"/>
      <c r="BL1661" s="82"/>
      <c r="CA1661" s="147"/>
    </row>
    <row r="1662" spans="3:79" s="80" customFormat="1">
      <c r="C1662" s="136" t="s">
        <v>1990</v>
      </c>
      <c r="F1662" s="82"/>
      <c r="P1662" s="168"/>
      <c r="S1662" s="192"/>
      <c r="T1662" s="192"/>
      <c r="U1662" s="82"/>
      <c r="V1662" s="82"/>
      <c r="W1662" s="82"/>
      <c r="Y1662" s="82"/>
      <c r="AC1662" s="82"/>
      <c r="AS1662" s="82"/>
      <c r="AT1662" s="82"/>
      <c r="AU1662" s="82"/>
      <c r="AV1662" s="82"/>
      <c r="AW1662" s="82"/>
      <c r="AX1662" s="82"/>
      <c r="AY1662" s="82"/>
      <c r="AZ1662" s="82"/>
      <c r="BA1662" s="82"/>
      <c r="BB1662" s="82"/>
      <c r="BC1662" s="82"/>
      <c r="BD1662" s="82"/>
      <c r="BE1662" s="82"/>
      <c r="BF1662" s="82"/>
      <c r="BG1662" s="82"/>
      <c r="BH1662" s="82"/>
      <c r="BI1662" s="82"/>
      <c r="BL1662" s="82"/>
      <c r="CA1662" s="147"/>
    </row>
    <row r="1663" spans="3:79" s="80" customFormat="1" ht="27">
      <c r="C1663" s="136" t="s">
        <v>1991</v>
      </c>
      <c r="F1663" s="82"/>
      <c r="P1663" s="168"/>
      <c r="S1663" s="192"/>
      <c r="T1663" s="192"/>
      <c r="U1663" s="82"/>
      <c r="V1663" s="82"/>
      <c r="W1663" s="82"/>
      <c r="Y1663" s="82"/>
      <c r="AC1663" s="82"/>
      <c r="AS1663" s="82"/>
      <c r="AT1663" s="82"/>
      <c r="AU1663" s="82"/>
      <c r="AV1663" s="82"/>
      <c r="AW1663" s="82"/>
      <c r="AX1663" s="82"/>
      <c r="AY1663" s="82"/>
      <c r="AZ1663" s="82"/>
      <c r="BA1663" s="82"/>
      <c r="BB1663" s="82"/>
      <c r="BC1663" s="82"/>
      <c r="BD1663" s="82"/>
      <c r="BE1663" s="82"/>
      <c r="BF1663" s="82"/>
      <c r="BG1663" s="82"/>
      <c r="BH1663" s="82"/>
      <c r="BI1663" s="82"/>
      <c r="BL1663" s="82"/>
      <c r="CA1663" s="147"/>
    </row>
    <row r="1664" spans="3:79" s="80" customFormat="1" ht="27">
      <c r="C1664" s="136" t="s">
        <v>1992</v>
      </c>
      <c r="F1664" s="82"/>
      <c r="P1664" s="168"/>
      <c r="S1664" s="192"/>
      <c r="T1664" s="192"/>
      <c r="U1664" s="82"/>
      <c r="V1664" s="82"/>
      <c r="W1664" s="82"/>
      <c r="Y1664" s="82"/>
      <c r="AC1664" s="82"/>
      <c r="AS1664" s="82"/>
      <c r="AT1664" s="82"/>
      <c r="AU1664" s="82"/>
      <c r="AV1664" s="82"/>
      <c r="AW1664" s="82"/>
      <c r="AX1664" s="82"/>
      <c r="AY1664" s="82"/>
      <c r="AZ1664" s="82"/>
      <c r="BA1664" s="82"/>
      <c r="BB1664" s="82"/>
      <c r="BC1664" s="82"/>
      <c r="BD1664" s="82"/>
      <c r="BE1664" s="82"/>
      <c r="BF1664" s="82"/>
      <c r="BG1664" s="82"/>
      <c r="BH1664" s="82"/>
      <c r="BI1664" s="82"/>
      <c r="BL1664" s="82"/>
      <c r="CA1664" s="147"/>
    </row>
    <row r="1665" spans="3:79" s="80" customFormat="1" ht="27">
      <c r="C1665" s="136" t="s">
        <v>1993</v>
      </c>
      <c r="F1665" s="82"/>
      <c r="P1665" s="168"/>
      <c r="S1665" s="192"/>
      <c r="T1665" s="192"/>
      <c r="U1665" s="82"/>
      <c r="V1665" s="82"/>
      <c r="W1665" s="82"/>
      <c r="Y1665" s="82"/>
      <c r="AC1665" s="82"/>
      <c r="AS1665" s="82"/>
      <c r="AT1665" s="82"/>
      <c r="AU1665" s="82"/>
      <c r="AV1665" s="82"/>
      <c r="AW1665" s="82"/>
      <c r="AX1665" s="82"/>
      <c r="AY1665" s="82"/>
      <c r="AZ1665" s="82"/>
      <c r="BA1665" s="82"/>
      <c r="BB1665" s="82"/>
      <c r="BC1665" s="82"/>
      <c r="BD1665" s="82"/>
      <c r="BE1665" s="82"/>
      <c r="BF1665" s="82"/>
      <c r="BG1665" s="82"/>
      <c r="BH1665" s="82"/>
      <c r="BI1665" s="82"/>
      <c r="BL1665" s="82"/>
      <c r="CA1665" s="147"/>
    </row>
    <row r="1666" spans="3:79" s="80" customFormat="1">
      <c r="C1666" s="136"/>
      <c r="F1666" s="82"/>
      <c r="P1666" s="168"/>
      <c r="S1666" s="192"/>
      <c r="T1666" s="192"/>
      <c r="U1666" s="82"/>
      <c r="V1666" s="82"/>
      <c r="W1666" s="82"/>
      <c r="Y1666" s="82"/>
      <c r="AC1666" s="82"/>
      <c r="AS1666" s="82"/>
      <c r="AT1666" s="82"/>
      <c r="AU1666" s="82"/>
      <c r="AV1666" s="82"/>
      <c r="AW1666" s="82"/>
      <c r="AX1666" s="82"/>
      <c r="AY1666" s="82"/>
      <c r="AZ1666" s="82"/>
      <c r="BA1666" s="82"/>
      <c r="BB1666" s="82"/>
      <c r="BC1666" s="82"/>
      <c r="BD1666" s="82"/>
      <c r="BE1666" s="82"/>
      <c r="BF1666" s="82"/>
      <c r="BG1666" s="82"/>
      <c r="BH1666" s="82"/>
      <c r="BI1666" s="82"/>
      <c r="BL1666" s="82"/>
      <c r="CA1666" s="147"/>
    </row>
    <row r="1667" spans="3:79" s="83" customFormat="1" ht="27">
      <c r="C1667" s="136" t="s">
        <v>2062</v>
      </c>
      <c r="F1667" s="85" t="s">
        <v>52</v>
      </c>
      <c r="H1667" s="83" t="s">
        <v>70</v>
      </c>
      <c r="P1667" s="169"/>
      <c r="S1667" s="194"/>
      <c r="T1667" s="194"/>
      <c r="U1667" s="85"/>
      <c r="V1667" s="85"/>
      <c r="W1667" s="85"/>
      <c r="X1667" s="84" t="s">
        <v>68</v>
      </c>
      <c r="Y1667" s="85"/>
      <c r="AC1667" s="83" t="s">
        <v>69</v>
      </c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5"/>
      <c r="BG1667" s="85"/>
      <c r="BH1667" s="85"/>
      <c r="BI1667" s="85"/>
      <c r="CA1667" s="148"/>
    </row>
    <row r="1668" spans="3:79" s="83" customFormat="1" ht="14.25">
      <c r="C1668" s="136" t="s">
        <v>2063</v>
      </c>
      <c r="F1668" s="85" t="s">
        <v>52</v>
      </c>
      <c r="H1668" s="83" t="s">
        <v>67</v>
      </c>
      <c r="P1668" s="169"/>
      <c r="S1668" s="194"/>
      <c r="T1668" s="194"/>
      <c r="U1668" s="85"/>
      <c r="V1668" s="85"/>
      <c r="W1668" s="85"/>
      <c r="X1668" s="84" t="s">
        <v>68</v>
      </c>
      <c r="Y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5"/>
      <c r="BG1668" s="85"/>
      <c r="BH1668" s="85"/>
      <c r="BI1668" s="85"/>
      <c r="CA1668" s="148"/>
    </row>
    <row r="1669" spans="3:79" s="83" customFormat="1" ht="27">
      <c r="C1669" s="136" t="s">
        <v>2064</v>
      </c>
      <c r="F1669" s="84" t="s">
        <v>51</v>
      </c>
      <c r="H1669" s="83" t="s">
        <v>65</v>
      </c>
      <c r="P1669" s="169"/>
      <c r="S1669" s="194"/>
      <c r="T1669" s="194"/>
      <c r="U1669" s="84"/>
      <c r="V1669" s="84"/>
      <c r="W1669" s="84"/>
      <c r="X1669" s="84" t="s">
        <v>66</v>
      </c>
      <c r="Y1669" s="84"/>
      <c r="AS1669" s="84"/>
      <c r="AT1669" s="84"/>
      <c r="AU1669" s="84"/>
      <c r="AV1669" s="84"/>
      <c r="AW1669" s="84"/>
      <c r="AX1669" s="84"/>
      <c r="AY1669" s="84"/>
      <c r="AZ1669" s="84"/>
      <c r="BA1669" s="84"/>
      <c r="BB1669" s="84"/>
      <c r="BC1669" s="84"/>
      <c r="BD1669" s="84"/>
      <c r="BE1669" s="84"/>
      <c r="BF1669" s="84"/>
      <c r="BG1669" s="84"/>
      <c r="BH1669" s="84"/>
      <c r="BI1669" s="84"/>
      <c r="BN1669" s="83">
        <v>72</v>
      </c>
      <c r="CA1669" s="148"/>
    </row>
    <row r="1670" spans="3:79" s="83" customFormat="1" ht="27">
      <c r="C1670" s="136" t="s">
        <v>2065</v>
      </c>
      <c r="F1670" s="86" t="s">
        <v>63</v>
      </c>
      <c r="P1670" s="169"/>
      <c r="S1670" s="194"/>
      <c r="T1670" s="194"/>
      <c r="U1670" s="86"/>
      <c r="V1670" s="86"/>
      <c r="W1670" s="86"/>
      <c r="X1670" s="84" t="s">
        <v>64</v>
      </c>
      <c r="Y1670" s="86"/>
      <c r="AS1670" s="86"/>
      <c r="AT1670" s="86"/>
      <c r="AU1670" s="86"/>
      <c r="AV1670" s="86"/>
      <c r="AW1670" s="86"/>
      <c r="AX1670" s="86"/>
      <c r="AY1670" s="86"/>
      <c r="AZ1670" s="86"/>
      <c r="BA1670" s="86"/>
      <c r="BB1670" s="86"/>
      <c r="BC1670" s="86"/>
      <c r="BD1670" s="86"/>
      <c r="BE1670" s="86"/>
      <c r="BF1670" s="86"/>
      <c r="BG1670" s="86"/>
      <c r="BH1670" s="86"/>
      <c r="BI1670" s="86"/>
      <c r="BN1670" s="83">
        <v>52.6</v>
      </c>
      <c r="CA1670" s="148"/>
    </row>
    <row r="1671" spans="3:79" s="83" customFormat="1" ht="14.25">
      <c r="C1671" s="136" t="s">
        <v>1949</v>
      </c>
      <c r="F1671" s="84" t="s">
        <v>51</v>
      </c>
      <c r="P1671" s="169"/>
      <c r="S1671" s="194"/>
      <c r="T1671" s="194"/>
      <c r="U1671" s="84"/>
      <c r="V1671" s="84"/>
      <c r="W1671" s="84"/>
      <c r="X1671" s="84" t="s">
        <v>60</v>
      </c>
      <c r="Y1671" s="84"/>
      <c r="AC1671" s="87" t="s">
        <v>61</v>
      </c>
      <c r="AS1671" s="84"/>
      <c r="AT1671" s="84"/>
      <c r="AU1671" s="84"/>
      <c r="AV1671" s="84"/>
      <c r="AW1671" s="84"/>
      <c r="AX1671" s="84"/>
      <c r="AY1671" s="84"/>
      <c r="AZ1671" s="84"/>
      <c r="BA1671" s="84"/>
      <c r="BB1671" s="84"/>
      <c r="BC1671" s="84"/>
      <c r="BD1671" s="84"/>
      <c r="BE1671" s="84"/>
      <c r="BF1671" s="84"/>
      <c r="BG1671" s="84"/>
      <c r="BH1671" s="84"/>
      <c r="BI1671" s="84"/>
      <c r="BN1671" s="83" t="s">
        <v>62</v>
      </c>
      <c r="CA1671" s="148"/>
    </row>
    <row r="1672" spans="3:79" s="83" customFormat="1" ht="14.25">
      <c r="C1672" s="136" t="s">
        <v>1023</v>
      </c>
      <c r="F1672" s="85" t="s">
        <v>52</v>
      </c>
      <c r="P1672" s="169"/>
      <c r="S1672" s="194"/>
      <c r="T1672" s="194"/>
      <c r="U1672" s="85"/>
      <c r="V1672" s="85"/>
      <c r="W1672" s="85"/>
      <c r="X1672" s="84" t="s">
        <v>60</v>
      </c>
      <c r="Y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5"/>
      <c r="BG1672" s="85"/>
      <c r="BH1672" s="85"/>
      <c r="BI1672" s="85"/>
      <c r="CA1672" s="148"/>
    </row>
    <row r="1673" spans="3:79" s="83" customFormat="1" ht="14.25">
      <c r="C1673" s="136" t="s">
        <v>983</v>
      </c>
      <c r="E1673" s="88"/>
      <c r="F1673" s="84"/>
      <c r="G1673" s="88"/>
      <c r="L1673" s="88"/>
      <c r="M1673" s="88"/>
      <c r="N1673" s="88"/>
      <c r="O1673" s="88"/>
      <c r="P1673" s="169"/>
      <c r="Q1673" s="88"/>
      <c r="R1673" s="88"/>
      <c r="S1673" s="205"/>
      <c r="T1673" s="205"/>
      <c r="U1673" s="84"/>
      <c r="V1673" s="84"/>
      <c r="W1673" s="84"/>
      <c r="X1673" s="84" t="s">
        <v>60</v>
      </c>
      <c r="Y1673" s="84"/>
      <c r="AS1673" s="84"/>
      <c r="AT1673" s="84"/>
      <c r="AU1673" s="84"/>
      <c r="AV1673" s="84"/>
      <c r="AW1673" s="84"/>
      <c r="AX1673" s="84"/>
      <c r="AY1673" s="84"/>
      <c r="AZ1673" s="84"/>
      <c r="BA1673" s="84"/>
      <c r="BB1673" s="84"/>
      <c r="BC1673" s="84"/>
      <c r="BD1673" s="84"/>
      <c r="BE1673" s="84"/>
      <c r="BF1673" s="84"/>
      <c r="BG1673" s="84"/>
      <c r="BH1673" s="84"/>
      <c r="BI1673" s="84"/>
      <c r="CA1673" s="148"/>
    </row>
    <row r="1674" spans="3:79" s="83" customFormat="1" ht="14.25">
      <c r="C1674" s="136" t="s">
        <v>2066</v>
      </c>
      <c r="F1674" s="84"/>
      <c r="P1674" s="169"/>
      <c r="S1674" s="194"/>
      <c r="T1674" s="194"/>
      <c r="U1674" s="84"/>
      <c r="V1674" s="84"/>
      <c r="W1674" s="84"/>
      <c r="X1674" s="84"/>
      <c r="Y1674" s="84"/>
      <c r="AS1674" s="84"/>
      <c r="AT1674" s="84"/>
      <c r="AU1674" s="84"/>
      <c r="AV1674" s="84"/>
      <c r="AW1674" s="84"/>
      <c r="AX1674" s="84"/>
      <c r="AY1674" s="84"/>
      <c r="AZ1674" s="84"/>
      <c r="BA1674" s="84"/>
      <c r="BB1674" s="84"/>
      <c r="BC1674" s="84"/>
      <c r="BD1674" s="84"/>
      <c r="BE1674" s="84"/>
      <c r="BF1674" s="84"/>
      <c r="BG1674" s="84"/>
      <c r="BH1674" s="84"/>
      <c r="BI1674" s="84"/>
      <c r="CA1674" s="148"/>
    </row>
    <row r="1675" spans="3:79" s="83" customFormat="1" ht="14.25">
      <c r="C1675" s="136" t="s">
        <v>2067</v>
      </c>
      <c r="F1675" s="84"/>
      <c r="P1675" s="169"/>
      <c r="S1675" s="194"/>
      <c r="T1675" s="194"/>
      <c r="U1675" s="84"/>
      <c r="V1675" s="84"/>
      <c r="W1675" s="84"/>
      <c r="X1675" s="84" t="s">
        <v>60</v>
      </c>
      <c r="Y1675" s="84"/>
      <c r="AS1675" s="84"/>
      <c r="AT1675" s="84"/>
      <c r="AU1675" s="84"/>
      <c r="AV1675" s="84"/>
      <c r="AW1675" s="84"/>
      <c r="AX1675" s="84"/>
      <c r="AY1675" s="84"/>
      <c r="AZ1675" s="84"/>
      <c r="BA1675" s="84"/>
      <c r="BB1675" s="84"/>
      <c r="BC1675" s="84"/>
      <c r="BD1675" s="84"/>
      <c r="BE1675" s="84"/>
      <c r="BF1675" s="84"/>
      <c r="BG1675" s="84"/>
      <c r="BH1675" s="84"/>
      <c r="BI1675" s="84"/>
      <c r="CA1675" s="148"/>
    </row>
    <row r="1676" spans="3:79" s="83" customFormat="1" ht="14.25">
      <c r="C1676" s="136" t="s">
        <v>2068</v>
      </c>
      <c r="F1676" s="84"/>
      <c r="P1676" s="169"/>
      <c r="S1676" s="194"/>
      <c r="T1676" s="194"/>
      <c r="U1676" s="84"/>
      <c r="V1676" s="84"/>
      <c r="W1676" s="84"/>
      <c r="X1676" s="84" t="s">
        <v>60</v>
      </c>
      <c r="Y1676" s="84"/>
      <c r="AS1676" s="84"/>
      <c r="AT1676" s="84"/>
      <c r="AU1676" s="84"/>
      <c r="AV1676" s="84"/>
      <c r="AW1676" s="84"/>
      <c r="AX1676" s="84"/>
      <c r="AY1676" s="84"/>
      <c r="AZ1676" s="84"/>
      <c r="BA1676" s="84"/>
      <c r="BB1676" s="84"/>
      <c r="BC1676" s="84"/>
      <c r="BD1676" s="84"/>
      <c r="BE1676" s="84"/>
      <c r="BF1676" s="84"/>
      <c r="BG1676" s="84"/>
      <c r="BH1676" s="84"/>
      <c r="BI1676" s="84"/>
      <c r="CA1676" s="148"/>
    </row>
    <row r="1677" spans="3:79" s="83" customFormat="1" ht="14.25">
      <c r="C1677" s="136" t="s">
        <v>2069</v>
      </c>
      <c r="F1677" s="84"/>
      <c r="P1677" s="169"/>
      <c r="S1677" s="194"/>
      <c r="T1677" s="194"/>
      <c r="U1677" s="84"/>
      <c r="V1677" s="84"/>
      <c r="W1677" s="84"/>
      <c r="X1677" s="84" t="s">
        <v>60</v>
      </c>
      <c r="Y1677" s="84"/>
      <c r="AS1677" s="84"/>
      <c r="AT1677" s="84"/>
      <c r="AU1677" s="84"/>
      <c r="AV1677" s="84"/>
      <c r="AW1677" s="84"/>
      <c r="AX1677" s="84"/>
      <c r="AY1677" s="84"/>
      <c r="AZ1677" s="84"/>
      <c r="BA1677" s="84"/>
      <c r="BB1677" s="84"/>
      <c r="BC1677" s="84"/>
      <c r="BD1677" s="84"/>
      <c r="BE1677" s="84"/>
      <c r="BF1677" s="84"/>
      <c r="BG1677" s="84"/>
      <c r="BH1677" s="84"/>
      <c r="BI1677" s="84"/>
      <c r="CA1677" s="148"/>
    </row>
    <row r="1678" spans="3:79" s="83" customFormat="1" ht="14.25">
      <c r="C1678" s="136" t="s">
        <v>1986</v>
      </c>
      <c r="F1678" s="84"/>
      <c r="P1678" s="169"/>
      <c r="S1678" s="194"/>
      <c r="T1678" s="194"/>
      <c r="U1678" s="84"/>
      <c r="V1678" s="84"/>
      <c r="W1678" s="84"/>
      <c r="X1678" s="84" t="s">
        <v>60</v>
      </c>
      <c r="Y1678" s="84"/>
      <c r="AS1678" s="84"/>
      <c r="AT1678" s="84"/>
      <c r="AU1678" s="84"/>
      <c r="AV1678" s="84"/>
      <c r="AW1678" s="84"/>
      <c r="AX1678" s="84"/>
      <c r="AY1678" s="84"/>
      <c r="AZ1678" s="84"/>
      <c r="BA1678" s="84"/>
      <c r="BB1678" s="84"/>
      <c r="BC1678" s="84"/>
      <c r="BD1678" s="84"/>
      <c r="BE1678" s="84"/>
      <c r="BF1678" s="84"/>
      <c r="BG1678" s="84"/>
      <c r="BH1678" s="84"/>
      <c r="BI1678" s="84"/>
      <c r="CA1678" s="148"/>
    </row>
    <row r="1679" spans="3:79" s="83" customFormat="1" ht="14.25">
      <c r="C1679" s="136" t="s">
        <v>916</v>
      </c>
      <c r="F1679" s="84"/>
      <c r="P1679" s="169"/>
      <c r="S1679" s="194"/>
      <c r="T1679" s="194"/>
      <c r="U1679" s="84"/>
      <c r="V1679" s="84"/>
      <c r="W1679" s="84"/>
      <c r="X1679" s="84" t="s">
        <v>60</v>
      </c>
      <c r="Y1679" s="84"/>
      <c r="AS1679" s="84"/>
      <c r="AT1679" s="84"/>
      <c r="AU1679" s="84"/>
      <c r="AV1679" s="84"/>
      <c r="AW1679" s="84"/>
      <c r="AX1679" s="84"/>
      <c r="AY1679" s="84"/>
      <c r="AZ1679" s="84"/>
      <c r="BA1679" s="84"/>
      <c r="BB1679" s="84"/>
      <c r="BC1679" s="84"/>
      <c r="BD1679" s="84"/>
      <c r="BE1679" s="84"/>
      <c r="BF1679" s="84"/>
      <c r="BG1679" s="84"/>
      <c r="BH1679" s="84"/>
      <c r="BI1679" s="84"/>
      <c r="CA1679" s="148"/>
    </row>
    <row r="1680" spans="3:79" s="83" customFormat="1" ht="14.25">
      <c r="C1680" s="136" t="s">
        <v>2070</v>
      </c>
      <c r="D1680" s="84"/>
      <c r="E1680" s="89"/>
      <c r="F1680" s="85" t="s">
        <v>52</v>
      </c>
      <c r="G1680" s="89"/>
      <c r="H1680" s="84" t="s">
        <v>58</v>
      </c>
      <c r="I1680" s="84"/>
      <c r="J1680" s="84"/>
      <c r="K1680" s="84"/>
      <c r="L1680" s="89"/>
      <c r="M1680" s="89"/>
      <c r="N1680" s="89"/>
      <c r="O1680" s="89"/>
      <c r="P1680" s="169"/>
      <c r="Q1680" s="89"/>
      <c r="R1680" s="89"/>
      <c r="S1680" s="206"/>
      <c r="T1680" s="206"/>
      <c r="U1680" s="85"/>
      <c r="V1680" s="85"/>
      <c r="W1680" s="85"/>
      <c r="X1680" s="84" t="s">
        <v>59</v>
      </c>
      <c r="Y1680" s="85"/>
      <c r="AC1680" s="90" t="s">
        <v>57</v>
      </c>
      <c r="AS1680" s="85"/>
      <c r="AT1680" s="85"/>
      <c r="AU1680" s="85"/>
      <c r="AV1680" s="85"/>
      <c r="AW1680" s="85"/>
      <c r="AX1680" s="85"/>
      <c r="AY1680" s="85"/>
      <c r="AZ1680" s="85"/>
      <c r="BA1680" s="85"/>
      <c r="BB1680" s="85"/>
      <c r="BC1680" s="85"/>
      <c r="BD1680" s="85"/>
      <c r="BE1680" s="85"/>
      <c r="BF1680" s="85"/>
      <c r="BG1680" s="85"/>
      <c r="BH1680" s="85"/>
      <c r="BI1680" s="85"/>
      <c r="BN1680" s="83">
        <v>29</v>
      </c>
      <c r="CA1680" s="148"/>
    </row>
    <row r="1681" spans="3:79" s="83" customFormat="1" ht="14.25">
      <c r="C1681" s="136" t="s">
        <v>2071</v>
      </c>
      <c r="F1681" s="85" t="s">
        <v>52</v>
      </c>
      <c r="P1681" s="169"/>
      <c r="S1681" s="194"/>
      <c r="T1681" s="194"/>
      <c r="U1681" s="85"/>
      <c r="V1681" s="85"/>
      <c r="W1681" s="85"/>
      <c r="X1681" s="84" t="s">
        <v>56</v>
      </c>
      <c r="Y1681" s="85"/>
      <c r="AS1681" s="85"/>
      <c r="AT1681" s="85"/>
      <c r="AU1681" s="85"/>
      <c r="AV1681" s="85"/>
      <c r="AW1681" s="85"/>
      <c r="AX1681" s="85"/>
      <c r="AY1681" s="85"/>
      <c r="AZ1681" s="85"/>
      <c r="BA1681" s="85"/>
      <c r="BB1681" s="85"/>
      <c r="BC1681" s="85"/>
      <c r="BD1681" s="85"/>
      <c r="BE1681" s="85"/>
      <c r="BF1681" s="85"/>
      <c r="BG1681" s="85"/>
      <c r="BH1681" s="85"/>
      <c r="BI1681" s="85"/>
      <c r="CA1681" s="148"/>
    </row>
    <row r="1682" spans="3:79" s="83" customFormat="1" ht="14.25">
      <c r="C1682" s="136" t="s">
        <v>2072</v>
      </c>
      <c r="F1682" s="84" t="s">
        <v>51</v>
      </c>
      <c r="P1682" s="169"/>
      <c r="S1682" s="194"/>
      <c r="T1682" s="194"/>
      <c r="U1682" s="84"/>
      <c r="V1682" s="84"/>
      <c r="W1682" s="84"/>
      <c r="X1682" s="84" t="s">
        <v>56</v>
      </c>
      <c r="Y1682" s="84"/>
      <c r="AS1682" s="84"/>
      <c r="AT1682" s="84"/>
      <c r="AU1682" s="84"/>
      <c r="AV1682" s="84"/>
      <c r="AW1682" s="84"/>
      <c r="AX1682" s="84"/>
      <c r="AY1682" s="84"/>
      <c r="AZ1682" s="84"/>
      <c r="BA1682" s="84"/>
      <c r="BB1682" s="84"/>
      <c r="BC1682" s="84"/>
      <c r="BD1682" s="84"/>
      <c r="BE1682" s="84"/>
      <c r="BF1682" s="84"/>
      <c r="BG1682" s="84"/>
      <c r="BH1682" s="84"/>
      <c r="BI1682" s="84"/>
      <c r="CA1682" s="148"/>
    </row>
    <row r="1683" spans="3:79" s="83" customFormat="1" ht="27">
      <c r="C1683" s="136" t="s">
        <v>2073</v>
      </c>
      <c r="F1683" s="85" t="s">
        <v>52</v>
      </c>
      <c r="P1683" s="169"/>
      <c r="S1683" s="194"/>
      <c r="T1683" s="194"/>
      <c r="U1683" s="85"/>
      <c r="V1683" s="85"/>
      <c r="W1683" s="85"/>
      <c r="X1683" s="84" t="s">
        <v>55</v>
      </c>
      <c r="Y1683" s="85"/>
      <c r="AC1683" s="83" t="s">
        <v>54</v>
      </c>
      <c r="AS1683" s="85"/>
      <c r="AT1683" s="85"/>
      <c r="AU1683" s="85"/>
      <c r="AV1683" s="85"/>
      <c r="AW1683" s="85"/>
      <c r="AX1683" s="85"/>
      <c r="AY1683" s="85"/>
      <c r="AZ1683" s="85"/>
      <c r="BA1683" s="85"/>
      <c r="BB1683" s="85"/>
      <c r="BC1683" s="85"/>
      <c r="BD1683" s="85"/>
      <c r="BE1683" s="85"/>
      <c r="BF1683" s="85"/>
      <c r="BG1683" s="85"/>
      <c r="BH1683" s="85"/>
      <c r="BI1683" s="85"/>
      <c r="BN1683" s="83">
        <v>44.3</v>
      </c>
      <c r="CA1683" s="148"/>
    </row>
    <row r="1684" spans="3:79" s="83" customFormat="1" ht="14.25">
      <c r="C1684" s="136" t="s">
        <v>2074</v>
      </c>
      <c r="F1684" s="85" t="s">
        <v>52</v>
      </c>
      <c r="P1684" s="169"/>
      <c r="S1684" s="194"/>
      <c r="T1684" s="194"/>
      <c r="U1684" s="85"/>
      <c r="V1684" s="85"/>
      <c r="W1684" s="85"/>
      <c r="X1684" s="84" t="s">
        <v>53</v>
      </c>
      <c r="Y1684" s="85"/>
      <c r="AS1684" s="85"/>
      <c r="AT1684" s="85"/>
      <c r="AU1684" s="85"/>
      <c r="AV1684" s="85"/>
      <c r="AW1684" s="85"/>
      <c r="AX1684" s="85"/>
      <c r="AY1684" s="85"/>
      <c r="AZ1684" s="85"/>
      <c r="BA1684" s="85"/>
      <c r="BB1684" s="85"/>
      <c r="BC1684" s="85"/>
      <c r="BD1684" s="85"/>
      <c r="BE1684" s="85"/>
      <c r="BF1684" s="85"/>
      <c r="BG1684" s="85"/>
      <c r="BH1684" s="85"/>
      <c r="BI1684" s="85"/>
      <c r="CA1684" s="148"/>
    </row>
    <row r="1685" spans="3:79" s="83" customFormat="1" ht="27">
      <c r="C1685" s="136" t="s">
        <v>2075</v>
      </c>
      <c r="F1685" s="85" t="s">
        <v>52</v>
      </c>
      <c r="P1685" s="169"/>
      <c r="S1685" s="194"/>
      <c r="T1685" s="194"/>
      <c r="U1685" s="85"/>
      <c r="V1685" s="85"/>
      <c r="W1685" s="85"/>
      <c r="X1685" s="84"/>
      <c r="Y1685" s="85"/>
      <c r="AS1685" s="85"/>
      <c r="AT1685" s="85"/>
      <c r="AU1685" s="85"/>
      <c r="AV1685" s="85"/>
      <c r="AW1685" s="85"/>
      <c r="AX1685" s="85"/>
      <c r="AY1685" s="85"/>
      <c r="AZ1685" s="85"/>
      <c r="BA1685" s="85"/>
      <c r="BB1685" s="85"/>
      <c r="BC1685" s="85"/>
      <c r="BD1685" s="85"/>
      <c r="BE1685" s="85"/>
      <c r="BF1685" s="85"/>
      <c r="BG1685" s="85"/>
      <c r="BH1685" s="85"/>
      <c r="BI1685" s="85"/>
      <c r="CA1685" s="148"/>
    </row>
    <row r="1686" spans="3:79" s="83" customFormat="1" ht="14.25">
      <c r="C1686" s="136" t="s">
        <v>2076</v>
      </c>
      <c r="F1686" s="84" t="s">
        <v>51</v>
      </c>
      <c r="P1686" s="169"/>
      <c r="S1686" s="194"/>
      <c r="T1686" s="194"/>
      <c r="U1686" s="84"/>
      <c r="V1686" s="84"/>
      <c r="W1686" s="84"/>
      <c r="X1686" s="84"/>
      <c r="Y1686" s="84"/>
      <c r="AS1686" s="84"/>
      <c r="AT1686" s="84"/>
      <c r="AU1686" s="84"/>
      <c r="AV1686" s="84"/>
      <c r="AW1686" s="84"/>
      <c r="AX1686" s="84"/>
      <c r="AY1686" s="84"/>
      <c r="AZ1686" s="84"/>
      <c r="BA1686" s="84"/>
      <c r="BB1686" s="84"/>
      <c r="BC1686" s="84"/>
      <c r="BD1686" s="84"/>
      <c r="BE1686" s="84"/>
      <c r="BF1686" s="84"/>
      <c r="BG1686" s="84"/>
      <c r="BH1686" s="84"/>
      <c r="BI1686" s="84"/>
      <c r="CA1686" s="148"/>
    </row>
    <row r="1687" spans="3:79" s="83" customFormat="1" ht="14.25">
      <c r="C1687" s="136"/>
      <c r="F1687" s="84"/>
      <c r="P1687" s="169"/>
      <c r="S1687" s="194"/>
      <c r="T1687" s="194"/>
      <c r="U1687" s="84"/>
      <c r="V1687" s="84"/>
      <c r="W1687" s="84"/>
      <c r="X1687" s="84"/>
      <c r="Y1687" s="84"/>
      <c r="AS1687" s="84"/>
      <c r="AT1687" s="84"/>
      <c r="AU1687" s="84"/>
      <c r="AV1687" s="84"/>
      <c r="AW1687" s="84"/>
      <c r="AX1687" s="84"/>
      <c r="AY1687" s="84"/>
      <c r="AZ1687" s="84"/>
      <c r="BA1687" s="84"/>
      <c r="BB1687" s="84"/>
      <c r="BC1687" s="84"/>
      <c r="BD1687" s="84"/>
      <c r="BE1687" s="84"/>
      <c r="BF1687" s="84"/>
      <c r="BG1687" s="84"/>
      <c r="BH1687" s="84"/>
      <c r="BI1687" s="84"/>
      <c r="CA1687" s="148"/>
    </row>
    <row r="1689" spans="3:79" s="92" customFormat="1">
      <c r="C1689" s="136" t="s">
        <v>1924</v>
      </c>
      <c r="D1689" s="91"/>
      <c r="E1689" s="91"/>
      <c r="F1689" s="93">
        <v>23.3</v>
      </c>
      <c r="G1689" s="91"/>
      <c r="H1689" s="91"/>
      <c r="I1689" s="91"/>
      <c r="J1689" s="91"/>
      <c r="K1689" s="91"/>
      <c r="L1689" s="91"/>
      <c r="M1689" s="91"/>
      <c r="N1689" s="91"/>
      <c r="O1689" s="91"/>
      <c r="P1689" s="179"/>
      <c r="Q1689" s="91"/>
      <c r="R1689" s="91"/>
      <c r="S1689" s="207"/>
      <c r="T1689" s="207"/>
      <c r="U1689" s="93"/>
      <c r="V1689" s="93"/>
      <c r="W1689" s="93"/>
      <c r="Y1689" s="93"/>
      <c r="AS1689" s="93"/>
      <c r="AT1689" s="93"/>
      <c r="AU1689" s="93"/>
      <c r="AV1689" s="93"/>
      <c r="AW1689" s="93"/>
      <c r="AX1689" s="93"/>
      <c r="AY1689" s="93"/>
      <c r="AZ1689" s="93"/>
      <c r="BA1689" s="93"/>
      <c r="BB1689" s="93"/>
      <c r="BC1689" s="93"/>
      <c r="BD1689" s="93"/>
      <c r="BE1689" s="93"/>
      <c r="BF1689" s="93"/>
      <c r="BG1689" s="93"/>
      <c r="BH1689" s="93"/>
      <c r="BI1689" s="93"/>
      <c r="CA1689" s="153"/>
    </row>
    <row r="1690" spans="3:79" s="92" customFormat="1">
      <c r="C1690" s="136" t="s">
        <v>1916</v>
      </c>
      <c r="F1690" s="93">
        <v>16</v>
      </c>
      <c r="P1690" s="179"/>
      <c r="S1690" s="208"/>
      <c r="T1690" s="208"/>
      <c r="U1690" s="93"/>
      <c r="V1690" s="93"/>
      <c r="W1690" s="93"/>
      <c r="Y1690" s="93"/>
      <c r="AS1690" s="93"/>
      <c r="AT1690" s="93"/>
      <c r="AU1690" s="93"/>
      <c r="AV1690" s="93"/>
      <c r="AW1690" s="93"/>
      <c r="AX1690" s="93"/>
      <c r="AY1690" s="93"/>
      <c r="AZ1690" s="93"/>
      <c r="BA1690" s="93"/>
      <c r="BB1690" s="93"/>
      <c r="BC1690" s="93"/>
      <c r="BD1690" s="93"/>
      <c r="BE1690" s="93"/>
      <c r="BF1690" s="93"/>
      <c r="BG1690" s="93"/>
      <c r="BH1690" s="93"/>
      <c r="BI1690" s="93"/>
      <c r="CA1690" s="153"/>
    </row>
    <row r="1691" spans="3:79" s="92" customFormat="1">
      <c r="C1691" s="136" t="s">
        <v>2077</v>
      </c>
      <c r="D1691" s="91"/>
      <c r="E1691" s="91"/>
      <c r="F1691" s="93">
        <v>19.600000000000001</v>
      </c>
      <c r="G1691" s="91"/>
      <c r="H1691" s="91"/>
      <c r="I1691" s="91"/>
      <c r="J1691" s="91"/>
      <c r="K1691" s="91"/>
      <c r="L1691" s="91"/>
      <c r="M1691" s="91"/>
      <c r="N1691" s="91"/>
      <c r="O1691" s="91"/>
      <c r="P1691" s="179"/>
      <c r="Q1691" s="91"/>
      <c r="R1691" s="91"/>
      <c r="S1691" s="207"/>
      <c r="T1691" s="207"/>
      <c r="U1691" s="93"/>
      <c r="V1691" s="93"/>
      <c r="W1691" s="93"/>
      <c r="Y1691" s="93"/>
      <c r="AS1691" s="93"/>
      <c r="AT1691" s="93"/>
      <c r="AU1691" s="93"/>
      <c r="AV1691" s="93"/>
      <c r="AW1691" s="93"/>
      <c r="AX1691" s="93"/>
      <c r="AY1691" s="93"/>
      <c r="AZ1691" s="93"/>
      <c r="BA1691" s="93"/>
      <c r="BB1691" s="93"/>
      <c r="BC1691" s="93"/>
      <c r="BD1691" s="93"/>
      <c r="BE1691" s="93"/>
      <c r="BF1691" s="93"/>
      <c r="BG1691" s="93"/>
      <c r="BH1691" s="93"/>
      <c r="BI1691" s="93"/>
      <c r="CA1691" s="153"/>
    </row>
    <row r="1692" spans="3:79" s="92" customFormat="1">
      <c r="C1692" s="136" t="s">
        <v>1921</v>
      </c>
      <c r="D1692" s="91"/>
      <c r="E1692" s="91"/>
      <c r="F1692" s="93">
        <v>23.3</v>
      </c>
      <c r="G1692" s="91"/>
      <c r="H1692" s="91"/>
      <c r="I1692" s="91"/>
      <c r="J1692" s="91"/>
      <c r="K1692" s="91"/>
      <c r="L1692" s="91"/>
      <c r="M1692" s="91"/>
      <c r="N1692" s="91"/>
      <c r="O1692" s="91"/>
      <c r="P1692" s="179"/>
      <c r="Q1692" s="91"/>
      <c r="R1692" s="91"/>
      <c r="S1692" s="207"/>
      <c r="T1692" s="207"/>
      <c r="U1692" s="93"/>
      <c r="V1692" s="93"/>
      <c r="W1692" s="93"/>
      <c r="Y1692" s="93"/>
      <c r="AS1692" s="93"/>
      <c r="AT1692" s="93"/>
      <c r="AU1692" s="93"/>
      <c r="AV1692" s="93"/>
      <c r="AW1692" s="93"/>
      <c r="AX1692" s="93"/>
      <c r="AY1692" s="93"/>
      <c r="AZ1692" s="93"/>
      <c r="BA1692" s="93"/>
      <c r="BB1692" s="93"/>
      <c r="BC1692" s="93"/>
      <c r="BD1692" s="93"/>
      <c r="BE1692" s="93"/>
      <c r="BF1692" s="93"/>
      <c r="BG1692" s="93"/>
      <c r="BH1692" s="93"/>
      <c r="BI1692" s="93"/>
      <c r="CA1692" s="153"/>
    </row>
    <row r="1693" spans="3:79" s="92" customFormat="1">
      <c r="C1693" s="136" t="s">
        <v>1922</v>
      </c>
      <c r="D1693" s="91"/>
      <c r="E1693" s="91"/>
      <c r="F1693" s="93">
        <v>23.6</v>
      </c>
      <c r="G1693" s="91"/>
      <c r="H1693" s="91"/>
      <c r="I1693" s="91"/>
      <c r="J1693" s="91"/>
      <c r="K1693" s="91"/>
      <c r="L1693" s="91"/>
      <c r="M1693" s="91"/>
      <c r="N1693" s="91"/>
      <c r="O1693" s="91"/>
      <c r="P1693" s="179"/>
      <c r="Q1693" s="91"/>
      <c r="R1693" s="91"/>
      <c r="S1693" s="207"/>
      <c r="T1693" s="207"/>
      <c r="U1693" s="93"/>
      <c r="V1693" s="93"/>
      <c r="W1693" s="93"/>
      <c r="Y1693" s="93"/>
      <c r="AS1693" s="93"/>
      <c r="AT1693" s="93"/>
      <c r="AU1693" s="93"/>
      <c r="AV1693" s="93"/>
      <c r="AW1693" s="93"/>
      <c r="AX1693" s="93"/>
      <c r="AY1693" s="93"/>
      <c r="AZ1693" s="93"/>
      <c r="BA1693" s="93"/>
      <c r="BB1693" s="93"/>
      <c r="BC1693" s="93"/>
      <c r="BD1693" s="93"/>
      <c r="BE1693" s="93"/>
      <c r="BF1693" s="93"/>
      <c r="BG1693" s="93"/>
      <c r="BH1693" s="93"/>
      <c r="BI1693" s="93"/>
      <c r="CA1693" s="153"/>
    </row>
    <row r="1694" spans="3:79" s="92" customFormat="1" ht="27">
      <c r="C1694" s="136" t="s">
        <v>1920</v>
      </c>
      <c r="D1694" s="91"/>
      <c r="E1694" s="91"/>
      <c r="F1694" s="93">
        <v>24.1</v>
      </c>
      <c r="G1694" s="91"/>
      <c r="H1694" s="91"/>
      <c r="I1694" s="91"/>
      <c r="J1694" s="91"/>
      <c r="K1694" s="91"/>
      <c r="L1694" s="91"/>
      <c r="M1694" s="91"/>
      <c r="N1694" s="91"/>
      <c r="O1694" s="91"/>
      <c r="P1694" s="179"/>
      <c r="Q1694" s="91"/>
      <c r="R1694" s="91"/>
      <c r="S1694" s="207"/>
      <c r="T1694" s="207"/>
      <c r="U1694" s="93"/>
      <c r="V1694" s="93"/>
      <c r="W1694" s="93"/>
      <c r="Y1694" s="93"/>
      <c r="AS1694" s="93"/>
      <c r="AT1694" s="93"/>
      <c r="AU1694" s="93"/>
      <c r="AV1694" s="93"/>
      <c r="AW1694" s="93"/>
      <c r="AX1694" s="93"/>
      <c r="AY1694" s="93"/>
      <c r="AZ1694" s="93"/>
      <c r="BA1694" s="93"/>
      <c r="BB1694" s="93"/>
      <c r="BC1694" s="93"/>
      <c r="BD1694" s="93"/>
      <c r="BE1694" s="93"/>
      <c r="BF1694" s="93"/>
      <c r="BG1694" s="93"/>
      <c r="BH1694" s="93"/>
      <c r="BI1694" s="93"/>
      <c r="CA1694" s="153"/>
    </row>
    <row r="1695" spans="3:79" s="92" customFormat="1">
      <c r="C1695" s="136" t="s">
        <v>1918</v>
      </c>
      <c r="D1695" s="91"/>
      <c r="E1695" s="91"/>
      <c r="F1695" s="93">
        <v>26.4</v>
      </c>
      <c r="G1695" s="91"/>
      <c r="H1695" s="91"/>
      <c r="I1695" s="91"/>
      <c r="J1695" s="91"/>
      <c r="K1695" s="91"/>
      <c r="L1695" s="91"/>
      <c r="M1695" s="91"/>
      <c r="N1695" s="91"/>
      <c r="O1695" s="91"/>
      <c r="P1695" s="179"/>
      <c r="Q1695" s="91"/>
      <c r="R1695" s="91"/>
      <c r="S1695" s="207"/>
      <c r="T1695" s="207"/>
      <c r="U1695" s="93"/>
      <c r="V1695" s="93"/>
      <c r="W1695" s="93"/>
      <c r="Y1695" s="93"/>
      <c r="AS1695" s="93"/>
      <c r="AT1695" s="93"/>
      <c r="AU1695" s="93"/>
      <c r="AV1695" s="93"/>
      <c r="AW1695" s="93"/>
      <c r="AX1695" s="93"/>
      <c r="AY1695" s="93"/>
      <c r="AZ1695" s="93"/>
      <c r="BA1695" s="93"/>
      <c r="BB1695" s="93"/>
      <c r="BC1695" s="93"/>
      <c r="BD1695" s="93"/>
      <c r="BE1695" s="93"/>
      <c r="BF1695" s="93"/>
      <c r="BG1695" s="93"/>
      <c r="BH1695" s="93"/>
      <c r="BI1695" s="93"/>
      <c r="CA1695" s="153"/>
    </row>
    <row r="1696" spans="3:79" s="92" customFormat="1" ht="27">
      <c r="C1696" s="136" t="s">
        <v>2078</v>
      </c>
      <c r="D1696" s="91"/>
      <c r="E1696" s="91"/>
      <c r="F1696" s="93">
        <v>20</v>
      </c>
      <c r="G1696" s="91"/>
      <c r="H1696" s="91"/>
      <c r="I1696" s="91"/>
      <c r="J1696" s="91"/>
      <c r="K1696" s="91"/>
      <c r="L1696" s="91"/>
      <c r="M1696" s="91"/>
      <c r="N1696" s="91"/>
      <c r="O1696" s="91"/>
      <c r="P1696" s="179"/>
      <c r="Q1696" s="91"/>
      <c r="R1696" s="91"/>
      <c r="S1696" s="207"/>
      <c r="T1696" s="207"/>
      <c r="U1696" s="93"/>
      <c r="V1696" s="93"/>
      <c r="W1696" s="93"/>
      <c r="Y1696" s="93"/>
      <c r="AS1696" s="93"/>
      <c r="AT1696" s="93"/>
      <c r="AU1696" s="93"/>
      <c r="AV1696" s="93"/>
      <c r="AW1696" s="93"/>
      <c r="AX1696" s="93"/>
      <c r="AY1696" s="93"/>
      <c r="AZ1696" s="93"/>
      <c r="BA1696" s="93"/>
      <c r="BB1696" s="93"/>
      <c r="BC1696" s="93"/>
      <c r="BD1696" s="93"/>
      <c r="BE1696" s="93"/>
      <c r="BF1696" s="93"/>
      <c r="BG1696" s="93"/>
      <c r="BH1696" s="93"/>
      <c r="BI1696" s="93"/>
      <c r="CA1696" s="153"/>
    </row>
    <row r="1697" spans="3:79" s="92" customFormat="1">
      <c r="C1697" s="136" t="s">
        <v>1923</v>
      </c>
      <c r="D1697" s="94"/>
      <c r="E1697" s="94"/>
      <c r="F1697" s="93">
        <v>31.2</v>
      </c>
      <c r="G1697" s="94"/>
      <c r="H1697" s="94"/>
      <c r="I1697" s="94"/>
      <c r="J1697" s="94"/>
      <c r="K1697" s="94"/>
      <c r="L1697" s="94"/>
      <c r="M1697" s="94"/>
      <c r="N1697" s="94"/>
      <c r="O1697" s="94"/>
      <c r="P1697" s="179"/>
      <c r="Q1697" s="94"/>
      <c r="R1697" s="94"/>
      <c r="S1697" s="209"/>
      <c r="T1697" s="209"/>
      <c r="U1697" s="93"/>
      <c r="V1697" s="93"/>
      <c r="W1697" s="93"/>
      <c r="Y1697" s="93"/>
      <c r="AS1697" s="93"/>
      <c r="AT1697" s="93"/>
      <c r="AU1697" s="93"/>
      <c r="AV1697" s="93"/>
      <c r="AW1697" s="93"/>
      <c r="AX1697" s="93"/>
      <c r="AY1697" s="93"/>
      <c r="AZ1697" s="93"/>
      <c r="BA1697" s="93"/>
      <c r="BB1697" s="93"/>
      <c r="BC1697" s="93"/>
      <c r="BD1697" s="93"/>
      <c r="BE1697" s="93"/>
      <c r="BF1697" s="93"/>
      <c r="BG1697" s="93"/>
      <c r="BH1697" s="93"/>
      <c r="BI1697" s="93"/>
      <c r="BJ1697" s="95"/>
      <c r="CA1697" s="153"/>
    </row>
    <row r="1698" spans="3:79" s="92" customFormat="1">
      <c r="C1698" s="136" t="s">
        <v>1917</v>
      </c>
      <c r="D1698" s="91"/>
      <c r="E1698" s="91"/>
      <c r="F1698" s="93">
        <v>22.1</v>
      </c>
      <c r="G1698" s="91"/>
      <c r="H1698" s="91"/>
      <c r="I1698" s="91"/>
      <c r="J1698" s="91"/>
      <c r="K1698" s="91"/>
      <c r="L1698" s="91"/>
      <c r="M1698" s="91"/>
      <c r="N1698" s="91"/>
      <c r="O1698" s="91"/>
      <c r="P1698" s="179"/>
      <c r="Q1698" s="91"/>
      <c r="R1698" s="91"/>
      <c r="S1698" s="207"/>
      <c r="T1698" s="207"/>
      <c r="U1698" s="93"/>
      <c r="V1698" s="93"/>
      <c r="W1698" s="93"/>
      <c r="Y1698" s="93"/>
      <c r="AS1698" s="93"/>
      <c r="AT1698" s="93"/>
      <c r="AU1698" s="93"/>
      <c r="AV1698" s="93"/>
      <c r="AW1698" s="93"/>
      <c r="AX1698" s="93"/>
      <c r="AY1698" s="93"/>
      <c r="AZ1698" s="93"/>
      <c r="BA1698" s="93"/>
      <c r="BB1698" s="93"/>
      <c r="BC1698" s="93"/>
      <c r="BD1698" s="93"/>
      <c r="BE1698" s="93"/>
      <c r="BF1698" s="93"/>
      <c r="BG1698" s="93"/>
      <c r="BH1698" s="93"/>
      <c r="BI1698" s="93"/>
      <c r="CA1698" s="153"/>
    </row>
    <row r="1699" spans="3:79" s="92" customFormat="1">
      <c r="C1699" s="136"/>
      <c r="F1699" s="93"/>
      <c r="P1699" s="179"/>
      <c r="S1699" s="208"/>
      <c r="T1699" s="208"/>
      <c r="U1699" s="93"/>
      <c r="V1699" s="93"/>
      <c r="W1699" s="93"/>
      <c r="Y1699" s="93"/>
      <c r="AS1699" s="93"/>
      <c r="AT1699" s="93"/>
      <c r="AU1699" s="93"/>
      <c r="AV1699" s="93"/>
      <c r="AW1699" s="93"/>
      <c r="AX1699" s="93"/>
      <c r="AY1699" s="93"/>
      <c r="AZ1699" s="93"/>
      <c r="BA1699" s="93"/>
      <c r="BB1699" s="93"/>
      <c r="BC1699" s="93"/>
      <c r="BD1699" s="93"/>
      <c r="BE1699" s="93"/>
      <c r="BF1699" s="93"/>
      <c r="BG1699" s="93"/>
      <c r="BH1699" s="93"/>
      <c r="BI1699" s="93"/>
      <c r="CA1699" s="153"/>
    </row>
    <row r="1700" spans="3:79" s="92" customFormat="1">
      <c r="C1700" s="136"/>
      <c r="F1700" s="93"/>
      <c r="P1700" s="179"/>
      <c r="S1700" s="208"/>
      <c r="T1700" s="208"/>
      <c r="U1700" s="93"/>
      <c r="V1700" s="93"/>
      <c r="W1700" s="93"/>
      <c r="Y1700" s="93"/>
      <c r="AS1700" s="93"/>
      <c r="AT1700" s="93"/>
      <c r="AU1700" s="93"/>
      <c r="AV1700" s="93"/>
      <c r="AW1700" s="93"/>
      <c r="AX1700" s="93"/>
      <c r="AY1700" s="93"/>
      <c r="AZ1700" s="93"/>
      <c r="BA1700" s="93"/>
      <c r="BB1700" s="93"/>
      <c r="BC1700" s="93"/>
      <c r="BD1700" s="93"/>
      <c r="BE1700" s="93"/>
      <c r="BF1700" s="93"/>
      <c r="BG1700" s="93"/>
      <c r="BH1700" s="93"/>
      <c r="BI1700" s="93"/>
      <c r="CA1700" s="153"/>
    </row>
    <row r="1701" spans="3:79" s="92" customFormat="1">
      <c r="C1701" s="136"/>
      <c r="F1701" s="93"/>
      <c r="P1701" s="179"/>
      <c r="S1701" s="208"/>
      <c r="T1701" s="208"/>
      <c r="U1701" s="93"/>
      <c r="V1701" s="93"/>
      <c r="W1701" s="93"/>
      <c r="Y1701" s="93"/>
      <c r="AS1701" s="93"/>
      <c r="AT1701" s="93"/>
      <c r="AU1701" s="93"/>
      <c r="AV1701" s="93"/>
      <c r="AW1701" s="93"/>
      <c r="AX1701" s="93"/>
      <c r="AY1701" s="93"/>
      <c r="AZ1701" s="93"/>
      <c r="BA1701" s="93"/>
      <c r="BB1701" s="93"/>
      <c r="BC1701" s="93"/>
      <c r="BD1701" s="93"/>
      <c r="BE1701" s="93"/>
      <c r="BF1701" s="93"/>
      <c r="BG1701" s="93"/>
      <c r="BH1701" s="93"/>
      <c r="BI1701" s="93"/>
      <c r="CA1701" s="153"/>
    </row>
    <row r="1702" spans="3:79" s="92" customFormat="1">
      <c r="C1702" s="136"/>
      <c r="F1702" s="93"/>
      <c r="P1702" s="179"/>
      <c r="S1702" s="208"/>
      <c r="T1702" s="208"/>
      <c r="U1702" s="93"/>
      <c r="V1702" s="93"/>
      <c r="W1702" s="93"/>
      <c r="Y1702" s="93"/>
      <c r="AS1702" s="93"/>
      <c r="AT1702" s="93"/>
      <c r="AU1702" s="93"/>
      <c r="AV1702" s="93"/>
      <c r="AW1702" s="93"/>
      <c r="AX1702" s="93"/>
      <c r="AY1702" s="93"/>
      <c r="AZ1702" s="93"/>
      <c r="BA1702" s="93"/>
      <c r="BB1702" s="93"/>
      <c r="BC1702" s="93"/>
      <c r="BD1702" s="93"/>
      <c r="BE1702" s="93"/>
      <c r="BF1702" s="93"/>
      <c r="BG1702" s="93"/>
      <c r="BH1702" s="93"/>
      <c r="BI1702" s="93"/>
      <c r="CA1702" s="153"/>
    </row>
    <row r="1703" spans="3:79" s="92" customFormat="1">
      <c r="C1703" s="136" t="s">
        <v>1914</v>
      </c>
      <c r="F1703" s="93" t="s">
        <v>50</v>
      </c>
      <c r="P1703" s="179"/>
      <c r="S1703" s="208"/>
      <c r="T1703" s="208"/>
      <c r="U1703" s="93"/>
      <c r="V1703" s="93"/>
      <c r="W1703" s="93"/>
      <c r="Y1703" s="93"/>
      <c r="AS1703" s="93"/>
      <c r="AT1703" s="93"/>
      <c r="AU1703" s="93"/>
      <c r="AV1703" s="93"/>
      <c r="AW1703" s="93"/>
      <c r="AX1703" s="93"/>
      <c r="AY1703" s="93"/>
      <c r="AZ1703" s="93"/>
      <c r="BA1703" s="93"/>
      <c r="BB1703" s="93"/>
      <c r="BC1703" s="93"/>
      <c r="BD1703" s="93"/>
      <c r="BE1703" s="93"/>
      <c r="BF1703" s="93"/>
      <c r="BG1703" s="93"/>
      <c r="BH1703" s="93"/>
      <c r="BI1703" s="93"/>
      <c r="CA1703" s="153"/>
    </row>
    <row r="1704" spans="3:79" s="92" customFormat="1" ht="27">
      <c r="C1704" s="136" t="s">
        <v>2079</v>
      </c>
      <c r="F1704" s="93" t="s">
        <v>50</v>
      </c>
      <c r="P1704" s="179"/>
      <c r="S1704" s="208"/>
      <c r="T1704" s="208"/>
      <c r="U1704" s="93"/>
      <c r="V1704" s="93"/>
      <c r="W1704" s="93"/>
      <c r="Y1704" s="93"/>
      <c r="AS1704" s="93"/>
      <c r="AT1704" s="93"/>
      <c r="AU1704" s="93"/>
      <c r="AV1704" s="93"/>
      <c r="AW1704" s="93"/>
      <c r="AX1704" s="93"/>
      <c r="AY1704" s="93"/>
      <c r="AZ1704" s="93"/>
      <c r="BA1704" s="93"/>
      <c r="BB1704" s="93"/>
      <c r="BC1704" s="93"/>
      <c r="BD1704" s="93"/>
      <c r="BE1704" s="93"/>
      <c r="BF1704" s="93"/>
      <c r="BG1704" s="93"/>
      <c r="BH1704" s="93"/>
      <c r="BI1704" s="93"/>
      <c r="CA1704" s="153"/>
    </row>
    <row r="1710" spans="3:79" s="99" customFormat="1" ht="13.5">
      <c r="C1710" s="136" t="s">
        <v>2080</v>
      </c>
      <c r="D1710" s="97"/>
      <c r="F1710" s="97" t="s">
        <v>45</v>
      </c>
      <c r="G1710" s="98"/>
      <c r="H1710" s="97"/>
      <c r="I1710" s="97"/>
      <c r="J1710" s="97"/>
      <c r="K1710" s="97"/>
      <c r="L1710" s="97"/>
      <c r="M1710" s="97"/>
      <c r="N1710" s="97"/>
      <c r="O1710" s="97"/>
      <c r="P1710" s="180"/>
      <c r="Q1710" s="97"/>
      <c r="R1710" s="97"/>
      <c r="S1710" s="210"/>
      <c r="T1710" s="210"/>
      <c r="U1710" s="97"/>
      <c r="V1710" s="98"/>
      <c r="W1710" s="98"/>
      <c r="X1710" s="97"/>
      <c r="Y1710" s="98"/>
      <c r="AB1710" s="97" t="s">
        <v>42</v>
      </c>
      <c r="AC1710" s="97"/>
      <c r="AD1710" s="97" t="s">
        <v>35</v>
      </c>
      <c r="AE1710" s="97"/>
      <c r="AF1710" s="97"/>
      <c r="AG1710" s="97"/>
      <c r="AH1710" s="97"/>
      <c r="AI1710" s="97"/>
      <c r="AJ1710" s="97"/>
      <c r="AK1710" s="97"/>
      <c r="AL1710" s="97"/>
      <c r="AM1710" s="97"/>
      <c r="AN1710" s="97"/>
      <c r="AO1710" s="97"/>
      <c r="AP1710" s="97"/>
      <c r="AQ1710" s="97"/>
      <c r="AR1710" s="97"/>
      <c r="AS1710" s="98"/>
      <c r="AT1710" s="98"/>
      <c r="AU1710" s="98"/>
      <c r="AV1710" s="98"/>
      <c r="AW1710" s="98"/>
      <c r="AX1710" s="98"/>
      <c r="AY1710" s="98"/>
      <c r="AZ1710" s="98"/>
      <c r="BA1710" s="98"/>
      <c r="BB1710" s="98"/>
      <c r="BC1710" s="98"/>
      <c r="BD1710" s="98"/>
      <c r="BE1710" s="98"/>
      <c r="BF1710" s="98"/>
      <c r="BG1710" s="98"/>
      <c r="BH1710" s="98"/>
      <c r="BI1710" s="98"/>
      <c r="BJ1710" s="97"/>
      <c r="BL1710" s="97"/>
      <c r="BN1710" s="97"/>
      <c r="CA1710" s="154"/>
    </row>
    <row r="1711" spans="3:79" s="99" customFormat="1" ht="13.5">
      <c r="C1711" s="136" t="s">
        <v>2081</v>
      </c>
      <c r="D1711" s="97"/>
      <c r="F1711" s="97" t="s">
        <v>45</v>
      </c>
      <c r="G1711" s="98"/>
      <c r="H1711" s="97"/>
      <c r="I1711" s="97"/>
      <c r="J1711" s="97"/>
      <c r="K1711" s="97"/>
      <c r="L1711" s="97"/>
      <c r="M1711" s="97"/>
      <c r="N1711" s="97"/>
      <c r="O1711" s="97"/>
      <c r="P1711" s="180"/>
      <c r="Q1711" s="97"/>
      <c r="R1711" s="97"/>
      <c r="S1711" s="210"/>
      <c r="T1711" s="210"/>
      <c r="U1711" s="97"/>
      <c r="V1711" s="98"/>
      <c r="W1711" s="98"/>
      <c r="X1711" s="97"/>
      <c r="Y1711" s="98"/>
      <c r="AB1711" s="97" t="s">
        <v>42</v>
      </c>
      <c r="AC1711" s="97"/>
      <c r="AD1711" s="97" t="s">
        <v>35</v>
      </c>
      <c r="AE1711" s="97"/>
      <c r="AF1711" s="97"/>
      <c r="AG1711" s="97"/>
      <c r="AH1711" s="97"/>
      <c r="AI1711" s="97"/>
      <c r="AJ1711" s="97"/>
      <c r="AK1711" s="97"/>
      <c r="AL1711" s="97"/>
      <c r="AM1711" s="97"/>
      <c r="AN1711" s="97"/>
      <c r="AO1711" s="97"/>
      <c r="AP1711" s="97"/>
      <c r="AQ1711" s="97"/>
      <c r="AR1711" s="97"/>
      <c r="AS1711" s="98"/>
      <c r="AT1711" s="98"/>
      <c r="AU1711" s="98"/>
      <c r="AV1711" s="98"/>
      <c r="AW1711" s="98"/>
      <c r="AX1711" s="98"/>
      <c r="AY1711" s="98"/>
      <c r="AZ1711" s="98"/>
      <c r="BA1711" s="98"/>
      <c r="BB1711" s="98"/>
      <c r="BC1711" s="98"/>
      <c r="BD1711" s="98"/>
      <c r="BE1711" s="98"/>
      <c r="BF1711" s="98"/>
      <c r="BG1711" s="98"/>
      <c r="BH1711" s="98"/>
      <c r="BI1711" s="98"/>
      <c r="BJ1711" s="97"/>
      <c r="BL1711" s="97"/>
      <c r="BN1711" s="97"/>
      <c r="CA1711" s="154"/>
    </row>
    <row r="1712" spans="3:79" s="99" customFormat="1" ht="13.5">
      <c r="C1712" s="136" t="s">
        <v>2082</v>
      </c>
      <c r="D1712" s="97"/>
      <c r="F1712" s="97" t="s">
        <v>45</v>
      </c>
      <c r="H1712" s="97"/>
      <c r="I1712" s="97"/>
      <c r="J1712" s="97"/>
      <c r="K1712" s="97"/>
      <c r="L1712" s="97"/>
      <c r="M1712" s="97"/>
      <c r="N1712" s="97"/>
      <c r="O1712" s="97"/>
      <c r="P1712" s="180"/>
      <c r="Q1712" s="97"/>
      <c r="R1712" s="97"/>
      <c r="S1712" s="210"/>
      <c r="T1712" s="210"/>
      <c r="U1712" s="97"/>
      <c r="X1712" s="97"/>
      <c r="AB1712" s="97" t="s">
        <v>42</v>
      </c>
      <c r="AC1712" s="97"/>
      <c r="AD1712" s="97" t="s">
        <v>35</v>
      </c>
      <c r="AE1712" s="97"/>
      <c r="AF1712" s="97"/>
      <c r="AG1712" s="97"/>
      <c r="AH1712" s="97"/>
      <c r="AI1712" s="97"/>
      <c r="AJ1712" s="97"/>
      <c r="AK1712" s="97"/>
      <c r="AL1712" s="97"/>
      <c r="AM1712" s="97"/>
      <c r="AN1712" s="97"/>
      <c r="AO1712" s="97"/>
      <c r="AP1712" s="97"/>
      <c r="AQ1712" s="97"/>
      <c r="AR1712" s="97"/>
      <c r="BJ1712" s="97"/>
      <c r="BL1712" s="97"/>
      <c r="BN1712" s="97"/>
      <c r="CA1712" s="154"/>
    </row>
    <row r="1713" spans="3:79" s="99" customFormat="1" ht="13.5">
      <c r="C1713" s="136" t="s">
        <v>2083</v>
      </c>
      <c r="D1713" s="97"/>
      <c r="F1713" s="97" t="s">
        <v>45</v>
      </c>
      <c r="G1713" s="98"/>
      <c r="H1713" s="97"/>
      <c r="I1713" s="97"/>
      <c r="J1713" s="97"/>
      <c r="K1713" s="97"/>
      <c r="L1713" s="97"/>
      <c r="M1713" s="97"/>
      <c r="N1713" s="97"/>
      <c r="O1713" s="97"/>
      <c r="P1713" s="180"/>
      <c r="Q1713" s="97"/>
      <c r="R1713" s="97"/>
      <c r="S1713" s="210"/>
      <c r="T1713" s="210"/>
      <c r="U1713" s="97"/>
      <c r="V1713" s="98"/>
      <c r="W1713" s="98"/>
      <c r="X1713" s="97"/>
      <c r="Y1713" s="98"/>
      <c r="AB1713" s="97" t="s">
        <v>42</v>
      </c>
      <c r="AC1713" s="97"/>
      <c r="AD1713" s="97" t="s">
        <v>35</v>
      </c>
      <c r="AE1713" s="97"/>
      <c r="AF1713" s="97"/>
      <c r="AG1713" s="97"/>
      <c r="AH1713" s="97"/>
      <c r="AI1713" s="97"/>
      <c r="AJ1713" s="97"/>
      <c r="AK1713" s="97"/>
      <c r="AL1713" s="97"/>
      <c r="AM1713" s="97"/>
      <c r="AN1713" s="97"/>
      <c r="AO1713" s="97"/>
      <c r="AP1713" s="97"/>
      <c r="AQ1713" s="97"/>
      <c r="AR1713" s="97"/>
      <c r="AS1713" s="98"/>
      <c r="AT1713" s="98"/>
      <c r="AU1713" s="98"/>
      <c r="AV1713" s="98"/>
      <c r="AW1713" s="98"/>
      <c r="AX1713" s="98"/>
      <c r="AY1713" s="98"/>
      <c r="AZ1713" s="98"/>
      <c r="BA1713" s="98"/>
      <c r="BB1713" s="98"/>
      <c r="BC1713" s="98"/>
      <c r="BD1713" s="98"/>
      <c r="BE1713" s="98"/>
      <c r="BF1713" s="98"/>
      <c r="BG1713" s="98"/>
      <c r="BH1713" s="98"/>
      <c r="BI1713" s="98"/>
      <c r="BJ1713" s="97"/>
      <c r="BL1713" s="97"/>
      <c r="BN1713" s="97"/>
      <c r="CA1713" s="154"/>
    </row>
    <row r="1714" spans="3:79" s="99" customFormat="1" ht="13.5">
      <c r="C1714" s="136" t="s">
        <v>2084</v>
      </c>
      <c r="D1714" s="97"/>
      <c r="F1714" s="97" t="s">
        <v>45</v>
      </c>
      <c r="G1714" s="98"/>
      <c r="H1714" s="97"/>
      <c r="I1714" s="97"/>
      <c r="J1714" s="97"/>
      <c r="K1714" s="97"/>
      <c r="L1714" s="97"/>
      <c r="M1714" s="97"/>
      <c r="N1714" s="97"/>
      <c r="O1714" s="97"/>
      <c r="P1714" s="180"/>
      <c r="Q1714" s="97"/>
      <c r="R1714" s="97"/>
      <c r="S1714" s="210"/>
      <c r="T1714" s="210"/>
      <c r="U1714" s="97"/>
      <c r="V1714" s="98"/>
      <c r="W1714" s="98"/>
      <c r="X1714" s="97"/>
      <c r="Y1714" s="98"/>
      <c r="AB1714" s="97" t="s">
        <v>42</v>
      </c>
      <c r="AC1714" s="97"/>
      <c r="AD1714" s="97" t="s">
        <v>35</v>
      </c>
      <c r="AE1714" s="97"/>
      <c r="AF1714" s="97"/>
      <c r="AG1714" s="97"/>
      <c r="AH1714" s="97"/>
      <c r="AI1714" s="97"/>
      <c r="AJ1714" s="97"/>
      <c r="AK1714" s="97"/>
      <c r="AL1714" s="97"/>
      <c r="AM1714" s="97"/>
      <c r="AN1714" s="97"/>
      <c r="AO1714" s="97"/>
      <c r="AP1714" s="97"/>
      <c r="AQ1714" s="97"/>
      <c r="AR1714" s="97"/>
      <c r="AS1714" s="98"/>
      <c r="AT1714" s="98"/>
      <c r="AU1714" s="98"/>
      <c r="AV1714" s="98"/>
      <c r="AW1714" s="98"/>
      <c r="AX1714" s="98"/>
      <c r="AY1714" s="98"/>
      <c r="AZ1714" s="98"/>
      <c r="BA1714" s="98"/>
      <c r="BB1714" s="98"/>
      <c r="BC1714" s="98"/>
      <c r="BD1714" s="98"/>
      <c r="BE1714" s="98"/>
      <c r="BF1714" s="98"/>
      <c r="BG1714" s="98"/>
      <c r="BH1714" s="98"/>
      <c r="BI1714" s="98"/>
      <c r="BJ1714" s="97"/>
      <c r="BL1714" s="97"/>
      <c r="BN1714" s="97"/>
      <c r="CA1714" s="154"/>
    </row>
    <row r="1715" spans="3:79" s="99" customFormat="1" ht="13.5">
      <c r="C1715" s="136" t="s">
        <v>2085</v>
      </c>
      <c r="D1715" s="97"/>
      <c r="F1715" s="97" t="s">
        <v>45</v>
      </c>
      <c r="G1715" s="98"/>
      <c r="H1715" s="97"/>
      <c r="I1715" s="97"/>
      <c r="J1715" s="97"/>
      <c r="K1715" s="97"/>
      <c r="L1715" s="97"/>
      <c r="M1715" s="97"/>
      <c r="N1715" s="97"/>
      <c r="O1715" s="97"/>
      <c r="P1715" s="180"/>
      <c r="Q1715" s="97"/>
      <c r="R1715" s="97"/>
      <c r="S1715" s="210"/>
      <c r="T1715" s="210"/>
      <c r="U1715" s="97"/>
      <c r="V1715" s="98"/>
      <c r="W1715" s="98"/>
      <c r="X1715" s="97"/>
      <c r="Y1715" s="98"/>
      <c r="AB1715" s="97" t="s">
        <v>42</v>
      </c>
      <c r="AC1715" s="97"/>
      <c r="AD1715" s="97" t="s">
        <v>35</v>
      </c>
      <c r="AE1715" s="97"/>
      <c r="AF1715" s="97"/>
      <c r="AG1715" s="97"/>
      <c r="AH1715" s="97"/>
      <c r="AI1715" s="97"/>
      <c r="AJ1715" s="97"/>
      <c r="AK1715" s="97"/>
      <c r="AL1715" s="97"/>
      <c r="AM1715" s="97"/>
      <c r="AN1715" s="97"/>
      <c r="AO1715" s="97"/>
      <c r="AP1715" s="97"/>
      <c r="AQ1715" s="97"/>
      <c r="AR1715" s="97"/>
      <c r="AS1715" s="98"/>
      <c r="AT1715" s="98"/>
      <c r="AU1715" s="98"/>
      <c r="AV1715" s="98"/>
      <c r="AW1715" s="98"/>
      <c r="AX1715" s="98"/>
      <c r="AY1715" s="98"/>
      <c r="AZ1715" s="98"/>
      <c r="BA1715" s="98"/>
      <c r="BB1715" s="98"/>
      <c r="BC1715" s="98"/>
      <c r="BD1715" s="98"/>
      <c r="BE1715" s="98"/>
      <c r="BF1715" s="98"/>
      <c r="BG1715" s="98"/>
      <c r="BH1715" s="98"/>
      <c r="BI1715" s="98"/>
      <c r="BJ1715" s="97">
        <v>1</v>
      </c>
      <c r="BL1715" s="97"/>
      <c r="BN1715" s="97"/>
      <c r="CA1715" s="154"/>
    </row>
    <row r="1716" spans="3:79" s="99" customFormat="1" ht="13.5">
      <c r="C1716" s="136" t="s">
        <v>2086</v>
      </c>
      <c r="D1716" s="97"/>
      <c r="F1716" s="97" t="s">
        <v>45</v>
      </c>
      <c r="G1716" s="98"/>
      <c r="H1716" s="97"/>
      <c r="I1716" s="97"/>
      <c r="J1716" s="97"/>
      <c r="K1716" s="97"/>
      <c r="L1716" s="97"/>
      <c r="M1716" s="97"/>
      <c r="N1716" s="97"/>
      <c r="O1716" s="97"/>
      <c r="P1716" s="180"/>
      <c r="Q1716" s="97"/>
      <c r="R1716" s="97"/>
      <c r="S1716" s="210"/>
      <c r="T1716" s="210"/>
      <c r="U1716" s="97"/>
      <c r="V1716" s="98"/>
      <c r="W1716" s="98"/>
      <c r="X1716" s="97"/>
      <c r="Y1716" s="98"/>
      <c r="AB1716" s="97" t="s">
        <v>42</v>
      </c>
      <c r="AC1716" s="97"/>
      <c r="AD1716" s="97" t="s">
        <v>35</v>
      </c>
      <c r="AE1716" s="97"/>
      <c r="AF1716" s="97"/>
      <c r="AG1716" s="97"/>
      <c r="AH1716" s="97"/>
      <c r="AI1716" s="97"/>
      <c r="AJ1716" s="97"/>
      <c r="AK1716" s="97"/>
      <c r="AL1716" s="97"/>
      <c r="AM1716" s="97"/>
      <c r="AN1716" s="97"/>
      <c r="AO1716" s="97"/>
      <c r="AP1716" s="97"/>
      <c r="AQ1716" s="97"/>
      <c r="AR1716" s="97"/>
      <c r="AS1716" s="98"/>
      <c r="AT1716" s="98"/>
      <c r="AU1716" s="98"/>
      <c r="AV1716" s="98"/>
      <c r="AW1716" s="98"/>
      <c r="AX1716" s="98"/>
      <c r="AY1716" s="98"/>
      <c r="AZ1716" s="98"/>
      <c r="BA1716" s="98"/>
      <c r="BB1716" s="98"/>
      <c r="BC1716" s="98"/>
      <c r="BD1716" s="98"/>
      <c r="BE1716" s="98"/>
      <c r="BF1716" s="98"/>
      <c r="BG1716" s="98"/>
      <c r="BH1716" s="98"/>
      <c r="BI1716" s="98"/>
      <c r="BJ1716" s="97">
        <v>2</v>
      </c>
      <c r="BL1716" s="97"/>
      <c r="BN1716" s="97"/>
      <c r="CA1716" s="154"/>
    </row>
    <row r="1717" spans="3:79" s="99" customFormat="1" ht="13.5">
      <c r="C1717" s="136" t="s">
        <v>2087</v>
      </c>
      <c r="D1717" s="97"/>
      <c r="F1717" s="97" t="s">
        <v>45</v>
      </c>
      <c r="G1717" s="98"/>
      <c r="H1717" s="97"/>
      <c r="I1717" s="97"/>
      <c r="J1717" s="97"/>
      <c r="K1717" s="97"/>
      <c r="L1717" s="97"/>
      <c r="M1717" s="97"/>
      <c r="N1717" s="97"/>
      <c r="O1717" s="97"/>
      <c r="P1717" s="180"/>
      <c r="Q1717" s="97"/>
      <c r="R1717" s="97"/>
      <c r="S1717" s="210"/>
      <c r="T1717" s="210"/>
      <c r="U1717" s="97"/>
      <c r="V1717" s="98"/>
      <c r="W1717" s="98"/>
      <c r="X1717" s="97"/>
      <c r="Y1717" s="98"/>
      <c r="AB1717" s="97" t="s">
        <v>42</v>
      </c>
      <c r="AC1717" s="97"/>
      <c r="AD1717" s="97" t="s">
        <v>35</v>
      </c>
      <c r="AE1717" s="97"/>
      <c r="AF1717" s="97"/>
      <c r="AG1717" s="97"/>
      <c r="AH1717" s="97"/>
      <c r="AI1717" s="97"/>
      <c r="AJ1717" s="97"/>
      <c r="AK1717" s="97"/>
      <c r="AL1717" s="97"/>
      <c r="AM1717" s="97"/>
      <c r="AN1717" s="97"/>
      <c r="AO1717" s="97"/>
      <c r="AP1717" s="97"/>
      <c r="AQ1717" s="97"/>
      <c r="AR1717" s="97"/>
      <c r="AS1717" s="98"/>
      <c r="AT1717" s="98"/>
      <c r="AU1717" s="98"/>
      <c r="AV1717" s="98"/>
      <c r="AW1717" s="98"/>
      <c r="AX1717" s="98"/>
      <c r="AY1717" s="98"/>
      <c r="AZ1717" s="98"/>
      <c r="BA1717" s="98"/>
      <c r="BB1717" s="98"/>
      <c r="BC1717" s="98"/>
      <c r="BD1717" s="98"/>
      <c r="BE1717" s="98"/>
      <c r="BF1717" s="98"/>
      <c r="BG1717" s="98"/>
      <c r="BH1717" s="98"/>
      <c r="BI1717" s="98"/>
      <c r="BJ1717" s="97"/>
      <c r="BL1717" s="97"/>
      <c r="BN1717" s="97"/>
      <c r="CA1717" s="154"/>
    </row>
    <row r="1718" spans="3:79" s="99" customFormat="1" ht="13.5">
      <c r="C1718" s="136" t="s">
        <v>2088</v>
      </c>
      <c r="D1718" s="97"/>
      <c r="F1718" s="97" t="s">
        <v>45</v>
      </c>
      <c r="G1718" s="98"/>
      <c r="H1718" s="97"/>
      <c r="I1718" s="97"/>
      <c r="J1718" s="97"/>
      <c r="K1718" s="97"/>
      <c r="L1718" s="97"/>
      <c r="M1718" s="97"/>
      <c r="N1718" s="97"/>
      <c r="O1718" s="97"/>
      <c r="P1718" s="180"/>
      <c r="Q1718" s="97"/>
      <c r="R1718" s="97"/>
      <c r="S1718" s="210"/>
      <c r="T1718" s="210"/>
      <c r="U1718" s="97"/>
      <c r="V1718" s="98"/>
      <c r="W1718" s="98"/>
      <c r="X1718" s="97"/>
      <c r="Y1718" s="98"/>
      <c r="AB1718" s="97" t="s">
        <v>42</v>
      </c>
      <c r="AC1718" s="97"/>
      <c r="AD1718" s="97" t="s">
        <v>35</v>
      </c>
      <c r="AE1718" s="97"/>
      <c r="AF1718" s="97"/>
      <c r="AG1718" s="97"/>
      <c r="AH1718" s="97"/>
      <c r="AI1718" s="97"/>
      <c r="AJ1718" s="97"/>
      <c r="AK1718" s="97"/>
      <c r="AL1718" s="97"/>
      <c r="AM1718" s="97"/>
      <c r="AN1718" s="97"/>
      <c r="AO1718" s="97"/>
      <c r="AP1718" s="97"/>
      <c r="AQ1718" s="97"/>
      <c r="AR1718" s="97"/>
      <c r="AS1718" s="98"/>
      <c r="AT1718" s="98"/>
      <c r="AU1718" s="98"/>
      <c r="AV1718" s="98"/>
      <c r="AW1718" s="98"/>
      <c r="AX1718" s="98"/>
      <c r="AY1718" s="98"/>
      <c r="AZ1718" s="98"/>
      <c r="BA1718" s="98"/>
      <c r="BB1718" s="98"/>
      <c r="BC1718" s="98"/>
      <c r="BD1718" s="98"/>
      <c r="BE1718" s="98"/>
      <c r="BF1718" s="98"/>
      <c r="BG1718" s="98"/>
      <c r="BH1718" s="98"/>
      <c r="BI1718" s="98"/>
      <c r="BJ1718" s="97"/>
      <c r="BL1718" s="97"/>
      <c r="BN1718" s="97"/>
      <c r="CA1718" s="154"/>
    </row>
    <row r="1719" spans="3:79" s="99" customFormat="1" ht="13.5">
      <c r="C1719" s="136" t="s">
        <v>2089</v>
      </c>
      <c r="D1719" s="97"/>
      <c r="F1719" s="97" t="s">
        <v>45</v>
      </c>
      <c r="G1719" s="98"/>
      <c r="H1719" s="97"/>
      <c r="I1719" s="97"/>
      <c r="J1719" s="97"/>
      <c r="K1719" s="97"/>
      <c r="L1719" s="97"/>
      <c r="M1719" s="97"/>
      <c r="N1719" s="97"/>
      <c r="O1719" s="97"/>
      <c r="P1719" s="180"/>
      <c r="Q1719" s="97"/>
      <c r="R1719" s="97"/>
      <c r="S1719" s="210"/>
      <c r="T1719" s="210"/>
      <c r="U1719" s="97"/>
      <c r="V1719" s="98"/>
      <c r="W1719" s="98"/>
      <c r="X1719" s="97"/>
      <c r="Y1719" s="98"/>
      <c r="AB1719" s="97" t="s">
        <v>42</v>
      </c>
      <c r="AC1719" s="97"/>
      <c r="AD1719" s="97" t="s">
        <v>35</v>
      </c>
      <c r="AE1719" s="97"/>
      <c r="AF1719" s="97"/>
      <c r="AG1719" s="97"/>
      <c r="AH1719" s="97"/>
      <c r="AI1719" s="97"/>
      <c r="AJ1719" s="97"/>
      <c r="AK1719" s="97"/>
      <c r="AL1719" s="97"/>
      <c r="AM1719" s="97"/>
      <c r="AN1719" s="97"/>
      <c r="AO1719" s="97"/>
      <c r="AP1719" s="97"/>
      <c r="AQ1719" s="97"/>
      <c r="AR1719" s="97"/>
      <c r="AS1719" s="98"/>
      <c r="AT1719" s="98"/>
      <c r="AU1719" s="98"/>
      <c r="AV1719" s="98"/>
      <c r="AW1719" s="98"/>
      <c r="AX1719" s="98"/>
      <c r="AY1719" s="98"/>
      <c r="AZ1719" s="98"/>
      <c r="BA1719" s="98"/>
      <c r="BB1719" s="98"/>
      <c r="BC1719" s="98"/>
      <c r="BD1719" s="98"/>
      <c r="BE1719" s="98"/>
      <c r="BF1719" s="98"/>
      <c r="BG1719" s="98"/>
      <c r="BH1719" s="98"/>
      <c r="BI1719" s="98"/>
      <c r="BJ1719" s="97"/>
      <c r="BL1719" s="97"/>
      <c r="BN1719" s="97"/>
      <c r="CA1719" s="154"/>
    </row>
    <row r="1720" spans="3:79" s="99" customFormat="1" ht="13.5">
      <c r="C1720" s="136" t="s">
        <v>2090</v>
      </c>
      <c r="D1720" s="97"/>
      <c r="F1720" s="97" t="s">
        <v>45</v>
      </c>
      <c r="G1720" s="98"/>
      <c r="H1720" s="97"/>
      <c r="I1720" s="97"/>
      <c r="J1720" s="97"/>
      <c r="K1720" s="97"/>
      <c r="L1720" s="97"/>
      <c r="M1720" s="97"/>
      <c r="N1720" s="97"/>
      <c r="O1720" s="97"/>
      <c r="P1720" s="180"/>
      <c r="Q1720" s="97"/>
      <c r="R1720" s="97"/>
      <c r="S1720" s="210"/>
      <c r="T1720" s="210"/>
      <c r="U1720" s="97"/>
      <c r="V1720" s="98"/>
      <c r="W1720" s="98"/>
      <c r="X1720" s="97"/>
      <c r="Y1720" s="98"/>
      <c r="AB1720" s="97" t="s">
        <v>42</v>
      </c>
      <c r="AC1720" s="97"/>
      <c r="AD1720" s="97" t="s">
        <v>35</v>
      </c>
      <c r="AE1720" s="97"/>
      <c r="AF1720" s="97"/>
      <c r="AG1720" s="97"/>
      <c r="AH1720" s="97"/>
      <c r="AI1720" s="97"/>
      <c r="AJ1720" s="97"/>
      <c r="AK1720" s="97"/>
      <c r="AL1720" s="97"/>
      <c r="AM1720" s="97"/>
      <c r="AN1720" s="97"/>
      <c r="AO1720" s="97"/>
      <c r="AP1720" s="97"/>
      <c r="AQ1720" s="97"/>
      <c r="AR1720" s="97"/>
      <c r="AS1720" s="98"/>
      <c r="AT1720" s="98"/>
      <c r="AU1720" s="98"/>
      <c r="AV1720" s="98"/>
      <c r="AW1720" s="98"/>
      <c r="AX1720" s="98"/>
      <c r="AY1720" s="98"/>
      <c r="AZ1720" s="98"/>
      <c r="BA1720" s="98"/>
      <c r="BB1720" s="98"/>
      <c r="BC1720" s="98"/>
      <c r="BD1720" s="98"/>
      <c r="BE1720" s="98"/>
      <c r="BF1720" s="98"/>
      <c r="BG1720" s="98"/>
      <c r="BH1720" s="98"/>
      <c r="BI1720" s="98"/>
      <c r="BJ1720" s="97"/>
      <c r="BL1720" s="97"/>
      <c r="BN1720" s="97"/>
      <c r="CA1720" s="154"/>
    </row>
    <row r="1721" spans="3:79" s="99" customFormat="1" ht="13.5">
      <c r="C1721" s="136" t="s">
        <v>2091</v>
      </c>
      <c r="D1721" s="97"/>
      <c r="F1721" s="97" t="s">
        <v>45</v>
      </c>
      <c r="G1721" s="98"/>
      <c r="H1721" s="97"/>
      <c r="I1721" s="97"/>
      <c r="J1721" s="97"/>
      <c r="K1721" s="97"/>
      <c r="L1721" s="97"/>
      <c r="M1721" s="97"/>
      <c r="N1721" s="97"/>
      <c r="O1721" s="97"/>
      <c r="P1721" s="180"/>
      <c r="Q1721" s="97"/>
      <c r="R1721" s="97"/>
      <c r="S1721" s="210"/>
      <c r="T1721" s="210"/>
      <c r="U1721" s="97"/>
      <c r="V1721" s="98"/>
      <c r="W1721" s="98"/>
      <c r="X1721" s="97"/>
      <c r="Y1721" s="98"/>
      <c r="AB1721" s="97" t="s">
        <v>42</v>
      </c>
      <c r="AC1721" s="97"/>
      <c r="AD1721" s="97" t="s">
        <v>35</v>
      </c>
      <c r="AE1721" s="97"/>
      <c r="AF1721" s="97"/>
      <c r="AG1721" s="97"/>
      <c r="AH1721" s="97"/>
      <c r="AI1721" s="97"/>
      <c r="AJ1721" s="97"/>
      <c r="AK1721" s="97"/>
      <c r="AL1721" s="97"/>
      <c r="AM1721" s="97"/>
      <c r="AN1721" s="97"/>
      <c r="AO1721" s="97"/>
      <c r="AP1721" s="97"/>
      <c r="AQ1721" s="97"/>
      <c r="AR1721" s="97"/>
      <c r="AS1721" s="98"/>
      <c r="AT1721" s="98"/>
      <c r="AU1721" s="98"/>
      <c r="AV1721" s="98"/>
      <c r="AW1721" s="98"/>
      <c r="AX1721" s="98"/>
      <c r="AY1721" s="98"/>
      <c r="AZ1721" s="98"/>
      <c r="BA1721" s="98"/>
      <c r="BB1721" s="98"/>
      <c r="BC1721" s="98"/>
      <c r="BD1721" s="98"/>
      <c r="BE1721" s="98"/>
      <c r="BF1721" s="98"/>
      <c r="BG1721" s="98"/>
      <c r="BH1721" s="98"/>
      <c r="BI1721" s="98"/>
      <c r="BJ1721" s="97"/>
      <c r="BL1721" s="97"/>
      <c r="BN1721" s="97"/>
      <c r="CA1721" s="154"/>
    </row>
    <row r="1722" spans="3:79" s="99" customFormat="1" ht="13.5">
      <c r="C1722" s="136" t="s">
        <v>2092</v>
      </c>
      <c r="D1722" s="97"/>
      <c r="F1722" s="97" t="s">
        <v>45</v>
      </c>
      <c r="G1722" s="98"/>
      <c r="H1722" s="97"/>
      <c r="I1722" s="97"/>
      <c r="J1722" s="97"/>
      <c r="K1722" s="97"/>
      <c r="L1722" s="97"/>
      <c r="M1722" s="97"/>
      <c r="N1722" s="97"/>
      <c r="O1722" s="97"/>
      <c r="P1722" s="180"/>
      <c r="Q1722" s="97"/>
      <c r="R1722" s="97"/>
      <c r="S1722" s="210"/>
      <c r="T1722" s="210"/>
      <c r="U1722" s="97"/>
      <c r="V1722" s="98"/>
      <c r="W1722" s="98"/>
      <c r="X1722" s="97"/>
      <c r="Y1722" s="98"/>
      <c r="AB1722" s="97" t="s">
        <v>42</v>
      </c>
      <c r="AC1722" s="97"/>
      <c r="AD1722" s="97" t="s">
        <v>35</v>
      </c>
      <c r="AE1722" s="97"/>
      <c r="AF1722" s="97"/>
      <c r="AG1722" s="97"/>
      <c r="AH1722" s="97"/>
      <c r="AI1722" s="97"/>
      <c r="AJ1722" s="97"/>
      <c r="AK1722" s="97"/>
      <c r="AL1722" s="97"/>
      <c r="AM1722" s="97"/>
      <c r="AN1722" s="97"/>
      <c r="AO1722" s="97"/>
      <c r="AP1722" s="97"/>
      <c r="AQ1722" s="97"/>
      <c r="AR1722" s="97"/>
      <c r="AS1722" s="98"/>
      <c r="AT1722" s="98"/>
      <c r="AU1722" s="98"/>
      <c r="AV1722" s="98"/>
      <c r="AW1722" s="98"/>
      <c r="AX1722" s="98"/>
      <c r="AY1722" s="98"/>
      <c r="AZ1722" s="98"/>
      <c r="BA1722" s="98"/>
      <c r="BB1722" s="98"/>
      <c r="BC1722" s="98"/>
      <c r="BD1722" s="98"/>
      <c r="BE1722" s="98"/>
      <c r="BF1722" s="98"/>
      <c r="BG1722" s="98"/>
      <c r="BH1722" s="98"/>
      <c r="BI1722" s="98"/>
      <c r="BJ1722" s="97"/>
      <c r="BL1722" s="97"/>
      <c r="BN1722" s="97"/>
      <c r="CA1722" s="154"/>
    </row>
    <row r="1723" spans="3:79" s="99" customFormat="1" ht="13.5">
      <c r="C1723" s="136" t="s">
        <v>2093</v>
      </c>
      <c r="D1723" s="97"/>
      <c r="F1723" s="97" t="s">
        <v>45</v>
      </c>
      <c r="G1723" s="98"/>
      <c r="H1723" s="97"/>
      <c r="I1723" s="97"/>
      <c r="J1723" s="97"/>
      <c r="K1723" s="97"/>
      <c r="L1723" s="97"/>
      <c r="M1723" s="97"/>
      <c r="N1723" s="97"/>
      <c r="O1723" s="97"/>
      <c r="P1723" s="180"/>
      <c r="Q1723" s="97"/>
      <c r="R1723" s="97"/>
      <c r="S1723" s="210"/>
      <c r="T1723" s="210"/>
      <c r="U1723" s="97"/>
      <c r="V1723" s="98"/>
      <c r="W1723" s="98"/>
      <c r="X1723" s="97"/>
      <c r="Y1723" s="98"/>
      <c r="AB1723" s="97" t="s">
        <v>42</v>
      </c>
      <c r="AC1723" s="97"/>
      <c r="AD1723" s="97" t="s">
        <v>35</v>
      </c>
      <c r="AE1723" s="97"/>
      <c r="AF1723" s="97"/>
      <c r="AG1723" s="97"/>
      <c r="AH1723" s="97"/>
      <c r="AI1723" s="97"/>
      <c r="AJ1723" s="97"/>
      <c r="AK1723" s="97"/>
      <c r="AL1723" s="97"/>
      <c r="AM1723" s="97"/>
      <c r="AN1723" s="97"/>
      <c r="AO1723" s="97"/>
      <c r="AP1723" s="97"/>
      <c r="AQ1723" s="97"/>
      <c r="AR1723" s="97"/>
      <c r="AS1723" s="98"/>
      <c r="AT1723" s="98"/>
      <c r="AU1723" s="98"/>
      <c r="AV1723" s="98"/>
      <c r="AW1723" s="98"/>
      <c r="AX1723" s="98"/>
      <c r="AY1723" s="98"/>
      <c r="AZ1723" s="98"/>
      <c r="BA1723" s="98"/>
      <c r="BB1723" s="98"/>
      <c r="BC1723" s="98"/>
      <c r="BD1723" s="98"/>
      <c r="BE1723" s="98"/>
      <c r="BF1723" s="98"/>
      <c r="BG1723" s="98"/>
      <c r="BH1723" s="98"/>
      <c r="BI1723" s="98"/>
      <c r="BJ1723" s="97"/>
      <c r="BL1723" s="97"/>
      <c r="BN1723" s="97"/>
      <c r="CA1723" s="154"/>
    </row>
    <row r="1724" spans="3:79" s="99" customFormat="1" ht="13.5">
      <c r="C1724" s="136" t="s">
        <v>2094</v>
      </c>
      <c r="D1724" s="97"/>
      <c r="F1724" s="97" t="s">
        <v>45</v>
      </c>
      <c r="G1724" s="98"/>
      <c r="H1724" s="97"/>
      <c r="I1724" s="97"/>
      <c r="J1724" s="97"/>
      <c r="K1724" s="97"/>
      <c r="L1724" s="97"/>
      <c r="M1724" s="97"/>
      <c r="N1724" s="97"/>
      <c r="O1724" s="97"/>
      <c r="P1724" s="180"/>
      <c r="Q1724" s="97"/>
      <c r="R1724" s="97"/>
      <c r="S1724" s="210"/>
      <c r="T1724" s="210"/>
      <c r="U1724" s="97"/>
      <c r="V1724" s="98"/>
      <c r="W1724" s="98"/>
      <c r="X1724" s="97"/>
      <c r="Y1724" s="98"/>
      <c r="AB1724" s="97" t="s">
        <v>42</v>
      </c>
      <c r="AC1724" s="97"/>
      <c r="AD1724" s="97" t="s">
        <v>35</v>
      </c>
      <c r="AE1724" s="97"/>
      <c r="AF1724" s="97"/>
      <c r="AG1724" s="97"/>
      <c r="AH1724" s="97"/>
      <c r="AI1724" s="97"/>
      <c r="AJ1724" s="97"/>
      <c r="AK1724" s="97"/>
      <c r="AL1724" s="97"/>
      <c r="AM1724" s="97"/>
      <c r="AN1724" s="97"/>
      <c r="AO1724" s="97"/>
      <c r="AP1724" s="97"/>
      <c r="AQ1724" s="97"/>
      <c r="AR1724" s="97"/>
      <c r="AS1724" s="98"/>
      <c r="AT1724" s="98"/>
      <c r="AU1724" s="98"/>
      <c r="AV1724" s="98"/>
      <c r="AW1724" s="98"/>
      <c r="AX1724" s="98"/>
      <c r="AY1724" s="98"/>
      <c r="AZ1724" s="98"/>
      <c r="BA1724" s="98"/>
      <c r="BB1724" s="98"/>
      <c r="BC1724" s="98"/>
      <c r="BD1724" s="98"/>
      <c r="BE1724" s="98"/>
      <c r="BF1724" s="98"/>
      <c r="BG1724" s="98"/>
      <c r="BH1724" s="98"/>
      <c r="BI1724" s="98"/>
      <c r="BJ1724" s="97"/>
      <c r="BL1724" s="97"/>
      <c r="BN1724" s="97"/>
      <c r="CA1724" s="154"/>
    </row>
    <row r="1725" spans="3:79" s="99" customFormat="1" ht="13.5">
      <c r="C1725" s="136" t="s">
        <v>2095</v>
      </c>
      <c r="D1725" s="97"/>
      <c r="F1725" s="97" t="s">
        <v>45</v>
      </c>
      <c r="G1725" s="98"/>
      <c r="H1725" s="97"/>
      <c r="I1725" s="97"/>
      <c r="J1725" s="97"/>
      <c r="K1725" s="97"/>
      <c r="L1725" s="97"/>
      <c r="M1725" s="97"/>
      <c r="N1725" s="97"/>
      <c r="O1725" s="97"/>
      <c r="P1725" s="180"/>
      <c r="Q1725" s="97"/>
      <c r="R1725" s="97"/>
      <c r="S1725" s="210"/>
      <c r="T1725" s="210"/>
      <c r="U1725" s="97"/>
      <c r="V1725" s="98"/>
      <c r="W1725" s="98"/>
      <c r="X1725" s="97"/>
      <c r="Y1725" s="98"/>
      <c r="AB1725" s="97" t="s">
        <v>42</v>
      </c>
      <c r="AC1725" s="97"/>
      <c r="AD1725" s="97" t="s">
        <v>35</v>
      </c>
      <c r="AE1725" s="97"/>
      <c r="AF1725" s="97"/>
      <c r="AG1725" s="97"/>
      <c r="AH1725" s="97"/>
      <c r="AI1725" s="97"/>
      <c r="AJ1725" s="97"/>
      <c r="AK1725" s="97"/>
      <c r="AL1725" s="97"/>
      <c r="AM1725" s="97"/>
      <c r="AN1725" s="97"/>
      <c r="AO1725" s="97"/>
      <c r="AP1725" s="97"/>
      <c r="AQ1725" s="97"/>
      <c r="AR1725" s="97"/>
      <c r="AS1725" s="98"/>
      <c r="AT1725" s="98"/>
      <c r="AU1725" s="98"/>
      <c r="AV1725" s="98"/>
      <c r="AW1725" s="98"/>
      <c r="AX1725" s="98"/>
      <c r="AY1725" s="98"/>
      <c r="AZ1725" s="98"/>
      <c r="BA1725" s="98"/>
      <c r="BB1725" s="98"/>
      <c r="BC1725" s="98"/>
      <c r="BD1725" s="98"/>
      <c r="BE1725" s="98"/>
      <c r="BF1725" s="98"/>
      <c r="BG1725" s="98"/>
      <c r="BH1725" s="98"/>
      <c r="BI1725" s="98"/>
      <c r="BJ1725" s="97"/>
      <c r="BL1725" s="97"/>
      <c r="BN1725" s="97"/>
      <c r="CA1725" s="154"/>
    </row>
    <row r="1726" spans="3:79" s="99" customFormat="1" ht="13.5">
      <c r="C1726" s="136" t="s">
        <v>2096</v>
      </c>
      <c r="D1726" s="97"/>
      <c r="F1726" s="97" t="s">
        <v>45</v>
      </c>
      <c r="G1726" s="98"/>
      <c r="H1726" s="97"/>
      <c r="I1726" s="97"/>
      <c r="J1726" s="97"/>
      <c r="K1726" s="97"/>
      <c r="L1726" s="97"/>
      <c r="M1726" s="97"/>
      <c r="N1726" s="97"/>
      <c r="O1726" s="97"/>
      <c r="P1726" s="180"/>
      <c r="Q1726" s="97"/>
      <c r="R1726" s="97"/>
      <c r="S1726" s="210"/>
      <c r="T1726" s="210"/>
      <c r="U1726" s="97"/>
      <c r="V1726" s="98"/>
      <c r="W1726" s="98"/>
      <c r="X1726" s="97"/>
      <c r="Y1726" s="98"/>
      <c r="AB1726" s="97" t="s">
        <v>42</v>
      </c>
      <c r="AC1726" s="97"/>
      <c r="AD1726" s="97" t="s">
        <v>35</v>
      </c>
      <c r="AE1726" s="97"/>
      <c r="AF1726" s="97"/>
      <c r="AG1726" s="97"/>
      <c r="AH1726" s="97"/>
      <c r="AI1726" s="97"/>
      <c r="AJ1726" s="97"/>
      <c r="AK1726" s="97"/>
      <c r="AL1726" s="97"/>
      <c r="AM1726" s="97"/>
      <c r="AN1726" s="97"/>
      <c r="AO1726" s="97"/>
      <c r="AP1726" s="97"/>
      <c r="AQ1726" s="97"/>
      <c r="AR1726" s="97"/>
      <c r="AS1726" s="98"/>
      <c r="AT1726" s="98"/>
      <c r="AU1726" s="98"/>
      <c r="AV1726" s="98"/>
      <c r="AW1726" s="98"/>
      <c r="AX1726" s="98"/>
      <c r="AY1726" s="98"/>
      <c r="AZ1726" s="98"/>
      <c r="BA1726" s="98"/>
      <c r="BB1726" s="98"/>
      <c r="BC1726" s="98"/>
      <c r="BD1726" s="98"/>
      <c r="BE1726" s="98"/>
      <c r="BF1726" s="98"/>
      <c r="BG1726" s="98"/>
      <c r="BH1726" s="98"/>
      <c r="BI1726" s="98"/>
      <c r="BJ1726" s="97"/>
      <c r="BL1726" s="97"/>
      <c r="BN1726" s="97"/>
      <c r="CA1726" s="154"/>
    </row>
    <row r="1727" spans="3:79" s="99" customFormat="1" ht="13.5">
      <c r="C1727" s="136" t="s">
        <v>2097</v>
      </c>
      <c r="D1727" s="97"/>
      <c r="F1727" s="97" t="s">
        <v>45</v>
      </c>
      <c r="G1727" s="98"/>
      <c r="H1727" s="97"/>
      <c r="I1727" s="97"/>
      <c r="J1727" s="97"/>
      <c r="K1727" s="97"/>
      <c r="L1727" s="97"/>
      <c r="M1727" s="97"/>
      <c r="N1727" s="97"/>
      <c r="O1727" s="97"/>
      <c r="P1727" s="180"/>
      <c r="Q1727" s="97"/>
      <c r="R1727" s="97"/>
      <c r="S1727" s="210"/>
      <c r="T1727" s="210"/>
      <c r="U1727" s="97"/>
      <c r="V1727" s="98"/>
      <c r="W1727" s="98"/>
      <c r="X1727" s="97"/>
      <c r="Y1727" s="98"/>
      <c r="AB1727" s="97" t="s">
        <v>42</v>
      </c>
      <c r="AC1727" s="97"/>
      <c r="AD1727" s="97" t="s">
        <v>35</v>
      </c>
      <c r="AE1727" s="97"/>
      <c r="AF1727" s="97"/>
      <c r="AG1727" s="97"/>
      <c r="AH1727" s="97"/>
      <c r="AI1727" s="97"/>
      <c r="AJ1727" s="97"/>
      <c r="AK1727" s="97"/>
      <c r="AL1727" s="97"/>
      <c r="AM1727" s="97"/>
      <c r="AN1727" s="97"/>
      <c r="AO1727" s="97"/>
      <c r="AP1727" s="97"/>
      <c r="AQ1727" s="97"/>
      <c r="AR1727" s="97"/>
      <c r="AS1727" s="98"/>
      <c r="AT1727" s="98"/>
      <c r="AU1727" s="98"/>
      <c r="AV1727" s="98"/>
      <c r="AW1727" s="98"/>
      <c r="AX1727" s="98"/>
      <c r="AY1727" s="98"/>
      <c r="AZ1727" s="98"/>
      <c r="BA1727" s="98"/>
      <c r="BB1727" s="98"/>
      <c r="BC1727" s="98"/>
      <c r="BD1727" s="98"/>
      <c r="BE1727" s="98"/>
      <c r="BF1727" s="98"/>
      <c r="BG1727" s="98"/>
      <c r="BH1727" s="98"/>
      <c r="BI1727" s="98"/>
      <c r="BJ1727" s="97"/>
      <c r="BL1727" s="97"/>
      <c r="BN1727" s="97"/>
      <c r="CA1727" s="154"/>
    </row>
    <row r="1728" spans="3:79" s="99" customFormat="1">
      <c r="C1728" s="136" t="s">
        <v>2098</v>
      </c>
      <c r="D1728" s="97"/>
      <c r="F1728" s="97" t="s">
        <v>45</v>
      </c>
      <c r="G1728" s="98"/>
      <c r="H1728" s="97"/>
      <c r="I1728" s="97"/>
      <c r="J1728" s="97"/>
      <c r="K1728" s="97"/>
      <c r="L1728" s="97"/>
      <c r="M1728" s="97"/>
      <c r="N1728" s="97"/>
      <c r="O1728" s="97"/>
      <c r="P1728" s="180"/>
      <c r="Q1728" s="97"/>
      <c r="R1728" s="97"/>
      <c r="S1728" s="210"/>
      <c r="T1728" s="210"/>
      <c r="U1728" s="97"/>
      <c r="V1728" s="98"/>
      <c r="W1728" s="98"/>
      <c r="X1728" s="97"/>
      <c r="Y1728" s="98"/>
      <c r="AB1728" s="97" t="s">
        <v>42</v>
      </c>
      <c r="AC1728" s="97"/>
      <c r="AD1728" s="97" t="s">
        <v>35</v>
      </c>
      <c r="AE1728" s="97"/>
      <c r="AF1728" s="97"/>
      <c r="AG1728" s="97"/>
      <c r="AH1728" s="97"/>
      <c r="AI1728" s="97"/>
      <c r="AJ1728" s="97"/>
      <c r="AK1728" s="97"/>
      <c r="AL1728" s="97"/>
      <c r="AM1728" s="97"/>
      <c r="AN1728" s="97"/>
      <c r="AO1728" s="97"/>
      <c r="AP1728" s="97"/>
      <c r="AQ1728" s="97"/>
      <c r="AR1728" s="97"/>
      <c r="AS1728" s="98"/>
      <c r="AT1728" s="98"/>
      <c r="AU1728" s="98"/>
      <c r="AV1728" s="98"/>
      <c r="AW1728" s="98"/>
      <c r="AX1728" s="98"/>
      <c r="AY1728" s="98"/>
      <c r="AZ1728" s="98"/>
      <c r="BA1728" s="98"/>
      <c r="BB1728" s="98"/>
      <c r="BC1728" s="98"/>
      <c r="BD1728" s="98"/>
      <c r="BE1728" s="98"/>
      <c r="BF1728" s="98"/>
      <c r="BG1728" s="98"/>
      <c r="BH1728" s="98"/>
      <c r="BI1728" s="98"/>
      <c r="BJ1728" s="97"/>
      <c r="BL1728" s="97"/>
      <c r="BN1728" s="97"/>
      <c r="CA1728" s="154"/>
    </row>
    <row r="1729" spans="3:79" s="99" customFormat="1" ht="13.5">
      <c r="C1729" s="136" t="s">
        <v>2099</v>
      </c>
      <c r="D1729" s="97"/>
      <c r="F1729" s="97" t="s">
        <v>45</v>
      </c>
      <c r="G1729" s="98"/>
      <c r="H1729" s="97"/>
      <c r="I1729" s="97"/>
      <c r="J1729" s="97"/>
      <c r="K1729" s="97"/>
      <c r="L1729" s="97"/>
      <c r="M1729" s="97"/>
      <c r="N1729" s="97"/>
      <c r="O1729" s="97"/>
      <c r="P1729" s="180"/>
      <c r="Q1729" s="97"/>
      <c r="R1729" s="97"/>
      <c r="S1729" s="210"/>
      <c r="T1729" s="210"/>
      <c r="U1729" s="97"/>
      <c r="V1729" s="98"/>
      <c r="W1729" s="98"/>
      <c r="X1729" s="97"/>
      <c r="Y1729" s="98"/>
      <c r="AB1729" s="97" t="s">
        <v>42</v>
      </c>
      <c r="AC1729" s="97"/>
      <c r="AD1729" s="97" t="s">
        <v>35</v>
      </c>
      <c r="AE1729" s="97"/>
      <c r="AF1729" s="97"/>
      <c r="AG1729" s="97"/>
      <c r="AH1729" s="97"/>
      <c r="AI1729" s="97"/>
      <c r="AJ1729" s="97"/>
      <c r="AK1729" s="97"/>
      <c r="AL1729" s="97"/>
      <c r="AM1729" s="97"/>
      <c r="AN1729" s="97"/>
      <c r="AO1729" s="97"/>
      <c r="AP1729" s="97"/>
      <c r="AQ1729" s="97"/>
      <c r="AR1729" s="97"/>
      <c r="AS1729" s="98"/>
      <c r="AT1729" s="98"/>
      <c r="AU1729" s="98"/>
      <c r="AV1729" s="98"/>
      <c r="AW1729" s="98"/>
      <c r="AX1729" s="98"/>
      <c r="AY1729" s="98"/>
      <c r="AZ1729" s="98"/>
      <c r="BA1729" s="98"/>
      <c r="BB1729" s="98"/>
      <c r="BC1729" s="98"/>
      <c r="BD1729" s="98"/>
      <c r="BE1729" s="98"/>
      <c r="BF1729" s="98"/>
      <c r="BG1729" s="98"/>
      <c r="BH1729" s="98"/>
      <c r="BI1729" s="98"/>
      <c r="BJ1729" s="97"/>
      <c r="BL1729" s="97"/>
      <c r="BN1729" s="97"/>
      <c r="CA1729" s="154"/>
    </row>
    <row r="1730" spans="3:79" s="99" customFormat="1" ht="13.5">
      <c r="C1730" s="136" t="s">
        <v>2100</v>
      </c>
      <c r="D1730" s="97"/>
      <c r="F1730" s="97" t="s">
        <v>45</v>
      </c>
      <c r="G1730" s="98"/>
      <c r="H1730" s="97"/>
      <c r="I1730" s="97"/>
      <c r="J1730" s="97"/>
      <c r="K1730" s="97"/>
      <c r="L1730" s="97"/>
      <c r="M1730" s="97"/>
      <c r="N1730" s="97"/>
      <c r="O1730" s="97"/>
      <c r="P1730" s="180"/>
      <c r="Q1730" s="97"/>
      <c r="R1730" s="97"/>
      <c r="S1730" s="210"/>
      <c r="T1730" s="210"/>
      <c r="U1730" s="97"/>
      <c r="V1730" s="98"/>
      <c r="W1730" s="98"/>
      <c r="X1730" s="97"/>
      <c r="Y1730" s="98"/>
      <c r="AB1730" s="97" t="s">
        <v>42</v>
      </c>
      <c r="AC1730" s="97"/>
      <c r="AD1730" s="97" t="s">
        <v>35</v>
      </c>
      <c r="AE1730" s="97"/>
      <c r="AF1730" s="97"/>
      <c r="AG1730" s="97"/>
      <c r="AH1730" s="97"/>
      <c r="AI1730" s="97"/>
      <c r="AJ1730" s="97"/>
      <c r="AK1730" s="97"/>
      <c r="AL1730" s="97"/>
      <c r="AM1730" s="97"/>
      <c r="AN1730" s="97"/>
      <c r="AO1730" s="97"/>
      <c r="AP1730" s="97"/>
      <c r="AQ1730" s="97"/>
      <c r="AR1730" s="97"/>
      <c r="AS1730" s="98"/>
      <c r="AT1730" s="98"/>
      <c r="AU1730" s="98"/>
      <c r="AV1730" s="98"/>
      <c r="AW1730" s="98"/>
      <c r="AX1730" s="98"/>
      <c r="AY1730" s="98"/>
      <c r="AZ1730" s="98"/>
      <c r="BA1730" s="98"/>
      <c r="BB1730" s="98"/>
      <c r="BC1730" s="98"/>
      <c r="BD1730" s="98"/>
      <c r="BE1730" s="98"/>
      <c r="BF1730" s="98"/>
      <c r="BG1730" s="98"/>
      <c r="BH1730" s="98"/>
      <c r="BI1730" s="98"/>
      <c r="BJ1730" s="97"/>
      <c r="BL1730" s="97"/>
      <c r="BN1730" s="97"/>
      <c r="CA1730" s="154"/>
    </row>
    <row r="1731" spans="3:79" s="99" customFormat="1" ht="13.5">
      <c r="C1731" s="136" t="s">
        <v>2101</v>
      </c>
      <c r="D1731" s="97"/>
      <c r="F1731" s="97" t="s">
        <v>45</v>
      </c>
      <c r="G1731" s="98"/>
      <c r="H1731" s="97"/>
      <c r="I1731" s="97"/>
      <c r="J1731" s="97"/>
      <c r="K1731" s="97"/>
      <c r="L1731" s="97"/>
      <c r="M1731" s="97"/>
      <c r="N1731" s="97"/>
      <c r="O1731" s="97"/>
      <c r="P1731" s="180"/>
      <c r="Q1731" s="97"/>
      <c r="R1731" s="97"/>
      <c r="S1731" s="210"/>
      <c r="T1731" s="210"/>
      <c r="U1731" s="97"/>
      <c r="V1731" s="98"/>
      <c r="W1731" s="98"/>
      <c r="X1731" s="97"/>
      <c r="Y1731" s="98"/>
      <c r="AB1731" s="97" t="s">
        <v>42</v>
      </c>
      <c r="AC1731" s="97"/>
      <c r="AD1731" s="97" t="s">
        <v>35</v>
      </c>
      <c r="AE1731" s="97"/>
      <c r="AF1731" s="97"/>
      <c r="AG1731" s="97"/>
      <c r="AH1731" s="97"/>
      <c r="AI1731" s="97"/>
      <c r="AJ1731" s="97"/>
      <c r="AK1731" s="97"/>
      <c r="AL1731" s="97"/>
      <c r="AM1731" s="97"/>
      <c r="AN1731" s="97"/>
      <c r="AO1731" s="97"/>
      <c r="AP1731" s="97"/>
      <c r="AQ1731" s="97"/>
      <c r="AR1731" s="97"/>
      <c r="AS1731" s="98"/>
      <c r="AT1731" s="98"/>
      <c r="AU1731" s="98"/>
      <c r="AV1731" s="98"/>
      <c r="AW1731" s="98"/>
      <c r="AX1731" s="98"/>
      <c r="AY1731" s="98"/>
      <c r="AZ1731" s="98"/>
      <c r="BA1731" s="98"/>
      <c r="BB1731" s="98"/>
      <c r="BC1731" s="98"/>
      <c r="BD1731" s="98"/>
      <c r="BE1731" s="98"/>
      <c r="BF1731" s="98"/>
      <c r="BG1731" s="98"/>
      <c r="BH1731" s="98"/>
      <c r="BI1731" s="98"/>
      <c r="BJ1731" s="97"/>
      <c r="BL1731" s="97"/>
      <c r="BN1731" s="97"/>
      <c r="CA1731" s="154"/>
    </row>
    <row r="1732" spans="3:79" s="99" customFormat="1" ht="13.5">
      <c r="C1732" s="136" t="s">
        <v>2102</v>
      </c>
      <c r="D1732" s="97"/>
      <c r="F1732" s="97" t="s">
        <v>45</v>
      </c>
      <c r="G1732" s="98"/>
      <c r="H1732" s="97"/>
      <c r="I1732" s="97"/>
      <c r="J1732" s="97"/>
      <c r="K1732" s="97"/>
      <c r="L1732" s="97"/>
      <c r="M1732" s="97"/>
      <c r="N1732" s="97"/>
      <c r="O1732" s="97"/>
      <c r="P1732" s="180"/>
      <c r="Q1732" s="97"/>
      <c r="R1732" s="97"/>
      <c r="S1732" s="210"/>
      <c r="T1732" s="210"/>
      <c r="U1732" s="97"/>
      <c r="V1732" s="98"/>
      <c r="W1732" s="98"/>
      <c r="X1732" s="97"/>
      <c r="Y1732" s="98"/>
      <c r="AB1732" s="97" t="s">
        <v>42</v>
      </c>
      <c r="AC1732" s="97"/>
      <c r="AD1732" s="97" t="s">
        <v>35</v>
      </c>
      <c r="AE1732" s="97"/>
      <c r="AF1732" s="97"/>
      <c r="AG1732" s="97"/>
      <c r="AH1732" s="97"/>
      <c r="AI1732" s="97"/>
      <c r="AJ1732" s="97"/>
      <c r="AK1732" s="97"/>
      <c r="AL1732" s="97"/>
      <c r="AM1732" s="97"/>
      <c r="AN1732" s="97"/>
      <c r="AO1732" s="97"/>
      <c r="AP1732" s="97"/>
      <c r="AQ1732" s="97"/>
      <c r="AR1732" s="97"/>
      <c r="AS1732" s="98"/>
      <c r="AT1732" s="98"/>
      <c r="AU1732" s="98"/>
      <c r="AV1732" s="98"/>
      <c r="AW1732" s="98"/>
      <c r="AX1732" s="98"/>
      <c r="AY1732" s="98"/>
      <c r="AZ1732" s="98"/>
      <c r="BA1732" s="98"/>
      <c r="BB1732" s="98"/>
      <c r="BC1732" s="98"/>
      <c r="BD1732" s="98"/>
      <c r="BE1732" s="98"/>
      <c r="BF1732" s="98"/>
      <c r="BG1732" s="98"/>
      <c r="BH1732" s="98"/>
      <c r="BI1732" s="98"/>
      <c r="BJ1732" s="97"/>
      <c r="BL1732" s="97"/>
      <c r="BN1732" s="97"/>
      <c r="CA1732" s="154"/>
    </row>
    <row r="1733" spans="3:79" s="99" customFormat="1" ht="13.5">
      <c r="C1733" s="136" t="s">
        <v>2103</v>
      </c>
      <c r="D1733" s="97"/>
      <c r="F1733" s="97" t="s">
        <v>45</v>
      </c>
      <c r="G1733" s="98"/>
      <c r="H1733" s="97"/>
      <c r="I1733" s="97"/>
      <c r="J1733" s="97"/>
      <c r="K1733" s="97"/>
      <c r="L1733" s="97"/>
      <c r="M1733" s="97"/>
      <c r="N1733" s="97"/>
      <c r="O1733" s="97"/>
      <c r="P1733" s="180"/>
      <c r="Q1733" s="97"/>
      <c r="R1733" s="97"/>
      <c r="S1733" s="210"/>
      <c r="T1733" s="210"/>
      <c r="U1733" s="97"/>
      <c r="V1733" s="98"/>
      <c r="W1733" s="98"/>
      <c r="X1733" s="97"/>
      <c r="Y1733" s="98"/>
      <c r="AB1733" s="97" t="s">
        <v>42</v>
      </c>
      <c r="AC1733" s="97"/>
      <c r="AD1733" s="97" t="s">
        <v>35</v>
      </c>
      <c r="AE1733" s="97"/>
      <c r="AF1733" s="97"/>
      <c r="AG1733" s="97"/>
      <c r="AH1733" s="97"/>
      <c r="AI1733" s="97"/>
      <c r="AJ1733" s="97"/>
      <c r="AK1733" s="97"/>
      <c r="AL1733" s="97"/>
      <c r="AM1733" s="97"/>
      <c r="AN1733" s="97"/>
      <c r="AO1733" s="97"/>
      <c r="AP1733" s="97"/>
      <c r="AQ1733" s="97"/>
      <c r="AR1733" s="97"/>
      <c r="AS1733" s="98"/>
      <c r="AT1733" s="98"/>
      <c r="AU1733" s="98"/>
      <c r="AV1733" s="98"/>
      <c r="AW1733" s="98"/>
      <c r="AX1733" s="98"/>
      <c r="AY1733" s="98"/>
      <c r="AZ1733" s="98"/>
      <c r="BA1733" s="98"/>
      <c r="BB1733" s="98"/>
      <c r="BC1733" s="98"/>
      <c r="BD1733" s="98"/>
      <c r="BE1733" s="98"/>
      <c r="BF1733" s="98"/>
      <c r="BG1733" s="98"/>
      <c r="BH1733" s="98"/>
      <c r="BI1733" s="98"/>
      <c r="BJ1733" s="97"/>
      <c r="BL1733" s="97"/>
      <c r="BN1733" s="97"/>
      <c r="CA1733" s="154"/>
    </row>
    <row r="1734" spans="3:79" s="99" customFormat="1" ht="13.5">
      <c r="C1734" s="136" t="s">
        <v>2104</v>
      </c>
      <c r="D1734" s="97"/>
      <c r="F1734" s="97" t="s">
        <v>45</v>
      </c>
      <c r="G1734" s="98"/>
      <c r="H1734" s="97"/>
      <c r="I1734" s="97"/>
      <c r="J1734" s="97"/>
      <c r="K1734" s="97"/>
      <c r="L1734" s="97"/>
      <c r="M1734" s="97"/>
      <c r="N1734" s="97"/>
      <c r="O1734" s="97"/>
      <c r="P1734" s="180"/>
      <c r="Q1734" s="97"/>
      <c r="R1734" s="97"/>
      <c r="S1734" s="210"/>
      <c r="T1734" s="210"/>
      <c r="U1734" s="97"/>
      <c r="V1734" s="98"/>
      <c r="W1734" s="98"/>
      <c r="X1734" s="97"/>
      <c r="Y1734" s="98"/>
      <c r="AB1734" s="97" t="s">
        <v>42</v>
      </c>
      <c r="AC1734" s="97"/>
      <c r="AD1734" s="97" t="s">
        <v>35</v>
      </c>
      <c r="AE1734" s="97"/>
      <c r="AF1734" s="97"/>
      <c r="AG1734" s="97"/>
      <c r="AH1734" s="97"/>
      <c r="AI1734" s="97"/>
      <c r="AJ1734" s="97"/>
      <c r="AK1734" s="97"/>
      <c r="AL1734" s="97"/>
      <c r="AM1734" s="97"/>
      <c r="AN1734" s="97"/>
      <c r="AO1734" s="97"/>
      <c r="AP1734" s="97"/>
      <c r="AQ1734" s="97"/>
      <c r="AR1734" s="97"/>
      <c r="AS1734" s="98"/>
      <c r="AT1734" s="98"/>
      <c r="AU1734" s="98"/>
      <c r="AV1734" s="98"/>
      <c r="AW1734" s="98"/>
      <c r="AX1734" s="98"/>
      <c r="AY1734" s="98"/>
      <c r="AZ1734" s="98"/>
      <c r="BA1734" s="98"/>
      <c r="BB1734" s="98"/>
      <c r="BC1734" s="98"/>
      <c r="BD1734" s="98"/>
      <c r="BE1734" s="98"/>
      <c r="BF1734" s="98"/>
      <c r="BG1734" s="98"/>
      <c r="BH1734" s="98"/>
      <c r="BI1734" s="98"/>
      <c r="BJ1734" s="97"/>
      <c r="BL1734" s="97"/>
      <c r="BN1734" s="97"/>
      <c r="CA1734" s="154"/>
    </row>
    <row r="1735" spans="3:79" s="99" customFormat="1" ht="13.5">
      <c r="C1735" s="136" t="s">
        <v>2105</v>
      </c>
      <c r="D1735" s="97"/>
      <c r="F1735" s="97" t="s">
        <v>45</v>
      </c>
      <c r="G1735" s="98"/>
      <c r="H1735" s="97"/>
      <c r="I1735" s="97"/>
      <c r="J1735" s="97"/>
      <c r="K1735" s="97"/>
      <c r="L1735" s="97"/>
      <c r="M1735" s="97"/>
      <c r="N1735" s="97"/>
      <c r="O1735" s="97"/>
      <c r="P1735" s="180"/>
      <c r="Q1735" s="97"/>
      <c r="R1735" s="97"/>
      <c r="S1735" s="210"/>
      <c r="T1735" s="210"/>
      <c r="U1735" s="97"/>
      <c r="V1735" s="98"/>
      <c r="W1735" s="98"/>
      <c r="X1735" s="97"/>
      <c r="Y1735" s="98"/>
      <c r="AB1735" s="97" t="s">
        <v>42</v>
      </c>
      <c r="AC1735" s="97"/>
      <c r="AD1735" s="97" t="s">
        <v>35</v>
      </c>
      <c r="AE1735" s="97"/>
      <c r="AF1735" s="97"/>
      <c r="AG1735" s="97"/>
      <c r="AH1735" s="97"/>
      <c r="AI1735" s="97"/>
      <c r="AJ1735" s="97"/>
      <c r="AK1735" s="97"/>
      <c r="AL1735" s="97"/>
      <c r="AM1735" s="97"/>
      <c r="AN1735" s="97"/>
      <c r="AO1735" s="97"/>
      <c r="AP1735" s="97"/>
      <c r="AQ1735" s="97"/>
      <c r="AR1735" s="97"/>
      <c r="AS1735" s="98"/>
      <c r="AT1735" s="98"/>
      <c r="AU1735" s="98"/>
      <c r="AV1735" s="98"/>
      <c r="AW1735" s="98"/>
      <c r="AX1735" s="98"/>
      <c r="AY1735" s="98"/>
      <c r="AZ1735" s="98"/>
      <c r="BA1735" s="98"/>
      <c r="BB1735" s="98"/>
      <c r="BC1735" s="98"/>
      <c r="BD1735" s="98"/>
      <c r="BE1735" s="98"/>
      <c r="BF1735" s="98"/>
      <c r="BG1735" s="98"/>
      <c r="BH1735" s="98"/>
      <c r="BI1735" s="98"/>
      <c r="BJ1735" s="97"/>
      <c r="BL1735" s="97"/>
      <c r="BN1735" s="97"/>
      <c r="CA1735" s="154"/>
    </row>
    <row r="1736" spans="3:79" s="99" customFormat="1" ht="13.5">
      <c r="C1736" s="136" t="s">
        <v>2106</v>
      </c>
      <c r="D1736" s="97"/>
      <c r="F1736" s="97" t="s">
        <v>45</v>
      </c>
      <c r="G1736" s="98"/>
      <c r="H1736" s="97"/>
      <c r="I1736" s="97"/>
      <c r="J1736" s="97"/>
      <c r="K1736" s="97"/>
      <c r="L1736" s="97"/>
      <c r="M1736" s="97"/>
      <c r="N1736" s="97"/>
      <c r="O1736" s="97"/>
      <c r="P1736" s="180"/>
      <c r="Q1736" s="97"/>
      <c r="R1736" s="97"/>
      <c r="S1736" s="210"/>
      <c r="T1736" s="210"/>
      <c r="U1736" s="97"/>
      <c r="V1736" s="98"/>
      <c r="W1736" s="98"/>
      <c r="X1736" s="97"/>
      <c r="Y1736" s="98"/>
      <c r="AB1736" s="97" t="s">
        <v>42</v>
      </c>
      <c r="AC1736" s="97"/>
      <c r="AD1736" s="97" t="s">
        <v>35</v>
      </c>
      <c r="AE1736" s="97"/>
      <c r="AF1736" s="97"/>
      <c r="AG1736" s="97"/>
      <c r="AH1736" s="97"/>
      <c r="AI1736" s="97"/>
      <c r="AJ1736" s="97"/>
      <c r="AK1736" s="97"/>
      <c r="AL1736" s="97"/>
      <c r="AM1736" s="97"/>
      <c r="AN1736" s="97"/>
      <c r="AO1736" s="97"/>
      <c r="AP1736" s="97"/>
      <c r="AQ1736" s="97"/>
      <c r="AR1736" s="97"/>
      <c r="AS1736" s="98"/>
      <c r="AT1736" s="98"/>
      <c r="AU1736" s="98"/>
      <c r="AV1736" s="98"/>
      <c r="AW1736" s="98"/>
      <c r="AX1736" s="98"/>
      <c r="AY1736" s="98"/>
      <c r="AZ1736" s="98"/>
      <c r="BA1736" s="98"/>
      <c r="BB1736" s="98"/>
      <c r="BC1736" s="98"/>
      <c r="BD1736" s="98"/>
      <c r="BE1736" s="98"/>
      <c r="BF1736" s="98"/>
      <c r="BG1736" s="98"/>
      <c r="BH1736" s="98"/>
      <c r="BI1736" s="98"/>
      <c r="BJ1736" s="97"/>
      <c r="BL1736" s="97"/>
      <c r="BN1736" s="97"/>
      <c r="CA1736" s="154"/>
    </row>
    <row r="1737" spans="3:79" s="99" customFormat="1" ht="13.5">
      <c r="C1737" s="136" t="s">
        <v>2107</v>
      </c>
      <c r="D1737" s="97"/>
      <c r="F1737" s="97" t="s">
        <v>45</v>
      </c>
      <c r="G1737" s="98"/>
      <c r="H1737" s="97"/>
      <c r="I1737" s="97"/>
      <c r="J1737" s="97"/>
      <c r="K1737" s="97"/>
      <c r="L1737" s="97"/>
      <c r="M1737" s="97"/>
      <c r="N1737" s="97"/>
      <c r="O1737" s="97"/>
      <c r="P1737" s="180"/>
      <c r="Q1737" s="97"/>
      <c r="R1737" s="97"/>
      <c r="S1737" s="210"/>
      <c r="T1737" s="210"/>
      <c r="U1737" s="97"/>
      <c r="V1737" s="98"/>
      <c r="W1737" s="98"/>
      <c r="X1737" s="97"/>
      <c r="Y1737" s="98"/>
      <c r="AB1737" s="97" t="s">
        <v>42</v>
      </c>
      <c r="AC1737" s="97"/>
      <c r="AD1737" s="97" t="s">
        <v>35</v>
      </c>
      <c r="AE1737" s="97"/>
      <c r="AF1737" s="97"/>
      <c r="AG1737" s="97"/>
      <c r="AH1737" s="97"/>
      <c r="AI1737" s="97"/>
      <c r="AJ1737" s="97"/>
      <c r="AK1737" s="97"/>
      <c r="AL1737" s="97"/>
      <c r="AM1737" s="97"/>
      <c r="AN1737" s="97"/>
      <c r="AO1737" s="97"/>
      <c r="AP1737" s="97"/>
      <c r="AQ1737" s="97"/>
      <c r="AR1737" s="97"/>
      <c r="AS1737" s="98"/>
      <c r="AT1737" s="98"/>
      <c r="AU1737" s="98"/>
      <c r="AV1737" s="98"/>
      <c r="AW1737" s="98"/>
      <c r="AX1737" s="98"/>
      <c r="AY1737" s="98"/>
      <c r="AZ1737" s="98"/>
      <c r="BA1737" s="98"/>
      <c r="BB1737" s="98"/>
      <c r="BC1737" s="98"/>
      <c r="BD1737" s="98"/>
      <c r="BE1737" s="98"/>
      <c r="BF1737" s="98"/>
      <c r="BG1737" s="98"/>
      <c r="BH1737" s="98"/>
      <c r="BI1737" s="98"/>
      <c r="BJ1737" s="97"/>
      <c r="BL1737" s="97"/>
      <c r="BN1737" s="97"/>
      <c r="CA1737" s="154"/>
    </row>
    <row r="1738" spans="3:79" s="99" customFormat="1" ht="13.5">
      <c r="C1738" s="136"/>
      <c r="D1738" s="97"/>
      <c r="F1738" s="97" t="s">
        <v>45</v>
      </c>
      <c r="H1738" s="97"/>
      <c r="I1738" s="97"/>
      <c r="J1738" s="97"/>
      <c r="K1738" s="97"/>
      <c r="L1738" s="97"/>
      <c r="M1738" s="97"/>
      <c r="N1738" s="97"/>
      <c r="O1738" s="97"/>
      <c r="P1738" s="180"/>
      <c r="Q1738" s="97"/>
      <c r="R1738" s="97"/>
      <c r="S1738" s="210"/>
      <c r="T1738" s="210"/>
      <c r="U1738" s="97"/>
      <c r="X1738" s="97"/>
      <c r="AB1738" s="97" t="s">
        <v>42</v>
      </c>
      <c r="AC1738" s="97"/>
      <c r="AD1738" s="97" t="s">
        <v>35</v>
      </c>
      <c r="AE1738" s="97"/>
      <c r="AF1738" s="97"/>
      <c r="AG1738" s="97"/>
      <c r="AH1738" s="97"/>
      <c r="AI1738" s="97"/>
      <c r="AJ1738" s="97"/>
      <c r="AK1738" s="97"/>
      <c r="AL1738" s="97"/>
      <c r="AM1738" s="97"/>
      <c r="AN1738" s="97"/>
      <c r="AO1738" s="97"/>
      <c r="AP1738" s="97"/>
      <c r="AQ1738" s="97"/>
      <c r="AR1738" s="97"/>
      <c r="BJ1738" s="97"/>
      <c r="BL1738" s="97"/>
      <c r="BN1738" s="97"/>
      <c r="CA1738" s="154"/>
    </row>
    <row r="1739" spans="3:79" s="99" customFormat="1" ht="13.5">
      <c r="C1739" s="136" t="s">
        <v>2108</v>
      </c>
      <c r="D1739" s="97"/>
      <c r="F1739" s="97" t="s">
        <v>1120</v>
      </c>
      <c r="G1739" s="98"/>
      <c r="H1739" s="97"/>
      <c r="I1739" s="97"/>
      <c r="J1739" s="97"/>
      <c r="K1739" s="97"/>
      <c r="L1739" s="97"/>
      <c r="M1739" s="97"/>
      <c r="N1739" s="97"/>
      <c r="O1739" s="97"/>
      <c r="P1739" s="180"/>
      <c r="Q1739" s="97"/>
      <c r="R1739" s="97"/>
      <c r="S1739" s="210"/>
      <c r="T1739" s="210"/>
      <c r="U1739" s="97"/>
      <c r="V1739" s="98"/>
      <c r="W1739" s="98"/>
      <c r="X1739" s="97"/>
      <c r="Y1739" s="98"/>
      <c r="AB1739" s="97" t="s">
        <v>48</v>
      </c>
      <c r="AC1739" s="97"/>
      <c r="AD1739" s="97" t="s">
        <v>47</v>
      </c>
      <c r="AE1739" s="97"/>
      <c r="AF1739" s="97"/>
      <c r="AG1739" s="97"/>
      <c r="AH1739" s="97"/>
      <c r="AI1739" s="97"/>
      <c r="AJ1739" s="97"/>
      <c r="AK1739" s="97"/>
      <c r="AL1739" s="97"/>
      <c r="AM1739" s="97"/>
      <c r="AN1739" s="97"/>
      <c r="AO1739" s="97"/>
      <c r="AP1739" s="97"/>
      <c r="AQ1739" s="97"/>
      <c r="AR1739" s="97"/>
      <c r="AS1739" s="98"/>
      <c r="AT1739" s="98"/>
      <c r="AU1739" s="98"/>
      <c r="AV1739" s="98"/>
      <c r="AW1739" s="98"/>
      <c r="AX1739" s="98"/>
      <c r="AY1739" s="98"/>
      <c r="AZ1739" s="98"/>
      <c r="BA1739" s="98"/>
      <c r="BB1739" s="98"/>
      <c r="BC1739" s="98"/>
      <c r="BD1739" s="98"/>
      <c r="BE1739" s="98"/>
      <c r="BF1739" s="98"/>
      <c r="BG1739" s="98"/>
      <c r="BH1739" s="98"/>
      <c r="BI1739" s="98"/>
      <c r="BJ1739" s="97"/>
      <c r="BL1739" s="97"/>
      <c r="BN1739" s="97"/>
      <c r="CA1739" s="154"/>
    </row>
    <row r="1740" spans="3:79" s="99" customFormat="1" ht="13.5">
      <c r="C1740" s="136" t="s">
        <v>2109</v>
      </c>
      <c r="D1740" s="97"/>
      <c r="F1740" s="97" t="s">
        <v>1120</v>
      </c>
      <c r="G1740" s="98"/>
      <c r="H1740" s="97"/>
      <c r="I1740" s="97"/>
      <c r="J1740" s="97"/>
      <c r="K1740" s="97"/>
      <c r="L1740" s="97"/>
      <c r="M1740" s="97"/>
      <c r="N1740" s="97"/>
      <c r="O1740" s="97"/>
      <c r="P1740" s="180"/>
      <c r="Q1740" s="97"/>
      <c r="R1740" s="97"/>
      <c r="S1740" s="210"/>
      <c r="T1740" s="210"/>
      <c r="U1740" s="97"/>
      <c r="V1740" s="98"/>
      <c r="W1740" s="98"/>
      <c r="X1740" s="97"/>
      <c r="Y1740" s="98"/>
      <c r="AB1740" s="97" t="s">
        <v>49</v>
      </c>
      <c r="AC1740" s="97"/>
      <c r="AD1740" s="97" t="s">
        <v>47</v>
      </c>
      <c r="AE1740" s="97"/>
      <c r="AF1740" s="97"/>
      <c r="AG1740" s="97"/>
      <c r="AH1740" s="97"/>
      <c r="AI1740" s="97"/>
      <c r="AJ1740" s="97"/>
      <c r="AK1740" s="97"/>
      <c r="AL1740" s="97"/>
      <c r="AM1740" s="97"/>
      <c r="AN1740" s="97"/>
      <c r="AO1740" s="97"/>
      <c r="AP1740" s="97"/>
      <c r="AQ1740" s="97"/>
      <c r="AR1740" s="97"/>
      <c r="AS1740" s="98"/>
      <c r="AT1740" s="98"/>
      <c r="AU1740" s="98"/>
      <c r="AV1740" s="98"/>
      <c r="AW1740" s="98"/>
      <c r="AX1740" s="98"/>
      <c r="AY1740" s="98"/>
      <c r="AZ1740" s="98"/>
      <c r="BA1740" s="98"/>
      <c r="BB1740" s="98"/>
      <c r="BC1740" s="98"/>
      <c r="BD1740" s="98"/>
      <c r="BE1740" s="98"/>
      <c r="BF1740" s="98"/>
      <c r="BG1740" s="98"/>
      <c r="BH1740" s="98"/>
      <c r="BI1740" s="98"/>
      <c r="BJ1740" s="97"/>
      <c r="BL1740" s="97"/>
      <c r="BN1740" s="97"/>
      <c r="CA1740" s="154"/>
    </row>
    <row r="1741" spans="3:79" s="99" customFormat="1" ht="13.5">
      <c r="C1741" s="136" t="s">
        <v>2110</v>
      </c>
      <c r="D1741" s="97"/>
      <c r="F1741" s="97" t="s">
        <v>1120</v>
      </c>
      <c r="G1741" s="98"/>
      <c r="H1741" s="97"/>
      <c r="I1741" s="97"/>
      <c r="J1741" s="97"/>
      <c r="K1741" s="97"/>
      <c r="L1741" s="97"/>
      <c r="M1741" s="97"/>
      <c r="N1741" s="97"/>
      <c r="O1741" s="97"/>
      <c r="P1741" s="180"/>
      <c r="Q1741" s="97"/>
      <c r="R1741" s="97"/>
      <c r="S1741" s="210"/>
      <c r="T1741" s="210"/>
      <c r="U1741" s="97"/>
      <c r="V1741" s="98"/>
      <c r="W1741" s="98"/>
      <c r="X1741" s="97"/>
      <c r="Y1741" s="98"/>
      <c r="AB1741" s="97" t="s">
        <v>49</v>
      </c>
      <c r="AC1741" s="97"/>
      <c r="AD1741" s="97" t="s">
        <v>47</v>
      </c>
      <c r="AE1741" s="97"/>
      <c r="AF1741" s="97"/>
      <c r="AG1741" s="97"/>
      <c r="AH1741" s="97"/>
      <c r="AI1741" s="97"/>
      <c r="AJ1741" s="97"/>
      <c r="AK1741" s="97"/>
      <c r="AL1741" s="97"/>
      <c r="AM1741" s="97"/>
      <c r="AN1741" s="97"/>
      <c r="AO1741" s="97"/>
      <c r="AP1741" s="97"/>
      <c r="AQ1741" s="97"/>
      <c r="AR1741" s="97"/>
      <c r="AS1741" s="98"/>
      <c r="AT1741" s="98"/>
      <c r="AU1741" s="98"/>
      <c r="AV1741" s="98"/>
      <c r="AW1741" s="98"/>
      <c r="AX1741" s="98"/>
      <c r="AY1741" s="98"/>
      <c r="AZ1741" s="98"/>
      <c r="BA1741" s="98"/>
      <c r="BB1741" s="98"/>
      <c r="BC1741" s="98"/>
      <c r="BD1741" s="98"/>
      <c r="BE1741" s="98"/>
      <c r="BF1741" s="98"/>
      <c r="BG1741" s="98"/>
      <c r="BH1741" s="98"/>
      <c r="BI1741" s="98"/>
      <c r="BJ1741" s="97"/>
      <c r="BL1741" s="97"/>
      <c r="BN1741" s="97"/>
      <c r="CA1741" s="154"/>
    </row>
    <row r="1742" spans="3:79" s="99" customFormat="1" ht="13.5">
      <c r="C1742" s="136" t="s">
        <v>2111</v>
      </c>
      <c r="D1742" s="97"/>
      <c r="F1742" s="97" t="s">
        <v>1120</v>
      </c>
      <c r="G1742" s="98"/>
      <c r="H1742" s="97"/>
      <c r="I1742" s="97"/>
      <c r="J1742" s="97"/>
      <c r="K1742" s="97"/>
      <c r="L1742" s="97"/>
      <c r="M1742" s="97"/>
      <c r="N1742" s="97"/>
      <c r="O1742" s="97"/>
      <c r="P1742" s="180"/>
      <c r="Q1742" s="97"/>
      <c r="R1742" s="97"/>
      <c r="S1742" s="210"/>
      <c r="T1742" s="210"/>
      <c r="U1742" s="97"/>
      <c r="V1742" s="98"/>
      <c r="W1742" s="98"/>
      <c r="X1742" s="97"/>
      <c r="Y1742" s="98"/>
      <c r="AB1742" s="97" t="s">
        <v>48</v>
      </c>
      <c r="AC1742" s="97"/>
      <c r="AD1742" s="97" t="s">
        <v>47</v>
      </c>
      <c r="AE1742" s="97"/>
      <c r="AF1742" s="97"/>
      <c r="AG1742" s="97"/>
      <c r="AH1742" s="97"/>
      <c r="AI1742" s="97"/>
      <c r="AJ1742" s="97"/>
      <c r="AK1742" s="97"/>
      <c r="AL1742" s="97"/>
      <c r="AM1742" s="97"/>
      <c r="AN1742" s="97"/>
      <c r="AO1742" s="97"/>
      <c r="AP1742" s="97"/>
      <c r="AQ1742" s="97"/>
      <c r="AR1742" s="97"/>
      <c r="AS1742" s="98"/>
      <c r="AT1742" s="98"/>
      <c r="AU1742" s="98"/>
      <c r="AV1742" s="98"/>
      <c r="AW1742" s="98"/>
      <c r="AX1742" s="98"/>
      <c r="AY1742" s="98"/>
      <c r="AZ1742" s="98"/>
      <c r="BA1742" s="98"/>
      <c r="BB1742" s="98"/>
      <c r="BC1742" s="98"/>
      <c r="BD1742" s="98"/>
      <c r="BE1742" s="98"/>
      <c r="BF1742" s="98"/>
      <c r="BG1742" s="98"/>
      <c r="BH1742" s="98"/>
      <c r="BI1742" s="98"/>
      <c r="BJ1742" s="97"/>
      <c r="BL1742" s="97"/>
      <c r="BN1742" s="97"/>
      <c r="CA1742" s="154"/>
    </row>
    <row r="1743" spans="3:79" s="99" customFormat="1" ht="13.5">
      <c r="C1743" s="136" t="s">
        <v>2112</v>
      </c>
      <c r="D1743" s="97"/>
      <c r="F1743" s="97" t="s">
        <v>1120</v>
      </c>
      <c r="G1743" s="98"/>
      <c r="H1743" s="97"/>
      <c r="I1743" s="97"/>
      <c r="J1743" s="97"/>
      <c r="K1743" s="97"/>
      <c r="L1743" s="97"/>
      <c r="M1743" s="97"/>
      <c r="N1743" s="97"/>
      <c r="O1743" s="97"/>
      <c r="P1743" s="180"/>
      <c r="Q1743" s="97"/>
      <c r="R1743" s="97"/>
      <c r="S1743" s="210"/>
      <c r="T1743" s="210"/>
      <c r="U1743" s="97"/>
      <c r="V1743" s="98"/>
      <c r="W1743" s="98"/>
      <c r="X1743" s="97"/>
      <c r="Y1743" s="98"/>
      <c r="AB1743" s="97" t="s">
        <v>48</v>
      </c>
      <c r="AC1743" s="97"/>
      <c r="AD1743" s="97" t="s">
        <v>47</v>
      </c>
      <c r="AE1743" s="97"/>
      <c r="AF1743" s="97"/>
      <c r="AG1743" s="97"/>
      <c r="AH1743" s="97"/>
      <c r="AI1743" s="97"/>
      <c r="AJ1743" s="97"/>
      <c r="AK1743" s="97"/>
      <c r="AL1743" s="97"/>
      <c r="AM1743" s="97"/>
      <c r="AN1743" s="97"/>
      <c r="AO1743" s="97"/>
      <c r="AP1743" s="97"/>
      <c r="AQ1743" s="97"/>
      <c r="AR1743" s="97"/>
      <c r="AS1743" s="98"/>
      <c r="AT1743" s="98"/>
      <c r="AU1743" s="98"/>
      <c r="AV1743" s="98"/>
      <c r="AW1743" s="98"/>
      <c r="AX1743" s="98"/>
      <c r="AY1743" s="98"/>
      <c r="AZ1743" s="98"/>
      <c r="BA1743" s="98"/>
      <c r="BB1743" s="98"/>
      <c r="BC1743" s="98"/>
      <c r="BD1743" s="98"/>
      <c r="BE1743" s="98"/>
      <c r="BF1743" s="98"/>
      <c r="BG1743" s="98"/>
      <c r="BH1743" s="98"/>
      <c r="BI1743" s="98"/>
      <c r="BJ1743" s="97"/>
      <c r="BL1743" s="97"/>
      <c r="BN1743" s="97"/>
      <c r="CA1743" s="154"/>
    </row>
    <row r="1744" spans="3:79" s="99" customFormat="1" ht="13.5">
      <c r="C1744" s="136" t="s">
        <v>2113</v>
      </c>
      <c r="D1744" s="97"/>
      <c r="F1744" s="97" t="s">
        <v>1120</v>
      </c>
      <c r="G1744" s="98"/>
      <c r="H1744" s="97"/>
      <c r="I1744" s="97"/>
      <c r="J1744" s="97"/>
      <c r="K1744" s="97"/>
      <c r="L1744" s="97"/>
      <c r="M1744" s="97"/>
      <c r="N1744" s="97"/>
      <c r="O1744" s="97"/>
      <c r="P1744" s="180"/>
      <c r="Q1744" s="97"/>
      <c r="R1744" s="97"/>
      <c r="S1744" s="210"/>
      <c r="T1744" s="210"/>
      <c r="U1744" s="97"/>
      <c r="V1744" s="98"/>
      <c r="W1744" s="98"/>
      <c r="X1744" s="97"/>
      <c r="Y1744" s="98"/>
      <c r="AB1744" s="97" t="s">
        <v>48</v>
      </c>
      <c r="AC1744" s="97"/>
      <c r="AD1744" s="97" t="s">
        <v>47</v>
      </c>
      <c r="AE1744" s="97"/>
      <c r="AF1744" s="97"/>
      <c r="AG1744" s="97"/>
      <c r="AH1744" s="97"/>
      <c r="AI1744" s="97"/>
      <c r="AJ1744" s="97"/>
      <c r="AK1744" s="97"/>
      <c r="AL1744" s="97"/>
      <c r="AM1744" s="97"/>
      <c r="AN1744" s="97"/>
      <c r="AO1744" s="97"/>
      <c r="AP1744" s="97"/>
      <c r="AQ1744" s="97"/>
      <c r="AR1744" s="97"/>
      <c r="AS1744" s="98"/>
      <c r="AT1744" s="98"/>
      <c r="AU1744" s="98"/>
      <c r="AV1744" s="98"/>
      <c r="AW1744" s="98"/>
      <c r="AX1744" s="98"/>
      <c r="AY1744" s="98"/>
      <c r="AZ1744" s="98"/>
      <c r="BA1744" s="98"/>
      <c r="BB1744" s="98"/>
      <c r="BC1744" s="98"/>
      <c r="BD1744" s="98"/>
      <c r="BE1744" s="98"/>
      <c r="BF1744" s="98"/>
      <c r="BG1744" s="98"/>
      <c r="BH1744" s="98"/>
      <c r="BI1744" s="98"/>
      <c r="BJ1744" s="97"/>
      <c r="BL1744" s="97"/>
      <c r="BN1744" s="97"/>
      <c r="CA1744" s="154"/>
    </row>
    <row r="1745" spans="3:79" s="99" customFormat="1" ht="13.5">
      <c r="C1745" s="136" t="s">
        <v>2114</v>
      </c>
      <c r="D1745" s="97"/>
      <c r="E1745" s="97"/>
      <c r="F1745" s="97"/>
      <c r="G1745" s="98"/>
      <c r="H1745" s="97"/>
      <c r="I1745" s="97"/>
      <c r="J1745" s="97"/>
      <c r="K1745" s="97"/>
      <c r="L1745" s="97"/>
      <c r="M1745" s="97"/>
      <c r="N1745" s="97"/>
      <c r="O1745" s="97"/>
      <c r="P1745" s="180"/>
      <c r="Q1745" s="97"/>
      <c r="R1745" s="97"/>
      <c r="S1745" s="210"/>
      <c r="T1745" s="210"/>
      <c r="U1745" s="97"/>
      <c r="V1745" s="98"/>
      <c r="W1745" s="98"/>
      <c r="X1745" s="97"/>
      <c r="Y1745" s="98"/>
      <c r="AC1745" s="97"/>
      <c r="AD1745" s="97"/>
      <c r="AS1745" s="98"/>
      <c r="AT1745" s="98"/>
      <c r="AU1745" s="98"/>
      <c r="AV1745" s="98"/>
      <c r="AW1745" s="98"/>
      <c r="AX1745" s="98"/>
      <c r="AY1745" s="98"/>
      <c r="AZ1745" s="98"/>
      <c r="BA1745" s="98"/>
      <c r="BB1745" s="98"/>
      <c r="BC1745" s="98"/>
      <c r="BD1745" s="98"/>
      <c r="BE1745" s="98"/>
      <c r="BF1745" s="98"/>
      <c r="BG1745" s="98"/>
      <c r="BH1745" s="98"/>
      <c r="BI1745" s="98"/>
      <c r="BJ1745" s="97"/>
      <c r="BL1745" s="97"/>
      <c r="BN1745" s="97"/>
      <c r="CA1745" s="154"/>
    </row>
    <row r="1746" spans="3:79" s="99" customFormat="1" ht="13.5">
      <c r="C1746" s="136" t="s">
        <v>2115</v>
      </c>
      <c r="D1746" s="97"/>
      <c r="E1746" s="97"/>
      <c r="F1746" s="97"/>
      <c r="G1746" s="98"/>
      <c r="H1746" s="97"/>
      <c r="I1746" s="97"/>
      <c r="J1746" s="97"/>
      <c r="K1746" s="97"/>
      <c r="L1746" s="97"/>
      <c r="M1746" s="97"/>
      <c r="N1746" s="97"/>
      <c r="O1746" s="97"/>
      <c r="P1746" s="180"/>
      <c r="Q1746" s="97"/>
      <c r="R1746" s="97"/>
      <c r="S1746" s="210"/>
      <c r="T1746" s="210"/>
      <c r="U1746" s="97"/>
      <c r="V1746" s="98"/>
      <c r="W1746" s="98"/>
      <c r="X1746" s="97"/>
      <c r="Y1746" s="98"/>
      <c r="AC1746" s="97"/>
      <c r="AD1746" s="97"/>
      <c r="AS1746" s="98"/>
      <c r="AT1746" s="98"/>
      <c r="AU1746" s="98"/>
      <c r="AV1746" s="98"/>
      <c r="AW1746" s="98"/>
      <c r="AX1746" s="98"/>
      <c r="AY1746" s="98"/>
      <c r="AZ1746" s="98"/>
      <c r="BA1746" s="98"/>
      <c r="BB1746" s="98"/>
      <c r="BC1746" s="98"/>
      <c r="BD1746" s="98"/>
      <c r="BE1746" s="98"/>
      <c r="BF1746" s="98"/>
      <c r="BG1746" s="98"/>
      <c r="BH1746" s="98"/>
      <c r="BI1746" s="98"/>
      <c r="BJ1746" s="97"/>
      <c r="BL1746" s="97"/>
      <c r="BN1746" s="97"/>
      <c r="CA1746" s="154"/>
    </row>
    <row r="1747" spans="3:79" s="99" customFormat="1" ht="13.5">
      <c r="C1747" s="136" t="s">
        <v>2116</v>
      </c>
      <c r="D1747" s="97"/>
      <c r="E1747" s="97"/>
      <c r="F1747" s="97"/>
      <c r="G1747" s="98"/>
      <c r="H1747" s="97"/>
      <c r="I1747" s="97"/>
      <c r="J1747" s="97"/>
      <c r="K1747" s="97"/>
      <c r="L1747" s="97"/>
      <c r="M1747" s="97"/>
      <c r="N1747" s="97"/>
      <c r="O1747" s="97"/>
      <c r="P1747" s="180"/>
      <c r="Q1747" s="97"/>
      <c r="R1747" s="97"/>
      <c r="S1747" s="210"/>
      <c r="T1747" s="210"/>
      <c r="U1747" s="97"/>
      <c r="V1747" s="98"/>
      <c r="W1747" s="98"/>
      <c r="X1747" s="97"/>
      <c r="Y1747" s="98"/>
      <c r="AC1747" s="97"/>
      <c r="AD1747" s="97"/>
      <c r="AS1747" s="98"/>
      <c r="AT1747" s="98"/>
      <c r="AU1747" s="98"/>
      <c r="AV1747" s="98"/>
      <c r="AW1747" s="98"/>
      <c r="AX1747" s="98"/>
      <c r="AY1747" s="98"/>
      <c r="AZ1747" s="98"/>
      <c r="BA1747" s="98"/>
      <c r="BB1747" s="98"/>
      <c r="BC1747" s="98"/>
      <c r="BD1747" s="98"/>
      <c r="BE1747" s="98"/>
      <c r="BF1747" s="98"/>
      <c r="BG1747" s="98"/>
      <c r="BH1747" s="98"/>
      <c r="BI1747" s="98"/>
      <c r="BJ1747" s="97"/>
      <c r="BL1747" s="97"/>
      <c r="BN1747" s="97"/>
      <c r="CA1747" s="154"/>
    </row>
    <row r="1748" spans="3:79" s="99" customFormat="1" ht="13.5">
      <c r="C1748" s="136" t="s">
        <v>2117</v>
      </c>
      <c r="D1748" s="97"/>
      <c r="E1748" s="97"/>
      <c r="F1748" s="97"/>
      <c r="G1748" s="98"/>
      <c r="H1748" s="97"/>
      <c r="I1748" s="97"/>
      <c r="J1748" s="97"/>
      <c r="K1748" s="97"/>
      <c r="L1748" s="97"/>
      <c r="M1748" s="97"/>
      <c r="N1748" s="97"/>
      <c r="O1748" s="97"/>
      <c r="P1748" s="180"/>
      <c r="Q1748" s="97"/>
      <c r="R1748" s="97"/>
      <c r="S1748" s="210"/>
      <c r="T1748" s="210"/>
      <c r="U1748" s="97"/>
      <c r="V1748" s="98"/>
      <c r="W1748" s="98"/>
      <c r="X1748" s="97"/>
      <c r="Y1748" s="98"/>
      <c r="AC1748" s="97"/>
      <c r="AD1748" s="97"/>
      <c r="AS1748" s="98"/>
      <c r="AT1748" s="98"/>
      <c r="AU1748" s="98"/>
      <c r="AV1748" s="98"/>
      <c r="AW1748" s="98"/>
      <c r="AX1748" s="98"/>
      <c r="AY1748" s="98"/>
      <c r="AZ1748" s="98"/>
      <c r="BA1748" s="98"/>
      <c r="BB1748" s="98"/>
      <c r="BC1748" s="98"/>
      <c r="BD1748" s="98"/>
      <c r="BE1748" s="98"/>
      <c r="BF1748" s="98"/>
      <c r="BG1748" s="98"/>
      <c r="BH1748" s="98"/>
      <c r="BI1748" s="98"/>
      <c r="BJ1748" s="97"/>
      <c r="BL1748" s="97"/>
      <c r="BN1748" s="97"/>
      <c r="CA1748" s="154"/>
    </row>
    <row r="1749" spans="3:79" s="99" customFormat="1" ht="13.5">
      <c r="C1749" s="136" t="s">
        <v>2118</v>
      </c>
      <c r="D1749" s="97"/>
      <c r="E1749" s="97"/>
      <c r="F1749" s="97"/>
      <c r="G1749" s="98"/>
      <c r="H1749" s="97"/>
      <c r="I1749" s="97"/>
      <c r="J1749" s="97"/>
      <c r="K1749" s="97"/>
      <c r="L1749" s="97"/>
      <c r="M1749" s="97"/>
      <c r="N1749" s="97"/>
      <c r="O1749" s="97"/>
      <c r="P1749" s="180"/>
      <c r="Q1749" s="97"/>
      <c r="R1749" s="97"/>
      <c r="S1749" s="210"/>
      <c r="T1749" s="210"/>
      <c r="U1749" s="97"/>
      <c r="V1749" s="98"/>
      <c r="W1749" s="98"/>
      <c r="X1749" s="97"/>
      <c r="Y1749" s="98"/>
      <c r="AC1749" s="97"/>
      <c r="AD1749" s="97"/>
      <c r="AS1749" s="98"/>
      <c r="AT1749" s="98"/>
      <c r="AU1749" s="98"/>
      <c r="AV1749" s="98"/>
      <c r="AW1749" s="98"/>
      <c r="AX1749" s="98"/>
      <c r="AY1749" s="98"/>
      <c r="AZ1749" s="98"/>
      <c r="BA1749" s="98"/>
      <c r="BB1749" s="98"/>
      <c r="BC1749" s="98"/>
      <c r="BD1749" s="98"/>
      <c r="BE1749" s="98"/>
      <c r="BF1749" s="98"/>
      <c r="BG1749" s="98"/>
      <c r="BH1749" s="98"/>
      <c r="BI1749" s="98"/>
      <c r="BJ1749" s="97"/>
      <c r="BL1749" s="97"/>
      <c r="BN1749" s="97"/>
      <c r="CA1749" s="154"/>
    </row>
    <row r="1750" spans="3:79" s="99" customFormat="1" ht="13.5">
      <c r="C1750" s="136" t="s">
        <v>2119</v>
      </c>
      <c r="D1750" s="97"/>
      <c r="E1750" s="97"/>
      <c r="F1750" s="97"/>
      <c r="G1750" s="98"/>
      <c r="H1750" s="97"/>
      <c r="I1750" s="97"/>
      <c r="J1750" s="97"/>
      <c r="K1750" s="97"/>
      <c r="L1750" s="97"/>
      <c r="M1750" s="97"/>
      <c r="N1750" s="97"/>
      <c r="O1750" s="97"/>
      <c r="P1750" s="180"/>
      <c r="Q1750" s="97"/>
      <c r="R1750" s="97"/>
      <c r="S1750" s="210"/>
      <c r="T1750" s="210"/>
      <c r="U1750" s="97"/>
      <c r="V1750" s="98"/>
      <c r="W1750" s="98"/>
      <c r="X1750" s="97"/>
      <c r="Y1750" s="98"/>
      <c r="AC1750" s="97"/>
      <c r="AD1750" s="97"/>
      <c r="AS1750" s="98"/>
      <c r="AT1750" s="98"/>
      <c r="AU1750" s="98"/>
      <c r="AV1750" s="98"/>
      <c r="AW1750" s="98"/>
      <c r="AX1750" s="98"/>
      <c r="AY1750" s="98"/>
      <c r="AZ1750" s="98"/>
      <c r="BA1750" s="98"/>
      <c r="BB1750" s="98"/>
      <c r="BC1750" s="98"/>
      <c r="BD1750" s="98"/>
      <c r="BE1750" s="98"/>
      <c r="BF1750" s="98"/>
      <c r="BG1750" s="98"/>
      <c r="BH1750" s="98"/>
      <c r="BI1750" s="98"/>
      <c r="BJ1750" s="97"/>
      <c r="BL1750" s="97"/>
      <c r="BN1750" s="97"/>
      <c r="CA1750" s="154"/>
    </row>
    <row r="1751" spans="3:79" s="99" customFormat="1" ht="13.5">
      <c r="C1751" s="136" t="s">
        <v>2120</v>
      </c>
      <c r="D1751" s="97"/>
      <c r="E1751" s="97"/>
      <c r="F1751" s="97"/>
      <c r="G1751" s="98"/>
      <c r="H1751" s="97"/>
      <c r="I1751" s="97"/>
      <c r="J1751" s="97"/>
      <c r="K1751" s="97"/>
      <c r="L1751" s="97"/>
      <c r="M1751" s="97"/>
      <c r="N1751" s="97"/>
      <c r="O1751" s="97"/>
      <c r="P1751" s="180"/>
      <c r="Q1751" s="97"/>
      <c r="R1751" s="97"/>
      <c r="S1751" s="210"/>
      <c r="T1751" s="210"/>
      <c r="U1751" s="97"/>
      <c r="V1751" s="98"/>
      <c r="W1751" s="98"/>
      <c r="X1751" s="97"/>
      <c r="Y1751" s="98"/>
      <c r="AC1751" s="97"/>
      <c r="AD1751" s="97"/>
      <c r="AS1751" s="98"/>
      <c r="AT1751" s="98"/>
      <c r="AU1751" s="98"/>
      <c r="AV1751" s="98"/>
      <c r="AW1751" s="98"/>
      <c r="AX1751" s="98"/>
      <c r="AY1751" s="98"/>
      <c r="AZ1751" s="98"/>
      <c r="BA1751" s="98"/>
      <c r="BB1751" s="98"/>
      <c r="BC1751" s="98"/>
      <c r="BD1751" s="98"/>
      <c r="BE1751" s="98"/>
      <c r="BF1751" s="98"/>
      <c r="BG1751" s="98"/>
      <c r="BH1751" s="98"/>
      <c r="BI1751" s="98"/>
      <c r="BJ1751" s="97"/>
      <c r="BL1751" s="97"/>
      <c r="BN1751" s="97"/>
      <c r="CA1751" s="154"/>
    </row>
    <row r="1752" spans="3:79" s="99" customFormat="1" ht="13.5">
      <c r="C1752" s="136" t="s">
        <v>2121</v>
      </c>
      <c r="D1752" s="97"/>
      <c r="E1752" s="97"/>
      <c r="F1752" s="97"/>
      <c r="G1752" s="98"/>
      <c r="H1752" s="97"/>
      <c r="I1752" s="97"/>
      <c r="J1752" s="97"/>
      <c r="K1752" s="97"/>
      <c r="L1752" s="97"/>
      <c r="M1752" s="97"/>
      <c r="N1752" s="97"/>
      <c r="O1752" s="97"/>
      <c r="P1752" s="180"/>
      <c r="Q1752" s="97"/>
      <c r="R1752" s="97"/>
      <c r="S1752" s="210"/>
      <c r="T1752" s="210"/>
      <c r="U1752" s="97"/>
      <c r="V1752" s="98"/>
      <c r="W1752" s="98"/>
      <c r="X1752" s="97"/>
      <c r="Y1752" s="98"/>
      <c r="AC1752" s="97"/>
      <c r="AD1752" s="97"/>
      <c r="AS1752" s="98"/>
      <c r="AT1752" s="98"/>
      <c r="AU1752" s="98"/>
      <c r="AV1752" s="98"/>
      <c r="AW1752" s="98"/>
      <c r="AX1752" s="98"/>
      <c r="AY1752" s="98"/>
      <c r="AZ1752" s="98"/>
      <c r="BA1752" s="98"/>
      <c r="BB1752" s="98"/>
      <c r="BC1752" s="98"/>
      <c r="BD1752" s="98"/>
      <c r="BE1752" s="98"/>
      <c r="BF1752" s="98"/>
      <c r="BG1752" s="98"/>
      <c r="BH1752" s="98"/>
      <c r="BI1752" s="98"/>
      <c r="BJ1752" s="97"/>
      <c r="BL1752" s="97"/>
      <c r="BN1752" s="97"/>
      <c r="CA1752" s="154"/>
    </row>
    <row r="1753" spans="3:79" s="99" customFormat="1" ht="13.5">
      <c r="C1753" s="136" t="s">
        <v>2122</v>
      </c>
      <c r="D1753" s="97"/>
      <c r="E1753" s="97"/>
      <c r="F1753" s="97"/>
      <c r="G1753" s="98"/>
      <c r="H1753" s="97"/>
      <c r="I1753" s="97"/>
      <c r="J1753" s="97"/>
      <c r="K1753" s="97"/>
      <c r="L1753" s="97"/>
      <c r="M1753" s="97"/>
      <c r="N1753" s="97"/>
      <c r="O1753" s="97"/>
      <c r="P1753" s="180"/>
      <c r="Q1753" s="97"/>
      <c r="R1753" s="97"/>
      <c r="S1753" s="210"/>
      <c r="T1753" s="210"/>
      <c r="U1753" s="97"/>
      <c r="V1753" s="98"/>
      <c r="W1753" s="98"/>
      <c r="X1753" s="97" t="s">
        <v>48</v>
      </c>
      <c r="Y1753" s="98"/>
      <c r="AC1753" s="97"/>
      <c r="AD1753" s="97" t="s">
        <v>47</v>
      </c>
      <c r="AS1753" s="98"/>
      <c r="AT1753" s="98"/>
      <c r="AU1753" s="98"/>
      <c r="AV1753" s="98"/>
      <c r="AW1753" s="98"/>
      <c r="AX1753" s="98"/>
      <c r="AY1753" s="98"/>
      <c r="AZ1753" s="98"/>
      <c r="BA1753" s="98"/>
      <c r="BB1753" s="98"/>
      <c r="BC1753" s="98"/>
      <c r="BD1753" s="98"/>
      <c r="BE1753" s="98"/>
      <c r="BF1753" s="98"/>
      <c r="BG1753" s="98"/>
      <c r="BH1753" s="98"/>
      <c r="BI1753" s="98"/>
      <c r="BJ1753" s="97"/>
      <c r="BL1753" s="97"/>
      <c r="BN1753" s="97"/>
      <c r="CA1753" s="154"/>
    </row>
    <row r="1754" spans="3:79" s="99" customFormat="1" ht="13.5">
      <c r="C1754" s="136" t="s">
        <v>2123</v>
      </c>
      <c r="D1754" s="97"/>
      <c r="E1754" s="97"/>
      <c r="F1754" s="97"/>
      <c r="G1754" s="98"/>
      <c r="H1754" s="97"/>
      <c r="I1754" s="97"/>
      <c r="J1754" s="97"/>
      <c r="K1754" s="97"/>
      <c r="L1754" s="97"/>
      <c r="M1754" s="97"/>
      <c r="N1754" s="97"/>
      <c r="O1754" s="97"/>
      <c r="P1754" s="180"/>
      <c r="Q1754" s="97"/>
      <c r="R1754" s="97"/>
      <c r="S1754" s="210"/>
      <c r="T1754" s="210"/>
      <c r="U1754" s="97"/>
      <c r="V1754" s="98"/>
      <c r="W1754" s="98"/>
      <c r="X1754" s="97" t="s">
        <v>48</v>
      </c>
      <c r="Y1754" s="98"/>
      <c r="AC1754" s="97"/>
      <c r="AD1754" s="97" t="s">
        <v>47</v>
      </c>
      <c r="AS1754" s="98"/>
      <c r="AT1754" s="98"/>
      <c r="AU1754" s="98"/>
      <c r="AV1754" s="98"/>
      <c r="AW1754" s="98"/>
      <c r="AX1754" s="98"/>
      <c r="AY1754" s="98"/>
      <c r="AZ1754" s="98"/>
      <c r="BA1754" s="98"/>
      <c r="BB1754" s="98"/>
      <c r="BC1754" s="98"/>
      <c r="BD1754" s="98"/>
      <c r="BE1754" s="98"/>
      <c r="BF1754" s="98"/>
      <c r="BG1754" s="98"/>
      <c r="BH1754" s="98"/>
      <c r="BI1754" s="98"/>
      <c r="BJ1754" s="97"/>
      <c r="BL1754" s="97"/>
      <c r="BN1754" s="97"/>
      <c r="CA1754" s="154"/>
    </row>
    <row r="1755" spans="3:79" s="99" customFormat="1" ht="13.5">
      <c r="C1755" s="136" t="s">
        <v>2124</v>
      </c>
      <c r="D1755" s="97"/>
      <c r="E1755" s="97"/>
      <c r="F1755" s="97"/>
      <c r="G1755" s="98"/>
      <c r="H1755" s="97"/>
      <c r="I1755" s="97"/>
      <c r="J1755" s="97"/>
      <c r="K1755" s="97"/>
      <c r="L1755" s="97"/>
      <c r="M1755" s="97"/>
      <c r="N1755" s="97"/>
      <c r="O1755" s="97"/>
      <c r="P1755" s="180"/>
      <c r="Q1755" s="97"/>
      <c r="R1755" s="97"/>
      <c r="S1755" s="210"/>
      <c r="T1755" s="210"/>
      <c r="U1755" s="97"/>
      <c r="V1755" s="98"/>
      <c r="W1755" s="98"/>
      <c r="X1755" s="97" t="s">
        <v>48</v>
      </c>
      <c r="Y1755" s="98"/>
      <c r="AC1755" s="97"/>
      <c r="AD1755" s="97" t="s">
        <v>47</v>
      </c>
      <c r="AS1755" s="98"/>
      <c r="AT1755" s="98"/>
      <c r="AU1755" s="98"/>
      <c r="AV1755" s="98"/>
      <c r="AW1755" s="98"/>
      <c r="AX1755" s="98"/>
      <c r="AY1755" s="98"/>
      <c r="AZ1755" s="98"/>
      <c r="BA1755" s="98"/>
      <c r="BB1755" s="98"/>
      <c r="BC1755" s="98"/>
      <c r="BD1755" s="98"/>
      <c r="BE1755" s="98"/>
      <c r="BF1755" s="98"/>
      <c r="BG1755" s="98"/>
      <c r="BH1755" s="98"/>
      <c r="BI1755" s="98"/>
      <c r="BJ1755" s="97"/>
      <c r="BL1755" s="97"/>
      <c r="BN1755" s="97"/>
      <c r="CA1755" s="154"/>
    </row>
    <row r="1756" spans="3:79" s="99" customFormat="1" ht="13.5">
      <c r="C1756" s="136" t="s">
        <v>2125</v>
      </c>
      <c r="D1756" s="97"/>
      <c r="E1756" s="97"/>
      <c r="F1756" s="97"/>
      <c r="G1756" s="98"/>
      <c r="H1756" s="97"/>
      <c r="I1756" s="97"/>
      <c r="J1756" s="97"/>
      <c r="K1756" s="97"/>
      <c r="L1756" s="97"/>
      <c r="M1756" s="97"/>
      <c r="N1756" s="97"/>
      <c r="O1756" s="97"/>
      <c r="P1756" s="181"/>
      <c r="Q1756" s="97"/>
      <c r="R1756" s="97"/>
      <c r="S1756" s="210"/>
      <c r="T1756" s="210"/>
      <c r="U1756" s="97"/>
      <c r="V1756" s="98"/>
      <c r="W1756" s="98"/>
      <c r="X1756" s="97" t="s">
        <v>46</v>
      </c>
      <c r="Y1756" s="98"/>
      <c r="AC1756" s="100"/>
      <c r="AS1756" s="98"/>
      <c r="AT1756" s="98"/>
      <c r="AU1756" s="98"/>
      <c r="AV1756" s="98"/>
      <c r="AW1756" s="98"/>
      <c r="AX1756" s="98"/>
      <c r="AY1756" s="98"/>
      <c r="AZ1756" s="98"/>
      <c r="BA1756" s="98"/>
      <c r="BB1756" s="98"/>
      <c r="BC1756" s="98"/>
      <c r="BD1756" s="98"/>
      <c r="BE1756" s="98"/>
      <c r="BF1756" s="98"/>
      <c r="BG1756" s="98"/>
      <c r="BH1756" s="98"/>
      <c r="BI1756" s="98"/>
      <c r="BJ1756" s="97">
        <v>1</v>
      </c>
      <c r="BL1756" s="97"/>
      <c r="BN1756" s="97">
        <v>2015</v>
      </c>
      <c r="CA1756" s="154"/>
    </row>
    <row r="1757" spans="3:79" s="99" customFormat="1" ht="13.5">
      <c r="C1757" s="136" t="s">
        <v>2126</v>
      </c>
      <c r="D1757" s="97"/>
      <c r="E1757" s="97"/>
      <c r="F1757" s="97"/>
      <c r="G1757" s="98"/>
      <c r="H1757" s="97"/>
      <c r="I1757" s="97"/>
      <c r="J1757" s="97"/>
      <c r="K1757" s="97"/>
      <c r="L1757" s="97"/>
      <c r="M1757" s="97"/>
      <c r="N1757" s="97"/>
      <c r="O1757" s="97"/>
      <c r="P1757" s="181"/>
      <c r="Q1757" s="97"/>
      <c r="R1757" s="97"/>
      <c r="S1757" s="210"/>
      <c r="T1757" s="210"/>
      <c r="U1757" s="97"/>
      <c r="V1757" s="98"/>
      <c r="W1757" s="98"/>
      <c r="X1757" s="97" t="s">
        <v>42</v>
      </c>
      <c r="Y1757" s="98"/>
      <c r="AC1757" s="100"/>
      <c r="AS1757" s="98"/>
      <c r="AT1757" s="98"/>
      <c r="AU1757" s="98"/>
      <c r="AV1757" s="98"/>
      <c r="AW1757" s="98"/>
      <c r="AX1757" s="98"/>
      <c r="AY1757" s="98"/>
      <c r="AZ1757" s="98"/>
      <c r="BA1757" s="98"/>
      <c r="BB1757" s="98"/>
      <c r="BC1757" s="98"/>
      <c r="BD1757" s="98"/>
      <c r="BE1757" s="98"/>
      <c r="BF1757" s="98"/>
      <c r="BG1757" s="98"/>
      <c r="BH1757" s="98"/>
      <c r="BI1757" s="98"/>
      <c r="BJ1757" s="97">
        <v>1</v>
      </c>
      <c r="BL1757" s="97"/>
      <c r="BN1757" s="97">
        <v>2010</v>
      </c>
      <c r="CA1757" s="154"/>
    </row>
    <row r="1758" spans="3:79" s="99" customFormat="1" ht="13.5">
      <c r="C1758" s="136"/>
      <c r="D1758" s="97"/>
      <c r="E1758" s="97"/>
      <c r="F1758" s="97"/>
      <c r="G1758" s="98"/>
      <c r="H1758" s="97"/>
      <c r="I1758" s="97"/>
      <c r="J1758" s="97"/>
      <c r="K1758" s="97"/>
      <c r="L1758" s="97"/>
      <c r="M1758" s="97"/>
      <c r="N1758" s="97"/>
      <c r="O1758" s="97"/>
      <c r="P1758" s="181"/>
      <c r="Q1758" s="97"/>
      <c r="R1758" s="97"/>
      <c r="S1758" s="210"/>
      <c r="T1758" s="210"/>
      <c r="U1758" s="97"/>
      <c r="V1758" s="98"/>
      <c r="W1758" s="98"/>
      <c r="X1758" s="97"/>
      <c r="Y1758" s="98"/>
      <c r="AC1758" s="97"/>
      <c r="AS1758" s="98"/>
      <c r="AT1758" s="98"/>
      <c r="AU1758" s="98"/>
      <c r="AV1758" s="98"/>
      <c r="AW1758" s="98"/>
      <c r="AX1758" s="98"/>
      <c r="AY1758" s="98"/>
      <c r="AZ1758" s="98"/>
      <c r="BA1758" s="98"/>
      <c r="BB1758" s="98"/>
      <c r="BC1758" s="98"/>
      <c r="BD1758" s="98"/>
      <c r="BE1758" s="98"/>
      <c r="BF1758" s="98"/>
      <c r="BG1758" s="98"/>
      <c r="BH1758" s="98"/>
      <c r="BI1758" s="98"/>
      <c r="BJ1758" s="97"/>
      <c r="BL1758" s="97"/>
      <c r="BN1758" s="97"/>
      <c r="CA1758" s="154"/>
    </row>
    <row r="1759" spans="3:79" s="99" customFormat="1" ht="13.5">
      <c r="C1759" s="136"/>
      <c r="D1759" s="97"/>
      <c r="E1759" s="97"/>
      <c r="F1759" s="97"/>
      <c r="G1759" s="98"/>
      <c r="H1759" s="97"/>
      <c r="I1759" s="97"/>
      <c r="J1759" s="97"/>
      <c r="K1759" s="97"/>
      <c r="L1759" s="97"/>
      <c r="M1759" s="97"/>
      <c r="N1759" s="97"/>
      <c r="O1759" s="97"/>
      <c r="P1759" s="181"/>
      <c r="Q1759" s="97"/>
      <c r="R1759" s="97"/>
      <c r="S1759" s="210"/>
      <c r="T1759" s="210"/>
      <c r="U1759" s="97"/>
      <c r="V1759" s="98"/>
      <c r="W1759" s="98"/>
      <c r="X1759" s="97"/>
      <c r="Y1759" s="98"/>
      <c r="AC1759" s="97"/>
      <c r="AS1759" s="98"/>
      <c r="AT1759" s="98"/>
      <c r="AU1759" s="98"/>
      <c r="AV1759" s="98"/>
      <c r="AW1759" s="98"/>
      <c r="AX1759" s="98"/>
      <c r="AY1759" s="98"/>
      <c r="AZ1759" s="98"/>
      <c r="BA1759" s="98"/>
      <c r="BB1759" s="98"/>
      <c r="BC1759" s="98"/>
      <c r="BD1759" s="98"/>
      <c r="BE1759" s="98"/>
      <c r="BF1759" s="98"/>
      <c r="BG1759" s="98"/>
      <c r="BH1759" s="98"/>
      <c r="BI1759" s="98"/>
      <c r="BJ1759" s="97"/>
      <c r="BL1759" s="97"/>
      <c r="BN1759" s="97"/>
      <c r="CA1759" s="154"/>
    </row>
    <row r="1760" spans="3:79" s="99" customFormat="1" ht="13.5">
      <c r="C1760" s="136" t="s">
        <v>2127</v>
      </c>
      <c r="D1760" s="97"/>
      <c r="E1760" s="97"/>
      <c r="F1760" s="97"/>
      <c r="G1760" s="98"/>
      <c r="H1760" s="97"/>
      <c r="I1760" s="97"/>
      <c r="J1760" s="97"/>
      <c r="K1760" s="97"/>
      <c r="L1760" s="97"/>
      <c r="M1760" s="97"/>
      <c r="N1760" s="97"/>
      <c r="O1760" s="97"/>
      <c r="P1760" s="181"/>
      <c r="Q1760" s="97"/>
      <c r="R1760" s="97"/>
      <c r="S1760" s="210"/>
      <c r="T1760" s="210"/>
      <c r="U1760" s="97"/>
      <c r="V1760" s="98"/>
      <c r="W1760" s="98"/>
      <c r="X1760" s="97"/>
      <c r="Y1760" s="98"/>
      <c r="AC1760" s="97"/>
      <c r="AS1760" s="98"/>
      <c r="AT1760" s="98"/>
      <c r="AU1760" s="98"/>
      <c r="AV1760" s="98"/>
      <c r="AW1760" s="98"/>
      <c r="AX1760" s="98"/>
      <c r="AY1760" s="98"/>
      <c r="AZ1760" s="98"/>
      <c r="BA1760" s="98"/>
      <c r="BB1760" s="98"/>
      <c r="BC1760" s="98"/>
      <c r="BD1760" s="98"/>
      <c r="BE1760" s="98"/>
      <c r="BF1760" s="98"/>
      <c r="BG1760" s="98"/>
      <c r="BH1760" s="98"/>
      <c r="BI1760" s="98"/>
      <c r="BJ1760" s="97"/>
      <c r="BL1760" s="97"/>
      <c r="BN1760" s="97"/>
      <c r="CA1760" s="154"/>
    </row>
    <row r="1761" spans="3:79" s="99" customFormat="1" ht="13.5">
      <c r="C1761" s="136" t="s">
        <v>2128</v>
      </c>
      <c r="D1761" s="97"/>
      <c r="E1761" s="97"/>
      <c r="F1761" s="97"/>
      <c r="G1761" s="98"/>
      <c r="H1761" s="97"/>
      <c r="I1761" s="97"/>
      <c r="J1761" s="97"/>
      <c r="K1761" s="97"/>
      <c r="L1761" s="97"/>
      <c r="M1761" s="97"/>
      <c r="N1761" s="97"/>
      <c r="O1761" s="97"/>
      <c r="P1761" s="181"/>
      <c r="Q1761" s="97"/>
      <c r="R1761" s="97"/>
      <c r="S1761" s="210"/>
      <c r="T1761" s="210"/>
      <c r="U1761" s="97"/>
      <c r="V1761" s="98"/>
      <c r="W1761" s="98"/>
      <c r="X1761" s="97"/>
      <c r="Y1761" s="98"/>
      <c r="AC1761" s="97"/>
      <c r="AS1761" s="98"/>
      <c r="AT1761" s="98"/>
      <c r="AU1761" s="98"/>
      <c r="AV1761" s="98"/>
      <c r="AW1761" s="98"/>
      <c r="AX1761" s="98"/>
      <c r="AY1761" s="98"/>
      <c r="AZ1761" s="98"/>
      <c r="BA1761" s="98"/>
      <c r="BB1761" s="98"/>
      <c r="BC1761" s="98"/>
      <c r="BD1761" s="98"/>
      <c r="BE1761" s="98"/>
      <c r="BF1761" s="98"/>
      <c r="BG1761" s="98"/>
      <c r="BH1761" s="98"/>
      <c r="BI1761" s="98"/>
      <c r="BJ1761" s="97"/>
      <c r="BL1761" s="97"/>
      <c r="BN1761" s="97"/>
      <c r="CA1761" s="154"/>
    </row>
    <row r="1762" spans="3:79" s="99" customFormat="1" ht="13.5">
      <c r="C1762" s="136" t="s">
        <v>2129</v>
      </c>
      <c r="D1762" s="97"/>
      <c r="E1762" s="97"/>
      <c r="F1762" s="97"/>
      <c r="G1762" s="98"/>
      <c r="H1762" s="97"/>
      <c r="I1762" s="97"/>
      <c r="J1762" s="97"/>
      <c r="K1762" s="97"/>
      <c r="L1762" s="97"/>
      <c r="M1762" s="97"/>
      <c r="N1762" s="97"/>
      <c r="O1762" s="97"/>
      <c r="P1762" s="181"/>
      <c r="Q1762" s="97"/>
      <c r="R1762" s="97"/>
      <c r="S1762" s="210"/>
      <c r="T1762" s="210"/>
      <c r="U1762" s="97"/>
      <c r="V1762" s="98"/>
      <c r="W1762" s="98"/>
      <c r="X1762" s="97"/>
      <c r="Y1762" s="98"/>
      <c r="AC1762" s="97"/>
      <c r="AS1762" s="98"/>
      <c r="AT1762" s="98"/>
      <c r="AU1762" s="98"/>
      <c r="AV1762" s="98"/>
      <c r="AW1762" s="98"/>
      <c r="AX1762" s="98"/>
      <c r="AY1762" s="98"/>
      <c r="AZ1762" s="98"/>
      <c r="BA1762" s="98"/>
      <c r="BB1762" s="98"/>
      <c r="BC1762" s="98"/>
      <c r="BD1762" s="98"/>
      <c r="BE1762" s="98"/>
      <c r="BF1762" s="98"/>
      <c r="BG1762" s="98"/>
      <c r="BH1762" s="98"/>
      <c r="BI1762" s="98"/>
      <c r="BJ1762" s="97"/>
      <c r="BL1762" s="97"/>
      <c r="BN1762" s="97"/>
      <c r="CA1762" s="154"/>
    </row>
    <row r="1763" spans="3:79" s="99" customFormat="1" ht="13.5">
      <c r="C1763" s="136" t="s">
        <v>2130</v>
      </c>
      <c r="D1763" s="97"/>
      <c r="E1763" s="97"/>
      <c r="F1763" s="97"/>
      <c r="G1763" s="98"/>
      <c r="H1763" s="97"/>
      <c r="I1763" s="97"/>
      <c r="J1763" s="97"/>
      <c r="K1763" s="97"/>
      <c r="L1763" s="97"/>
      <c r="M1763" s="97"/>
      <c r="N1763" s="97"/>
      <c r="O1763" s="97"/>
      <c r="P1763" s="181"/>
      <c r="Q1763" s="97"/>
      <c r="R1763" s="97"/>
      <c r="S1763" s="210"/>
      <c r="T1763" s="210"/>
      <c r="U1763" s="97"/>
      <c r="V1763" s="98"/>
      <c r="W1763" s="98"/>
      <c r="X1763" s="97"/>
      <c r="Y1763" s="98"/>
      <c r="AC1763" s="97"/>
      <c r="AS1763" s="98"/>
      <c r="AT1763" s="98"/>
      <c r="AU1763" s="98"/>
      <c r="AV1763" s="98"/>
      <c r="AW1763" s="98"/>
      <c r="AX1763" s="98"/>
      <c r="AY1763" s="98"/>
      <c r="AZ1763" s="98"/>
      <c r="BA1763" s="98"/>
      <c r="BB1763" s="98"/>
      <c r="BC1763" s="98"/>
      <c r="BD1763" s="98"/>
      <c r="BE1763" s="98"/>
      <c r="BF1763" s="98"/>
      <c r="BG1763" s="98"/>
      <c r="BH1763" s="98"/>
      <c r="BI1763" s="98"/>
      <c r="BJ1763" s="97"/>
      <c r="BL1763" s="97"/>
      <c r="BN1763" s="97"/>
      <c r="CA1763" s="154"/>
    </row>
    <row r="1764" spans="3:79" s="99" customFormat="1" ht="13.5">
      <c r="C1764" s="136" t="s">
        <v>2131</v>
      </c>
      <c r="D1764" s="97"/>
      <c r="E1764" s="97"/>
      <c r="F1764" s="97"/>
      <c r="G1764" s="98"/>
      <c r="H1764" s="97"/>
      <c r="I1764" s="97"/>
      <c r="J1764" s="97"/>
      <c r="K1764" s="97"/>
      <c r="L1764" s="97"/>
      <c r="M1764" s="97"/>
      <c r="N1764" s="97"/>
      <c r="O1764" s="97"/>
      <c r="P1764" s="181"/>
      <c r="Q1764" s="97"/>
      <c r="R1764" s="97"/>
      <c r="S1764" s="210"/>
      <c r="T1764" s="210"/>
      <c r="U1764" s="97"/>
      <c r="V1764" s="98"/>
      <c r="W1764" s="98"/>
      <c r="X1764" s="97"/>
      <c r="Y1764" s="98"/>
      <c r="AC1764" s="97"/>
      <c r="AS1764" s="98"/>
      <c r="AT1764" s="98"/>
      <c r="AU1764" s="98"/>
      <c r="AV1764" s="98"/>
      <c r="AW1764" s="98"/>
      <c r="AX1764" s="98"/>
      <c r="AY1764" s="98"/>
      <c r="AZ1764" s="98"/>
      <c r="BA1764" s="98"/>
      <c r="BB1764" s="98"/>
      <c r="BC1764" s="98"/>
      <c r="BD1764" s="98"/>
      <c r="BE1764" s="98"/>
      <c r="BF1764" s="98"/>
      <c r="BG1764" s="98"/>
      <c r="BH1764" s="98"/>
      <c r="BI1764" s="98"/>
      <c r="BJ1764" s="97"/>
      <c r="BL1764" s="97"/>
      <c r="BN1764" s="97"/>
      <c r="CA1764" s="154"/>
    </row>
    <row r="1765" spans="3:79" s="99" customFormat="1" ht="13.5">
      <c r="C1765" s="136" t="s">
        <v>2132</v>
      </c>
      <c r="D1765" s="97"/>
      <c r="E1765" s="97"/>
      <c r="F1765" s="97"/>
      <c r="G1765" s="98"/>
      <c r="H1765" s="97"/>
      <c r="I1765" s="97"/>
      <c r="J1765" s="97"/>
      <c r="K1765" s="97"/>
      <c r="L1765" s="97"/>
      <c r="M1765" s="97"/>
      <c r="N1765" s="97"/>
      <c r="O1765" s="97"/>
      <c r="P1765" s="181"/>
      <c r="Q1765" s="97"/>
      <c r="R1765" s="97"/>
      <c r="S1765" s="210"/>
      <c r="T1765" s="210"/>
      <c r="U1765" s="97"/>
      <c r="V1765" s="98"/>
      <c r="W1765" s="98"/>
      <c r="X1765" s="97"/>
      <c r="Y1765" s="98"/>
      <c r="AC1765" s="97"/>
      <c r="AS1765" s="98"/>
      <c r="AT1765" s="98"/>
      <c r="AU1765" s="98"/>
      <c r="AV1765" s="98"/>
      <c r="AW1765" s="98"/>
      <c r="AX1765" s="98"/>
      <c r="AY1765" s="98"/>
      <c r="AZ1765" s="98"/>
      <c r="BA1765" s="98"/>
      <c r="BB1765" s="98"/>
      <c r="BC1765" s="98"/>
      <c r="BD1765" s="98"/>
      <c r="BE1765" s="98"/>
      <c r="BF1765" s="98"/>
      <c r="BG1765" s="98"/>
      <c r="BH1765" s="98"/>
      <c r="BI1765" s="98"/>
      <c r="BJ1765" s="97"/>
      <c r="BL1765" s="97"/>
      <c r="BN1765" s="97"/>
      <c r="CA1765" s="154"/>
    </row>
    <row r="1766" spans="3:79" s="99" customFormat="1" ht="13.5">
      <c r="C1766" s="136" t="s">
        <v>2133</v>
      </c>
      <c r="D1766" s="97"/>
      <c r="E1766" s="97"/>
      <c r="F1766" s="97"/>
      <c r="G1766" s="98"/>
      <c r="H1766" s="97"/>
      <c r="I1766" s="97"/>
      <c r="J1766" s="97"/>
      <c r="K1766" s="97"/>
      <c r="L1766" s="97"/>
      <c r="M1766" s="97"/>
      <c r="N1766" s="97"/>
      <c r="O1766" s="97"/>
      <c r="P1766" s="181"/>
      <c r="Q1766" s="97"/>
      <c r="R1766" s="97"/>
      <c r="S1766" s="210"/>
      <c r="T1766" s="210"/>
      <c r="U1766" s="97"/>
      <c r="V1766" s="98"/>
      <c r="W1766" s="98"/>
      <c r="X1766" s="97"/>
      <c r="Y1766" s="98"/>
      <c r="AC1766" s="97"/>
      <c r="AS1766" s="98"/>
      <c r="AT1766" s="98"/>
      <c r="AU1766" s="98"/>
      <c r="AV1766" s="98"/>
      <c r="AW1766" s="98"/>
      <c r="AX1766" s="98"/>
      <c r="AY1766" s="98"/>
      <c r="AZ1766" s="98"/>
      <c r="BA1766" s="98"/>
      <c r="BB1766" s="98"/>
      <c r="BC1766" s="98"/>
      <c r="BD1766" s="98"/>
      <c r="BE1766" s="98"/>
      <c r="BF1766" s="98"/>
      <c r="BG1766" s="98"/>
      <c r="BH1766" s="98"/>
      <c r="BI1766" s="98"/>
      <c r="BJ1766" s="97"/>
      <c r="BL1766" s="97"/>
      <c r="BN1766" s="97"/>
      <c r="CA1766" s="154"/>
    </row>
    <row r="1767" spans="3:79" s="99" customFormat="1" ht="27">
      <c r="C1767" s="136" t="s">
        <v>2134</v>
      </c>
      <c r="D1767" s="97"/>
      <c r="E1767" s="97"/>
      <c r="F1767" s="97"/>
      <c r="G1767" s="98"/>
      <c r="H1767" s="97"/>
      <c r="I1767" s="97"/>
      <c r="J1767" s="97"/>
      <c r="K1767" s="97"/>
      <c r="L1767" s="97"/>
      <c r="M1767" s="97"/>
      <c r="N1767" s="97"/>
      <c r="O1767" s="97"/>
      <c r="P1767" s="181"/>
      <c r="Q1767" s="97"/>
      <c r="R1767" s="97"/>
      <c r="S1767" s="210"/>
      <c r="T1767" s="210"/>
      <c r="U1767" s="97"/>
      <c r="V1767" s="98"/>
      <c r="W1767" s="98"/>
      <c r="X1767" s="97"/>
      <c r="Y1767" s="98"/>
      <c r="AC1767" s="97"/>
      <c r="AS1767" s="98"/>
      <c r="AT1767" s="98"/>
      <c r="AU1767" s="98"/>
      <c r="AV1767" s="98"/>
      <c r="AW1767" s="98"/>
      <c r="AX1767" s="98"/>
      <c r="AY1767" s="98"/>
      <c r="AZ1767" s="98"/>
      <c r="BA1767" s="98"/>
      <c r="BB1767" s="98"/>
      <c r="BC1767" s="98"/>
      <c r="BD1767" s="98"/>
      <c r="BE1767" s="98"/>
      <c r="BF1767" s="98"/>
      <c r="BG1767" s="98"/>
      <c r="BH1767" s="98"/>
      <c r="BI1767" s="98"/>
      <c r="BJ1767" s="97"/>
      <c r="BL1767" s="97"/>
      <c r="BN1767" s="97"/>
      <c r="CA1767" s="154"/>
    </row>
    <row r="1768" spans="3:79" s="99" customFormat="1" ht="13.5">
      <c r="C1768" s="136" t="s">
        <v>2135</v>
      </c>
      <c r="D1768" s="97"/>
      <c r="E1768" s="97"/>
      <c r="F1768" s="97"/>
      <c r="G1768" s="98"/>
      <c r="H1768" s="97"/>
      <c r="I1768" s="97"/>
      <c r="J1768" s="97"/>
      <c r="K1768" s="97"/>
      <c r="L1768" s="97"/>
      <c r="M1768" s="97"/>
      <c r="N1768" s="97"/>
      <c r="O1768" s="97"/>
      <c r="P1768" s="181"/>
      <c r="Q1768" s="97"/>
      <c r="R1768" s="97"/>
      <c r="S1768" s="210"/>
      <c r="T1768" s="210"/>
      <c r="U1768" s="97"/>
      <c r="V1768" s="98"/>
      <c r="W1768" s="98"/>
      <c r="X1768" s="97"/>
      <c r="Y1768" s="98"/>
      <c r="AC1768" s="97"/>
      <c r="AS1768" s="98"/>
      <c r="AT1768" s="98"/>
      <c r="AU1768" s="98"/>
      <c r="AV1768" s="98"/>
      <c r="AW1768" s="98"/>
      <c r="AX1768" s="98"/>
      <c r="AY1768" s="98"/>
      <c r="AZ1768" s="98"/>
      <c r="BA1768" s="98"/>
      <c r="BB1768" s="98"/>
      <c r="BC1768" s="98"/>
      <c r="BD1768" s="98"/>
      <c r="BE1768" s="98"/>
      <c r="BF1768" s="98"/>
      <c r="BG1768" s="98"/>
      <c r="BH1768" s="98"/>
      <c r="BI1768" s="98"/>
      <c r="BJ1768" s="97"/>
      <c r="BL1768" s="97"/>
      <c r="BN1768" s="97"/>
      <c r="CA1768" s="154"/>
    </row>
    <row r="1769" spans="3:79" s="99" customFormat="1" ht="13.5">
      <c r="C1769" s="136" t="s">
        <v>2136</v>
      </c>
      <c r="D1769" s="97"/>
      <c r="E1769" s="97"/>
      <c r="F1769" s="97"/>
      <c r="G1769" s="98"/>
      <c r="H1769" s="97"/>
      <c r="I1769" s="97"/>
      <c r="J1769" s="97"/>
      <c r="K1769" s="97"/>
      <c r="L1769" s="97"/>
      <c r="M1769" s="97"/>
      <c r="N1769" s="97"/>
      <c r="O1769" s="97"/>
      <c r="P1769" s="181"/>
      <c r="Q1769" s="97"/>
      <c r="R1769" s="97"/>
      <c r="S1769" s="210"/>
      <c r="T1769" s="210"/>
      <c r="U1769" s="97"/>
      <c r="V1769" s="98"/>
      <c r="W1769" s="98"/>
      <c r="X1769" s="97"/>
      <c r="Y1769" s="98"/>
      <c r="AC1769" s="97"/>
      <c r="AS1769" s="98"/>
      <c r="AT1769" s="98"/>
      <c r="AU1769" s="98"/>
      <c r="AV1769" s="98"/>
      <c r="AW1769" s="98"/>
      <c r="AX1769" s="98"/>
      <c r="AY1769" s="98"/>
      <c r="AZ1769" s="98"/>
      <c r="BA1769" s="98"/>
      <c r="BB1769" s="98"/>
      <c r="BC1769" s="98"/>
      <c r="BD1769" s="98"/>
      <c r="BE1769" s="98"/>
      <c r="BF1769" s="98"/>
      <c r="BG1769" s="98"/>
      <c r="BH1769" s="98"/>
      <c r="BI1769" s="98"/>
      <c r="BJ1769" s="97"/>
      <c r="BL1769" s="97"/>
      <c r="BN1769" s="97"/>
      <c r="CA1769" s="154"/>
    </row>
    <row r="1770" spans="3:79" s="99" customFormat="1" ht="13.5">
      <c r="C1770" s="136" t="s">
        <v>2137</v>
      </c>
      <c r="D1770" s="97"/>
      <c r="E1770" s="97"/>
      <c r="F1770" s="97"/>
      <c r="G1770" s="98"/>
      <c r="H1770" s="97"/>
      <c r="I1770" s="97"/>
      <c r="J1770" s="97"/>
      <c r="K1770" s="97"/>
      <c r="L1770" s="97"/>
      <c r="M1770" s="97"/>
      <c r="N1770" s="97"/>
      <c r="O1770" s="97"/>
      <c r="P1770" s="181"/>
      <c r="Q1770" s="97"/>
      <c r="R1770" s="97"/>
      <c r="S1770" s="210"/>
      <c r="T1770" s="210"/>
      <c r="U1770" s="97"/>
      <c r="V1770" s="98"/>
      <c r="W1770" s="98"/>
      <c r="X1770" s="97"/>
      <c r="Y1770" s="98"/>
      <c r="AC1770" s="97"/>
      <c r="AS1770" s="98"/>
      <c r="AT1770" s="98"/>
      <c r="AU1770" s="98"/>
      <c r="AV1770" s="98"/>
      <c r="AW1770" s="98"/>
      <c r="AX1770" s="98"/>
      <c r="AY1770" s="98"/>
      <c r="AZ1770" s="98"/>
      <c r="BA1770" s="98"/>
      <c r="BB1770" s="98"/>
      <c r="BC1770" s="98"/>
      <c r="BD1770" s="98"/>
      <c r="BE1770" s="98"/>
      <c r="BF1770" s="98"/>
      <c r="BG1770" s="98"/>
      <c r="BH1770" s="98"/>
      <c r="BI1770" s="98"/>
      <c r="BJ1770" s="97"/>
      <c r="BL1770" s="97"/>
      <c r="BN1770" s="97"/>
      <c r="CA1770" s="154"/>
    </row>
    <row r="1771" spans="3:79" s="99" customFormat="1" ht="13.5">
      <c r="C1771" s="136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181"/>
      <c r="Q1771" s="97"/>
      <c r="R1771" s="97"/>
      <c r="S1771" s="210"/>
      <c r="T1771" s="210"/>
      <c r="U1771" s="97"/>
      <c r="V1771" s="98"/>
      <c r="W1771" s="98"/>
      <c r="X1771" s="97"/>
      <c r="Y1771" s="98"/>
      <c r="AC1771" s="97"/>
      <c r="AS1771" s="98"/>
      <c r="AT1771" s="98"/>
      <c r="AU1771" s="98"/>
      <c r="AV1771" s="98"/>
      <c r="AW1771" s="98"/>
      <c r="AX1771" s="98"/>
      <c r="AY1771" s="98"/>
      <c r="AZ1771" s="98"/>
      <c r="BA1771" s="98"/>
      <c r="BB1771" s="98"/>
      <c r="BC1771" s="98"/>
      <c r="BD1771" s="98"/>
      <c r="BE1771" s="98"/>
      <c r="BF1771" s="98"/>
      <c r="BG1771" s="98"/>
      <c r="BH1771" s="98"/>
      <c r="BI1771" s="98"/>
      <c r="BJ1771" s="97"/>
      <c r="BL1771" s="97"/>
      <c r="BN1771" s="97"/>
      <c r="CA1771" s="154"/>
    </row>
    <row r="1772" spans="3:79" s="99" customFormat="1" ht="13.5">
      <c r="C1772" s="136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181"/>
      <c r="Q1772" s="97"/>
      <c r="R1772" s="97"/>
      <c r="S1772" s="210"/>
      <c r="T1772" s="210"/>
      <c r="U1772" s="97"/>
      <c r="V1772" s="98"/>
      <c r="W1772" s="98"/>
      <c r="X1772" s="97"/>
      <c r="Y1772" s="98"/>
      <c r="AC1772" s="97"/>
      <c r="AS1772" s="98"/>
      <c r="AT1772" s="98"/>
      <c r="AU1772" s="98"/>
      <c r="AV1772" s="98"/>
      <c r="AW1772" s="98"/>
      <c r="AX1772" s="98"/>
      <c r="AY1772" s="98"/>
      <c r="AZ1772" s="98"/>
      <c r="BA1772" s="98"/>
      <c r="BB1772" s="98"/>
      <c r="BC1772" s="98"/>
      <c r="BD1772" s="98"/>
      <c r="BE1772" s="98"/>
      <c r="BF1772" s="98"/>
      <c r="BG1772" s="98"/>
      <c r="BH1772" s="98"/>
      <c r="BI1772" s="98"/>
      <c r="BJ1772" s="97"/>
      <c r="BL1772" s="97"/>
      <c r="BN1772" s="97"/>
      <c r="CA1772" s="154"/>
    </row>
    <row r="1773" spans="3:79" s="99" customFormat="1" ht="13.5">
      <c r="C1773" s="136"/>
      <c r="D1773" s="97"/>
      <c r="E1773" s="97"/>
      <c r="F1773" s="98"/>
      <c r="G1773" s="97"/>
      <c r="H1773" s="97"/>
      <c r="I1773" s="97"/>
      <c r="J1773" s="97"/>
      <c r="K1773" s="97"/>
      <c r="L1773" s="97"/>
      <c r="M1773" s="97"/>
      <c r="N1773" s="97"/>
      <c r="O1773" s="97"/>
      <c r="P1773" s="181"/>
      <c r="Q1773" s="97"/>
      <c r="R1773" s="97"/>
      <c r="S1773" s="210"/>
      <c r="T1773" s="210"/>
      <c r="U1773" s="98"/>
      <c r="V1773" s="98"/>
      <c r="W1773" s="98"/>
      <c r="X1773" s="97"/>
      <c r="Y1773" s="98"/>
      <c r="AC1773" s="97"/>
      <c r="AS1773" s="98"/>
      <c r="AT1773" s="98"/>
      <c r="AU1773" s="98"/>
      <c r="AV1773" s="98"/>
      <c r="AW1773" s="98"/>
      <c r="AX1773" s="98"/>
      <c r="AY1773" s="98"/>
      <c r="AZ1773" s="98"/>
      <c r="BA1773" s="98"/>
      <c r="BB1773" s="98"/>
      <c r="BC1773" s="98"/>
      <c r="BD1773" s="98"/>
      <c r="BE1773" s="98"/>
      <c r="BF1773" s="98"/>
      <c r="BG1773" s="98"/>
      <c r="BH1773" s="98"/>
      <c r="BI1773" s="98"/>
      <c r="BJ1773" s="97"/>
      <c r="BL1773" s="97"/>
      <c r="BN1773" s="97"/>
      <c r="CA1773" s="154"/>
    </row>
    <row r="1774" spans="3:79" s="99" customFormat="1" ht="13.5">
      <c r="C1774" s="136"/>
      <c r="D1774" s="97"/>
      <c r="E1774" s="97"/>
      <c r="F1774" s="98"/>
      <c r="G1774" s="97"/>
      <c r="H1774" s="97"/>
      <c r="I1774" s="97"/>
      <c r="J1774" s="97"/>
      <c r="K1774" s="97"/>
      <c r="L1774" s="97"/>
      <c r="M1774" s="97"/>
      <c r="N1774" s="97"/>
      <c r="O1774" s="97"/>
      <c r="P1774" s="181"/>
      <c r="Q1774" s="97"/>
      <c r="R1774" s="97"/>
      <c r="S1774" s="210"/>
      <c r="T1774" s="210"/>
      <c r="U1774" s="98"/>
      <c r="V1774" s="98"/>
      <c r="W1774" s="98"/>
      <c r="X1774" s="97"/>
      <c r="Y1774" s="98"/>
      <c r="AC1774" s="97"/>
      <c r="AS1774" s="98"/>
      <c r="AT1774" s="98"/>
      <c r="AU1774" s="98"/>
      <c r="AV1774" s="98"/>
      <c r="AW1774" s="98"/>
      <c r="AX1774" s="98"/>
      <c r="AY1774" s="98"/>
      <c r="AZ1774" s="98"/>
      <c r="BA1774" s="98"/>
      <c r="BB1774" s="98"/>
      <c r="BC1774" s="98"/>
      <c r="BD1774" s="98"/>
      <c r="BE1774" s="98"/>
      <c r="BF1774" s="98"/>
      <c r="BG1774" s="98"/>
      <c r="BH1774" s="98"/>
      <c r="BI1774" s="98"/>
      <c r="BJ1774" s="97"/>
      <c r="BL1774" s="97"/>
      <c r="BN1774" s="97"/>
      <c r="CA1774" s="154"/>
    </row>
    <row r="1775" spans="3:79" s="99" customFormat="1" ht="13.5">
      <c r="C1775" s="136"/>
      <c r="D1775" s="97"/>
      <c r="E1775" s="97"/>
      <c r="F1775" s="98"/>
      <c r="G1775" s="97"/>
      <c r="H1775" s="97"/>
      <c r="I1775" s="97"/>
      <c r="J1775" s="97"/>
      <c r="K1775" s="97"/>
      <c r="L1775" s="97"/>
      <c r="M1775" s="97"/>
      <c r="N1775" s="97"/>
      <c r="O1775" s="97"/>
      <c r="P1775" s="181"/>
      <c r="Q1775" s="97"/>
      <c r="R1775" s="97"/>
      <c r="S1775" s="210"/>
      <c r="T1775" s="210"/>
      <c r="U1775" s="98"/>
      <c r="V1775" s="98"/>
      <c r="W1775" s="98"/>
      <c r="X1775" s="97"/>
      <c r="Y1775" s="98"/>
      <c r="AC1775" s="97"/>
      <c r="AS1775" s="98"/>
      <c r="AT1775" s="98"/>
      <c r="AU1775" s="98"/>
      <c r="AV1775" s="98"/>
      <c r="AW1775" s="98"/>
      <c r="AX1775" s="98"/>
      <c r="AY1775" s="98"/>
      <c r="AZ1775" s="98"/>
      <c r="BA1775" s="98"/>
      <c r="BB1775" s="98"/>
      <c r="BC1775" s="98"/>
      <c r="BD1775" s="98"/>
      <c r="BE1775" s="98"/>
      <c r="BF1775" s="98"/>
      <c r="BG1775" s="98"/>
      <c r="BH1775" s="98"/>
      <c r="BI1775" s="98"/>
      <c r="BJ1775" s="97"/>
      <c r="BL1775" s="97"/>
      <c r="BN1775" s="97"/>
      <c r="CA1775" s="154"/>
    </row>
    <row r="1776" spans="3:79" s="133" customFormat="1" ht="13.5">
      <c r="C1776" s="136" t="s">
        <v>2138</v>
      </c>
      <c r="E1776" s="132"/>
      <c r="F1776" s="132" t="s">
        <v>34</v>
      </c>
      <c r="G1776" s="131"/>
      <c r="O1776" s="132"/>
      <c r="P1776" s="182"/>
      <c r="Q1776" s="132"/>
      <c r="R1776" s="132"/>
      <c r="S1776" s="211"/>
      <c r="T1776" s="211"/>
      <c r="U1776" s="132"/>
      <c r="V1776" s="131"/>
      <c r="W1776" s="131"/>
      <c r="X1776" s="132"/>
      <c r="Y1776" s="131"/>
      <c r="AB1776" s="132" t="s">
        <v>44</v>
      </c>
      <c r="AC1776" s="132"/>
      <c r="AD1776" s="132" t="s">
        <v>35</v>
      </c>
      <c r="AS1776" s="131"/>
      <c r="AT1776" s="131"/>
      <c r="AU1776" s="131"/>
      <c r="AV1776" s="131"/>
      <c r="AW1776" s="131"/>
      <c r="AX1776" s="131"/>
      <c r="AY1776" s="131"/>
      <c r="AZ1776" s="131"/>
      <c r="BA1776" s="131"/>
      <c r="BB1776" s="131"/>
      <c r="BC1776" s="131"/>
      <c r="BD1776" s="131"/>
      <c r="BE1776" s="131"/>
      <c r="BF1776" s="131"/>
      <c r="BG1776" s="131"/>
      <c r="BH1776" s="131"/>
      <c r="BI1776" s="131"/>
      <c r="BJ1776" s="132"/>
      <c r="BL1776" s="132"/>
      <c r="BN1776" s="132"/>
      <c r="CA1776" s="155"/>
    </row>
    <row r="1777" spans="3:79" s="99" customFormat="1" ht="13.5">
      <c r="C1777" s="136" t="s">
        <v>2139</v>
      </c>
      <c r="E1777" s="97"/>
      <c r="F1777" s="97" t="s">
        <v>34</v>
      </c>
      <c r="G1777" s="98"/>
      <c r="O1777" s="97"/>
      <c r="P1777" s="180"/>
      <c r="Q1777" s="97"/>
      <c r="R1777" s="97"/>
      <c r="S1777" s="210"/>
      <c r="T1777" s="210"/>
      <c r="U1777" s="97"/>
      <c r="V1777" s="98"/>
      <c r="W1777" s="98"/>
      <c r="X1777" s="97"/>
      <c r="Y1777" s="98"/>
      <c r="AB1777" s="97" t="s">
        <v>42</v>
      </c>
      <c r="AC1777" s="97"/>
      <c r="AD1777" s="97" t="s">
        <v>35</v>
      </c>
      <c r="AS1777" s="98"/>
      <c r="AT1777" s="98"/>
      <c r="AU1777" s="98"/>
      <c r="AV1777" s="98"/>
      <c r="AW1777" s="98"/>
      <c r="AX1777" s="98"/>
      <c r="AY1777" s="98"/>
      <c r="AZ1777" s="98"/>
      <c r="BA1777" s="98"/>
      <c r="BB1777" s="98"/>
      <c r="BC1777" s="98"/>
      <c r="BD1777" s="98"/>
      <c r="BE1777" s="98"/>
      <c r="BF1777" s="98"/>
      <c r="BG1777" s="98"/>
      <c r="BH1777" s="98"/>
      <c r="BI1777" s="98"/>
      <c r="BJ1777" s="97"/>
      <c r="BL1777" s="97"/>
      <c r="BN1777" s="97"/>
      <c r="CA1777" s="154"/>
    </row>
    <row r="1778" spans="3:79" s="99" customFormat="1" ht="13.5">
      <c r="C1778" s="136" t="s">
        <v>2140</v>
      </c>
      <c r="E1778" s="97"/>
      <c r="F1778" s="97" t="s">
        <v>34</v>
      </c>
      <c r="G1778" s="98"/>
      <c r="O1778" s="97"/>
      <c r="P1778" s="180"/>
      <c r="Q1778" s="97"/>
      <c r="R1778" s="97"/>
      <c r="S1778" s="210"/>
      <c r="T1778" s="210"/>
      <c r="U1778" s="97"/>
      <c r="V1778" s="98"/>
      <c r="W1778" s="98"/>
      <c r="X1778" s="97"/>
      <c r="Y1778" s="98"/>
      <c r="AB1778" s="97" t="s">
        <v>42</v>
      </c>
      <c r="AC1778" s="97"/>
      <c r="AD1778" s="97" t="s">
        <v>35</v>
      </c>
      <c r="AS1778" s="98"/>
      <c r="AT1778" s="98"/>
      <c r="AU1778" s="98"/>
      <c r="AV1778" s="98"/>
      <c r="AW1778" s="98"/>
      <c r="AX1778" s="98"/>
      <c r="AY1778" s="98"/>
      <c r="AZ1778" s="98"/>
      <c r="BA1778" s="98"/>
      <c r="BB1778" s="98"/>
      <c r="BC1778" s="98"/>
      <c r="BD1778" s="98"/>
      <c r="BE1778" s="98"/>
      <c r="BF1778" s="98"/>
      <c r="BG1778" s="98"/>
      <c r="BH1778" s="98"/>
      <c r="BI1778" s="98"/>
      <c r="BJ1778" s="97"/>
      <c r="BL1778" s="97"/>
      <c r="BN1778" s="97"/>
      <c r="CA1778" s="154"/>
    </row>
    <row r="1779" spans="3:79" s="99" customFormat="1" ht="13.5">
      <c r="C1779" s="136" t="s">
        <v>2141</v>
      </c>
      <c r="E1779" s="97"/>
      <c r="F1779" s="97" t="s">
        <v>34</v>
      </c>
      <c r="G1779" s="98"/>
      <c r="O1779" s="97"/>
      <c r="P1779" s="180"/>
      <c r="Q1779" s="97"/>
      <c r="R1779" s="97"/>
      <c r="S1779" s="210"/>
      <c r="T1779" s="210"/>
      <c r="U1779" s="97"/>
      <c r="V1779" s="98"/>
      <c r="W1779" s="98"/>
      <c r="X1779" s="97"/>
      <c r="Y1779" s="98"/>
      <c r="AB1779" s="97" t="s">
        <v>42</v>
      </c>
      <c r="AC1779" s="97"/>
      <c r="AD1779" s="97" t="s">
        <v>35</v>
      </c>
      <c r="AS1779" s="98"/>
      <c r="AT1779" s="98"/>
      <c r="AU1779" s="98"/>
      <c r="AV1779" s="98"/>
      <c r="AW1779" s="98"/>
      <c r="AX1779" s="98"/>
      <c r="AY1779" s="98"/>
      <c r="AZ1779" s="98"/>
      <c r="BA1779" s="98"/>
      <c r="BB1779" s="98"/>
      <c r="BC1779" s="98"/>
      <c r="BD1779" s="98"/>
      <c r="BE1779" s="98"/>
      <c r="BF1779" s="98"/>
      <c r="BG1779" s="98"/>
      <c r="BH1779" s="98"/>
      <c r="BI1779" s="98"/>
      <c r="BJ1779" s="97"/>
      <c r="BL1779" s="97"/>
      <c r="BN1779" s="97"/>
      <c r="CA1779" s="154"/>
    </row>
    <row r="1780" spans="3:79" s="99" customFormat="1" ht="13.5">
      <c r="C1780" s="136" t="s">
        <v>2142</v>
      </c>
      <c r="E1780" s="97"/>
      <c r="F1780" s="97" t="s">
        <v>34</v>
      </c>
      <c r="G1780" s="98"/>
      <c r="O1780" s="97"/>
      <c r="P1780" s="180"/>
      <c r="Q1780" s="97"/>
      <c r="R1780" s="97"/>
      <c r="S1780" s="210"/>
      <c r="T1780" s="210"/>
      <c r="U1780" s="97"/>
      <c r="V1780" s="98"/>
      <c r="W1780" s="98"/>
      <c r="X1780" s="97"/>
      <c r="Y1780" s="98"/>
      <c r="AB1780" s="97" t="s">
        <v>44</v>
      </c>
      <c r="AC1780" s="97"/>
      <c r="AD1780" s="97" t="s">
        <v>35</v>
      </c>
      <c r="AS1780" s="98"/>
      <c r="AT1780" s="98"/>
      <c r="AU1780" s="98"/>
      <c r="AV1780" s="98"/>
      <c r="AW1780" s="98"/>
      <c r="AX1780" s="98"/>
      <c r="AY1780" s="98"/>
      <c r="AZ1780" s="98"/>
      <c r="BA1780" s="98"/>
      <c r="BB1780" s="98"/>
      <c r="BC1780" s="98"/>
      <c r="BD1780" s="98"/>
      <c r="BE1780" s="98"/>
      <c r="BF1780" s="98"/>
      <c r="BG1780" s="98"/>
      <c r="BH1780" s="98"/>
      <c r="BI1780" s="98"/>
      <c r="BJ1780" s="97"/>
      <c r="BL1780" s="97"/>
      <c r="BN1780" s="97"/>
      <c r="CA1780" s="154"/>
    </row>
    <row r="1781" spans="3:79" s="99" customFormat="1" ht="13.5">
      <c r="C1781" s="136" t="s">
        <v>2143</v>
      </c>
      <c r="E1781" s="97"/>
      <c r="F1781" s="97" t="s">
        <v>34</v>
      </c>
      <c r="G1781" s="98"/>
      <c r="O1781" s="97"/>
      <c r="P1781" s="180"/>
      <c r="Q1781" s="97"/>
      <c r="R1781" s="97"/>
      <c r="S1781" s="210"/>
      <c r="T1781" s="210"/>
      <c r="U1781" s="97"/>
      <c r="V1781" s="98"/>
      <c r="W1781" s="98"/>
      <c r="X1781" s="97"/>
      <c r="Y1781" s="98"/>
      <c r="AB1781" s="97" t="s">
        <v>44</v>
      </c>
      <c r="AC1781" s="97"/>
      <c r="AD1781" s="97" t="s">
        <v>35</v>
      </c>
      <c r="AS1781" s="98"/>
      <c r="AT1781" s="98"/>
      <c r="AU1781" s="98"/>
      <c r="AV1781" s="98"/>
      <c r="AW1781" s="98"/>
      <c r="AX1781" s="98"/>
      <c r="AY1781" s="98"/>
      <c r="AZ1781" s="98"/>
      <c r="BA1781" s="98"/>
      <c r="BB1781" s="98"/>
      <c r="BC1781" s="98"/>
      <c r="BD1781" s="98"/>
      <c r="BE1781" s="98"/>
      <c r="BF1781" s="98"/>
      <c r="BG1781" s="98"/>
      <c r="BH1781" s="98"/>
      <c r="BI1781" s="98"/>
      <c r="BJ1781" s="97"/>
      <c r="BL1781" s="97"/>
      <c r="BN1781" s="97"/>
      <c r="CA1781" s="154"/>
    </row>
    <row r="1782" spans="3:79" s="99" customFormat="1" ht="13.5">
      <c r="C1782" s="136" t="s">
        <v>2144</v>
      </c>
      <c r="E1782" s="97"/>
      <c r="F1782" s="97" t="s">
        <v>34</v>
      </c>
      <c r="G1782" s="98"/>
      <c r="O1782" s="97"/>
      <c r="P1782" s="180"/>
      <c r="Q1782" s="97"/>
      <c r="R1782" s="97"/>
      <c r="S1782" s="210"/>
      <c r="T1782" s="210"/>
      <c r="U1782" s="97"/>
      <c r="V1782" s="98"/>
      <c r="W1782" s="98"/>
      <c r="X1782" s="97"/>
      <c r="Y1782" s="98"/>
      <c r="AB1782" s="97" t="s">
        <v>44</v>
      </c>
      <c r="AC1782" s="97"/>
      <c r="AD1782" s="97" t="s">
        <v>35</v>
      </c>
      <c r="AS1782" s="98"/>
      <c r="AT1782" s="98"/>
      <c r="AU1782" s="98"/>
      <c r="AV1782" s="98"/>
      <c r="AW1782" s="98"/>
      <c r="AX1782" s="98"/>
      <c r="AY1782" s="98"/>
      <c r="AZ1782" s="98"/>
      <c r="BA1782" s="98"/>
      <c r="BB1782" s="98"/>
      <c r="BC1782" s="98"/>
      <c r="BD1782" s="98"/>
      <c r="BE1782" s="98"/>
      <c r="BF1782" s="98"/>
      <c r="BG1782" s="98"/>
      <c r="BH1782" s="98"/>
      <c r="BI1782" s="98"/>
      <c r="BJ1782" s="97"/>
      <c r="BL1782" s="97"/>
      <c r="BN1782" s="97"/>
      <c r="CA1782" s="154"/>
    </row>
    <row r="1783" spans="3:79" s="99" customFormat="1" ht="13.5">
      <c r="C1783" s="136" t="s">
        <v>2145</v>
      </c>
      <c r="E1783" s="97"/>
      <c r="F1783" s="97" t="s">
        <v>34</v>
      </c>
      <c r="G1783" s="98"/>
      <c r="O1783" s="97"/>
      <c r="P1783" s="180"/>
      <c r="Q1783" s="97"/>
      <c r="R1783" s="97"/>
      <c r="S1783" s="210"/>
      <c r="T1783" s="210"/>
      <c r="U1783" s="97"/>
      <c r="V1783" s="98"/>
      <c r="W1783" s="98"/>
      <c r="X1783" s="97"/>
      <c r="Y1783" s="98"/>
      <c r="AB1783" s="97" t="s">
        <v>42</v>
      </c>
      <c r="AC1783" s="97"/>
      <c r="AD1783" s="97" t="s">
        <v>35</v>
      </c>
      <c r="AS1783" s="98"/>
      <c r="AT1783" s="98"/>
      <c r="AU1783" s="98"/>
      <c r="AV1783" s="98"/>
      <c r="AW1783" s="98"/>
      <c r="AX1783" s="98"/>
      <c r="AY1783" s="98"/>
      <c r="AZ1783" s="98"/>
      <c r="BA1783" s="98"/>
      <c r="BB1783" s="98"/>
      <c r="BC1783" s="98"/>
      <c r="BD1783" s="98"/>
      <c r="BE1783" s="98"/>
      <c r="BF1783" s="98"/>
      <c r="BG1783" s="98"/>
      <c r="BH1783" s="98"/>
      <c r="BI1783" s="98"/>
      <c r="BJ1783" s="97"/>
      <c r="BL1783" s="97"/>
      <c r="BN1783" s="97"/>
      <c r="CA1783" s="154"/>
    </row>
    <row r="1784" spans="3:79" s="99" customFormat="1" ht="13.5">
      <c r="C1784" s="136" t="s">
        <v>2146</v>
      </c>
      <c r="E1784" s="97"/>
      <c r="F1784" s="97" t="s">
        <v>34</v>
      </c>
      <c r="G1784" s="98"/>
      <c r="O1784" s="97"/>
      <c r="P1784" s="180"/>
      <c r="Q1784" s="97"/>
      <c r="R1784" s="97"/>
      <c r="S1784" s="210"/>
      <c r="T1784" s="210"/>
      <c r="U1784" s="97"/>
      <c r="V1784" s="98"/>
      <c r="W1784" s="98"/>
      <c r="X1784" s="97"/>
      <c r="Y1784" s="98"/>
      <c r="AB1784" s="97" t="s">
        <v>43</v>
      </c>
      <c r="AC1784" s="97"/>
      <c r="AD1784" s="97" t="s">
        <v>35</v>
      </c>
      <c r="AS1784" s="98"/>
      <c r="AT1784" s="98"/>
      <c r="AU1784" s="98"/>
      <c r="AV1784" s="98"/>
      <c r="AW1784" s="98"/>
      <c r="AX1784" s="98"/>
      <c r="AY1784" s="98"/>
      <c r="AZ1784" s="98"/>
      <c r="BA1784" s="98"/>
      <c r="BB1784" s="98"/>
      <c r="BC1784" s="98"/>
      <c r="BD1784" s="98"/>
      <c r="BE1784" s="98"/>
      <c r="BF1784" s="98"/>
      <c r="BG1784" s="98"/>
      <c r="BH1784" s="98"/>
      <c r="BI1784" s="98"/>
      <c r="BJ1784" s="97"/>
      <c r="BL1784" s="97"/>
      <c r="BN1784" s="97"/>
      <c r="CA1784" s="154"/>
    </row>
    <row r="1785" spans="3:79" s="99" customFormat="1" ht="13.5">
      <c r="C1785" s="136" t="s">
        <v>2147</v>
      </c>
      <c r="E1785" s="97"/>
      <c r="F1785" s="97" t="s">
        <v>34</v>
      </c>
      <c r="G1785" s="98"/>
      <c r="O1785" s="97"/>
      <c r="P1785" s="180"/>
      <c r="Q1785" s="97"/>
      <c r="R1785" s="97"/>
      <c r="S1785" s="210"/>
      <c r="T1785" s="210"/>
      <c r="U1785" s="97"/>
      <c r="V1785" s="98"/>
      <c r="W1785" s="98"/>
      <c r="X1785" s="97"/>
      <c r="Y1785" s="98"/>
      <c r="AB1785" s="97" t="s">
        <v>44</v>
      </c>
      <c r="AC1785" s="97"/>
      <c r="AD1785" s="97" t="s">
        <v>35</v>
      </c>
      <c r="AS1785" s="98"/>
      <c r="AT1785" s="98"/>
      <c r="AU1785" s="98"/>
      <c r="AV1785" s="98"/>
      <c r="AW1785" s="98"/>
      <c r="AX1785" s="98"/>
      <c r="AY1785" s="98"/>
      <c r="AZ1785" s="98"/>
      <c r="BA1785" s="98"/>
      <c r="BB1785" s="98"/>
      <c r="BC1785" s="98"/>
      <c r="BD1785" s="98"/>
      <c r="BE1785" s="98"/>
      <c r="BF1785" s="98"/>
      <c r="BG1785" s="98"/>
      <c r="BH1785" s="98"/>
      <c r="BI1785" s="98"/>
      <c r="BJ1785" s="97"/>
      <c r="BL1785" s="97"/>
      <c r="BN1785" s="97"/>
      <c r="CA1785" s="154"/>
    </row>
    <row r="1786" spans="3:79" s="99" customFormat="1" ht="13.5">
      <c r="C1786" s="136" t="s">
        <v>2148</v>
      </c>
      <c r="E1786" s="97"/>
      <c r="F1786" s="97" t="s">
        <v>34</v>
      </c>
      <c r="G1786" s="98"/>
      <c r="O1786" s="97"/>
      <c r="P1786" s="180"/>
      <c r="Q1786" s="97"/>
      <c r="R1786" s="97"/>
      <c r="S1786" s="210"/>
      <c r="T1786" s="210"/>
      <c r="U1786" s="97"/>
      <c r="V1786" s="98"/>
      <c r="W1786" s="98"/>
      <c r="X1786" s="97"/>
      <c r="Y1786" s="98"/>
      <c r="AB1786" s="97" t="s">
        <v>44</v>
      </c>
      <c r="AC1786" s="97"/>
      <c r="AD1786" s="97" t="s">
        <v>35</v>
      </c>
      <c r="AS1786" s="98"/>
      <c r="AT1786" s="98"/>
      <c r="AU1786" s="98"/>
      <c r="AV1786" s="98"/>
      <c r="AW1786" s="98"/>
      <c r="AX1786" s="98"/>
      <c r="AY1786" s="98"/>
      <c r="AZ1786" s="98"/>
      <c r="BA1786" s="98"/>
      <c r="BB1786" s="98"/>
      <c r="BC1786" s="98"/>
      <c r="BD1786" s="98"/>
      <c r="BE1786" s="98"/>
      <c r="BF1786" s="98"/>
      <c r="BG1786" s="98"/>
      <c r="BH1786" s="98"/>
      <c r="BI1786" s="98"/>
      <c r="BJ1786" s="97"/>
      <c r="BL1786" s="97"/>
      <c r="BN1786" s="97"/>
      <c r="CA1786" s="154"/>
    </row>
    <row r="1787" spans="3:79" s="99" customFormat="1" ht="13.5">
      <c r="C1787" s="136" t="s">
        <v>2149</v>
      </c>
      <c r="E1787" s="97"/>
      <c r="F1787" s="97" t="s">
        <v>34</v>
      </c>
      <c r="G1787" s="98"/>
      <c r="O1787" s="97"/>
      <c r="P1787" s="180"/>
      <c r="Q1787" s="97"/>
      <c r="R1787" s="97"/>
      <c r="S1787" s="210"/>
      <c r="T1787" s="210"/>
      <c r="U1787" s="97"/>
      <c r="V1787" s="98"/>
      <c r="W1787" s="98"/>
      <c r="X1787" s="97"/>
      <c r="Y1787" s="98"/>
      <c r="AB1787" s="97" t="s">
        <v>44</v>
      </c>
      <c r="AC1787" s="97"/>
      <c r="AD1787" s="97" t="s">
        <v>35</v>
      </c>
      <c r="AS1787" s="98"/>
      <c r="AT1787" s="98"/>
      <c r="AU1787" s="98"/>
      <c r="AV1787" s="98"/>
      <c r="AW1787" s="98"/>
      <c r="AX1787" s="98"/>
      <c r="AY1787" s="98"/>
      <c r="AZ1787" s="98"/>
      <c r="BA1787" s="98"/>
      <c r="BB1787" s="98"/>
      <c r="BC1787" s="98"/>
      <c r="BD1787" s="98"/>
      <c r="BE1787" s="98"/>
      <c r="BF1787" s="98"/>
      <c r="BG1787" s="98"/>
      <c r="BH1787" s="98"/>
      <c r="BI1787" s="98"/>
      <c r="BJ1787" s="97"/>
      <c r="BL1787" s="97"/>
      <c r="BN1787" s="97"/>
      <c r="CA1787" s="154"/>
    </row>
    <row r="1788" spans="3:79" s="99" customFormat="1" ht="13.5">
      <c r="C1788" s="136" t="s">
        <v>2150</v>
      </c>
      <c r="E1788" s="97"/>
      <c r="F1788" s="97" t="s">
        <v>34</v>
      </c>
      <c r="G1788" s="98"/>
      <c r="O1788" s="97"/>
      <c r="P1788" s="180"/>
      <c r="Q1788" s="97"/>
      <c r="R1788" s="97"/>
      <c r="S1788" s="210"/>
      <c r="T1788" s="210"/>
      <c r="U1788" s="97"/>
      <c r="V1788" s="98"/>
      <c r="W1788" s="98"/>
      <c r="X1788" s="97"/>
      <c r="Y1788" s="98"/>
      <c r="AB1788" s="97" t="s">
        <v>44</v>
      </c>
      <c r="AC1788" s="97"/>
      <c r="AD1788" s="97" t="s">
        <v>35</v>
      </c>
      <c r="AS1788" s="98"/>
      <c r="AT1788" s="98"/>
      <c r="AU1788" s="98"/>
      <c r="AV1788" s="98"/>
      <c r="AW1788" s="98"/>
      <c r="AX1788" s="98"/>
      <c r="AY1788" s="98"/>
      <c r="AZ1788" s="98"/>
      <c r="BA1788" s="98"/>
      <c r="BB1788" s="98"/>
      <c r="BC1788" s="98"/>
      <c r="BD1788" s="98"/>
      <c r="BE1788" s="98"/>
      <c r="BF1788" s="98"/>
      <c r="BG1788" s="98"/>
      <c r="BH1788" s="98"/>
      <c r="BI1788" s="98"/>
      <c r="BJ1788" s="97"/>
      <c r="BL1788" s="97"/>
      <c r="BN1788" s="97"/>
      <c r="CA1788" s="154"/>
    </row>
    <row r="1789" spans="3:79" s="99" customFormat="1" ht="13.5">
      <c r="C1789" s="136" t="s">
        <v>2151</v>
      </c>
      <c r="E1789" s="97"/>
      <c r="F1789" s="97" t="s">
        <v>34</v>
      </c>
      <c r="G1789" s="98"/>
      <c r="O1789" s="97"/>
      <c r="P1789" s="180"/>
      <c r="Q1789" s="97"/>
      <c r="R1789" s="97"/>
      <c r="S1789" s="210"/>
      <c r="T1789" s="210"/>
      <c r="U1789" s="97"/>
      <c r="V1789" s="98"/>
      <c r="W1789" s="98"/>
      <c r="X1789" s="97"/>
      <c r="Y1789" s="98"/>
      <c r="AB1789" s="97" t="s">
        <v>43</v>
      </c>
      <c r="AC1789" s="97"/>
      <c r="AD1789" s="97" t="s">
        <v>35</v>
      </c>
      <c r="AS1789" s="98"/>
      <c r="AT1789" s="98"/>
      <c r="AU1789" s="98"/>
      <c r="AV1789" s="98"/>
      <c r="AW1789" s="98"/>
      <c r="AX1789" s="98"/>
      <c r="AY1789" s="98"/>
      <c r="AZ1789" s="98"/>
      <c r="BA1789" s="98"/>
      <c r="BB1789" s="98"/>
      <c r="BC1789" s="98"/>
      <c r="BD1789" s="98"/>
      <c r="BE1789" s="98"/>
      <c r="BF1789" s="98"/>
      <c r="BG1789" s="98"/>
      <c r="BH1789" s="98"/>
      <c r="BI1789" s="98"/>
      <c r="BJ1789" s="97"/>
      <c r="BL1789" s="97"/>
      <c r="BN1789" s="97"/>
      <c r="CA1789" s="154"/>
    </row>
    <row r="1790" spans="3:79" s="99" customFormat="1" ht="13.5">
      <c r="C1790" s="136" t="s">
        <v>2152</v>
      </c>
      <c r="E1790" s="97"/>
      <c r="F1790" s="97" t="s">
        <v>34</v>
      </c>
      <c r="G1790" s="98"/>
      <c r="O1790" s="97"/>
      <c r="P1790" s="180"/>
      <c r="Q1790" s="97"/>
      <c r="R1790" s="97"/>
      <c r="S1790" s="210"/>
      <c r="T1790" s="210"/>
      <c r="U1790" s="97"/>
      <c r="V1790" s="98"/>
      <c r="W1790" s="98"/>
      <c r="X1790" s="97"/>
      <c r="Y1790" s="98"/>
      <c r="AB1790" s="97" t="s">
        <v>42</v>
      </c>
      <c r="AC1790" s="97"/>
      <c r="AD1790" s="97" t="s">
        <v>35</v>
      </c>
      <c r="AS1790" s="98"/>
      <c r="AT1790" s="98"/>
      <c r="AU1790" s="98"/>
      <c r="AV1790" s="98"/>
      <c r="AW1790" s="98"/>
      <c r="AX1790" s="98"/>
      <c r="AY1790" s="98"/>
      <c r="AZ1790" s="98"/>
      <c r="BA1790" s="98"/>
      <c r="BB1790" s="98"/>
      <c r="BC1790" s="98"/>
      <c r="BD1790" s="98"/>
      <c r="BE1790" s="98"/>
      <c r="BF1790" s="98"/>
      <c r="BG1790" s="98"/>
      <c r="BH1790" s="98"/>
      <c r="BI1790" s="98"/>
      <c r="BJ1790" s="97"/>
      <c r="BL1790" s="97"/>
      <c r="BN1790" s="97"/>
      <c r="CA1790" s="154"/>
    </row>
    <row r="1791" spans="3:79" s="99" customFormat="1" ht="13.5">
      <c r="C1791" s="136" t="s">
        <v>2153</v>
      </c>
      <c r="E1791" s="97"/>
      <c r="F1791" s="97" t="s">
        <v>34</v>
      </c>
      <c r="G1791" s="98"/>
      <c r="O1791" s="97"/>
      <c r="P1791" s="180"/>
      <c r="Q1791" s="97"/>
      <c r="R1791" s="97"/>
      <c r="S1791" s="210"/>
      <c r="T1791" s="210"/>
      <c r="U1791" s="97"/>
      <c r="V1791" s="98"/>
      <c r="W1791" s="98"/>
      <c r="X1791" s="97"/>
      <c r="Y1791" s="98"/>
      <c r="AB1791" s="97" t="s">
        <v>44</v>
      </c>
      <c r="AC1791" s="97"/>
      <c r="AD1791" s="97" t="s">
        <v>35</v>
      </c>
      <c r="AS1791" s="98"/>
      <c r="AT1791" s="98"/>
      <c r="AU1791" s="98"/>
      <c r="AV1791" s="98"/>
      <c r="AW1791" s="98"/>
      <c r="AX1791" s="98"/>
      <c r="AY1791" s="98"/>
      <c r="AZ1791" s="98"/>
      <c r="BA1791" s="98"/>
      <c r="BB1791" s="98"/>
      <c r="BC1791" s="98"/>
      <c r="BD1791" s="98"/>
      <c r="BE1791" s="98"/>
      <c r="BF1791" s="98"/>
      <c r="BG1791" s="98"/>
      <c r="BH1791" s="98"/>
      <c r="BI1791" s="98"/>
      <c r="BJ1791" s="97"/>
      <c r="BL1791" s="97"/>
      <c r="BN1791" s="97"/>
      <c r="CA1791" s="154"/>
    </row>
    <row r="1792" spans="3:79" s="99" customFormat="1" ht="13.5">
      <c r="C1792" s="136" t="s">
        <v>2154</v>
      </c>
      <c r="E1792" s="97"/>
      <c r="F1792" s="97" t="s">
        <v>34</v>
      </c>
      <c r="G1792" s="98"/>
      <c r="O1792" s="97"/>
      <c r="P1792" s="180"/>
      <c r="Q1792" s="97"/>
      <c r="R1792" s="97"/>
      <c r="S1792" s="210"/>
      <c r="T1792" s="210"/>
      <c r="U1792" s="97"/>
      <c r="V1792" s="98"/>
      <c r="W1792" s="98"/>
      <c r="X1792" s="97"/>
      <c r="Y1792" s="98"/>
      <c r="AB1792" s="97" t="s">
        <v>42</v>
      </c>
      <c r="AC1792" s="97"/>
      <c r="AD1792" s="97" t="s">
        <v>35</v>
      </c>
      <c r="AS1792" s="98"/>
      <c r="AT1792" s="98"/>
      <c r="AU1792" s="98"/>
      <c r="AV1792" s="98"/>
      <c r="AW1792" s="98"/>
      <c r="AX1792" s="98"/>
      <c r="AY1792" s="98"/>
      <c r="AZ1792" s="98"/>
      <c r="BA1792" s="98"/>
      <c r="BB1792" s="98"/>
      <c r="BC1792" s="98"/>
      <c r="BD1792" s="98"/>
      <c r="BE1792" s="98"/>
      <c r="BF1792" s="98"/>
      <c r="BG1792" s="98"/>
      <c r="BH1792" s="98"/>
      <c r="BI1792" s="98"/>
      <c r="BJ1792" s="97"/>
      <c r="BL1792" s="97"/>
      <c r="BN1792" s="97"/>
      <c r="CA1792" s="154"/>
    </row>
    <row r="1793" spans="3:79" s="99" customFormat="1" ht="13.5">
      <c r="C1793" s="136" t="s">
        <v>2155</v>
      </c>
      <c r="E1793" s="97"/>
      <c r="F1793" s="97" t="s">
        <v>34</v>
      </c>
      <c r="G1793" s="98"/>
      <c r="O1793" s="97"/>
      <c r="P1793" s="180"/>
      <c r="Q1793" s="97"/>
      <c r="R1793" s="97"/>
      <c r="S1793" s="210"/>
      <c r="T1793" s="210"/>
      <c r="U1793" s="97"/>
      <c r="V1793" s="98"/>
      <c r="W1793" s="98"/>
      <c r="X1793" s="97"/>
      <c r="Y1793" s="98"/>
      <c r="AB1793" s="97" t="s">
        <v>43</v>
      </c>
      <c r="AC1793" s="97"/>
      <c r="AD1793" s="97" t="s">
        <v>35</v>
      </c>
      <c r="AS1793" s="98"/>
      <c r="AT1793" s="98"/>
      <c r="AU1793" s="98"/>
      <c r="AV1793" s="98"/>
      <c r="AW1793" s="98"/>
      <c r="AX1793" s="98"/>
      <c r="AY1793" s="98"/>
      <c r="AZ1793" s="98"/>
      <c r="BA1793" s="98"/>
      <c r="BB1793" s="98"/>
      <c r="BC1793" s="98"/>
      <c r="BD1793" s="98"/>
      <c r="BE1793" s="98"/>
      <c r="BF1793" s="98"/>
      <c r="BG1793" s="98"/>
      <c r="BH1793" s="98"/>
      <c r="BI1793" s="98"/>
      <c r="BJ1793" s="97"/>
      <c r="BL1793" s="97"/>
      <c r="BN1793" s="97"/>
      <c r="CA1793" s="154"/>
    </row>
    <row r="1794" spans="3:79" s="99" customFormat="1" ht="13.5">
      <c r="C1794" s="136" t="s">
        <v>2156</v>
      </c>
      <c r="E1794" s="97"/>
      <c r="F1794" s="97" t="s">
        <v>34</v>
      </c>
      <c r="G1794" s="98"/>
      <c r="O1794" s="97"/>
      <c r="P1794" s="180"/>
      <c r="Q1794" s="97"/>
      <c r="R1794" s="97"/>
      <c r="S1794" s="210"/>
      <c r="T1794" s="210"/>
      <c r="U1794" s="97"/>
      <c r="V1794" s="98"/>
      <c r="W1794" s="98"/>
      <c r="X1794" s="97"/>
      <c r="Y1794" s="98"/>
      <c r="AB1794" s="97"/>
      <c r="AC1794" s="97"/>
      <c r="AD1794" s="97" t="s">
        <v>35</v>
      </c>
      <c r="AS1794" s="98"/>
      <c r="AT1794" s="98"/>
      <c r="AU1794" s="98"/>
      <c r="AV1794" s="98"/>
      <c r="AW1794" s="98"/>
      <c r="AX1794" s="98"/>
      <c r="AY1794" s="98"/>
      <c r="AZ1794" s="98"/>
      <c r="BA1794" s="98"/>
      <c r="BB1794" s="98"/>
      <c r="BC1794" s="98"/>
      <c r="BD1794" s="98"/>
      <c r="BE1794" s="98"/>
      <c r="BF1794" s="98"/>
      <c r="BG1794" s="98"/>
      <c r="BH1794" s="98"/>
      <c r="BI1794" s="98"/>
      <c r="BJ1794" s="97"/>
      <c r="BL1794" s="97"/>
      <c r="BN1794" s="97"/>
      <c r="CA1794" s="154"/>
    </row>
    <row r="1795" spans="3:79" s="99" customFormat="1" ht="13.5">
      <c r="C1795" s="136" t="s">
        <v>2156</v>
      </c>
      <c r="E1795" s="97"/>
      <c r="F1795" s="97" t="s">
        <v>34</v>
      </c>
      <c r="G1795" s="98"/>
      <c r="O1795" s="97"/>
      <c r="P1795" s="180"/>
      <c r="Q1795" s="97"/>
      <c r="R1795" s="97"/>
      <c r="S1795" s="210"/>
      <c r="T1795" s="210"/>
      <c r="U1795" s="97"/>
      <c r="V1795" s="98"/>
      <c r="W1795" s="98"/>
      <c r="X1795" s="97"/>
      <c r="Y1795" s="98"/>
      <c r="AB1795" s="97"/>
      <c r="AC1795" s="97"/>
      <c r="AD1795" s="97"/>
      <c r="AS1795" s="98"/>
      <c r="AT1795" s="98"/>
      <c r="AU1795" s="98"/>
      <c r="AV1795" s="98"/>
      <c r="AW1795" s="98"/>
      <c r="AX1795" s="98"/>
      <c r="AY1795" s="98"/>
      <c r="AZ1795" s="98"/>
      <c r="BA1795" s="98"/>
      <c r="BB1795" s="98"/>
      <c r="BC1795" s="98"/>
      <c r="BD1795" s="98"/>
      <c r="BE1795" s="98"/>
      <c r="BF1795" s="98"/>
      <c r="BG1795" s="98"/>
      <c r="BH1795" s="98"/>
      <c r="BI1795" s="98"/>
      <c r="BJ1795" s="97"/>
      <c r="BL1795" s="97"/>
      <c r="BN1795" s="97"/>
      <c r="CA1795" s="154"/>
    </row>
    <row r="1796" spans="3:79" s="99" customFormat="1" ht="13.5">
      <c r="C1796" s="136" t="s">
        <v>2157</v>
      </c>
      <c r="E1796" s="97"/>
      <c r="F1796" s="97" t="s">
        <v>34</v>
      </c>
      <c r="G1796" s="98"/>
      <c r="O1796" s="97"/>
      <c r="P1796" s="180"/>
      <c r="Q1796" s="97"/>
      <c r="R1796" s="97"/>
      <c r="S1796" s="210"/>
      <c r="T1796" s="210"/>
      <c r="U1796" s="97"/>
      <c r="V1796" s="98"/>
      <c r="W1796" s="98"/>
      <c r="X1796" s="97"/>
      <c r="Y1796" s="98"/>
      <c r="AB1796" s="97" t="s">
        <v>42</v>
      </c>
      <c r="AC1796" s="97"/>
      <c r="AD1796" s="97"/>
      <c r="AS1796" s="98"/>
      <c r="AT1796" s="98"/>
      <c r="AU1796" s="98"/>
      <c r="AV1796" s="98"/>
      <c r="AW1796" s="98"/>
      <c r="AX1796" s="98"/>
      <c r="AY1796" s="98"/>
      <c r="AZ1796" s="98"/>
      <c r="BA1796" s="98"/>
      <c r="BB1796" s="98"/>
      <c r="BC1796" s="98"/>
      <c r="BD1796" s="98"/>
      <c r="BE1796" s="98"/>
      <c r="BF1796" s="98"/>
      <c r="BG1796" s="98"/>
      <c r="BH1796" s="98"/>
      <c r="BI1796" s="98"/>
      <c r="BJ1796" s="97"/>
      <c r="BL1796" s="97"/>
      <c r="BN1796" s="97"/>
      <c r="CA1796" s="154"/>
    </row>
    <row r="1797" spans="3:79" s="99" customFormat="1" ht="13.5">
      <c r="C1797" s="136" t="s">
        <v>2158</v>
      </c>
      <c r="E1797" s="97"/>
      <c r="F1797" s="97"/>
      <c r="G1797" s="98"/>
      <c r="O1797" s="97"/>
      <c r="P1797" s="180"/>
      <c r="Q1797" s="97"/>
      <c r="R1797" s="97"/>
      <c r="S1797" s="210"/>
      <c r="T1797" s="210"/>
      <c r="U1797" s="97"/>
      <c r="V1797" s="98"/>
      <c r="W1797" s="98"/>
      <c r="X1797" s="97"/>
      <c r="Y1797" s="98"/>
      <c r="AB1797" s="97" t="s">
        <v>42</v>
      </c>
      <c r="AC1797" s="97"/>
      <c r="AD1797" s="97"/>
      <c r="AS1797" s="98"/>
      <c r="AT1797" s="98"/>
      <c r="AU1797" s="98"/>
      <c r="AV1797" s="98"/>
      <c r="AW1797" s="98"/>
      <c r="AX1797" s="98"/>
      <c r="AY1797" s="98"/>
      <c r="AZ1797" s="98"/>
      <c r="BA1797" s="98"/>
      <c r="BB1797" s="98"/>
      <c r="BC1797" s="98"/>
      <c r="BD1797" s="98"/>
      <c r="BE1797" s="98"/>
      <c r="BF1797" s="98"/>
      <c r="BG1797" s="98"/>
      <c r="BH1797" s="98"/>
      <c r="BI1797" s="98"/>
      <c r="BJ1797" s="97"/>
      <c r="BL1797" s="97"/>
      <c r="BN1797" s="97"/>
      <c r="CA1797" s="154"/>
    </row>
    <row r="1798" spans="3:79" s="99" customFormat="1" ht="13.5">
      <c r="C1798" s="136" t="s">
        <v>2159</v>
      </c>
      <c r="E1798" s="97"/>
      <c r="F1798" s="97"/>
      <c r="G1798" s="98"/>
      <c r="O1798" s="97"/>
      <c r="P1798" s="180"/>
      <c r="Q1798" s="97"/>
      <c r="R1798" s="97"/>
      <c r="S1798" s="210"/>
      <c r="T1798" s="210"/>
      <c r="U1798" s="97"/>
      <c r="V1798" s="98"/>
      <c r="W1798" s="98"/>
      <c r="X1798" s="97"/>
      <c r="Y1798" s="98"/>
      <c r="AB1798" s="97" t="s">
        <v>42</v>
      </c>
      <c r="AC1798" s="97"/>
      <c r="AD1798" s="97"/>
      <c r="AS1798" s="98"/>
      <c r="AT1798" s="98"/>
      <c r="AU1798" s="98"/>
      <c r="AV1798" s="98"/>
      <c r="AW1798" s="98"/>
      <c r="AX1798" s="98"/>
      <c r="AY1798" s="98"/>
      <c r="AZ1798" s="98"/>
      <c r="BA1798" s="98"/>
      <c r="BB1798" s="98"/>
      <c r="BC1798" s="98"/>
      <c r="BD1798" s="98"/>
      <c r="BE1798" s="98"/>
      <c r="BF1798" s="98"/>
      <c r="BG1798" s="98"/>
      <c r="BH1798" s="98"/>
      <c r="BI1798" s="98"/>
      <c r="BJ1798" s="97"/>
      <c r="BL1798" s="97"/>
      <c r="BN1798" s="97"/>
      <c r="CA1798" s="154"/>
    </row>
    <row r="1799" spans="3:79" s="99" customFormat="1" ht="13.5">
      <c r="C1799" s="136" t="s">
        <v>2160</v>
      </c>
      <c r="E1799" s="97"/>
      <c r="F1799" s="97"/>
      <c r="G1799" s="98"/>
      <c r="O1799" s="97"/>
      <c r="P1799" s="180"/>
      <c r="Q1799" s="97"/>
      <c r="R1799" s="97"/>
      <c r="S1799" s="210"/>
      <c r="T1799" s="210"/>
      <c r="U1799" s="97"/>
      <c r="V1799" s="98"/>
      <c r="W1799" s="98"/>
      <c r="X1799" s="97"/>
      <c r="Y1799" s="98"/>
      <c r="AB1799" s="97"/>
      <c r="AC1799" s="97"/>
      <c r="AD1799" s="97"/>
      <c r="AS1799" s="98"/>
      <c r="AT1799" s="98"/>
      <c r="AU1799" s="98"/>
      <c r="AV1799" s="98"/>
      <c r="AW1799" s="98"/>
      <c r="AX1799" s="98"/>
      <c r="AY1799" s="98"/>
      <c r="AZ1799" s="98"/>
      <c r="BA1799" s="98"/>
      <c r="BB1799" s="98"/>
      <c r="BC1799" s="98"/>
      <c r="BD1799" s="98"/>
      <c r="BE1799" s="98"/>
      <c r="BF1799" s="98"/>
      <c r="BG1799" s="98"/>
      <c r="BH1799" s="98"/>
      <c r="BI1799" s="98"/>
      <c r="BJ1799" s="97"/>
      <c r="BL1799" s="97"/>
      <c r="BN1799" s="97"/>
      <c r="CA1799" s="154"/>
    </row>
    <row r="1800" spans="3:79" s="99" customFormat="1" ht="13.5">
      <c r="C1800" s="136" t="s">
        <v>2161</v>
      </c>
      <c r="E1800" s="97"/>
      <c r="F1800" s="97" t="s">
        <v>1120</v>
      </c>
      <c r="G1800" s="98"/>
      <c r="O1800" s="97"/>
      <c r="P1800" s="180"/>
      <c r="Q1800" s="97"/>
      <c r="R1800" s="97"/>
      <c r="S1800" s="210"/>
      <c r="T1800" s="210"/>
      <c r="U1800" s="97"/>
      <c r="V1800" s="98"/>
      <c r="W1800" s="98"/>
      <c r="X1800" s="97"/>
      <c r="Y1800" s="98"/>
      <c r="AB1800" s="97" t="s">
        <v>42</v>
      </c>
      <c r="AC1800" s="97"/>
      <c r="AD1800" s="97"/>
      <c r="AS1800" s="98"/>
      <c r="AT1800" s="98"/>
      <c r="AU1800" s="98"/>
      <c r="AV1800" s="98"/>
      <c r="AW1800" s="98"/>
      <c r="AX1800" s="98"/>
      <c r="AY1800" s="98"/>
      <c r="AZ1800" s="98"/>
      <c r="BA1800" s="98"/>
      <c r="BB1800" s="98"/>
      <c r="BC1800" s="98"/>
      <c r="BD1800" s="98"/>
      <c r="BE1800" s="98"/>
      <c r="BF1800" s="98"/>
      <c r="BG1800" s="98"/>
      <c r="BH1800" s="98"/>
      <c r="BI1800" s="98"/>
      <c r="BJ1800" s="97"/>
      <c r="BL1800" s="97"/>
      <c r="BN1800" s="97"/>
      <c r="CA1800" s="154"/>
    </row>
    <row r="1801" spans="3:79" s="99" customFormat="1" ht="13.5">
      <c r="C1801" s="136"/>
      <c r="E1801" s="97"/>
      <c r="F1801" s="97"/>
      <c r="G1801" s="98"/>
      <c r="O1801" s="97"/>
      <c r="P1801" s="180"/>
      <c r="Q1801" s="97"/>
      <c r="R1801" s="97"/>
      <c r="S1801" s="210"/>
      <c r="T1801" s="210"/>
      <c r="U1801" s="97"/>
      <c r="V1801" s="98"/>
      <c r="W1801" s="98"/>
      <c r="X1801" s="97"/>
      <c r="Y1801" s="98"/>
      <c r="AB1801" s="97"/>
      <c r="AC1801" s="97"/>
      <c r="AD1801" s="97"/>
      <c r="AS1801" s="98"/>
      <c r="AT1801" s="98"/>
      <c r="AU1801" s="98"/>
      <c r="AV1801" s="98"/>
      <c r="AW1801" s="98"/>
      <c r="AX1801" s="98"/>
      <c r="AY1801" s="98"/>
      <c r="AZ1801" s="98"/>
      <c r="BA1801" s="98"/>
      <c r="BB1801" s="98"/>
      <c r="BC1801" s="98"/>
      <c r="BD1801" s="98"/>
      <c r="BE1801" s="98"/>
      <c r="BF1801" s="98"/>
      <c r="BG1801" s="98"/>
      <c r="BH1801" s="98"/>
      <c r="BI1801" s="98"/>
      <c r="BJ1801" s="97"/>
      <c r="BL1801" s="97"/>
      <c r="BN1801" s="97"/>
      <c r="CA1801" s="154"/>
    </row>
    <row r="1802" spans="3:79" s="99" customFormat="1" ht="17.25">
      <c r="C1802" s="136" t="s">
        <v>2108</v>
      </c>
      <c r="E1802" s="97"/>
      <c r="F1802" s="97"/>
      <c r="G1802" s="101"/>
      <c r="O1802" s="97"/>
      <c r="P1802" s="180"/>
      <c r="Q1802" s="97"/>
      <c r="R1802" s="97"/>
      <c r="S1802" s="210"/>
      <c r="T1802" s="210"/>
      <c r="U1802" s="97"/>
      <c r="V1802" s="101"/>
      <c r="W1802" s="101"/>
      <c r="X1802" s="97"/>
      <c r="Y1802" s="101"/>
      <c r="AB1802" s="97"/>
      <c r="AC1802" s="97"/>
      <c r="AD1802" s="97"/>
      <c r="AS1802" s="101"/>
      <c r="AT1802" s="101"/>
      <c r="AU1802" s="101"/>
      <c r="AV1802" s="101"/>
      <c r="AW1802" s="101"/>
      <c r="AX1802" s="101"/>
      <c r="AY1802" s="101"/>
      <c r="AZ1802" s="101"/>
      <c r="BA1802" s="101"/>
      <c r="BB1802" s="101"/>
      <c r="BC1802" s="101"/>
      <c r="BD1802" s="101"/>
      <c r="BE1802" s="101"/>
      <c r="BF1802" s="101"/>
      <c r="BG1802" s="101"/>
      <c r="BH1802" s="101"/>
      <c r="BI1802" s="101"/>
      <c r="BJ1802" s="97"/>
      <c r="BL1802" s="97"/>
      <c r="BN1802" s="97"/>
      <c r="CA1802" s="154"/>
    </row>
    <row r="1803" spans="3:79" s="99" customFormat="1" ht="17.25">
      <c r="C1803" s="136" t="s">
        <v>2109</v>
      </c>
      <c r="E1803" s="97"/>
      <c r="F1803" s="97"/>
      <c r="G1803" s="101"/>
      <c r="O1803" s="97"/>
      <c r="P1803" s="180"/>
      <c r="Q1803" s="97"/>
      <c r="R1803" s="97"/>
      <c r="S1803" s="210"/>
      <c r="T1803" s="210"/>
      <c r="U1803" s="97"/>
      <c r="V1803" s="101"/>
      <c r="W1803" s="101"/>
      <c r="X1803" s="97"/>
      <c r="Y1803" s="101"/>
      <c r="AB1803" s="97"/>
      <c r="AC1803" s="97"/>
      <c r="AD1803" s="97"/>
      <c r="AS1803" s="101"/>
      <c r="AT1803" s="101"/>
      <c r="AU1803" s="101"/>
      <c r="AV1803" s="101"/>
      <c r="AW1803" s="101"/>
      <c r="AX1803" s="101"/>
      <c r="AY1803" s="101"/>
      <c r="AZ1803" s="101"/>
      <c r="BA1803" s="101"/>
      <c r="BB1803" s="101"/>
      <c r="BC1803" s="101"/>
      <c r="BD1803" s="101"/>
      <c r="BE1803" s="101"/>
      <c r="BF1803" s="101"/>
      <c r="BG1803" s="101"/>
      <c r="BH1803" s="101"/>
      <c r="BI1803" s="101"/>
      <c r="BJ1803" s="97"/>
      <c r="BL1803" s="97"/>
      <c r="BN1803" s="97"/>
      <c r="CA1803" s="154"/>
    </row>
    <row r="1804" spans="3:79" s="99" customFormat="1" ht="17.25">
      <c r="C1804" s="136" t="s">
        <v>2110</v>
      </c>
      <c r="E1804" s="97"/>
      <c r="F1804" s="97"/>
      <c r="G1804" s="101"/>
      <c r="O1804" s="97"/>
      <c r="P1804" s="180"/>
      <c r="Q1804" s="97"/>
      <c r="R1804" s="97"/>
      <c r="S1804" s="210"/>
      <c r="T1804" s="210"/>
      <c r="U1804" s="97"/>
      <c r="V1804" s="101"/>
      <c r="W1804" s="101"/>
      <c r="X1804" s="97"/>
      <c r="Y1804" s="101"/>
      <c r="AB1804" s="97"/>
      <c r="AC1804" s="97"/>
      <c r="AD1804" s="97"/>
      <c r="AS1804" s="101"/>
      <c r="AT1804" s="101"/>
      <c r="AU1804" s="101"/>
      <c r="AV1804" s="101"/>
      <c r="AW1804" s="101"/>
      <c r="AX1804" s="101"/>
      <c r="AY1804" s="101"/>
      <c r="AZ1804" s="101"/>
      <c r="BA1804" s="101"/>
      <c r="BB1804" s="101"/>
      <c r="BC1804" s="101"/>
      <c r="BD1804" s="101"/>
      <c r="BE1804" s="101"/>
      <c r="BF1804" s="101"/>
      <c r="BG1804" s="101"/>
      <c r="BH1804" s="101"/>
      <c r="BI1804" s="101"/>
      <c r="BJ1804" s="97"/>
      <c r="BL1804" s="97"/>
      <c r="BN1804" s="97"/>
      <c r="CA1804" s="154"/>
    </row>
    <row r="1805" spans="3:79" s="99" customFormat="1" ht="17.25">
      <c r="C1805" s="136" t="s">
        <v>2123</v>
      </c>
      <c r="E1805" s="97"/>
      <c r="F1805" s="97"/>
      <c r="G1805" s="101"/>
      <c r="O1805" s="97"/>
      <c r="P1805" s="180"/>
      <c r="Q1805" s="97"/>
      <c r="R1805" s="97"/>
      <c r="S1805" s="210"/>
      <c r="T1805" s="210"/>
      <c r="U1805" s="97"/>
      <c r="V1805" s="101"/>
      <c r="W1805" s="101"/>
      <c r="X1805" s="97"/>
      <c r="Y1805" s="101"/>
      <c r="AB1805" s="97"/>
      <c r="AC1805" s="97"/>
      <c r="AD1805" s="97"/>
      <c r="AS1805" s="101"/>
      <c r="AT1805" s="101"/>
      <c r="AU1805" s="101"/>
      <c r="AV1805" s="101"/>
      <c r="AW1805" s="101"/>
      <c r="AX1805" s="101"/>
      <c r="AY1805" s="101"/>
      <c r="AZ1805" s="101"/>
      <c r="BA1805" s="101"/>
      <c r="BB1805" s="101"/>
      <c r="BC1805" s="101"/>
      <c r="BD1805" s="101"/>
      <c r="BE1805" s="101"/>
      <c r="BF1805" s="101"/>
      <c r="BG1805" s="101"/>
      <c r="BH1805" s="101"/>
      <c r="BI1805" s="101"/>
      <c r="BJ1805" s="97"/>
      <c r="BL1805" s="97"/>
      <c r="BN1805" s="97"/>
      <c r="CA1805" s="154"/>
    </row>
    <row r="1806" spans="3:79" s="99" customFormat="1" ht="17.25">
      <c r="C1806" s="136" t="s">
        <v>2124</v>
      </c>
      <c r="E1806" s="97"/>
      <c r="F1806" s="97"/>
      <c r="G1806" s="101"/>
      <c r="O1806" s="97"/>
      <c r="P1806" s="180"/>
      <c r="Q1806" s="97"/>
      <c r="R1806" s="97"/>
      <c r="S1806" s="210"/>
      <c r="T1806" s="210"/>
      <c r="U1806" s="97"/>
      <c r="V1806" s="101"/>
      <c r="W1806" s="101"/>
      <c r="X1806" s="97"/>
      <c r="Y1806" s="101"/>
      <c r="AB1806" s="97"/>
      <c r="AC1806" s="97"/>
      <c r="AD1806" s="97"/>
      <c r="AS1806" s="101"/>
      <c r="AT1806" s="101"/>
      <c r="AU1806" s="101"/>
      <c r="AV1806" s="101"/>
      <c r="AW1806" s="101"/>
      <c r="AX1806" s="101"/>
      <c r="AY1806" s="101"/>
      <c r="AZ1806" s="101"/>
      <c r="BA1806" s="101"/>
      <c r="BB1806" s="101"/>
      <c r="BC1806" s="101"/>
      <c r="BD1806" s="101"/>
      <c r="BE1806" s="101"/>
      <c r="BF1806" s="101"/>
      <c r="BG1806" s="101"/>
      <c r="BH1806" s="101"/>
      <c r="BI1806" s="101"/>
      <c r="BJ1806" s="97"/>
      <c r="BL1806" s="97"/>
      <c r="BN1806" s="97"/>
      <c r="CA1806" s="154"/>
    </row>
    <row r="1807" spans="3:79" s="99" customFormat="1" ht="17.25">
      <c r="C1807" s="136"/>
      <c r="E1807" s="97"/>
      <c r="F1807" s="97"/>
      <c r="G1807" s="101"/>
      <c r="O1807" s="97"/>
      <c r="P1807" s="180"/>
      <c r="Q1807" s="97"/>
      <c r="R1807" s="97"/>
      <c r="S1807" s="210"/>
      <c r="T1807" s="210"/>
      <c r="U1807" s="97"/>
      <c r="V1807" s="101"/>
      <c r="W1807" s="101"/>
      <c r="X1807" s="97"/>
      <c r="Y1807" s="101"/>
      <c r="AB1807" s="97"/>
      <c r="AC1807" s="97"/>
      <c r="AD1807" s="97"/>
      <c r="AS1807" s="101"/>
      <c r="AT1807" s="101"/>
      <c r="AU1807" s="101"/>
      <c r="AV1807" s="101"/>
      <c r="AW1807" s="101"/>
      <c r="AX1807" s="101"/>
      <c r="AY1807" s="101"/>
      <c r="AZ1807" s="101"/>
      <c r="BA1807" s="101"/>
      <c r="BB1807" s="101"/>
      <c r="BC1807" s="101"/>
      <c r="BD1807" s="101"/>
      <c r="BE1807" s="101"/>
      <c r="BF1807" s="101"/>
      <c r="BG1807" s="101"/>
      <c r="BH1807" s="101"/>
      <c r="BI1807" s="101"/>
      <c r="BJ1807" s="97"/>
      <c r="BL1807" s="97"/>
      <c r="BN1807" s="97"/>
      <c r="CA1807" s="154"/>
    </row>
    <row r="1808" spans="3:79" s="99" customFormat="1" ht="17.25">
      <c r="C1808" s="136" t="s">
        <v>2111</v>
      </c>
      <c r="E1808" s="97"/>
      <c r="F1808" s="97"/>
      <c r="G1808" s="101"/>
      <c r="O1808" s="97"/>
      <c r="P1808" s="180"/>
      <c r="Q1808" s="97"/>
      <c r="R1808" s="97"/>
      <c r="S1808" s="210"/>
      <c r="T1808" s="210"/>
      <c r="U1808" s="97"/>
      <c r="V1808" s="101"/>
      <c r="W1808" s="101"/>
      <c r="X1808" s="97"/>
      <c r="Y1808" s="101"/>
      <c r="AB1808" s="97"/>
      <c r="AC1808" s="97"/>
      <c r="AD1808" s="97"/>
      <c r="AS1808" s="101"/>
      <c r="AT1808" s="101"/>
      <c r="AU1808" s="101"/>
      <c r="AV1808" s="101"/>
      <c r="AW1808" s="101"/>
      <c r="AX1808" s="101"/>
      <c r="AY1808" s="101"/>
      <c r="AZ1808" s="101"/>
      <c r="BA1808" s="101"/>
      <c r="BB1808" s="101"/>
      <c r="BC1808" s="101"/>
      <c r="BD1808" s="101"/>
      <c r="BE1808" s="101"/>
      <c r="BF1808" s="101"/>
      <c r="BG1808" s="101"/>
      <c r="BH1808" s="101"/>
      <c r="BI1808" s="101"/>
      <c r="BJ1808" s="97"/>
      <c r="BL1808" s="97"/>
      <c r="BN1808" s="97"/>
      <c r="CA1808" s="154"/>
    </row>
    <row r="1809" spans="3:79" s="99" customFormat="1" ht="17.25">
      <c r="C1809" s="136" t="s">
        <v>2162</v>
      </c>
      <c r="E1809" s="97"/>
      <c r="F1809" s="97"/>
      <c r="G1809" s="101"/>
      <c r="O1809" s="97"/>
      <c r="P1809" s="180"/>
      <c r="Q1809" s="97"/>
      <c r="R1809" s="97"/>
      <c r="S1809" s="210"/>
      <c r="T1809" s="210"/>
      <c r="U1809" s="97"/>
      <c r="V1809" s="101"/>
      <c r="W1809" s="101"/>
      <c r="X1809" s="97"/>
      <c r="Y1809" s="101"/>
      <c r="AB1809" s="97"/>
      <c r="AC1809" s="97"/>
      <c r="AD1809" s="97"/>
      <c r="AS1809" s="101"/>
      <c r="AT1809" s="101"/>
      <c r="AU1809" s="101"/>
      <c r="AV1809" s="101"/>
      <c r="AW1809" s="101"/>
      <c r="AX1809" s="101"/>
      <c r="AY1809" s="101"/>
      <c r="AZ1809" s="101"/>
      <c r="BA1809" s="101"/>
      <c r="BB1809" s="101"/>
      <c r="BC1809" s="101"/>
      <c r="BD1809" s="101"/>
      <c r="BE1809" s="101"/>
      <c r="BF1809" s="101"/>
      <c r="BG1809" s="101"/>
      <c r="BH1809" s="101"/>
      <c r="BI1809" s="101"/>
      <c r="BJ1809" s="97"/>
      <c r="BL1809" s="97"/>
      <c r="BN1809" s="97"/>
      <c r="CA1809" s="154"/>
    </row>
    <row r="1810" spans="3:79" s="99" customFormat="1" ht="17.25">
      <c r="C1810" s="136"/>
      <c r="E1810" s="97"/>
      <c r="F1810" s="97"/>
      <c r="G1810" s="101"/>
      <c r="O1810" s="97"/>
      <c r="P1810" s="180"/>
      <c r="Q1810" s="97"/>
      <c r="R1810" s="97"/>
      <c r="S1810" s="210"/>
      <c r="T1810" s="210"/>
      <c r="U1810" s="97"/>
      <c r="V1810" s="101"/>
      <c r="W1810" s="101"/>
      <c r="X1810" s="97"/>
      <c r="Y1810" s="101"/>
      <c r="AB1810" s="97"/>
      <c r="AC1810" s="97"/>
      <c r="AD1810" s="97"/>
      <c r="AS1810" s="101"/>
      <c r="AT1810" s="101"/>
      <c r="AU1810" s="101"/>
      <c r="AV1810" s="101"/>
      <c r="AW1810" s="101"/>
      <c r="AX1810" s="101"/>
      <c r="AY1810" s="101"/>
      <c r="AZ1810" s="101"/>
      <c r="BA1810" s="101"/>
      <c r="BB1810" s="101"/>
      <c r="BC1810" s="101"/>
      <c r="BD1810" s="101"/>
      <c r="BE1810" s="101"/>
      <c r="BF1810" s="101"/>
      <c r="BG1810" s="101"/>
      <c r="BH1810" s="101"/>
      <c r="BI1810" s="101"/>
      <c r="BJ1810" s="97"/>
      <c r="BL1810" s="97"/>
      <c r="BN1810" s="97"/>
      <c r="CA1810" s="154"/>
    </row>
    <row r="1811" spans="3:79" s="99" customFormat="1" ht="17.25">
      <c r="C1811" s="136" t="s">
        <v>2127</v>
      </c>
      <c r="E1811" s="97"/>
      <c r="F1811" s="97"/>
      <c r="G1811" s="101"/>
      <c r="O1811" s="97"/>
      <c r="P1811" s="180"/>
      <c r="Q1811" s="97"/>
      <c r="R1811" s="97"/>
      <c r="S1811" s="210"/>
      <c r="T1811" s="210"/>
      <c r="U1811" s="97"/>
      <c r="V1811" s="101"/>
      <c r="W1811" s="101"/>
      <c r="X1811" s="97"/>
      <c r="Y1811" s="101"/>
      <c r="AB1811" s="97"/>
      <c r="AC1811" s="97"/>
      <c r="AD1811" s="97"/>
      <c r="AS1811" s="101"/>
      <c r="AT1811" s="101"/>
      <c r="AU1811" s="101"/>
      <c r="AV1811" s="101"/>
      <c r="AW1811" s="101"/>
      <c r="AX1811" s="101"/>
      <c r="AY1811" s="101"/>
      <c r="AZ1811" s="101"/>
      <c r="BA1811" s="101"/>
      <c r="BB1811" s="101"/>
      <c r="BC1811" s="101"/>
      <c r="BD1811" s="101"/>
      <c r="BE1811" s="101"/>
      <c r="BF1811" s="101"/>
      <c r="BG1811" s="101"/>
      <c r="BH1811" s="101"/>
      <c r="BI1811" s="101"/>
      <c r="BJ1811" s="97"/>
      <c r="BL1811" s="97"/>
      <c r="BN1811" s="97"/>
      <c r="CA1811" s="154"/>
    </row>
    <row r="1812" spans="3:79" s="99" customFormat="1" ht="17.25">
      <c r="C1812" s="136" t="s">
        <v>2163</v>
      </c>
      <c r="E1812" s="97"/>
      <c r="F1812" s="97"/>
      <c r="G1812" s="101"/>
      <c r="O1812" s="97"/>
      <c r="P1812" s="180"/>
      <c r="Q1812" s="97"/>
      <c r="R1812" s="97"/>
      <c r="S1812" s="210"/>
      <c r="T1812" s="210"/>
      <c r="U1812" s="97"/>
      <c r="V1812" s="101"/>
      <c r="W1812" s="101"/>
      <c r="X1812" s="97"/>
      <c r="Y1812" s="101"/>
      <c r="AB1812" s="97"/>
      <c r="AC1812" s="97"/>
      <c r="AD1812" s="97"/>
      <c r="AS1812" s="101"/>
      <c r="AT1812" s="101"/>
      <c r="AU1812" s="101"/>
      <c r="AV1812" s="101"/>
      <c r="AW1812" s="101"/>
      <c r="AX1812" s="101"/>
      <c r="AY1812" s="101"/>
      <c r="AZ1812" s="101"/>
      <c r="BA1812" s="101"/>
      <c r="BB1812" s="101"/>
      <c r="BC1812" s="101"/>
      <c r="BD1812" s="101"/>
      <c r="BE1812" s="101"/>
      <c r="BF1812" s="101"/>
      <c r="BG1812" s="101"/>
      <c r="BH1812" s="101"/>
      <c r="BI1812" s="101"/>
      <c r="BJ1812" s="97"/>
      <c r="BL1812" s="97"/>
      <c r="BN1812" s="97"/>
      <c r="CA1812" s="154"/>
    </row>
    <row r="1813" spans="3:79" s="99" customFormat="1" ht="17.25">
      <c r="C1813" s="136" t="s">
        <v>2129</v>
      </c>
      <c r="E1813" s="97"/>
      <c r="F1813" s="97"/>
      <c r="G1813" s="101"/>
      <c r="O1813" s="97"/>
      <c r="P1813" s="180"/>
      <c r="Q1813" s="97"/>
      <c r="R1813" s="97"/>
      <c r="S1813" s="210"/>
      <c r="T1813" s="210"/>
      <c r="U1813" s="97"/>
      <c r="V1813" s="101"/>
      <c r="W1813" s="101"/>
      <c r="X1813" s="97"/>
      <c r="Y1813" s="101"/>
      <c r="AB1813" s="97"/>
      <c r="AC1813" s="97"/>
      <c r="AD1813" s="97"/>
      <c r="AS1813" s="101"/>
      <c r="AT1813" s="101"/>
      <c r="AU1813" s="101"/>
      <c r="AV1813" s="101"/>
      <c r="AW1813" s="101"/>
      <c r="AX1813" s="101"/>
      <c r="AY1813" s="101"/>
      <c r="AZ1813" s="101"/>
      <c r="BA1813" s="101"/>
      <c r="BB1813" s="101"/>
      <c r="BC1813" s="101"/>
      <c r="BD1813" s="101"/>
      <c r="BE1813" s="101"/>
      <c r="BF1813" s="101"/>
      <c r="BG1813" s="101"/>
      <c r="BH1813" s="101"/>
      <c r="BI1813" s="101"/>
      <c r="BJ1813" s="97"/>
      <c r="BL1813" s="97"/>
      <c r="BN1813" s="97"/>
      <c r="CA1813" s="154"/>
    </row>
    <row r="1814" spans="3:79" s="99" customFormat="1" ht="17.25">
      <c r="C1814" s="136" t="s">
        <v>2130</v>
      </c>
      <c r="E1814" s="97"/>
      <c r="F1814" s="97"/>
      <c r="G1814" s="101"/>
      <c r="O1814" s="97"/>
      <c r="P1814" s="180"/>
      <c r="Q1814" s="97"/>
      <c r="R1814" s="97"/>
      <c r="S1814" s="210"/>
      <c r="T1814" s="210"/>
      <c r="U1814" s="97"/>
      <c r="V1814" s="101"/>
      <c r="W1814" s="101"/>
      <c r="X1814" s="97"/>
      <c r="Y1814" s="101"/>
      <c r="AB1814" s="97"/>
      <c r="AC1814" s="97"/>
      <c r="AD1814" s="97"/>
      <c r="AS1814" s="101"/>
      <c r="AT1814" s="101"/>
      <c r="AU1814" s="101"/>
      <c r="AV1814" s="101"/>
      <c r="AW1814" s="101"/>
      <c r="AX1814" s="101"/>
      <c r="AY1814" s="101"/>
      <c r="AZ1814" s="101"/>
      <c r="BA1814" s="101"/>
      <c r="BB1814" s="101"/>
      <c r="BC1814" s="101"/>
      <c r="BD1814" s="101"/>
      <c r="BE1814" s="101"/>
      <c r="BF1814" s="101"/>
      <c r="BG1814" s="101"/>
      <c r="BH1814" s="101"/>
      <c r="BI1814" s="101"/>
      <c r="BJ1814" s="97"/>
      <c r="BL1814" s="97"/>
      <c r="BN1814" s="97"/>
      <c r="CA1814" s="154"/>
    </row>
    <row r="1815" spans="3:79" s="99" customFormat="1" ht="17.25">
      <c r="C1815" s="136" t="s">
        <v>2131</v>
      </c>
      <c r="E1815" s="97"/>
      <c r="F1815" s="97"/>
      <c r="G1815" s="101"/>
      <c r="O1815" s="97"/>
      <c r="P1815" s="180"/>
      <c r="Q1815" s="97"/>
      <c r="R1815" s="97"/>
      <c r="S1815" s="210"/>
      <c r="T1815" s="210"/>
      <c r="U1815" s="97"/>
      <c r="V1815" s="101"/>
      <c r="W1815" s="101"/>
      <c r="X1815" s="97"/>
      <c r="Y1815" s="101"/>
      <c r="AB1815" s="97"/>
      <c r="AC1815" s="97"/>
      <c r="AD1815" s="97"/>
      <c r="AS1815" s="101"/>
      <c r="AT1815" s="101"/>
      <c r="AU1815" s="101"/>
      <c r="AV1815" s="101"/>
      <c r="AW1815" s="101"/>
      <c r="AX1815" s="101"/>
      <c r="AY1815" s="101"/>
      <c r="AZ1815" s="101"/>
      <c r="BA1815" s="101"/>
      <c r="BB1815" s="101"/>
      <c r="BC1815" s="101"/>
      <c r="BD1815" s="101"/>
      <c r="BE1815" s="101"/>
      <c r="BF1815" s="101"/>
      <c r="BG1815" s="101"/>
      <c r="BH1815" s="101"/>
      <c r="BI1815" s="101"/>
      <c r="BJ1815" s="97"/>
      <c r="BL1815" s="97"/>
      <c r="BN1815" s="97"/>
      <c r="CA1815" s="154"/>
    </row>
    <row r="1816" spans="3:79" s="99" customFormat="1" ht="17.25">
      <c r="C1816" s="136" t="s">
        <v>2132</v>
      </c>
      <c r="E1816" s="97"/>
      <c r="F1816" s="97"/>
      <c r="G1816" s="101"/>
      <c r="O1816" s="97"/>
      <c r="P1816" s="180"/>
      <c r="Q1816" s="97"/>
      <c r="R1816" s="97"/>
      <c r="S1816" s="210"/>
      <c r="T1816" s="210"/>
      <c r="U1816" s="97"/>
      <c r="V1816" s="101"/>
      <c r="W1816" s="101"/>
      <c r="X1816" s="97"/>
      <c r="Y1816" s="101"/>
      <c r="AB1816" s="97"/>
      <c r="AC1816" s="97"/>
      <c r="AD1816" s="97"/>
      <c r="AS1816" s="101"/>
      <c r="AT1816" s="101"/>
      <c r="AU1816" s="101"/>
      <c r="AV1816" s="101"/>
      <c r="AW1816" s="101"/>
      <c r="AX1816" s="101"/>
      <c r="AY1816" s="101"/>
      <c r="AZ1816" s="101"/>
      <c r="BA1816" s="101"/>
      <c r="BB1816" s="101"/>
      <c r="BC1816" s="101"/>
      <c r="BD1816" s="101"/>
      <c r="BE1816" s="101"/>
      <c r="BF1816" s="101"/>
      <c r="BG1816" s="101"/>
      <c r="BH1816" s="101"/>
      <c r="BI1816" s="101"/>
      <c r="BJ1816" s="97"/>
      <c r="BL1816" s="97"/>
      <c r="BN1816" s="97"/>
      <c r="CA1816" s="154"/>
    </row>
    <row r="1817" spans="3:79" s="99" customFormat="1" ht="17.25">
      <c r="C1817" s="136" t="s">
        <v>2133</v>
      </c>
      <c r="E1817" s="97"/>
      <c r="F1817" s="97"/>
      <c r="G1817" s="101"/>
      <c r="O1817" s="97"/>
      <c r="P1817" s="180"/>
      <c r="Q1817" s="97"/>
      <c r="R1817" s="97"/>
      <c r="S1817" s="210"/>
      <c r="T1817" s="210"/>
      <c r="U1817" s="97"/>
      <c r="V1817" s="101"/>
      <c r="W1817" s="101"/>
      <c r="X1817" s="97"/>
      <c r="Y1817" s="101"/>
      <c r="AB1817" s="97"/>
      <c r="AC1817" s="97"/>
      <c r="AD1817" s="97"/>
      <c r="AS1817" s="101"/>
      <c r="AT1817" s="101"/>
      <c r="AU1817" s="101"/>
      <c r="AV1817" s="101"/>
      <c r="AW1817" s="101"/>
      <c r="AX1817" s="101"/>
      <c r="AY1817" s="101"/>
      <c r="AZ1817" s="101"/>
      <c r="BA1817" s="101"/>
      <c r="BB1817" s="101"/>
      <c r="BC1817" s="101"/>
      <c r="BD1817" s="101"/>
      <c r="BE1817" s="101"/>
      <c r="BF1817" s="101"/>
      <c r="BG1817" s="101"/>
      <c r="BH1817" s="101"/>
      <c r="BI1817" s="101"/>
      <c r="BJ1817" s="97"/>
      <c r="BL1817" s="97"/>
      <c r="BN1817" s="97"/>
      <c r="CA1817" s="154"/>
    </row>
    <row r="1818" spans="3:79" s="99" customFormat="1" ht="27">
      <c r="C1818" s="136" t="s">
        <v>2134</v>
      </c>
      <c r="E1818" s="97"/>
      <c r="F1818" s="97"/>
      <c r="G1818" s="101"/>
      <c r="O1818" s="97"/>
      <c r="P1818" s="180"/>
      <c r="Q1818" s="97"/>
      <c r="R1818" s="97"/>
      <c r="S1818" s="210"/>
      <c r="T1818" s="210"/>
      <c r="U1818" s="97"/>
      <c r="V1818" s="101"/>
      <c r="W1818" s="101"/>
      <c r="X1818" s="97"/>
      <c r="Y1818" s="101"/>
      <c r="AB1818" s="97"/>
      <c r="AC1818" s="97"/>
      <c r="AD1818" s="97"/>
      <c r="AS1818" s="101"/>
      <c r="AT1818" s="101"/>
      <c r="AU1818" s="101"/>
      <c r="AV1818" s="101"/>
      <c r="AW1818" s="101"/>
      <c r="AX1818" s="101"/>
      <c r="AY1818" s="101"/>
      <c r="AZ1818" s="101"/>
      <c r="BA1818" s="101"/>
      <c r="BB1818" s="101"/>
      <c r="BC1818" s="101"/>
      <c r="BD1818" s="101"/>
      <c r="BE1818" s="101"/>
      <c r="BF1818" s="101"/>
      <c r="BG1818" s="101"/>
      <c r="BH1818" s="101"/>
      <c r="BI1818" s="101"/>
      <c r="BJ1818" s="97"/>
      <c r="BL1818" s="97"/>
      <c r="BN1818" s="97"/>
      <c r="CA1818" s="154"/>
    </row>
    <row r="1819" spans="3:79" s="99" customFormat="1" ht="17.25">
      <c r="C1819" s="136" t="s">
        <v>2135</v>
      </c>
      <c r="E1819" s="97"/>
      <c r="F1819" s="97"/>
      <c r="G1819" s="101"/>
      <c r="O1819" s="97"/>
      <c r="P1819" s="180"/>
      <c r="Q1819" s="97"/>
      <c r="R1819" s="97"/>
      <c r="S1819" s="210"/>
      <c r="T1819" s="210"/>
      <c r="U1819" s="97"/>
      <c r="V1819" s="101"/>
      <c r="W1819" s="101"/>
      <c r="X1819" s="97"/>
      <c r="Y1819" s="101"/>
      <c r="AB1819" s="97"/>
      <c r="AC1819" s="97"/>
      <c r="AD1819" s="97"/>
      <c r="AS1819" s="101"/>
      <c r="AT1819" s="101"/>
      <c r="AU1819" s="101"/>
      <c r="AV1819" s="101"/>
      <c r="AW1819" s="101"/>
      <c r="AX1819" s="101"/>
      <c r="AY1819" s="101"/>
      <c r="AZ1819" s="101"/>
      <c r="BA1819" s="101"/>
      <c r="BB1819" s="101"/>
      <c r="BC1819" s="101"/>
      <c r="BD1819" s="101"/>
      <c r="BE1819" s="101"/>
      <c r="BF1819" s="101"/>
      <c r="BG1819" s="101"/>
      <c r="BH1819" s="101"/>
      <c r="BI1819" s="101"/>
      <c r="BJ1819" s="97"/>
      <c r="BL1819" s="97"/>
      <c r="BN1819" s="97"/>
      <c r="CA1819" s="154"/>
    </row>
    <row r="1820" spans="3:79" s="99" customFormat="1" ht="17.25">
      <c r="C1820" s="136" t="s">
        <v>2136</v>
      </c>
      <c r="E1820" s="97"/>
      <c r="F1820" s="97"/>
      <c r="G1820" s="101"/>
      <c r="O1820" s="97"/>
      <c r="P1820" s="180"/>
      <c r="Q1820" s="97"/>
      <c r="R1820" s="97"/>
      <c r="S1820" s="210"/>
      <c r="T1820" s="210"/>
      <c r="U1820" s="97"/>
      <c r="V1820" s="101"/>
      <c r="W1820" s="101"/>
      <c r="X1820" s="97"/>
      <c r="Y1820" s="101"/>
      <c r="AB1820" s="97"/>
      <c r="AC1820" s="97"/>
      <c r="AD1820" s="97"/>
      <c r="AS1820" s="101"/>
      <c r="AT1820" s="101"/>
      <c r="AU1820" s="101"/>
      <c r="AV1820" s="101"/>
      <c r="AW1820" s="101"/>
      <c r="AX1820" s="101"/>
      <c r="AY1820" s="101"/>
      <c r="AZ1820" s="101"/>
      <c r="BA1820" s="101"/>
      <c r="BB1820" s="101"/>
      <c r="BC1820" s="101"/>
      <c r="BD1820" s="101"/>
      <c r="BE1820" s="101"/>
      <c r="BF1820" s="101"/>
      <c r="BG1820" s="101"/>
      <c r="BH1820" s="101"/>
      <c r="BI1820" s="101"/>
      <c r="BJ1820" s="97"/>
      <c r="BL1820" s="97"/>
      <c r="BN1820" s="97"/>
      <c r="CA1820" s="154"/>
    </row>
    <row r="1821" spans="3:79" s="99" customFormat="1" ht="17.25">
      <c r="C1821" s="136"/>
      <c r="E1821" s="97"/>
      <c r="F1821" s="97"/>
      <c r="G1821" s="101"/>
      <c r="O1821" s="97"/>
      <c r="P1821" s="180"/>
      <c r="Q1821" s="97"/>
      <c r="R1821" s="97"/>
      <c r="S1821" s="210"/>
      <c r="T1821" s="210"/>
      <c r="U1821" s="97"/>
      <c r="V1821" s="101"/>
      <c r="W1821" s="101"/>
      <c r="X1821" s="97"/>
      <c r="Y1821" s="101"/>
      <c r="AB1821" s="97"/>
      <c r="AC1821" s="97"/>
      <c r="AD1821" s="97"/>
      <c r="AS1821" s="101"/>
      <c r="AT1821" s="101"/>
      <c r="AU1821" s="101"/>
      <c r="AV1821" s="101"/>
      <c r="AW1821" s="101"/>
      <c r="AX1821" s="101"/>
      <c r="AY1821" s="101"/>
      <c r="AZ1821" s="101"/>
      <c r="BA1821" s="101"/>
      <c r="BB1821" s="101"/>
      <c r="BC1821" s="101"/>
      <c r="BD1821" s="101"/>
      <c r="BE1821" s="101"/>
      <c r="BF1821" s="101"/>
      <c r="BG1821" s="101"/>
      <c r="BH1821" s="101"/>
      <c r="BI1821" s="101"/>
      <c r="BJ1821" s="97"/>
      <c r="BL1821" s="97"/>
      <c r="BN1821" s="97"/>
      <c r="CA1821" s="154"/>
    </row>
    <row r="1822" spans="3:79" s="99" customFormat="1" ht="17.25">
      <c r="C1822" s="136" t="s">
        <v>2164</v>
      </c>
      <c r="E1822" s="97"/>
      <c r="F1822" s="97"/>
      <c r="G1822" s="101"/>
      <c r="O1822" s="97"/>
      <c r="P1822" s="180"/>
      <c r="Q1822" s="97"/>
      <c r="R1822" s="97"/>
      <c r="S1822" s="210"/>
      <c r="T1822" s="210"/>
      <c r="U1822" s="97"/>
      <c r="V1822" s="101"/>
      <c r="W1822" s="101"/>
      <c r="X1822" s="97"/>
      <c r="Y1822" s="101"/>
      <c r="AB1822" s="97"/>
      <c r="AC1822" s="97"/>
      <c r="AD1822" s="97"/>
      <c r="AS1822" s="101"/>
      <c r="AT1822" s="101"/>
      <c r="AU1822" s="101"/>
      <c r="AV1822" s="101"/>
      <c r="AW1822" s="101"/>
      <c r="AX1822" s="101"/>
      <c r="AY1822" s="101"/>
      <c r="AZ1822" s="101"/>
      <c r="BA1822" s="101"/>
      <c r="BB1822" s="101"/>
      <c r="BC1822" s="101"/>
      <c r="BD1822" s="101"/>
      <c r="BE1822" s="101"/>
      <c r="BF1822" s="101"/>
      <c r="BG1822" s="101"/>
      <c r="BH1822" s="101"/>
      <c r="BI1822" s="101"/>
      <c r="BJ1822" s="97"/>
      <c r="BL1822" s="97"/>
      <c r="BN1822" s="97"/>
      <c r="CA1822" s="154"/>
    </row>
    <row r="1823" spans="3:79" s="99" customFormat="1" ht="17.25">
      <c r="C1823" s="136" t="s">
        <v>2165</v>
      </c>
      <c r="E1823" s="97"/>
      <c r="F1823" s="97"/>
      <c r="G1823" s="101"/>
      <c r="O1823" s="97"/>
      <c r="P1823" s="180"/>
      <c r="Q1823" s="97"/>
      <c r="R1823" s="97"/>
      <c r="S1823" s="210"/>
      <c r="T1823" s="210"/>
      <c r="U1823" s="97"/>
      <c r="V1823" s="101"/>
      <c r="W1823" s="101"/>
      <c r="X1823" s="97"/>
      <c r="Y1823" s="101"/>
      <c r="AB1823" s="97"/>
      <c r="AC1823" s="97"/>
      <c r="AD1823" s="97"/>
      <c r="AS1823" s="101"/>
      <c r="AT1823" s="101"/>
      <c r="AU1823" s="101"/>
      <c r="AV1823" s="101"/>
      <c r="AW1823" s="101"/>
      <c r="AX1823" s="101"/>
      <c r="AY1823" s="101"/>
      <c r="AZ1823" s="101"/>
      <c r="BA1823" s="101"/>
      <c r="BB1823" s="101"/>
      <c r="BC1823" s="101"/>
      <c r="BD1823" s="101"/>
      <c r="BE1823" s="101"/>
      <c r="BF1823" s="101"/>
      <c r="BG1823" s="101"/>
      <c r="BH1823" s="101"/>
      <c r="BI1823" s="101"/>
      <c r="BJ1823" s="97"/>
      <c r="BL1823" s="97"/>
      <c r="BN1823" s="97"/>
      <c r="CA1823" s="154"/>
    </row>
    <row r="1824" spans="3:79" s="99" customFormat="1" ht="17.25">
      <c r="C1824" s="136" t="s">
        <v>2166</v>
      </c>
      <c r="E1824" s="97"/>
      <c r="F1824" s="97"/>
      <c r="G1824" s="101"/>
      <c r="O1824" s="97"/>
      <c r="P1824" s="180"/>
      <c r="Q1824" s="97"/>
      <c r="R1824" s="97"/>
      <c r="S1824" s="210"/>
      <c r="T1824" s="210"/>
      <c r="U1824" s="97"/>
      <c r="V1824" s="101"/>
      <c r="W1824" s="101"/>
      <c r="X1824" s="97"/>
      <c r="Y1824" s="101"/>
      <c r="AB1824" s="97"/>
      <c r="AC1824" s="97"/>
      <c r="AD1824" s="97"/>
      <c r="AS1824" s="101"/>
      <c r="AT1824" s="101"/>
      <c r="AU1824" s="101"/>
      <c r="AV1824" s="101"/>
      <c r="AW1824" s="101"/>
      <c r="AX1824" s="101"/>
      <c r="AY1824" s="101"/>
      <c r="AZ1824" s="101"/>
      <c r="BA1824" s="101"/>
      <c r="BB1824" s="101"/>
      <c r="BC1824" s="101"/>
      <c r="BD1824" s="101"/>
      <c r="BE1824" s="101"/>
      <c r="BF1824" s="101"/>
      <c r="BG1824" s="101"/>
      <c r="BH1824" s="101"/>
      <c r="BI1824" s="101"/>
      <c r="BJ1824" s="97"/>
      <c r="BL1824" s="97"/>
      <c r="BN1824" s="97"/>
      <c r="CA1824" s="154"/>
    </row>
    <row r="1825" spans="3:79" s="99" customFormat="1" ht="17.25">
      <c r="C1825" s="136" t="s">
        <v>2167</v>
      </c>
      <c r="E1825" s="97"/>
      <c r="F1825" s="97"/>
      <c r="G1825" s="101"/>
      <c r="O1825" s="97"/>
      <c r="P1825" s="180"/>
      <c r="Q1825" s="97"/>
      <c r="R1825" s="97"/>
      <c r="S1825" s="210"/>
      <c r="T1825" s="210"/>
      <c r="U1825" s="97"/>
      <c r="V1825" s="101"/>
      <c r="W1825" s="101"/>
      <c r="X1825" s="97"/>
      <c r="Y1825" s="101"/>
      <c r="AB1825" s="97"/>
      <c r="AC1825" s="97"/>
      <c r="AD1825" s="97"/>
      <c r="AS1825" s="101"/>
      <c r="AT1825" s="101"/>
      <c r="AU1825" s="101"/>
      <c r="AV1825" s="101"/>
      <c r="AW1825" s="101"/>
      <c r="AX1825" s="101"/>
      <c r="AY1825" s="101"/>
      <c r="AZ1825" s="101"/>
      <c r="BA1825" s="101"/>
      <c r="BB1825" s="101"/>
      <c r="BC1825" s="101"/>
      <c r="BD1825" s="101"/>
      <c r="BE1825" s="101"/>
      <c r="BF1825" s="101"/>
      <c r="BG1825" s="101"/>
      <c r="BH1825" s="101"/>
      <c r="BI1825" s="101"/>
      <c r="BJ1825" s="97"/>
      <c r="BL1825" s="97"/>
      <c r="BN1825" s="97"/>
      <c r="CA1825" s="154"/>
    </row>
    <row r="1826" spans="3:79" s="99" customFormat="1" ht="17.25">
      <c r="C1826" s="136" t="s">
        <v>2168</v>
      </c>
      <c r="E1826" s="97"/>
      <c r="F1826" s="97"/>
      <c r="G1826" s="101"/>
      <c r="O1826" s="97"/>
      <c r="P1826" s="180"/>
      <c r="Q1826" s="97"/>
      <c r="R1826" s="97"/>
      <c r="S1826" s="210"/>
      <c r="T1826" s="210"/>
      <c r="U1826" s="97"/>
      <c r="V1826" s="101"/>
      <c r="W1826" s="101"/>
      <c r="X1826" s="97"/>
      <c r="Y1826" s="101"/>
      <c r="AB1826" s="97"/>
      <c r="AC1826" s="97"/>
      <c r="AD1826" s="97"/>
      <c r="AS1826" s="101"/>
      <c r="AT1826" s="101"/>
      <c r="AU1826" s="101"/>
      <c r="AV1826" s="101"/>
      <c r="AW1826" s="101"/>
      <c r="AX1826" s="101"/>
      <c r="AY1826" s="101"/>
      <c r="AZ1826" s="101"/>
      <c r="BA1826" s="101"/>
      <c r="BB1826" s="101"/>
      <c r="BC1826" s="101"/>
      <c r="BD1826" s="101"/>
      <c r="BE1826" s="101"/>
      <c r="BF1826" s="101"/>
      <c r="BG1826" s="101"/>
      <c r="BH1826" s="101"/>
      <c r="BI1826" s="101"/>
      <c r="BJ1826" s="97"/>
      <c r="BL1826" s="97"/>
      <c r="BN1826" s="97"/>
      <c r="CA1826" s="154"/>
    </row>
    <row r="1827" spans="3:79" s="99" customFormat="1" ht="17.25">
      <c r="C1827" s="136" t="s">
        <v>2169</v>
      </c>
      <c r="E1827" s="97"/>
      <c r="F1827" s="97"/>
      <c r="G1827" s="101"/>
      <c r="O1827" s="97"/>
      <c r="P1827" s="180"/>
      <c r="Q1827" s="97"/>
      <c r="R1827" s="97"/>
      <c r="S1827" s="210"/>
      <c r="T1827" s="210"/>
      <c r="U1827" s="97"/>
      <c r="V1827" s="101"/>
      <c r="W1827" s="101"/>
      <c r="X1827" s="97"/>
      <c r="Y1827" s="101"/>
      <c r="AB1827" s="97"/>
      <c r="AC1827" s="97"/>
      <c r="AD1827" s="97"/>
      <c r="AS1827" s="101"/>
      <c r="AT1827" s="101"/>
      <c r="AU1827" s="101"/>
      <c r="AV1827" s="101"/>
      <c r="AW1827" s="101"/>
      <c r="AX1827" s="101"/>
      <c r="AY1827" s="101"/>
      <c r="AZ1827" s="101"/>
      <c r="BA1827" s="101"/>
      <c r="BB1827" s="101"/>
      <c r="BC1827" s="101"/>
      <c r="BD1827" s="101"/>
      <c r="BE1827" s="101"/>
      <c r="BF1827" s="101"/>
      <c r="BG1827" s="101"/>
      <c r="BH1827" s="101"/>
      <c r="BI1827" s="101"/>
      <c r="BJ1827" s="97"/>
      <c r="BL1827" s="97"/>
      <c r="BN1827" s="97"/>
      <c r="CA1827" s="154"/>
    </row>
    <row r="1828" spans="3:79" s="99" customFormat="1" ht="13.5">
      <c r="C1828" s="136"/>
      <c r="E1828" s="97"/>
      <c r="F1828" s="97"/>
      <c r="G1828" s="98"/>
      <c r="O1828" s="97"/>
      <c r="P1828" s="180"/>
      <c r="Q1828" s="97"/>
      <c r="R1828" s="97"/>
      <c r="S1828" s="210"/>
      <c r="T1828" s="210"/>
      <c r="U1828" s="97"/>
      <c r="V1828" s="98"/>
      <c r="W1828" s="98"/>
      <c r="X1828" s="97"/>
      <c r="Y1828" s="98"/>
      <c r="AB1828" s="97"/>
      <c r="AC1828" s="97"/>
      <c r="AD1828" s="97"/>
      <c r="AS1828" s="98"/>
      <c r="AT1828" s="98"/>
      <c r="AU1828" s="98"/>
      <c r="AV1828" s="98"/>
      <c r="AW1828" s="98"/>
      <c r="AX1828" s="98"/>
      <c r="AY1828" s="98"/>
      <c r="AZ1828" s="98"/>
      <c r="BA1828" s="98"/>
      <c r="BB1828" s="98"/>
      <c r="BC1828" s="98"/>
      <c r="BD1828" s="98"/>
      <c r="BE1828" s="98"/>
      <c r="BF1828" s="98"/>
      <c r="BG1828" s="98"/>
      <c r="BH1828" s="98"/>
      <c r="BI1828" s="98"/>
      <c r="BJ1828" s="97"/>
      <c r="BL1828" s="97"/>
      <c r="BN1828" s="97"/>
      <c r="CA1828" s="154"/>
    </row>
    <row r="1829" spans="3:79" s="99" customFormat="1" ht="13.5">
      <c r="C1829" s="136"/>
      <c r="E1829" s="97"/>
      <c r="F1829" s="97"/>
      <c r="G1829" s="98"/>
      <c r="O1829" s="97"/>
      <c r="P1829" s="180"/>
      <c r="Q1829" s="97"/>
      <c r="R1829" s="97"/>
      <c r="S1829" s="210"/>
      <c r="T1829" s="210"/>
      <c r="U1829" s="97"/>
      <c r="V1829" s="98"/>
      <c r="W1829" s="98"/>
      <c r="X1829" s="97"/>
      <c r="Y1829" s="98"/>
      <c r="AB1829" s="97"/>
      <c r="AC1829" s="97"/>
      <c r="AD1829" s="97"/>
      <c r="AS1829" s="98"/>
      <c r="AT1829" s="98"/>
      <c r="AU1829" s="98"/>
      <c r="AV1829" s="98"/>
      <c r="AW1829" s="98"/>
      <c r="AX1829" s="98"/>
      <c r="AY1829" s="98"/>
      <c r="AZ1829" s="98"/>
      <c r="BA1829" s="98"/>
      <c r="BB1829" s="98"/>
      <c r="BC1829" s="98"/>
      <c r="BD1829" s="98"/>
      <c r="BE1829" s="98"/>
      <c r="BF1829" s="98"/>
      <c r="BG1829" s="98"/>
      <c r="BH1829" s="98"/>
      <c r="BI1829" s="98"/>
      <c r="BJ1829" s="97"/>
      <c r="BL1829" s="97"/>
      <c r="BN1829" s="97"/>
      <c r="CA1829" s="154"/>
    </row>
    <row r="1830" spans="3:79" s="99" customFormat="1" ht="13.5">
      <c r="C1830" s="136"/>
      <c r="E1830" s="97"/>
      <c r="F1830" s="97"/>
      <c r="G1830" s="98"/>
      <c r="O1830" s="97"/>
      <c r="P1830" s="180"/>
      <c r="Q1830" s="97"/>
      <c r="R1830" s="97"/>
      <c r="S1830" s="210"/>
      <c r="T1830" s="210"/>
      <c r="U1830" s="97"/>
      <c r="V1830" s="98"/>
      <c r="W1830" s="98"/>
      <c r="X1830" s="97"/>
      <c r="Y1830" s="98"/>
      <c r="AB1830" s="97"/>
      <c r="AC1830" s="97"/>
      <c r="AD1830" s="97"/>
      <c r="AS1830" s="98"/>
      <c r="AT1830" s="98"/>
      <c r="AU1830" s="98"/>
      <c r="AV1830" s="98"/>
      <c r="AW1830" s="98"/>
      <c r="AX1830" s="98"/>
      <c r="AY1830" s="98"/>
      <c r="AZ1830" s="98"/>
      <c r="BA1830" s="98"/>
      <c r="BB1830" s="98"/>
      <c r="BC1830" s="98"/>
      <c r="BD1830" s="98"/>
      <c r="BE1830" s="98"/>
      <c r="BF1830" s="98"/>
      <c r="BG1830" s="98"/>
      <c r="BH1830" s="98"/>
      <c r="BI1830" s="98"/>
      <c r="BJ1830" s="97"/>
      <c r="BL1830" s="97"/>
      <c r="BN1830" s="97"/>
      <c r="CA1830" s="154"/>
    </row>
    <row r="1831" spans="3:79" s="103" customFormat="1" ht="13.5">
      <c r="C1831" s="136"/>
      <c r="E1831" s="102"/>
      <c r="F1831" s="102"/>
      <c r="G1831" s="102"/>
      <c r="O1831" s="102"/>
      <c r="P1831" s="183"/>
      <c r="Q1831" s="102"/>
      <c r="R1831" s="102"/>
      <c r="S1831" s="212"/>
      <c r="T1831" s="212"/>
      <c r="U1831" s="102"/>
      <c r="V1831" s="102"/>
      <c r="W1831" s="102"/>
      <c r="X1831" s="102"/>
      <c r="Y1831" s="102"/>
      <c r="AB1831" s="102"/>
      <c r="AC1831" s="102"/>
      <c r="AD1831" s="102"/>
      <c r="AS1831" s="102"/>
      <c r="AT1831" s="102"/>
      <c r="AU1831" s="102"/>
      <c r="AV1831" s="102"/>
      <c r="AW1831" s="102"/>
      <c r="AX1831" s="102"/>
      <c r="AY1831" s="102"/>
      <c r="AZ1831" s="102"/>
      <c r="BA1831" s="102"/>
      <c r="BB1831" s="102"/>
      <c r="BC1831" s="102"/>
      <c r="BD1831" s="102"/>
      <c r="BE1831" s="102"/>
      <c r="BF1831" s="102"/>
      <c r="BG1831" s="102"/>
      <c r="BH1831" s="102"/>
      <c r="BI1831" s="102"/>
      <c r="BJ1831" s="102"/>
      <c r="BN1831" s="102"/>
      <c r="CA1831" s="156"/>
    </row>
    <row r="1832" spans="3:79" s="105" customFormat="1" ht="13.5">
      <c r="C1832" s="136" t="s">
        <v>2080</v>
      </c>
      <c r="E1832" s="103"/>
      <c r="F1832" s="103" t="s">
        <v>45</v>
      </c>
      <c r="G1832" s="104"/>
      <c r="O1832" s="103"/>
      <c r="P1832" s="184"/>
      <c r="Q1832" s="103"/>
      <c r="R1832" s="103"/>
      <c r="S1832" s="213"/>
      <c r="T1832" s="213"/>
      <c r="U1832" s="103"/>
      <c r="V1832" s="104"/>
      <c r="W1832" s="104"/>
      <c r="X1832" s="103"/>
      <c r="Y1832" s="104"/>
      <c r="AB1832" s="103" t="s">
        <v>42</v>
      </c>
      <c r="AC1832" s="103"/>
      <c r="AD1832" s="103" t="s">
        <v>35</v>
      </c>
      <c r="AS1832" s="104"/>
      <c r="AT1832" s="104"/>
      <c r="AU1832" s="104"/>
      <c r="AV1832" s="104"/>
      <c r="AW1832" s="104"/>
      <c r="AX1832" s="104"/>
      <c r="AY1832" s="104"/>
      <c r="AZ1832" s="104"/>
      <c r="BA1832" s="104"/>
      <c r="BB1832" s="104"/>
      <c r="BC1832" s="104"/>
      <c r="BD1832" s="104"/>
      <c r="BE1832" s="104"/>
      <c r="BF1832" s="104"/>
      <c r="BG1832" s="104"/>
      <c r="BH1832" s="104"/>
      <c r="BI1832" s="104"/>
      <c r="BJ1832" s="103"/>
      <c r="BL1832" s="103"/>
      <c r="BN1832" s="103"/>
      <c r="CA1832" s="156"/>
    </row>
    <row r="1833" spans="3:79" s="105" customFormat="1" ht="13.5">
      <c r="C1833" s="136" t="s">
        <v>2081</v>
      </c>
      <c r="E1833" s="103"/>
      <c r="F1833" s="103" t="s">
        <v>45</v>
      </c>
      <c r="G1833" s="104"/>
      <c r="O1833" s="103"/>
      <c r="P1833" s="184"/>
      <c r="Q1833" s="103"/>
      <c r="R1833" s="103"/>
      <c r="S1833" s="213"/>
      <c r="T1833" s="213"/>
      <c r="U1833" s="103"/>
      <c r="V1833" s="104"/>
      <c r="W1833" s="104"/>
      <c r="X1833" s="103"/>
      <c r="Y1833" s="104"/>
      <c r="AB1833" s="103" t="s">
        <v>42</v>
      </c>
      <c r="AC1833" s="103"/>
      <c r="AD1833" s="103" t="s">
        <v>35</v>
      </c>
      <c r="AS1833" s="104"/>
      <c r="AT1833" s="104"/>
      <c r="AU1833" s="104"/>
      <c r="AV1833" s="104"/>
      <c r="AW1833" s="104"/>
      <c r="AX1833" s="104"/>
      <c r="AY1833" s="104"/>
      <c r="AZ1833" s="104"/>
      <c r="BA1833" s="104"/>
      <c r="BB1833" s="104"/>
      <c r="BC1833" s="104"/>
      <c r="BD1833" s="104"/>
      <c r="BE1833" s="104"/>
      <c r="BF1833" s="104"/>
      <c r="BG1833" s="104"/>
      <c r="BH1833" s="104"/>
      <c r="BI1833" s="104"/>
      <c r="BJ1833" s="103"/>
      <c r="BL1833" s="103"/>
      <c r="BN1833" s="103"/>
      <c r="CA1833" s="156"/>
    </row>
    <row r="1834" spans="3:79" s="105" customFormat="1" ht="13.5">
      <c r="C1834" s="136" t="s">
        <v>2082</v>
      </c>
      <c r="E1834" s="103"/>
      <c r="F1834" s="103" t="s">
        <v>45</v>
      </c>
      <c r="O1834" s="103"/>
      <c r="P1834" s="184"/>
      <c r="Q1834" s="103"/>
      <c r="R1834" s="103"/>
      <c r="S1834" s="213"/>
      <c r="T1834" s="213"/>
      <c r="U1834" s="103"/>
      <c r="X1834" s="103"/>
      <c r="AB1834" s="103" t="s">
        <v>42</v>
      </c>
      <c r="AC1834" s="103"/>
      <c r="AD1834" s="103" t="s">
        <v>35</v>
      </c>
      <c r="BJ1834" s="103"/>
      <c r="BL1834" s="103"/>
      <c r="BN1834" s="103"/>
      <c r="CA1834" s="156"/>
    </row>
    <row r="1835" spans="3:79" s="105" customFormat="1" ht="13.5">
      <c r="C1835" s="136" t="s">
        <v>2083</v>
      </c>
      <c r="E1835" s="103"/>
      <c r="F1835" s="103" t="s">
        <v>45</v>
      </c>
      <c r="G1835" s="104"/>
      <c r="O1835" s="103"/>
      <c r="P1835" s="184"/>
      <c r="Q1835" s="103"/>
      <c r="R1835" s="103"/>
      <c r="S1835" s="213"/>
      <c r="T1835" s="213"/>
      <c r="U1835" s="103"/>
      <c r="V1835" s="104"/>
      <c r="W1835" s="104"/>
      <c r="X1835" s="103"/>
      <c r="Y1835" s="104"/>
      <c r="AB1835" s="103" t="s">
        <v>42</v>
      </c>
      <c r="AC1835" s="103"/>
      <c r="AD1835" s="103" t="s">
        <v>35</v>
      </c>
      <c r="AS1835" s="104"/>
      <c r="AT1835" s="104"/>
      <c r="AU1835" s="104"/>
      <c r="AV1835" s="104"/>
      <c r="AW1835" s="104"/>
      <c r="AX1835" s="104"/>
      <c r="AY1835" s="104"/>
      <c r="AZ1835" s="104"/>
      <c r="BA1835" s="104"/>
      <c r="BB1835" s="104"/>
      <c r="BC1835" s="104"/>
      <c r="BD1835" s="104"/>
      <c r="BE1835" s="104"/>
      <c r="BF1835" s="104"/>
      <c r="BG1835" s="104"/>
      <c r="BH1835" s="104"/>
      <c r="BI1835" s="104"/>
      <c r="BJ1835" s="103"/>
      <c r="BL1835" s="103"/>
      <c r="BN1835" s="103"/>
      <c r="CA1835" s="156"/>
    </row>
    <row r="1836" spans="3:79" s="105" customFormat="1" ht="13.5">
      <c r="C1836" s="136" t="s">
        <v>2084</v>
      </c>
      <c r="E1836" s="103"/>
      <c r="F1836" s="103" t="s">
        <v>45</v>
      </c>
      <c r="G1836" s="104"/>
      <c r="O1836" s="103"/>
      <c r="P1836" s="184"/>
      <c r="Q1836" s="103"/>
      <c r="R1836" s="103"/>
      <c r="S1836" s="213"/>
      <c r="T1836" s="213"/>
      <c r="U1836" s="103"/>
      <c r="V1836" s="104"/>
      <c r="W1836" s="104"/>
      <c r="X1836" s="103"/>
      <c r="Y1836" s="104"/>
      <c r="AB1836" s="103" t="s">
        <v>42</v>
      </c>
      <c r="AC1836" s="103"/>
      <c r="AD1836" s="103" t="s">
        <v>35</v>
      </c>
      <c r="AS1836" s="104"/>
      <c r="AT1836" s="104"/>
      <c r="AU1836" s="104"/>
      <c r="AV1836" s="104"/>
      <c r="AW1836" s="104"/>
      <c r="AX1836" s="104"/>
      <c r="AY1836" s="104"/>
      <c r="AZ1836" s="104"/>
      <c r="BA1836" s="104"/>
      <c r="BB1836" s="104"/>
      <c r="BC1836" s="104"/>
      <c r="BD1836" s="104"/>
      <c r="BE1836" s="104"/>
      <c r="BF1836" s="104"/>
      <c r="BG1836" s="104"/>
      <c r="BH1836" s="104"/>
      <c r="BI1836" s="104"/>
      <c r="BJ1836" s="103"/>
      <c r="BL1836" s="103"/>
      <c r="BN1836" s="103"/>
      <c r="CA1836" s="156"/>
    </row>
    <row r="1837" spans="3:79" s="105" customFormat="1" ht="13.5">
      <c r="C1837" s="136" t="s">
        <v>2085</v>
      </c>
      <c r="E1837" s="103"/>
      <c r="F1837" s="103" t="s">
        <v>45</v>
      </c>
      <c r="G1837" s="104"/>
      <c r="O1837" s="103"/>
      <c r="P1837" s="184"/>
      <c r="Q1837" s="103"/>
      <c r="R1837" s="103"/>
      <c r="S1837" s="213"/>
      <c r="T1837" s="213"/>
      <c r="U1837" s="103"/>
      <c r="V1837" s="104"/>
      <c r="W1837" s="104"/>
      <c r="X1837" s="103"/>
      <c r="Y1837" s="104"/>
      <c r="AB1837" s="103" t="s">
        <v>42</v>
      </c>
      <c r="AC1837" s="103"/>
      <c r="AD1837" s="103" t="s">
        <v>35</v>
      </c>
      <c r="AS1837" s="104"/>
      <c r="AT1837" s="104"/>
      <c r="AU1837" s="104"/>
      <c r="AV1837" s="104"/>
      <c r="AW1837" s="104"/>
      <c r="AX1837" s="104"/>
      <c r="AY1837" s="104"/>
      <c r="AZ1837" s="104"/>
      <c r="BA1837" s="104"/>
      <c r="BB1837" s="104"/>
      <c r="BC1837" s="104"/>
      <c r="BD1837" s="104"/>
      <c r="BE1837" s="104"/>
      <c r="BF1837" s="104"/>
      <c r="BG1837" s="104"/>
      <c r="BH1837" s="104"/>
      <c r="BI1837" s="104"/>
      <c r="BJ1837" s="103">
        <v>1</v>
      </c>
      <c r="BL1837" s="103"/>
      <c r="BN1837" s="103"/>
      <c r="CA1837" s="156"/>
    </row>
    <row r="1838" spans="3:79" s="105" customFormat="1" ht="13.5">
      <c r="C1838" s="136" t="s">
        <v>2086</v>
      </c>
      <c r="E1838" s="103"/>
      <c r="F1838" s="103" t="s">
        <v>45</v>
      </c>
      <c r="G1838" s="104"/>
      <c r="O1838" s="103"/>
      <c r="P1838" s="184"/>
      <c r="Q1838" s="103"/>
      <c r="R1838" s="103"/>
      <c r="S1838" s="213"/>
      <c r="T1838" s="213"/>
      <c r="U1838" s="103"/>
      <c r="V1838" s="104"/>
      <c r="W1838" s="104"/>
      <c r="X1838" s="103"/>
      <c r="Y1838" s="104"/>
      <c r="AB1838" s="103" t="s">
        <v>42</v>
      </c>
      <c r="AC1838" s="103"/>
      <c r="AD1838" s="103" t="s">
        <v>35</v>
      </c>
      <c r="AS1838" s="104"/>
      <c r="AT1838" s="104"/>
      <c r="AU1838" s="104"/>
      <c r="AV1838" s="104"/>
      <c r="AW1838" s="104"/>
      <c r="AX1838" s="104"/>
      <c r="AY1838" s="104"/>
      <c r="AZ1838" s="104"/>
      <c r="BA1838" s="104"/>
      <c r="BB1838" s="104"/>
      <c r="BC1838" s="104"/>
      <c r="BD1838" s="104"/>
      <c r="BE1838" s="104"/>
      <c r="BF1838" s="104"/>
      <c r="BG1838" s="104"/>
      <c r="BH1838" s="104"/>
      <c r="BI1838" s="104"/>
      <c r="BJ1838" s="103">
        <v>2</v>
      </c>
      <c r="BL1838" s="103"/>
      <c r="BN1838" s="103"/>
      <c r="CA1838" s="156"/>
    </row>
    <row r="1839" spans="3:79" s="105" customFormat="1" ht="13.5">
      <c r="C1839" s="136" t="s">
        <v>2087</v>
      </c>
      <c r="E1839" s="103"/>
      <c r="F1839" s="103" t="s">
        <v>45</v>
      </c>
      <c r="G1839" s="104"/>
      <c r="O1839" s="103"/>
      <c r="P1839" s="184"/>
      <c r="Q1839" s="103"/>
      <c r="R1839" s="103"/>
      <c r="S1839" s="213"/>
      <c r="T1839" s="213"/>
      <c r="U1839" s="103"/>
      <c r="V1839" s="104"/>
      <c r="W1839" s="104"/>
      <c r="X1839" s="103"/>
      <c r="Y1839" s="104"/>
      <c r="AB1839" s="103" t="s">
        <v>42</v>
      </c>
      <c r="AC1839" s="103"/>
      <c r="AD1839" s="103" t="s">
        <v>35</v>
      </c>
      <c r="AS1839" s="104"/>
      <c r="AT1839" s="104"/>
      <c r="AU1839" s="104"/>
      <c r="AV1839" s="104"/>
      <c r="AW1839" s="104"/>
      <c r="AX1839" s="104"/>
      <c r="AY1839" s="104"/>
      <c r="AZ1839" s="104"/>
      <c r="BA1839" s="104"/>
      <c r="BB1839" s="104"/>
      <c r="BC1839" s="104"/>
      <c r="BD1839" s="104"/>
      <c r="BE1839" s="104"/>
      <c r="BF1839" s="104"/>
      <c r="BG1839" s="104"/>
      <c r="BH1839" s="104"/>
      <c r="BI1839" s="104"/>
      <c r="BJ1839" s="103"/>
      <c r="BL1839" s="103"/>
      <c r="BN1839" s="103"/>
      <c r="CA1839" s="156"/>
    </row>
    <row r="1840" spans="3:79" s="105" customFormat="1" ht="13.5">
      <c r="C1840" s="136" t="s">
        <v>2088</v>
      </c>
      <c r="E1840" s="103"/>
      <c r="F1840" s="103" t="s">
        <v>45</v>
      </c>
      <c r="G1840" s="104"/>
      <c r="O1840" s="103"/>
      <c r="P1840" s="184"/>
      <c r="Q1840" s="103"/>
      <c r="R1840" s="103"/>
      <c r="S1840" s="213"/>
      <c r="T1840" s="213"/>
      <c r="U1840" s="103"/>
      <c r="V1840" s="104"/>
      <c r="W1840" s="104"/>
      <c r="X1840" s="103"/>
      <c r="Y1840" s="104"/>
      <c r="AB1840" s="103" t="s">
        <v>42</v>
      </c>
      <c r="AC1840" s="103"/>
      <c r="AD1840" s="103" t="s">
        <v>35</v>
      </c>
      <c r="AS1840" s="104"/>
      <c r="AT1840" s="104"/>
      <c r="AU1840" s="104"/>
      <c r="AV1840" s="104"/>
      <c r="AW1840" s="104"/>
      <c r="AX1840" s="104"/>
      <c r="AY1840" s="104"/>
      <c r="AZ1840" s="104"/>
      <c r="BA1840" s="104"/>
      <c r="BB1840" s="104"/>
      <c r="BC1840" s="104"/>
      <c r="BD1840" s="104"/>
      <c r="BE1840" s="104"/>
      <c r="BF1840" s="104"/>
      <c r="BG1840" s="104"/>
      <c r="BH1840" s="104"/>
      <c r="BI1840" s="104"/>
      <c r="BJ1840" s="103"/>
      <c r="BL1840" s="103"/>
      <c r="BN1840" s="103"/>
      <c r="CA1840" s="156"/>
    </row>
    <row r="1841" spans="3:79" s="105" customFormat="1" ht="13.5">
      <c r="C1841" s="136" t="s">
        <v>2089</v>
      </c>
      <c r="E1841" s="103"/>
      <c r="F1841" s="103" t="s">
        <v>45</v>
      </c>
      <c r="G1841" s="104"/>
      <c r="O1841" s="103"/>
      <c r="P1841" s="184"/>
      <c r="Q1841" s="103"/>
      <c r="R1841" s="103"/>
      <c r="S1841" s="213"/>
      <c r="T1841" s="213"/>
      <c r="U1841" s="103"/>
      <c r="V1841" s="104"/>
      <c r="W1841" s="104"/>
      <c r="X1841" s="103"/>
      <c r="Y1841" s="104"/>
      <c r="AB1841" s="103" t="s">
        <v>42</v>
      </c>
      <c r="AC1841" s="103"/>
      <c r="AD1841" s="103" t="s">
        <v>35</v>
      </c>
      <c r="AS1841" s="104"/>
      <c r="AT1841" s="104"/>
      <c r="AU1841" s="104"/>
      <c r="AV1841" s="104"/>
      <c r="AW1841" s="104"/>
      <c r="AX1841" s="104"/>
      <c r="AY1841" s="104"/>
      <c r="AZ1841" s="104"/>
      <c r="BA1841" s="104"/>
      <c r="BB1841" s="104"/>
      <c r="BC1841" s="104"/>
      <c r="BD1841" s="104"/>
      <c r="BE1841" s="104"/>
      <c r="BF1841" s="104"/>
      <c r="BG1841" s="104"/>
      <c r="BH1841" s="104"/>
      <c r="BI1841" s="104"/>
      <c r="BJ1841" s="103"/>
      <c r="BL1841" s="103"/>
      <c r="BN1841" s="103"/>
      <c r="CA1841" s="156"/>
    </row>
    <row r="1842" spans="3:79" s="105" customFormat="1" ht="13.5">
      <c r="C1842" s="136" t="s">
        <v>2090</v>
      </c>
      <c r="E1842" s="103"/>
      <c r="F1842" s="103" t="s">
        <v>45</v>
      </c>
      <c r="G1842" s="104"/>
      <c r="O1842" s="103"/>
      <c r="P1842" s="184"/>
      <c r="Q1842" s="103"/>
      <c r="R1842" s="103"/>
      <c r="S1842" s="213"/>
      <c r="T1842" s="213"/>
      <c r="U1842" s="103"/>
      <c r="V1842" s="104"/>
      <c r="W1842" s="104"/>
      <c r="X1842" s="103"/>
      <c r="Y1842" s="104"/>
      <c r="AB1842" s="103" t="s">
        <v>42</v>
      </c>
      <c r="AC1842" s="103"/>
      <c r="AD1842" s="103" t="s">
        <v>35</v>
      </c>
      <c r="AS1842" s="104"/>
      <c r="AT1842" s="104"/>
      <c r="AU1842" s="104"/>
      <c r="AV1842" s="104"/>
      <c r="AW1842" s="104"/>
      <c r="AX1842" s="104"/>
      <c r="AY1842" s="104"/>
      <c r="AZ1842" s="104"/>
      <c r="BA1842" s="104"/>
      <c r="BB1842" s="104"/>
      <c r="BC1842" s="104"/>
      <c r="BD1842" s="104"/>
      <c r="BE1842" s="104"/>
      <c r="BF1842" s="104"/>
      <c r="BG1842" s="104"/>
      <c r="BH1842" s="104"/>
      <c r="BI1842" s="104"/>
      <c r="BJ1842" s="103"/>
      <c r="BL1842" s="103"/>
      <c r="BN1842" s="103"/>
      <c r="CA1842" s="156"/>
    </row>
    <row r="1843" spans="3:79" s="105" customFormat="1" ht="13.5">
      <c r="C1843" s="136" t="s">
        <v>2091</v>
      </c>
      <c r="E1843" s="103"/>
      <c r="F1843" s="103" t="s">
        <v>45</v>
      </c>
      <c r="G1843" s="104"/>
      <c r="O1843" s="103"/>
      <c r="P1843" s="184"/>
      <c r="Q1843" s="103"/>
      <c r="R1843" s="103"/>
      <c r="S1843" s="213"/>
      <c r="T1843" s="213"/>
      <c r="U1843" s="103"/>
      <c r="V1843" s="104"/>
      <c r="W1843" s="104"/>
      <c r="X1843" s="103"/>
      <c r="Y1843" s="104"/>
      <c r="AB1843" s="103" t="s">
        <v>42</v>
      </c>
      <c r="AC1843" s="103"/>
      <c r="AD1843" s="103" t="s">
        <v>35</v>
      </c>
      <c r="AS1843" s="104"/>
      <c r="AT1843" s="104"/>
      <c r="AU1843" s="104"/>
      <c r="AV1843" s="104"/>
      <c r="AW1843" s="104"/>
      <c r="AX1843" s="104"/>
      <c r="AY1843" s="104"/>
      <c r="AZ1843" s="104"/>
      <c r="BA1843" s="104"/>
      <c r="BB1843" s="104"/>
      <c r="BC1843" s="104"/>
      <c r="BD1843" s="104"/>
      <c r="BE1843" s="104"/>
      <c r="BF1843" s="104"/>
      <c r="BG1843" s="104"/>
      <c r="BH1843" s="104"/>
      <c r="BI1843" s="104"/>
      <c r="BJ1843" s="103"/>
      <c r="BL1843" s="103"/>
      <c r="BN1843" s="103"/>
      <c r="CA1843" s="156"/>
    </row>
    <row r="1844" spans="3:79" s="105" customFormat="1" ht="13.5">
      <c r="C1844" s="136" t="s">
        <v>2092</v>
      </c>
      <c r="E1844" s="103"/>
      <c r="F1844" s="103" t="s">
        <v>45</v>
      </c>
      <c r="G1844" s="104"/>
      <c r="O1844" s="103"/>
      <c r="P1844" s="184"/>
      <c r="Q1844" s="103"/>
      <c r="R1844" s="103"/>
      <c r="S1844" s="213"/>
      <c r="T1844" s="213"/>
      <c r="U1844" s="103"/>
      <c r="V1844" s="104"/>
      <c r="W1844" s="104"/>
      <c r="X1844" s="103"/>
      <c r="Y1844" s="104"/>
      <c r="AB1844" s="103" t="s">
        <v>42</v>
      </c>
      <c r="AC1844" s="103"/>
      <c r="AD1844" s="103" t="s">
        <v>35</v>
      </c>
      <c r="AS1844" s="104"/>
      <c r="AT1844" s="104"/>
      <c r="AU1844" s="104"/>
      <c r="AV1844" s="104"/>
      <c r="AW1844" s="104"/>
      <c r="AX1844" s="104"/>
      <c r="AY1844" s="104"/>
      <c r="AZ1844" s="104"/>
      <c r="BA1844" s="104"/>
      <c r="BB1844" s="104"/>
      <c r="BC1844" s="104"/>
      <c r="BD1844" s="104"/>
      <c r="BE1844" s="104"/>
      <c r="BF1844" s="104"/>
      <c r="BG1844" s="104"/>
      <c r="BH1844" s="104"/>
      <c r="BI1844" s="104"/>
      <c r="BJ1844" s="103"/>
      <c r="BL1844" s="103"/>
      <c r="BN1844" s="103"/>
      <c r="CA1844" s="156"/>
    </row>
    <row r="1845" spans="3:79" s="105" customFormat="1" ht="13.5">
      <c r="C1845" s="136" t="s">
        <v>2093</v>
      </c>
      <c r="E1845" s="103"/>
      <c r="F1845" s="103" t="s">
        <v>45</v>
      </c>
      <c r="G1845" s="104"/>
      <c r="O1845" s="103"/>
      <c r="P1845" s="184"/>
      <c r="Q1845" s="103"/>
      <c r="R1845" s="103"/>
      <c r="S1845" s="213"/>
      <c r="T1845" s="213"/>
      <c r="U1845" s="103"/>
      <c r="V1845" s="104"/>
      <c r="W1845" s="104"/>
      <c r="X1845" s="103"/>
      <c r="Y1845" s="104"/>
      <c r="AB1845" s="103" t="s">
        <v>42</v>
      </c>
      <c r="AC1845" s="103"/>
      <c r="AD1845" s="103" t="s">
        <v>35</v>
      </c>
      <c r="AS1845" s="104"/>
      <c r="AT1845" s="104"/>
      <c r="AU1845" s="104"/>
      <c r="AV1845" s="104"/>
      <c r="AW1845" s="104"/>
      <c r="AX1845" s="104"/>
      <c r="AY1845" s="104"/>
      <c r="AZ1845" s="104"/>
      <c r="BA1845" s="104"/>
      <c r="BB1845" s="104"/>
      <c r="BC1845" s="104"/>
      <c r="BD1845" s="104"/>
      <c r="BE1845" s="104"/>
      <c r="BF1845" s="104"/>
      <c r="BG1845" s="104"/>
      <c r="BH1845" s="104"/>
      <c r="BI1845" s="104"/>
      <c r="BJ1845" s="103"/>
      <c r="BL1845" s="103"/>
      <c r="BN1845" s="103"/>
      <c r="CA1845" s="156"/>
    </row>
    <row r="1846" spans="3:79" s="105" customFormat="1" ht="13.5">
      <c r="C1846" s="136" t="s">
        <v>2094</v>
      </c>
      <c r="E1846" s="103"/>
      <c r="F1846" s="103" t="s">
        <v>45</v>
      </c>
      <c r="G1846" s="104"/>
      <c r="O1846" s="103"/>
      <c r="P1846" s="184"/>
      <c r="Q1846" s="103"/>
      <c r="R1846" s="103"/>
      <c r="S1846" s="213"/>
      <c r="T1846" s="213"/>
      <c r="U1846" s="103"/>
      <c r="V1846" s="104"/>
      <c r="W1846" s="104"/>
      <c r="X1846" s="103"/>
      <c r="Y1846" s="104"/>
      <c r="AB1846" s="103" t="s">
        <v>42</v>
      </c>
      <c r="AC1846" s="103"/>
      <c r="AD1846" s="103" t="s">
        <v>35</v>
      </c>
      <c r="AS1846" s="104"/>
      <c r="AT1846" s="104"/>
      <c r="AU1846" s="104"/>
      <c r="AV1846" s="104"/>
      <c r="AW1846" s="104"/>
      <c r="AX1846" s="104"/>
      <c r="AY1846" s="104"/>
      <c r="AZ1846" s="104"/>
      <c r="BA1846" s="104"/>
      <c r="BB1846" s="104"/>
      <c r="BC1846" s="104"/>
      <c r="BD1846" s="104"/>
      <c r="BE1846" s="104"/>
      <c r="BF1846" s="104"/>
      <c r="BG1846" s="104"/>
      <c r="BH1846" s="104"/>
      <c r="BI1846" s="104"/>
      <c r="BJ1846" s="103"/>
      <c r="BL1846" s="103"/>
      <c r="BN1846" s="103"/>
      <c r="CA1846" s="156"/>
    </row>
    <row r="1847" spans="3:79" s="105" customFormat="1" ht="13.5">
      <c r="C1847" s="136" t="s">
        <v>2095</v>
      </c>
      <c r="E1847" s="103"/>
      <c r="F1847" s="103" t="s">
        <v>45</v>
      </c>
      <c r="G1847" s="104"/>
      <c r="O1847" s="103"/>
      <c r="P1847" s="184"/>
      <c r="Q1847" s="103"/>
      <c r="R1847" s="103"/>
      <c r="S1847" s="213"/>
      <c r="T1847" s="213"/>
      <c r="U1847" s="103"/>
      <c r="V1847" s="104"/>
      <c r="W1847" s="104"/>
      <c r="X1847" s="103"/>
      <c r="Y1847" s="104"/>
      <c r="AB1847" s="103" t="s">
        <v>42</v>
      </c>
      <c r="AC1847" s="103"/>
      <c r="AD1847" s="103" t="s">
        <v>35</v>
      </c>
      <c r="AS1847" s="104"/>
      <c r="AT1847" s="104"/>
      <c r="AU1847" s="104"/>
      <c r="AV1847" s="104"/>
      <c r="AW1847" s="104"/>
      <c r="AX1847" s="104"/>
      <c r="AY1847" s="104"/>
      <c r="AZ1847" s="104"/>
      <c r="BA1847" s="104"/>
      <c r="BB1847" s="104"/>
      <c r="BC1847" s="104"/>
      <c r="BD1847" s="104"/>
      <c r="BE1847" s="104"/>
      <c r="BF1847" s="104"/>
      <c r="BG1847" s="104"/>
      <c r="BH1847" s="104"/>
      <c r="BI1847" s="104"/>
      <c r="BJ1847" s="103"/>
      <c r="BL1847" s="103"/>
      <c r="BN1847" s="103"/>
      <c r="CA1847" s="156"/>
    </row>
    <row r="1848" spans="3:79" s="105" customFormat="1" ht="13.5">
      <c r="C1848" s="136" t="s">
        <v>2096</v>
      </c>
      <c r="E1848" s="103"/>
      <c r="F1848" s="103" t="s">
        <v>45</v>
      </c>
      <c r="G1848" s="104"/>
      <c r="O1848" s="103"/>
      <c r="P1848" s="184"/>
      <c r="Q1848" s="103"/>
      <c r="R1848" s="103"/>
      <c r="S1848" s="213"/>
      <c r="T1848" s="213"/>
      <c r="U1848" s="103"/>
      <c r="V1848" s="104"/>
      <c r="W1848" s="104"/>
      <c r="X1848" s="103"/>
      <c r="Y1848" s="104"/>
      <c r="AB1848" s="103" t="s">
        <v>42</v>
      </c>
      <c r="AC1848" s="103"/>
      <c r="AD1848" s="103" t="s">
        <v>35</v>
      </c>
      <c r="AS1848" s="104"/>
      <c r="AT1848" s="104"/>
      <c r="AU1848" s="104"/>
      <c r="AV1848" s="104"/>
      <c r="AW1848" s="104"/>
      <c r="AX1848" s="104"/>
      <c r="AY1848" s="104"/>
      <c r="AZ1848" s="104"/>
      <c r="BA1848" s="104"/>
      <c r="BB1848" s="104"/>
      <c r="BC1848" s="104"/>
      <c r="BD1848" s="104"/>
      <c r="BE1848" s="104"/>
      <c r="BF1848" s="104"/>
      <c r="BG1848" s="104"/>
      <c r="BH1848" s="104"/>
      <c r="BI1848" s="104"/>
      <c r="BJ1848" s="103"/>
      <c r="BL1848" s="103"/>
      <c r="BN1848" s="103"/>
      <c r="CA1848" s="156"/>
    </row>
    <row r="1849" spans="3:79" s="105" customFormat="1" ht="13.5">
      <c r="C1849" s="136" t="s">
        <v>2097</v>
      </c>
      <c r="E1849" s="103"/>
      <c r="F1849" s="103" t="s">
        <v>45</v>
      </c>
      <c r="G1849" s="104"/>
      <c r="O1849" s="103"/>
      <c r="P1849" s="184"/>
      <c r="Q1849" s="103"/>
      <c r="R1849" s="103"/>
      <c r="S1849" s="213"/>
      <c r="T1849" s="213"/>
      <c r="U1849" s="103"/>
      <c r="V1849" s="104"/>
      <c r="W1849" s="104"/>
      <c r="X1849" s="103"/>
      <c r="Y1849" s="104"/>
      <c r="AB1849" s="103" t="s">
        <v>42</v>
      </c>
      <c r="AC1849" s="103"/>
      <c r="AD1849" s="103" t="s">
        <v>35</v>
      </c>
      <c r="AS1849" s="104"/>
      <c r="AT1849" s="104"/>
      <c r="AU1849" s="104"/>
      <c r="AV1849" s="104"/>
      <c r="AW1849" s="104"/>
      <c r="AX1849" s="104"/>
      <c r="AY1849" s="104"/>
      <c r="AZ1849" s="104"/>
      <c r="BA1849" s="104"/>
      <c r="BB1849" s="104"/>
      <c r="BC1849" s="104"/>
      <c r="BD1849" s="104"/>
      <c r="BE1849" s="104"/>
      <c r="BF1849" s="104"/>
      <c r="BG1849" s="104"/>
      <c r="BH1849" s="104"/>
      <c r="BI1849" s="104"/>
      <c r="BJ1849" s="103"/>
      <c r="BL1849" s="103"/>
      <c r="BN1849" s="103"/>
      <c r="CA1849" s="156"/>
    </row>
    <row r="1850" spans="3:79" s="105" customFormat="1">
      <c r="C1850" s="136" t="s">
        <v>2098</v>
      </c>
      <c r="E1850" s="103"/>
      <c r="F1850" s="103" t="s">
        <v>45</v>
      </c>
      <c r="G1850" s="104"/>
      <c r="O1850" s="103"/>
      <c r="P1850" s="184"/>
      <c r="Q1850" s="103"/>
      <c r="R1850" s="103"/>
      <c r="S1850" s="213"/>
      <c r="T1850" s="213"/>
      <c r="U1850" s="103"/>
      <c r="V1850" s="104"/>
      <c r="W1850" s="104"/>
      <c r="X1850" s="103"/>
      <c r="Y1850" s="104"/>
      <c r="AB1850" s="103" t="s">
        <v>42</v>
      </c>
      <c r="AC1850" s="103"/>
      <c r="AD1850" s="103" t="s">
        <v>35</v>
      </c>
      <c r="AS1850" s="104"/>
      <c r="AT1850" s="104"/>
      <c r="AU1850" s="104"/>
      <c r="AV1850" s="104"/>
      <c r="AW1850" s="104"/>
      <c r="AX1850" s="104"/>
      <c r="AY1850" s="104"/>
      <c r="AZ1850" s="104"/>
      <c r="BA1850" s="104"/>
      <c r="BB1850" s="104"/>
      <c r="BC1850" s="104"/>
      <c r="BD1850" s="104"/>
      <c r="BE1850" s="104"/>
      <c r="BF1850" s="104"/>
      <c r="BG1850" s="104"/>
      <c r="BH1850" s="104"/>
      <c r="BI1850" s="104"/>
      <c r="BJ1850" s="103"/>
      <c r="BL1850" s="103"/>
      <c r="BN1850" s="103"/>
      <c r="CA1850" s="156"/>
    </row>
    <row r="1851" spans="3:79" s="105" customFormat="1" ht="13.5">
      <c r="C1851" s="136" t="s">
        <v>2099</v>
      </c>
      <c r="E1851" s="103"/>
      <c r="F1851" s="103" t="s">
        <v>45</v>
      </c>
      <c r="G1851" s="104"/>
      <c r="O1851" s="103"/>
      <c r="P1851" s="184"/>
      <c r="Q1851" s="103"/>
      <c r="R1851" s="103"/>
      <c r="S1851" s="213"/>
      <c r="T1851" s="213"/>
      <c r="U1851" s="103"/>
      <c r="V1851" s="104"/>
      <c r="W1851" s="104"/>
      <c r="X1851" s="103"/>
      <c r="Y1851" s="104"/>
      <c r="AB1851" s="103" t="s">
        <v>42</v>
      </c>
      <c r="AC1851" s="103"/>
      <c r="AD1851" s="103" t="s">
        <v>35</v>
      </c>
      <c r="AS1851" s="104"/>
      <c r="AT1851" s="104"/>
      <c r="AU1851" s="104"/>
      <c r="AV1851" s="104"/>
      <c r="AW1851" s="104"/>
      <c r="AX1851" s="104"/>
      <c r="AY1851" s="104"/>
      <c r="AZ1851" s="104"/>
      <c r="BA1851" s="104"/>
      <c r="BB1851" s="104"/>
      <c r="BC1851" s="104"/>
      <c r="BD1851" s="104"/>
      <c r="BE1851" s="104"/>
      <c r="BF1851" s="104"/>
      <c r="BG1851" s="104"/>
      <c r="BH1851" s="104"/>
      <c r="BI1851" s="104"/>
      <c r="BJ1851" s="103"/>
      <c r="BL1851" s="103"/>
      <c r="BN1851" s="103"/>
      <c r="CA1851" s="156"/>
    </row>
    <row r="1852" spans="3:79" s="105" customFormat="1" ht="13.5">
      <c r="C1852" s="136" t="s">
        <v>2100</v>
      </c>
      <c r="E1852" s="103"/>
      <c r="F1852" s="103" t="s">
        <v>45</v>
      </c>
      <c r="G1852" s="104"/>
      <c r="O1852" s="103"/>
      <c r="P1852" s="184"/>
      <c r="Q1852" s="103"/>
      <c r="R1852" s="103"/>
      <c r="S1852" s="213"/>
      <c r="T1852" s="213"/>
      <c r="U1852" s="103"/>
      <c r="V1852" s="104"/>
      <c r="W1852" s="104"/>
      <c r="X1852" s="103"/>
      <c r="Y1852" s="104"/>
      <c r="AB1852" s="103" t="s">
        <v>42</v>
      </c>
      <c r="AC1852" s="103"/>
      <c r="AD1852" s="103" t="s">
        <v>35</v>
      </c>
      <c r="AS1852" s="104"/>
      <c r="AT1852" s="104"/>
      <c r="AU1852" s="104"/>
      <c r="AV1852" s="104"/>
      <c r="AW1852" s="104"/>
      <c r="AX1852" s="104"/>
      <c r="AY1852" s="104"/>
      <c r="AZ1852" s="104"/>
      <c r="BA1852" s="104"/>
      <c r="BB1852" s="104"/>
      <c r="BC1852" s="104"/>
      <c r="BD1852" s="104"/>
      <c r="BE1852" s="104"/>
      <c r="BF1852" s="104"/>
      <c r="BG1852" s="104"/>
      <c r="BH1852" s="104"/>
      <c r="BI1852" s="104"/>
      <c r="BJ1852" s="103"/>
      <c r="BL1852" s="103"/>
      <c r="BN1852" s="103"/>
      <c r="CA1852" s="156"/>
    </row>
    <row r="1853" spans="3:79" s="105" customFormat="1" ht="13.5">
      <c r="C1853" s="136" t="s">
        <v>2101</v>
      </c>
      <c r="E1853" s="103"/>
      <c r="F1853" s="103" t="s">
        <v>45</v>
      </c>
      <c r="G1853" s="104"/>
      <c r="O1853" s="103"/>
      <c r="P1853" s="184"/>
      <c r="Q1853" s="103"/>
      <c r="R1853" s="103"/>
      <c r="S1853" s="213"/>
      <c r="T1853" s="213"/>
      <c r="U1853" s="103"/>
      <c r="V1853" s="104"/>
      <c r="W1853" s="104"/>
      <c r="X1853" s="103"/>
      <c r="Y1853" s="104"/>
      <c r="AB1853" s="103" t="s">
        <v>42</v>
      </c>
      <c r="AC1853" s="103"/>
      <c r="AD1853" s="103" t="s">
        <v>35</v>
      </c>
      <c r="AS1853" s="104"/>
      <c r="AT1853" s="104"/>
      <c r="AU1853" s="104"/>
      <c r="AV1853" s="104"/>
      <c r="AW1853" s="104"/>
      <c r="AX1853" s="104"/>
      <c r="AY1853" s="104"/>
      <c r="AZ1853" s="104"/>
      <c r="BA1853" s="104"/>
      <c r="BB1853" s="104"/>
      <c r="BC1853" s="104"/>
      <c r="BD1853" s="104"/>
      <c r="BE1853" s="104"/>
      <c r="BF1853" s="104"/>
      <c r="BG1853" s="104"/>
      <c r="BH1853" s="104"/>
      <c r="BI1853" s="104"/>
      <c r="BJ1853" s="103"/>
      <c r="BL1853" s="103"/>
      <c r="BN1853" s="103"/>
      <c r="CA1853" s="156"/>
    </row>
    <row r="1854" spans="3:79" s="105" customFormat="1" ht="13.5">
      <c r="C1854" s="136" t="s">
        <v>2102</v>
      </c>
      <c r="E1854" s="103"/>
      <c r="F1854" s="103" t="s">
        <v>45</v>
      </c>
      <c r="G1854" s="104"/>
      <c r="O1854" s="103"/>
      <c r="P1854" s="184"/>
      <c r="Q1854" s="103"/>
      <c r="R1854" s="103"/>
      <c r="S1854" s="213"/>
      <c r="T1854" s="213"/>
      <c r="U1854" s="103"/>
      <c r="V1854" s="104"/>
      <c r="W1854" s="104"/>
      <c r="X1854" s="103"/>
      <c r="Y1854" s="104"/>
      <c r="AB1854" s="103" t="s">
        <v>42</v>
      </c>
      <c r="AC1854" s="103"/>
      <c r="AD1854" s="103" t="s">
        <v>35</v>
      </c>
      <c r="AS1854" s="104"/>
      <c r="AT1854" s="104"/>
      <c r="AU1854" s="104"/>
      <c r="AV1854" s="104"/>
      <c r="AW1854" s="104"/>
      <c r="AX1854" s="104"/>
      <c r="AY1854" s="104"/>
      <c r="AZ1854" s="104"/>
      <c r="BA1854" s="104"/>
      <c r="BB1854" s="104"/>
      <c r="BC1854" s="104"/>
      <c r="BD1854" s="104"/>
      <c r="BE1854" s="104"/>
      <c r="BF1854" s="104"/>
      <c r="BG1854" s="104"/>
      <c r="BH1854" s="104"/>
      <c r="BI1854" s="104"/>
      <c r="BJ1854" s="103"/>
      <c r="BL1854" s="103"/>
      <c r="BN1854" s="103"/>
      <c r="CA1854" s="156"/>
    </row>
    <row r="1855" spans="3:79" s="105" customFormat="1" ht="13.5">
      <c r="C1855" s="136" t="s">
        <v>2103</v>
      </c>
      <c r="E1855" s="103"/>
      <c r="F1855" s="103" t="s">
        <v>45</v>
      </c>
      <c r="G1855" s="104"/>
      <c r="O1855" s="103"/>
      <c r="P1855" s="184"/>
      <c r="Q1855" s="103"/>
      <c r="R1855" s="103"/>
      <c r="S1855" s="213"/>
      <c r="T1855" s="213"/>
      <c r="U1855" s="103"/>
      <c r="V1855" s="104"/>
      <c r="W1855" s="104"/>
      <c r="X1855" s="103"/>
      <c r="Y1855" s="104"/>
      <c r="AB1855" s="103" t="s">
        <v>42</v>
      </c>
      <c r="AC1855" s="103"/>
      <c r="AD1855" s="103" t="s">
        <v>35</v>
      </c>
      <c r="AS1855" s="104"/>
      <c r="AT1855" s="104"/>
      <c r="AU1855" s="104"/>
      <c r="AV1855" s="104"/>
      <c r="AW1855" s="104"/>
      <c r="AX1855" s="104"/>
      <c r="AY1855" s="104"/>
      <c r="AZ1855" s="104"/>
      <c r="BA1855" s="104"/>
      <c r="BB1855" s="104"/>
      <c r="BC1855" s="104"/>
      <c r="BD1855" s="104"/>
      <c r="BE1855" s="104"/>
      <c r="BF1855" s="104"/>
      <c r="BG1855" s="104"/>
      <c r="BH1855" s="104"/>
      <c r="BI1855" s="104"/>
      <c r="BJ1855" s="103"/>
      <c r="BL1855" s="103"/>
      <c r="BN1855" s="103"/>
      <c r="CA1855" s="156"/>
    </row>
    <row r="1856" spans="3:79" s="105" customFormat="1" ht="13.5">
      <c r="C1856" s="136" t="s">
        <v>2104</v>
      </c>
      <c r="E1856" s="103"/>
      <c r="F1856" s="103" t="s">
        <v>45</v>
      </c>
      <c r="G1856" s="104"/>
      <c r="O1856" s="103"/>
      <c r="P1856" s="184"/>
      <c r="Q1856" s="103"/>
      <c r="R1856" s="103"/>
      <c r="S1856" s="213"/>
      <c r="T1856" s="213"/>
      <c r="U1856" s="103"/>
      <c r="V1856" s="104"/>
      <c r="W1856" s="104"/>
      <c r="X1856" s="103"/>
      <c r="Y1856" s="104"/>
      <c r="AB1856" s="103" t="s">
        <v>42</v>
      </c>
      <c r="AC1856" s="103"/>
      <c r="AD1856" s="103" t="s">
        <v>35</v>
      </c>
      <c r="AS1856" s="104"/>
      <c r="AT1856" s="104"/>
      <c r="AU1856" s="104"/>
      <c r="AV1856" s="104"/>
      <c r="AW1856" s="104"/>
      <c r="AX1856" s="104"/>
      <c r="AY1856" s="104"/>
      <c r="AZ1856" s="104"/>
      <c r="BA1856" s="104"/>
      <c r="BB1856" s="104"/>
      <c r="BC1856" s="104"/>
      <c r="BD1856" s="104"/>
      <c r="BE1856" s="104"/>
      <c r="BF1856" s="104"/>
      <c r="BG1856" s="104"/>
      <c r="BH1856" s="104"/>
      <c r="BI1856" s="104"/>
      <c r="BJ1856" s="103"/>
      <c r="BL1856" s="103"/>
      <c r="BN1856" s="103"/>
      <c r="CA1856" s="156"/>
    </row>
    <row r="1857" spans="3:79" s="105" customFormat="1" ht="13.5">
      <c r="C1857" s="136" t="s">
        <v>2105</v>
      </c>
      <c r="E1857" s="103"/>
      <c r="F1857" s="103" t="s">
        <v>45</v>
      </c>
      <c r="G1857" s="104"/>
      <c r="O1857" s="103"/>
      <c r="P1857" s="184"/>
      <c r="Q1857" s="103"/>
      <c r="R1857" s="103"/>
      <c r="S1857" s="213"/>
      <c r="T1857" s="213"/>
      <c r="U1857" s="103"/>
      <c r="V1857" s="104"/>
      <c r="W1857" s="104"/>
      <c r="X1857" s="103"/>
      <c r="Y1857" s="104"/>
      <c r="AB1857" s="103" t="s">
        <v>42</v>
      </c>
      <c r="AC1857" s="103"/>
      <c r="AD1857" s="103" t="s">
        <v>35</v>
      </c>
      <c r="AS1857" s="104"/>
      <c r="AT1857" s="104"/>
      <c r="AU1857" s="104"/>
      <c r="AV1857" s="104"/>
      <c r="AW1857" s="104"/>
      <c r="AX1857" s="104"/>
      <c r="AY1857" s="104"/>
      <c r="AZ1857" s="104"/>
      <c r="BA1857" s="104"/>
      <c r="BB1857" s="104"/>
      <c r="BC1857" s="104"/>
      <c r="BD1857" s="104"/>
      <c r="BE1857" s="104"/>
      <c r="BF1857" s="104"/>
      <c r="BG1857" s="104"/>
      <c r="BH1857" s="104"/>
      <c r="BI1857" s="104"/>
      <c r="BJ1857" s="103"/>
      <c r="BL1857" s="103"/>
      <c r="BN1857" s="103"/>
      <c r="CA1857" s="156"/>
    </row>
    <row r="1858" spans="3:79" s="105" customFormat="1" ht="13.5">
      <c r="C1858" s="136" t="s">
        <v>2106</v>
      </c>
      <c r="E1858" s="103"/>
      <c r="F1858" s="103" t="s">
        <v>45</v>
      </c>
      <c r="G1858" s="104"/>
      <c r="O1858" s="103"/>
      <c r="P1858" s="184"/>
      <c r="Q1858" s="103"/>
      <c r="R1858" s="103"/>
      <c r="S1858" s="213"/>
      <c r="T1858" s="213"/>
      <c r="U1858" s="103"/>
      <c r="V1858" s="104"/>
      <c r="W1858" s="104"/>
      <c r="X1858" s="103"/>
      <c r="Y1858" s="104"/>
      <c r="AB1858" s="103" t="s">
        <v>42</v>
      </c>
      <c r="AC1858" s="103"/>
      <c r="AD1858" s="103" t="s">
        <v>35</v>
      </c>
      <c r="AS1858" s="104"/>
      <c r="AT1858" s="104"/>
      <c r="AU1858" s="104"/>
      <c r="AV1858" s="104"/>
      <c r="AW1858" s="104"/>
      <c r="AX1858" s="104"/>
      <c r="AY1858" s="104"/>
      <c r="AZ1858" s="104"/>
      <c r="BA1858" s="104"/>
      <c r="BB1858" s="104"/>
      <c r="BC1858" s="104"/>
      <c r="BD1858" s="104"/>
      <c r="BE1858" s="104"/>
      <c r="BF1858" s="104"/>
      <c r="BG1858" s="104"/>
      <c r="BH1858" s="104"/>
      <c r="BI1858" s="104"/>
      <c r="BJ1858" s="103"/>
      <c r="BL1858" s="103"/>
      <c r="BN1858" s="103"/>
      <c r="CA1858" s="156"/>
    </row>
    <row r="1859" spans="3:79" s="105" customFormat="1" ht="13.5">
      <c r="C1859" s="136" t="s">
        <v>2107</v>
      </c>
      <c r="E1859" s="103"/>
      <c r="F1859" s="103" t="s">
        <v>45</v>
      </c>
      <c r="G1859" s="104"/>
      <c r="O1859" s="103"/>
      <c r="P1859" s="184"/>
      <c r="Q1859" s="103"/>
      <c r="R1859" s="103"/>
      <c r="S1859" s="213"/>
      <c r="T1859" s="213"/>
      <c r="U1859" s="103"/>
      <c r="V1859" s="104"/>
      <c r="W1859" s="104"/>
      <c r="X1859" s="103"/>
      <c r="Y1859" s="104"/>
      <c r="AB1859" s="103" t="s">
        <v>42</v>
      </c>
      <c r="AC1859" s="103"/>
      <c r="AD1859" s="103" t="s">
        <v>35</v>
      </c>
      <c r="AS1859" s="104"/>
      <c r="AT1859" s="104"/>
      <c r="AU1859" s="104"/>
      <c r="AV1859" s="104"/>
      <c r="AW1859" s="104"/>
      <c r="AX1859" s="104"/>
      <c r="AY1859" s="104"/>
      <c r="AZ1859" s="104"/>
      <c r="BA1859" s="104"/>
      <c r="BB1859" s="104"/>
      <c r="BC1859" s="104"/>
      <c r="BD1859" s="104"/>
      <c r="BE1859" s="104"/>
      <c r="BF1859" s="104"/>
      <c r="BG1859" s="104"/>
      <c r="BH1859" s="104"/>
      <c r="BI1859" s="104"/>
      <c r="BJ1859" s="103"/>
      <c r="BL1859" s="103"/>
      <c r="BN1859" s="103"/>
      <c r="CA1859" s="156"/>
    </row>
    <row r="1860" spans="3:79" s="105" customFormat="1" ht="13.5">
      <c r="C1860" s="136"/>
      <c r="E1860" s="103"/>
      <c r="F1860" s="103" t="s">
        <v>45</v>
      </c>
      <c r="O1860" s="103"/>
      <c r="P1860" s="184"/>
      <c r="Q1860" s="103"/>
      <c r="R1860" s="103"/>
      <c r="S1860" s="213"/>
      <c r="T1860" s="213"/>
      <c r="U1860" s="103"/>
      <c r="X1860" s="103"/>
      <c r="AB1860" s="103" t="s">
        <v>42</v>
      </c>
      <c r="AC1860" s="103"/>
      <c r="AD1860" s="103" t="s">
        <v>35</v>
      </c>
      <c r="BJ1860" s="103"/>
      <c r="BL1860" s="103"/>
      <c r="BN1860" s="103"/>
      <c r="CA1860" s="156"/>
    </row>
    <row r="1861" spans="3:79" s="105" customFormat="1" ht="13.5">
      <c r="C1861" s="136"/>
      <c r="E1861" s="103"/>
      <c r="F1861" s="103" t="s">
        <v>45</v>
      </c>
      <c r="O1861" s="103"/>
      <c r="P1861" s="184"/>
      <c r="Q1861" s="103"/>
      <c r="R1861" s="103"/>
      <c r="S1861" s="213"/>
      <c r="T1861" s="213"/>
      <c r="U1861" s="103"/>
      <c r="X1861" s="103"/>
      <c r="AB1861" s="103" t="s">
        <v>42</v>
      </c>
      <c r="AC1861" s="103"/>
      <c r="AD1861" s="103" t="s">
        <v>35</v>
      </c>
      <c r="BJ1861" s="103"/>
      <c r="BL1861" s="103"/>
      <c r="BN1861" s="103"/>
      <c r="CA1861" s="156"/>
    </row>
    <row r="1862" spans="3:79" s="105" customFormat="1" ht="13.5">
      <c r="C1862" s="136"/>
      <c r="E1862" s="103"/>
      <c r="F1862" s="103" t="s">
        <v>45</v>
      </c>
      <c r="O1862" s="103"/>
      <c r="P1862" s="184"/>
      <c r="Q1862" s="103"/>
      <c r="R1862" s="103"/>
      <c r="S1862" s="213"/>
      <c r="T1862" s="213"/>
      <c r="U1862" s="103"/>
      <c r="X1862" s="103"/>
      <c r="AB1862" s="103" t="s">
        <v>42</v>
      </c>
      <c r="AC1862" s="103"/>
      <c r="AD1862" s="103" t="s">
        <v>35</v>
      </c>
      <c r="BJ1862" s="103"/>
      <c r="BL1862" s="103"/>
      <c r="BN1862" s="103"/>
      <c r="CA1862" s="156"/>
    </row>
    <row r="1863" spans="3:79" s="105" customFormat="1" ht="13.5">
      <c r="C1863" s="136"/>
      <c r="E1863" s="103"/>
      <c r="F1863" s="103" t="s">
        <v>45</v>
      </c>
      <c r="O1863" s="103"/>
      <c r="P1863" s="184"/>
      <c r="Q1863" s="103"/>
      <c r="R1863" s="103"/>
      <c r="S1863" s="213"/>
      <c r="T1863" s="213"/>
      <c r="U1863" s="103"/>
      <c r="X1863" s="103"/>
      <c r="AB1863" s="103" t="s">
        <v>42</v>
      </c>
      <c r="AC1863" s="103"/>
      <c r="AD1863" s="103" t="s">
        <v>35</v>
      </c>
      <c r="BJ1863" s="103"/>
      <c r="BL1863" s="103"/>
      <c r="BN1863" s="103"/>
      <c r="CA1863" s="156"/>
    </row>
    <row r="1864" spans="3:79" s="105" customFormat="1" ht="13.5">
      <c r="C1864" s="136"/>
      <c r="E1864" s="103"/>
      <c r="F1864" s="103" t="s">
        <v>45</v>
      </c>
      <c r="O1864" s="103"/>
      <c r="P1864" s="184"/>
      <c r="Q1864" s="103"/>
      <c r="R1864" s="103"/>
      <c r="S1864" s="213"/>
      <c r="T1864" s="213"/>
      <c r="U1864" s="103"/>
      <c r="X1864" s="103"/>
      <c r="AB1864" s="103" t="s">
        <v>42</v>
      </c>
      <c r="AC1864" s="103"/>
      <c r="AD1864" s="103" t="s">
        <v>35</v>
      </c>
      <c r="BJ1864" s="103"/>
      <c r="BL1864" s="103"/>
      <c r="BN1864" s="103"/>
      <c r="CA1864" s="156"/>
    </row>
    <row r="1865" spans="3:79" s="105" customFormat="1" ht="13.5">
      <c r="C1865" s="136"/>
      <c r="E1865" s="103"/>
      <c r="F1865" s="103" t="s">
        <v>45</v>
      </c>
      <c r="O1865" s="103"/>
      <c r="P1865" s="184"/>
      <c r="Q1865" s="103"/>
      <c r="R1865" s="103"/>
      <c r="S1865" s="213"/>
      <c r="T1865" s="213"/>
      <c r="U1865" s="103"/>
      <c r="X1865" s="103"/>
      <c r="AB1865" s="103" t="s">
        <v>42</v>
      </c>
      <c r="AC1865" s="103"/>
      <c r="AD1865" s="103" t="s">
        <v>35</v>
      </c>
      <c r="BJ1865" s="103"/>
      <c r="BL1865" s="103"/>
      <c r="BN1865" s="103"/>
      <c r="CA1865" s="156"/>
    </row>
    <row r="1866" spans="3:79" s="105" customFormat="1" ht="13.5">
      <c r="C1866" s="136"/>
      <c r="E1866" s="103"/>
      <c r="F1866" s="103" t="s">
        <v>45</v>
      </c>
      <c r="O1866" s="103"/>
      <c r="P1866" s="184"/>
      <c r="Q1866" s="103"/>
      <c r="R1866" s="103"/>
      <c r="S1866" s="213"/>
      <c r="T1866" s="213"/>
      <c r="U1866" s="103"/>
      <c r="X1866" s="103"/>
      <c r="AB1866" s="103" t="s">
        <v>42</v>
      </c>
      <c r="AC1866" s="103"/>
      <c r="AD1866" s="103" t="s">
        <v>35</v>
      </c>
      <c r="BJ1866" s="103"/>
      <c r="BL1866" s="103"/>
      <c r="BN1866" s="103"/>
      <c r="CA1866" s="156"/>
    </row>
    <row r="1867" spans="3:79" s="105" customFormat="1" ht="13.5">
      <c r="C1867" s="136"/>
      <c r="E1867" s="103"/>
      <c r="F1867" s="103"/>
      <c r="O1867" s="103"/>
      <c r="P1867" s="184"/>
      <c r="Q1867" s="103"/>
      <c r="R1867" s="103"/>
      <c r="S1867" s="213"/>
      <c r="T1867" s="213"/>
      <c r="U1867" s="103"/>
      <c r="X1867" s="103"/>
      <c r="AB1867" s="103"/>
      <c r="AC1867" s="103"/>
      <c r="AD1867" s="103" t="s">
        <v>35</v>
      </c>
      <c r="BJ1867" s="103"/>
      <c r="BL1867" s="103"/>
      <c r="BN1867" s="103"/>
      <c r="CA1867" s="156"/>
    </row>
    <row r="1868" spans="3:79" s="105" customFormat="1" ht="13.5">
      <c r="C1868" s="136" t="s">
        <v>2138</v>
      </c>
      <c r="E1868" s="103"/>
      <c r="F1868" s="103" t="s">
        <v>34</v>
      </c>
      <c r="G1868" s="104"/>
      <c r="O1868" s="103"/>
      <c r="P1868" s="184"/>
      <c r="Q1868" s="103"/>
      <c r="R1868" s="103"/>
      <c r="S1868" s="213"/>
      <c r="T1868" s="213"/>
      <c r="U1868" s="103"/>
      <c r="V1868" s="104"/>
      <c r="W1868" s="104"/>
      <c r="X1868" s="103"/>
      <c r="Y1868" s="104"/>
      <c r="AB1868" s="103" t="s">
        <v>44</v>
      </c>
      <c r="AC1868" s="103"/>
      <c r="AD1868" s="103" t="s">
        <v>35</v>
      </c>
      <c r="AS1868" s="104"/>
      <c r="AT1868" s="104"/>
      <c r="AU1868" s="104"/>
      <c r="AV1868" s="104"/>
      <c r="AW1868" s="104"/>
      <c r="AX1868" s="104"/>
      <c r="AY1868" s="104"/>
      <c r="AZ1868" s="104"/>
      <c r="BA1868" s="104"/>
      <c r="BB1868" s="104"/>
      <c r="BC1868" s="104"/>
      <c r="BD1868" s="104"/>
      <c r="BE1868" s="104"/>
      <c r="BF1868" s="104"/>
      <c r="BG1868" s="104"/>
      <c r="BH1868" s="104"/>
      <c r="BI1868" s="104"/>
      <c r="BJ1868" s="103"/>
      <c r="BL1868" s="103"/>
      <c r="BN1868" s="103"/>
      <c r="CA1868" s="156"/>
    </row>
    <row r="1869" spans="3:79" s="105" customFormat="1" ht="13.5">
      <c r="C1869" s="136" t="s">
        <v>2139</v>
      </c>
      <c r="E1869" s="103"/>
      <c r="F1869" s="103" t="s">
        <v>34</v>
      </c>
      <c r="G1869" s="104"/>
      <c r="O1869" s="103"/>
      <c r="P1869" s="184"/>
      <c r="Q1869" s="103"/>
      <c r="R1869" s="103"/>
      <c r="S1869" s="213"/>
      <c r="T1869" s="213"/>
      <c r="U1869" s="103"/>
      <c r="V1869" s="104"/>
      <c r="W1869" s="104"/>
      <c r="X1869" s="103"/>
      <c r="Y1869" s="104"/>
      <c r="AB1869" s="103" t="s">
        <v>42</v>
      </c>
      <c r="AC1869" s="103"/>
      <c r="AD1869" s="103" t="s">
        <v>35</v>
      </c>
      <c r="AS1869" s="104"/>
      <c r="AT1869" s="104"/>
      <c r="AU1869" s="104"/>
      <c r="AV1869" s="104"/>
      <c r="AW1869" s="104"/>
      <c r="AX1869" s="104"/>
      <c r="AY1869" s="104"/>
      <c r="AZ1869" s="104"/>
      <c r="BA1869" s="104"/>
      <c r="BB1869" s="104"/>
      <c r="BC1869" s="104"/>
      <c r="BD1869" s="104"/>
      <c r="BE1869" s="104"/>
      <c r="BF1869" s="104"/>
      <c r="BG1869" s="104"/>
      <c r="BH1869" s="104"/>
      <c r="BI1869" s="104"/>
      <c r="BJ1869" s="103"/>
      <c r="BL1869" s="103"/>
      <c r="BN1869" s="103"/>
      <c r="CA1869" s="156"/>
    </row>
    <row r="1870" spans="3:79" s="105" customFormat="1" ht="13.5">
      <c r="C1870" s="136" t="s">
        <v>2140</v>
      </c>
      <c r="E1870" s="103"/>
      <c r="F1870" s="103" t="s">
        <v>34</v>
      </c>
      <c r="G1870" s="104"/>
      <c r="O1870" s="103"/>
      <c r="P1870" s="184"/>
      <c r="Q1870" s="103"/>
      <c r="R1870" s="103"/>
      <c r="S1870" s="213"/>
      <c r="T1870" s="213"/>
      <c r="U1870" s="103"/>
      <c r="V1870" s="104"/>
      <c r="W1870" s="104"/>
      <c r="X1870" s="103"/>
      <c r="Y1870" s="104"/>
      <c r="AB1870" s="103" t="s">
        <v>42</v>
      </c>
      <c r="AC1870" s="103"/>
      <c r="AD1870" s="103" t="s">
        <v>35</v>
      </c>
      <c r="AS1870" s="104"/>
      <c r="AT1870" s="104"/>
      <c r="AU1870" s="104"/>
      <c r="AV1870" s="104"/>
      <c r="AW1870" s="104"/>
      <c r="AX1870" s="104"/>
      <c r="AY1870" s="104"/>
      <c r="AZ1870" s="104"/>
      <c r="BA1870" s="104"/>
      <c r="BB1870" s="104"/>
      <c r="BC1870" s="104"/>
      <c r="BD1870" s="104"/>
      <c r="BE1870" s="104"/>
      <c r="BF1870" s="104"/>
      <c r="BG1870" s="104"/>
      <c r="BH1870" s="104"/>
      <c r="BI1870" s="104"/>
      <c r="BJ1870" s="103"/>
      <c r="BL1870" s="103"/>
      <c r="BN1870" s="103"/>
      <c r="CA1870" s="156"/>
    </row>
    <row r="1871" spans="3:79" s="105" customFormat="1" ht="13.5">
      <c r="C1871" s="136" t="s">
        <v>2141</v>
      </c>
      <c r="E1871" s="103"/>
      <c r="F1871" s="103" t="s">
        <v>34</v>
      </c>
      <c r="G1871" s="104"/>
      <c r="O1871" s="103"/>
      <c r="P1871" s="184"/>
      <c r="Q1871" s="103"/>
      <c r="R1871" s="103"/>
      <c r="S1871" s="213"/>
      <c r="T1871" s="213"/>
      <c r="U1871" s="103"/>
      <c r="V1871" s="104"/>
      <c r="W1871" s="104"/>
      <c r="X1871" s="103"/>
      <c r="Y1871" s="104"/>
      <c r="AB1871" s="103" t="s">
        <v>42</v>
      </c>
      <c r="AC1871" s="103"/>
      <c r="AD1871" s="103" t="s">
        <v>35</v>
      </c>
      <c r="AS1871" s="104"/>
      <c r="AT1871" s="104"/>
      <c r="AU1871" s="104"/>
      <c r="AV1871" s="104"/>
      <c r="AW1871" s="104"/>
      <c r="AX1871" s="104"/>
      <c r="AY1871" s="104"/>
      <c r="AZ1871" s="104"/>
      <c r="BA1871" s="104"/>
      <c r="BB1871" s="104"/>
      <c r="BC1871" s="104"/>
      <c r="BD1871" s="104"/>
      <c r="BE1871" s="104"/>
      <c r="BF1871" s="104"/>
      <c r="BG1871" s="104"/>
      <c r="BH1871" s="104"/>
      <c r="BI1871" s="104"/>
      <c r="BJ1871" s="103"/>
      <c r="BL1871" s="103"/>
      <c r="BN1871" s="103"/>
      <c r="CA1871" s="156"/>
    </row>
    <row r="1872" spans="3:79" s="105" customFormat="1" ht="13.5">
      <c r="C1872" s="136" t="s">
        <v>2142</v>
      </c>
      <c r="E1872" s="103"/>
      <c r="F1872" s="103" t="s">
        <v>34</v>
      </c>
      <c r="G1872" s="104"/>
      <c r="O1872" s="103"/>
      <c r="P1872" s="184"/>
      <c r="Q1872" s="103"/>
      <c r="R1872" s="103"/>
      <c r="S1872" s="213"/>
      <c r="T1872" s="213"/>
      <c r="U1872" s="103"/>
      <c r="V1872" s="104"/>
      <c r="W1872" s="104"/>
      <c r="X1872" s="103"/>
      <c r="Y1872" s="104"/>
      <c r="AB1872" s="103" t="s">
        <v>44</v>
      </c>
      <c r="AC1872" s="103"/>
      <c r="AD1872" s="103" t="s">
        <v>35</v>
      </c>
      <c r="AS1872" s="104"/>
      <c r="AT1872" s="104"/>
      <c r="AU1872" s="104"/>
      <c r="AV1872" s="104"/>
      <c r="AW1872" s="104"/>
      <c r="AX1872" s="104"/>
      <c r="AY1872" s="104"/>
      <c r="AZ1872" s="104"/>
      <c r="BA1872" s="104"/>
      <c r="BB1872" s="104"/>
      <c r="BC1872" s="104"/>
      <c r="BD1872" s="104"/>
      <c r="BE1872" s="104"/>
      <c r="BF1872" s="104"/>
      <c r="BG1872" s="104"/>
      <c r="BH1872" s="104"/>
      <c r="BI1872" s="104"/>
      <c r="BJ1872" s="103"/>
      <c r="BL1872" s="103"/>
      <c r="BN1872" s="103"/>
      <c r="CA1872" s="156"/>
    </row>
    <row r="1873" spans="3:79" s="105" customFormat="1" ht="13.5">
      <c r="C1873" s="136" t="s">
        <v>2143</v>
      </c>
      <c r="E1873" s="103"/>
      <c r="F1873" s="103" t="s">
        <v>34</v>
      </c>
      <c r="G1873" s="104"/>
      <c r="O1873" s="103"/>
      <c r="P1873" s="184"/>
      <c r="Q1873" s="103"/>
      <c r="R1873" s="103"/>
      <c r="S1873" s="213"/>
      <c r="T1873" s="213"/>
      <c r="U1873" s="103"/>
      <c r="V1873" s="104"/>
      <c r="W1873" s="104"/>
      <c r="X1873" s="103"/>
      <c r="Y1873" s="104"/>
      <c r="AB1873" s="103" t="s">
        <v>44</v>
      </c>
      <c r="AC1873" s="103"/>
      <c r="AD1873" s="103" t="s">
        <v>35</v>
      </c>
      <c r="AS1873" s="104"/>
      <c r="AT1873" s="104"/>
      <c r="AU1873" s="104"/>
      <c r="AV1873" s="104"/>
      <c r="AW1873" s="104"/>
      <c r="AX1873" s="104"/>
      <c r="AY1873" s="104"/>
      <c r="AZ1873" s="104"/>
      <c r="BA1873" s="104"/>
      <c r="BB1873" s="104"/>
      <c r="BC1873" s="104"/>
      <c r="BD1873" s="104"/>
      <c r="BE1873" s="104"/>
      <c r="BF1873" s="104"/>
      <c r="BG1873" s="104"/>
      <c r="BH1873" s="104"/>
      <c r="BI1873" s="104"/>
      <c r="BJ1873" s="103"/>
      <c r="BL1873" s="103"/>
      <c r="BN1873" s="103"/>
      <c r="CA1873" s="156"/>
    </row>
    <row r="1874" spans="3:79" s="105" customFormat="1" ht="13.5">
      <c r="C1874" s="136" t="s">
        <v>2144</v>
      </c>
      <c r="E1874" s="103"/>
      <c r="F1874" s="103" t="s">
        <v>34</v>
      </c>
      <c r="G1874" s="104"/>
      <c r="O1874" s="103"/>
      <c r="P1874" s="184"/>
      <c r="Q1874" s="103"/>
      <c r="R1874" s="103"/>
      <c r="S1874" s="213"/>
      <c r="T1874" s="213"/>
      <c r="U1874" s="103"/>
      <c r="V1874" s="104"/>
      <c r="W1874" s="104"/>
      <c r="X1874" s="103"/>
      <c r="Y1874" s="104"/>
      <c r="AB1874" s="103" t="s">
        <v>44</v>
      </c>
      <c r="AC1874" s="103"/>
      <c r="AD1874" s="103" t="s">
        <v>35</v>
      </c>
      <c r="AS1874" s="104"/>
      <c r="AT1874" s="104"/>
      <c r="AU1874" s="104"/>
      <c r="AV1874" s="104"/>
      <c r="AW1874" s="104"/>
      <c r="AX1874" s="104"/>
      <c r="AY1874" s="104"/>
      <c r="AZ1874" s="104"/>
      <c r="BA1874" s="104"/>
      <c r="BB1874" s="104"/>
      <c r="BC1874" s="104"/>
      <c r="BD1874" s="104"/>
      <c r="BE1874" s="104"/>
      <c r="BF1874" s="104"/>
      <c r="BG1874" s="104"/>
      <c r="BH1874" s="104"/>
      <c r="BI1874" s="104"/>
      <c r="BJ1874" s="103"/>
      <c r="BL1874" s="103"/>
      <c r="BN1874" s="103"/>
      <c r="CA1874" s="156"/>
    </row>
    <row r="1875" spans="3:79" s="105" customFormat="1" ht="13.5">
      <c r="C1875" s="136" t="s">
        <v>2145</v>
      </c>
      <c r="E1875" s="103"/>
      <c r="F1875" s="103" t="s">
        <v>34</v>
      </c>
      <c r="G1875" s="104"/>
      <c r="O1875" s="103"/>
      <c r="P1875" s="184"/>
      <c r="Q1875" s="103"/>
      <c r="R1875" s="103"/>
      <c r="S1875" s="213"/>
      <c r="T1875" s="213"/>
      <c r="U1875" s="103"/>
      <c r="V1875" s="104"/>
      <c r="W1875" s="104"/>
      <c r="X1875" s="103"/>
      <c r="Y1875" s="104"/>
      <c r="AB1875" s="103" t="s">
        <v>42</v>
      </c>
      <c r="AC1875" s="103"/>
      <c r="AD1875" s="103" t="s">
        <v>35</v>
      </c>
      <c r="AS1875" s="104"/>
      <c r="AT1875" s="104"/>
      <c r="AU1875" s="104"/>
      <c r="AV1875" s="104"/>
      <c r="AW1875" s="104"/>
      <c r="AX1875" s="104"/>
      <c r="AY1875" s="104"/>
      <c r="AZ1875" s="104"/>
      <c r="BA1875" s="104"/>
      <c r="BB1875" s="104"/>
      <c r="BC1875" s="104"/>
      <c r="BD1875" s="104"/>
      <c r="BE1875" s="104"/>
      <c r="BF1875" s="104"/>
      <c r="BG1875" s="104"/>
      <c r="BH1875" s="104"/>
      <c r="BI1875" s="104"/>
      <c r="BJ1875" s="103"/>
      <c r="BL1875" s="103"/>
      <c r="BN1875" s="103"/>
      <c r="CA1875" s="156"/>
    </row>
    <row r="1876" spans="3:79" s="105" customFormat="1" ht="13.5">
      <c r="C1876" s="136" t="s">
        <v>2146</v>
      </c>
      <c r="E1876" s="103"/>
      <c r="F1876" s="103" t="s">
        <v>34</v>
      </c>
      <c r="G1876" s="104"/>
      <c r="O1876" s="103"/>
      <c r="P1876" s="184"/>
      <c r="Q1876" s="103"/>
      <c r="R1876" s="103"/>
      <c r="S1876" s="213"/>
      <c r="T1876" s="213"/>
      <c r="U1876" s="103"/>
      <c r="V1876" s="104"/>
      <c r="W1876" s="104"/>
      <c r="X1876" s="103"/>
      <c r="Y1876" s="104"/>
      <c r="AB1876" s="103" t="s">
        <v>43</v>
      </c>
      <c r="AC1876" s="103"/>
      <c r="AD1876" s="103" t="s">
        <v>35</v>
      </c>
      <c r="AS1876" s="104"/>
      <c r="AT1876" s="104"/>
      <c r="AU1876" s="104"/>
      <c r="AV1876" s="104"/>
      <c r="AW1876" s="104"/>
      <c r="AX1876" s="104"/>
      <c r="AY1876" s="104"/>
      <c r="AZ1876" s="104"/>
      <c r="BA1876" s="104"/>
      <c r="BB1876" s="104"/>
      <c r="BC1876" s="104"/>
      <c r="BD1876" s="104"/>
      <c r="BE1876" s="104"/>
      <c r="BF1876" s="104"/>
      <c r="BG1876" s="104"/>
      <c r="BH1876" s="104"/>
      <c r="BI1876" s="104"/>
      <c r="BJ1876" s="103"/>
      <c r="BL1876" s="103"/>
      <c r="BN1876" s="103"/>
      <c r="CA1876" s="156"/>
    </row>
    <row r="1877" spans="3:79" s="105" customFormat="1" ht="13.5">
      <c r="C1877" s="136" t="s">
        <v>2147</v>
      </c>
      <c r="E1877" s="103"/>
      <c r="F1877" s="103" t="s">
        <v>34</v>
      </c>
      <c r="G1877" s="104"/>
      <c r="O1877" s="103"/>
      <c r="P1877" s="184"/>
      <c r="Q1877" s="103"/>
      <c r="R1877" s="103"/>
      <c r="S1877" s="213"/>
      <c r="T1877" s="213"/>
      <c r="U1877" s="103"/>
      <c r="V1877" s="104"/>
      <c r="W1877" s="104"/>
      <c r="X1877" s="103"/>
      <c r="Y1877" s="104"/>
      <c r="AB1877" s="103" t="s">
        <v>44</v>
      </c>
      <c r="AC1877" s="103"/>
      <c r="AD1877" s="103" t="s">
        <v>35</v>
      </c>
      <c r="AS1877" s="104"/>
      <c r="AT1877" s="104"/>
      <c r="AU1877" s="104"/>
      <c r="AV1877" s="104"/>
      <c r="AW1877" s="104"/>
      <c r="AX1877" s="104"/>
      <c r="AY1877" s="104"/>
      <c r="AZ1877" s="104"/>
      <c r="BA1877" s="104"/>
      <c r="BB1877" s="104"/>
      <c r="BC1877" s="104"/>
      <c r="BD1877" s="104"/>
      <c r="BE1877" s="104"/>
      <c r="BF1877" s="104"/>
      <c r="BG1877" s="104"/>
      <c r="BH1877" s="104"/>
      <c r="BI1877" s="104"/>
      <c r="BJ1877" s="103"/>
      <c r="BL1877" s="103"/>
      <c r="BN1877" s="103"/>
      <c r="CA1877" s="156"/>
    </row>
    <row r="1878" spans="3:79" s="105" customFormat="1" ht="13.5">
      <c r="C1878" s="136" t="s">
        <v>2148</v>
      </c>
      <c r="E1878" s="103"/>
      <c r="F1878" s="103" t="s">
        <v>34</v>
      </c>
      <c r="G1878" s="104"/>
      <c r="O1878" s="103"/>
      <c r="P1878" s="184"/>
      <c r="Q1878" s="103"/>
      <c r="R1878" s="103"/>
      <c r="S1878" s="213"/>
      <c r="T1878" s="213"/>
      <c r="U1878" s="103"/>
      <c r="V1878" s="104"/>
      <c r="W1878" s="104"/>
      <c r="X1878" s="103"/>
      <c r="Y1878" s="104"/>
      <c r="AB1878" s="103" t="s">
        <v>44</v>
      </c>
      <c r="AC1878" s="103"/>
      <c r="AD1878" s="103" t="s">
        <v>35</v>
      </c>
      <c r="AS1878" s="104"/>
      <c r="AT1878" s="104"/>
      <c r="AU1878" s="104"/>
      <c r="AV1878" s="104"/>
      <c r="AW1878" s="104"/>
      <c r="AX1878" s="104"/>
      <c r="AY1878" s="104"/>
      <c r="AZ1878" s="104"/>
      <c r="BA1878" s="104"/>
      <c r="BB1878" s="104"/>
      <c r="BC1878" s="104"/>
      <c r="BD1878" s="104"/>
      <c r="BE1878" s="104"/>
      <c r="BF1878" s="104"/>
      <c r="BG1878" s="104"/>
      <c r="BH1878" s="104"/>
      <c r="BI1878" s="104"/>
      <c r="BJ1878" s="103"/>
      <c r="BL1878" s="103"/>
      <c r="BN1878" s="103"/>
      <c r="CA1878" s="156"/>
    </row>
    <row r="1879" spans="3:79" s="105" customFormat="1" ht="13.5">
      <c r="C1879" s="136" t="s">
        <v>2149</v>
      </c>
      <c r="E1879" s="103"/>
      <c r="F1879" s="103" t="s">
        <v>34</v>
      </c>
      <c r="G1879" s="104"/>
      <c r="O1879" s="103"/>
      <c r="P1879" s="184"/>
      <c r="Q1879" s="103"/>
      <c r="R1879" s="103"/>
      <c r="S1879" s="213"/>
      <c r="T1879" s="213"/>
      <c r="U1879" s="103"/>
      <c r="V1879" s="104"/>
      <c r="W1879" s="104"/>
      <c r="X1879" s="103"/>
      <c r="Y1879" s="104"/>
      <c r="AB1879" s="103" t="s">
        <v>44</v>
      </c>
      <c r="AC1879" s="103"/>
      <c r="AD1879" s="103" t="s">
        <v>35</v>
      </c>
      <c r="AS1879" s="104"/>
      <c r="AT1879" s="104"/>
      <c r="AU1879" s="104"/>
      <c r="AV1879" s="104"/>
      <c r="AW1879" s="104"/>
      <c r="AX1879" s="104"/>
      <c r="AY1879" s="104"/>
      <c r="AZ1879" s="104"/>
      <c r="BA1879" s="104"/>
      <c r="BB1879" s="104"/>
      <c r="BC1879" s="104"/>
      <c r="BD1879" s="104"/>
      <c r="BE1879" s="104"/>
      <c r="BF1879" s="104"/>
      <c r="BG1879" s="104"/>
      <c r="BH1879" s="104"/>
      <c r="BI1879" s="104"/>
      <c r="BJ1879" s="103"/>
      <c r="BL1879" s="103"/>
      <c r="BN1879" s="103"/>
      <c r="CA1879" s="156"/>
    </row>
    <row r="1880" spans="3:79" s="105" customFormat="1" ht="13.5">
      <c r="C1880" s="136" t="s">
        <v>2150</v>
      </c>
      <c r="E1880" s="103"/>
      <c r="F1880" s="103" t="s">
        <v>34</v>
      </c>
      <c r="G1880" s="104"/>
      <c r="O1880" s="103"/>
      <c r="P1880" s="184"/>
      <c r="Q1880" s="103"/>
      <c r="R1880" s="103"/>
      <c r="S1880" s="213"/>
      <c r="T1880" s="213"/>
      <c r="U1880" s="103"/>
      <c r="V1880" s="104"/>
      <c r="W1880" s="104"/>
      <c r="X1880" s="103"/>
      <c r="Y1880" s="104"/>
      <c r="AB1880" s="103" t="s">
        <v>44</v>
      </c>
      <c r="AC1880" s="103"/>
      <c r="AD1880" s="103" t="s">
        <v>35</v>
      </c>
      <c r="AS1880" s="104"/>
      <c r="AT1880" s="104"/>
      <c r="AU1880" s="104"/>
      <c r="AV1880" s="104"/>
      <c r="AW1880" s="104"/>
      <c r="AX1880" s="104"/>
      <c r="AY1880" s="104"/>
      <c r="AZ1880" s="104"/>
      <c r="BA1880" s="104"/>
      <c r="BB1880" s="104"/>
      <c r="BC1880" s="104"/>
      <c r="BD1880" s="104"/>
      <c r="BE1880" s="104"/>
      <c r="BF1880" s="104"/>
      <c r="BG1880" s="104"/>
      <c r="BH1880" s="104"/>
      <c r="BI1880" s="104"/>
      <c r="BJ1880" s="103"/>
      <c r="BL1880" s="103"/>
      <c r="BN1880" s="103"/>
      <c r="CA1880" s="156"/>
    </row>
    <row r="1881" spans="3:79" s="105" customFormat="1" ht="13.5">
      <c r="C1881" s="136" t="s">
        <v>2151</v>
      </c>
      <c r="E1881" s="103"/>
      <c r="F1881" s="103" t="s">
        <v>34</v>
      </c>
      <c r="G1881" s="104"/>
      <c r="O1881" s="103"/>
      <c r="P1881" s="184"/>
      <c r="Q1881" s="103"/>
      <c r="R1881" s="103"/>
      <c r="S1881" s="213"/>
      <c r="T1881" s="213"/>
      <c r="U1881" s="103"/>
      <c r="V1881" s="104"/>
      <c r="W1881" s="104"/>
      <c r="X1881" s="103"/>
      <c r="Y1881" s="104"/>
      <c r="AB1881" s="103" t="s">
        <v>43</v>
      </c>
      <c r="AC1881" s="103"/>
      <c r="AD1881" s="103" t="s">
        <v>35</v>
      </c>
      <c r="AS1881" s="104"/>
      <c r="AT1881" s="104"/>
      <c r="AU1881" s="104"/>
      <c r="AV1881" s="104"/>
      <c r="AW1881" s="104"/>
      <c r="AX1881" s="104"/>
      <c r="AY1881" s="104"/>
      <c r="AZ1881" s="104"/>
      <c r="BA1881" s="104"/>
      <c r="BB1881" s="104"/>
      <c r="BC1881" s="104"/>
      <c r="BD1881" s="104"/>
      <c r="BE1881" s="104"/>
      <c r="BF1881" s="104"/>
      <c r="BG1881" s="104"/>
      <c r="BH1881" s="104"/>
      <c r="BI1881" s="104"/>
      <c r="BJ1881" s="103"/>
      <c r="BL1881" s="103"/>
      <c r="BN1881" s="103"/>
      <c r="CA1881" s="156"/>
    </row>
    <row r="1882" spans="3:79" s="105" customFormat="1" ht="13.5">
      <c r="C1882" s="136" t="s">
        <v>2152</v>
      </c>
      <c r="E1882" s="103"/>
      <c r="F1882" s="103" t="s">
        <v>34</v>
      </c>
      <c r="G1882" s="104"/>
      <c r="O1882" s="103"/>
      <c r="P1882" s="184"/>
      <c r="Q1882" s="103"/>
      <c r="R1882" s="103"/>
      <c r="S1882" s="213"/>
      <c r="T1882" s="213"/>
      <c r="U1882" s="103"/>
      <c r="V1882" s="104"/>
      <c r="W1882" s="104"/>
      <c r="X1882" s="103"/>
      <c r="Y1882" s="104"/>
      <c r="AB1882" s="103" t="s">
        <v>42</v>
      </c>
      <c r="AC1882" s="103"/>
      <c r="AD1882" s="103" t="s">
        <v>35</v>
      </c>
      <c r="AS1882" s="104"/>
      <c r="AT1882" s="104"/>
      <c r="AU1882" s="104"/>
      <c r="AV1882" s="104"/>
      <c r="AW1882" s="104"/>
      <c r="AX1882" s="104"/>
      <c r="AY1882" s="104"/>
      <c r="AZ1882" s="104"/>
      <c r="BA1882" s="104"/>
      <c r="BB1882" s="104"/>
      <c r="BC1882" s="104"/>
      <c r="BD1882" s="104"/>
      <c r="BE1882" s="104"/>
      <c r="BF1882" s="104"/>
      <c r="BG1882" s="104"/>
      <c r="BH1882" s="104"/>
      <c r="BI1882" s="104"/>
      <c r="BJ1882" s="103"/>
      <c r="BL1882" s="103"/>
      <c r="BN1882" s="103"/>
      <c r="CA1882" s="156"/>
    </row>
    <row r="1883" spans="3:79" s="105" customFormat="1" ht="13.5">
      <c r="C1883" s="136" t="s">
        <v>2153</v>
      </c>
      <c r="E1883" s="103"/>
      <c r="F1883" s="103" t="s">
        <v>34</v>
      </c>
      <c r="G1883" s="104"/>
      <c r="O1883" s="103"/>
      <c r="P1883" s="184"/>
      <c r="Q1883" s="103"/>
      <c r="R1883" s="103"/>
      <c r="S1883" s="213"/>
      <c r="T1883" s="213"/>
      <c r="U1883" s="103"/>
      <c r="V1883" s="104"/>
      <c r="W1883" s="104"/>
      <c r="X1883" s="103"/>
      <c r="Y1883" s="104"/>
      <c r="AB1883" s="103" t="s">
        <v>44</v>
      </c>
      <c r="AC1883" s="103"/>
      <c r="AD1883" s="103" t="s">
        <v>35</v>
      </c>
      <c r="AS1883" s="104"/>
      <c r="AT1883" s="104"/>
      <c r="AU1883" s="104"/>
      <c r="AV1883" s="104"/>
      <c r="AW1883" s="104"/>
      <c r="AX1883" s="104"/>
      <c r="AY1883" s="104"/>
      <c r="AZ1883" s="104"/>
      <c r="BA1883" s="104"/>
      <c r="BB1883" s="104"/>
      <c r="BC1883" s="104"/>
      <c r="BD1883" s="104"/>
      <c r="BE1883" s="104"/>
      <c r="BF1883" s="104"/>
      <c r="BG1883" s="104"/>
      <c r="BH1883" s="104"/>
      <c r="BI1883" s="104"/>
      <c r="BJ1883" s="103"/>
      <c r="BL1883" s="103"/>
      <c r="BN1883" s="103"/>
      <c r="CA1883" s="156"/>
    </row>
    <row r="1884" spans="3:79" s="105" customFormat="1" ht="13.5">
      <c r="C1884" s="136" t="s">
        <v>2154</v>
      </c>
      <c r="E1884" s="103"/>
      <c r="F1884" s="103" t="s">
        <v>34</v>
      </c>
      <c r="G1884" s="104"/>
      <c r="O1884" s="103"/>
      <c r="P1884" s="184"/>
      <c r="Q1884" s="103"/>
      <c r="R1884" s="103"/>
      <c r="S1884" s="213"/>
      <c r="T1884" s="213"/>
      <c r="U1884" s="103"/>
      <c r="V1884" s="104"/>
      <c r="W1884" s="104"/>
      <c r="X1884" s="103"/>
      <c r="Y1884" s="104"/>
      <c r="AB1884" s="103" t="s">
        <v>42</v>
      </c>
      <c r="AC1884" s="103"/>
      <c r="AD1884" s="103" t="s">
        <v>35</v>
      </c>
      <c r="AS1884" s="104"/>
      <c r="AT1884" s="104"/>
      <c r="AU1884" s="104"/>
      <c r="AV1884" s="104"/>
      <c r="AW1884" s="104"/>
      <c r="AX1884" s="104"/>
      <c r="AY1884" s="104"/>
      <c r="AZ1884" s="104"/>
      <c r="BA1884" s="104"/>
      <c r="BB1884" s="104"/>
      <c r="BC1884" s="104"/>
      <c r="BD1884" s="104"/>
      <c r="BE1884" s="104"/>
      <c r="BF1884" s="104"/>
      <c r="BG1884" s="104"/>
      <c r="BH1884" s="104"/>
      <c r="BI1884" s="104"/>
      <c r="BJ1884" s="103"/>
      <c r="BL1884" s="103"/>
      <c r="BN1884" s="103"/>
      <c r="CA1884" s="156"/>
    </row>
    <row r="1885" spans="3:79" s="105" customFormat="1" ht="13.5">
      <c r="C1885" s="136" t="s">
        <v>2155</v>
      </c>
      <c r="E1885" s="103"/>
      <c r="F1885" s="103" t="s">
        <v>34</v>
      </c>
      <c r="G1885" s="104"/>
      <c r="O1885" s="103"/>
      <c r="P1885" s="184"/>
      <c r="Q1885" s="103"/>
      <c r="R1885" s="103"/>
      <c r="S1885" s="213"/>
      <c r="T1885" s="213"/>
      <c r="U1885" s="103"/>
      <c r="V1885" s="104"/>
      <c r="W1885" s="104"/>
      <c r="X1885" s="103"/>
      <c r="Y1885" s="104"/>
      <c r="AB1885" s="103" t="s">
        <v>43</v>
      </c>
      <c r="AC1885" s="103"/>
      <c r="AD1885" s="103" t="s">
        <v>35</v>
      </c>
      <c r="AS1885" s="104"/>
      <c r="AT1885" s="104"/>
      <c r="AU1885" s="104"/>
      <c r="AV1885" s="104"/>
      <c r="AW1885" s="104"/>
      <c r="AX1885" s="104"/>
      <c r="AY1885" s="104"/>
      <c r="AZ1885" s="104"/>
      <c r="BA1885" s="104"/>
      <c r="BB1885" s="104"/>
      <c r="BC1885" s="104"/>
      <c r="BD1885" s="104"/>
      <c r="BE1885" s="104"/>
      <c r="BF1885" s="104"/>
      <c r="BG1885" s="104"/>
      <c r="BH1885" s="104"/>
      <c r="BI1885" s="104"/>
      <c r="BJ1885" s="103"/>
      <c r="BL1885" s="103"/>
      <c r="BN1885" s="103"/>
      <c r="CA1885" s="156"/>
    </row>
    <row r="1886" spans="3:79" s="105" customFormat="1" ht="13.5">
      <c r="C1886" s="136" t="s">
        <v>2156</v>
      </c>
      <c r="E1886" s="103"/>
      <c r="F1886" s="103" t="s">
        <v>34</v>
      </c>
      <c r="G1886" s="104"/>
      <c r="O1886" s="103"/>
      <c r="P1886" s="184"/>
      <c r="Q1886" s="103"/>
      <c r="R1886" s="103"/>
      <c r="S1886" s="213"/>
      <c r="T1886" s="213"/>
      <c r="U1886" s="103"/>
      <c r="V1886" s="104"/>
      <c r="W1886" s="104"/>
      <c r="X1886" s="103"/>
      <c r="Y1886" s="104"/>
      <c r="AB1886" s="103"/>
      <c r="AC1886" s="103"/>
      <c r="AD1886" s="103" t="s">
        <v>35</v>
      </c>
      <c r="AS1886" s="104"/>
      <c r="AT1886" s="104"/>
      <c r="AU1886" s="104"/>
      <c r="AV1886" s="104"/>
      <c r="AW1886" s="104"/>
      <c r="AX1886" s="104"/>
      <c r="AY1886" s="104"/>
      <c r="AZ1886" s="104"/>
      <c r="BA1886" s="104"/>
      <c r="BB1886" s="104"/>
      <c r="BC1886" s="104"/>
      <c r="BD1886" s="104"/>
      <c r="BE1886" s="104"/>
      <c r="BF1886" s="104"/>
      <c r="BG1886" s="104"/>
      <c r="BH1886" s="104"/>
      <c r="BI1886" s="104"/>
      <c r="BJ1886" s="103"/>
      <c r="BL1886" s="103"/>
      <c r="BN1886" s="103"/>
      <c r="CA1886" s="156"/>
    </row>
    <row r="1887" spans="3:79" s="105" customFormat="1" ht="13.5">
      <c r="C1887" s="136" t="s">
        <v>2156</v>
      </c>
      <c r="E1887" s="103"/>
      <c r="F1887" s="103" t="s">
        <v>34</v>
      </c>
      <c r="G1887" s="104"/>
      <c r="O1887" s="103"/>
      <c r="P1887" s="184"/>
      <c r="Q1887" s="103"/>
      <c r="R1887" s="103"/>
      <c r="S1887" s="213"/>
      <c r="T1887" s="213"/>
      <c r="U1887" s="103"/>
      <c r="V1887" s="104"/>
      <c r="W1887" s="104"/>
      <c r="X1887" s="103"/>
      <c r="Y1887" s="104"/>
      <c r="AB1887" s="103"/>
      <c r="AC1887" s="103"/>
      <c r="AD1887" s="103"/>
      <c r="AS1887" s="104"/>
      <c r="AT1887" s="104"/>
      <c r="AU1887" s="104"/>
      <c r="AV1887" s="104"/>
      <c r="AW1887" s="104"/>
      <c r="AX1887" s="104"/>
      <c r="AY1887" s="104"/>
      <c r="AZ1887" s="104"/>
      <c r="BA1887" s="104"/>
      <c r="BB1887" s="104"/>
      <c r="BC1887" s="104"/>
      <c r="BD1887" s="104"/>
      <c r="BE1887" s="104"/>
      <c r="BF1887" s="104"/>
      <c r="BG1887" s="104"/>
      <c r="BH1887" s="104"/>
      <c r="BI1887" s="104"/>
      <c r="BJ1887" s="103"/>
      <c r="BL1887" s="103"/>
      <c r="BN1887" s="103"/>
      <c r="CA1887" s="156"/>
    </row>
    <row r="1888" spans="3:79" s="105" customFormat="1" ht="13.5">
      <c r="C1888" s="136" t="s">
        <v>2157</v>
      </c>
      <c r="E1888" s="103"/>
      <c r="F1888" s="103" t="s">
        <v>34</v>
      </c>
      <c r="G1888" s="104"/>
      <c r="O1888" s="103"/>
      <c r="P1888" s="184"/>
      <c r="Q1888" s="103"/>
      <c r="R1888" s="103"/>
      <c r="S1888" s="213"/>
      <c r="T1888" s="213"/>
      <c r="U1888" s="103"/>
      <c r="V1888" s="104"/>
      <c r="W1888" s="104"/>
      <c r="X1888" s="103"/>
      <c r="Y1888" s="104"/>
      <c r="AB1888" s="103" t="s">
        <v>42</v>
      </c>
      <c r="AC1888" s="103"/>
      <c r="AS1888" s="104"/>
      <c r="AT1888" s="104"/>
      <c r="AU1888" s="104"/>
      <c r="AV1888" s="104"/>
      <c r="AW1888" s="104"/>
      <c r="AX1888" s="104"/>
      <c r="AY1888" s="104"/>
      <c r="AZ1888" s="104"/>
      <c r="BA1888" s="104"/>
      <c r="BB1888" s="104"/>
      <c r="BC1888" s="104"/>
      <c r="BD1888" s="104"/>
      <c r="BE1888" s="104"/>
      <c r="BF1888" s="104"/>
      <c r="BG1888" s="104"/>
      <c r="BH1888" s="104"/>
      <c r="BI1888" s="104"/>
      <c r="BJ1888" s="103"/>
      <c r="BL1888" s="103"/>
      <c r="BN1888" s="103"/>
      <c r="CA1888" s="156"/>
    </row>
    <row r="1889" spans="3:79" s="105" customFormat="1" ht="13.5">
      <c r="C1889" s="136" t="s">
        <v>2158</v>
      </c>
      <c r="E1889" s="103"/>
      <c r="F1889" s="103"/>
      <c r="G1889" s="104"/>
      <c r="O1889" s="103"/>
      <c r="P1889" s="184"/>
      <c r="Q1889" s="103"/>
      <c r="R1889" s="103"/>
      <c r="S1889" s="213"/>
      <c r="T1889" s="213"/>
      <c r="U1889" s="103"/>
      <c r="V1889" s="104"/>
      <c r="W1889" s="104"/>
      <c r="X1889" s="103"/>
      <c r="Y1889" s="104"/>
      <c r="AB1889" s="103" t="s">
        <v>42</v>
      </c>
      <c r="AC1889" s="103"/>
      <c r="AS1889" s="104"/>
      <c r="AT1889" s="104"/>
      <c r="AU1889" s="104"/>
      <c r="AV1889" s="104"/>
      <c r="AW1889" s="104"/>
      <c r="AX1889" s="104"/>
      <c r="AY1889" s="104"/>
      <c r="AZ1889" s="104"/>
      <c r="BA1889" s="104"/>
      <c r="BB1889" s="104"/>
      <c r="BC1889" s="104"/>
      <c r="BD1889" s="104"/>
      <c r="BE1889" s="104"/>
      <c r="BF1889" s="104"/>
      <c r="BG1889" s="104"/>
      <c r="BH1889" s="104"/>
      <c r="BI1889" s="104"/>
      <c r="BJ1889" s="103"/>
      <c r="BL1889" s="103"/>
      <c r="BN1889" s="103"/>
      <c r="CA1889" s="156"/>
    </row>
    <row r="1890" spans="3:79" s="105" customFormat="1" ht="13.5">
      <c r="C1890" s="136" t="s">
        <v>2159</v>
      </c>
      <c r="E1890" s="103"/>
      <c r="F1890" s="103"/>
      <c r="G1890" s="104"/>
      <c r="O1890" s="103"/>
      <c r="P1890" s="184"/>
      <c r="Q1890" s="103"/>
      <c r="R1890" s="103"/>
      <c r="S1890" s="213"/>
      <c r="T1890" s="213"/>
      <c r="U1890" s="103"/>
      <c r="V1890" s="104"/>
      <c r="W1890" s="104"/>
      <c r="X1890" s="103"/>
      <c r="Y1890" s="104"/>
      <c r="AB1890" s="103" t="s">
        <v>42</v>
      </c>
      <c r="AC1890" s="103"/>
      <c r="AS1890" s="104"/>
      <c r="AT1890" s="104"/>
      <c r="AU1890" s="104"/>
      <c r="AV1890" s="104"/>
      <c r="AW1890" s="104"/>
      <c r="AX1890" s="104"/>
      <c r="AY1890" s="104"/>
      <c r="AZ1890" s="104"/>
      <c r="BA1890" s="104"/>
      <c r="BB1890" s="104"/>
      <c r="BC1890" s="104"/>
      <c r="BD1890" s="104"/>
      <c r="BE1890" s="104"/>
      <c r="BF1890" s="104"/>
      <c r="BG1890" s="104"/>
      <c r="BH1890" s="104"/>
      <c r="BI1890" s="104"/>
      <c r="BJ1890" s="103"/>
      <c r="BL1890" s="103"/>
      <c r="BN1890" s="103"/>
      <c r="CA1890" s="156"/>
    </row>
    <row r="1891" spans="3:79" s="105" customFormat="1" ht="13.5">
      <c r="C1891" s="136"/>
      <c r="E1891" s="103"/>
      <c r="F1891" s="103"/>
      <c r="G1891" s="104"/>
      <c r="O1891" s="103"/>
      <c r="P1891" s="184"/>
      <c r="Q1891" s="103"/>
      <c r="R1891" s="103"/>
      <c r="S1891" s="213"/>
      <c r="T1891" s="213"/>
      <c r="U1891" s="103"/>
      <c r="V1891" s="104"/>
      <c r="W1891" s="104"/>
      <c r="X1891" s="103"/>
      <c r="Y1891" s="104"/>
      <c r="AB1891" s="103"/>
      <c r="AC1891" s="103"/>
      <c r="AS1891" s="104"/>
      <c r="AT1891" s="104"/>
      <c r="AU1891" s="104"/>
      <c r="AV1891" s="104"/>
      <c r="AW1891" s="104"/>
      <c r="AX1891" s="104"/>
      <c r="AY1891" s="104"/>
      <c r="AZ1891" s="104"/>
      <c r="BA1891" s="104"/>
      <c r="BB1891" s="104"/>
      <c r="BC1891" s="104"/>
      <c r="BD1891" s="104"/>
      <c r="BE1891" s="104"/>
      <c r="BF1891" s="104"/>
      <c r="BG1891" s="104"/>
      <c r="BH1891" s="104"/>
      <c r="BI1891" s="104"/>
      <c r="BJ1891" s="103"/>
      <c r="BL1891" s="103"/>
      <c r="BN1891" s="103"/>
      <c r="CA1891" s="156"/>
    </row>
    <row r="1892" spans="3:79" s="105" customFormat="1" ht="13.5">
      <c r="C1892" s="136" t="s">
        <v>2161</v>
      </c>
      <c r="E1892" s="103"/>
      <c r="F1892" s="103" t="s">
        <v>1120</v>
      </c>
      <c r="G1892" s="104"/>
      <c r="O1892" s="103"/>
      <c r="P1892" s="184"/>
      <c r="Q1892" s="103"/>
      <c r="R1892" s="103"/>
      <c r="S1892" s="213"/>
      <c r="T1892" s="213"/>
      <c r="U1892" s="103"/>
      <c r="V1892" s="104"/>
      <c r="W1892" s="104"/>
      <c r="X1892" s="103"/>
      <c r="Y1892" s="104"/>
      <c r="AB1892" s="103" t="s">
        <v>42</v>
      </c>
      <c r="AC1892" s="103"/>
      <c r="AS1892" s="104"/>
      <c r="AT1892" s="104"/>
      <c r="AU1892" s="104"/>
      <c r="AV1892" s="104"/>
      <c r="AW1892" s="104"/>
      <c r="AX1892" s="104"/>
      <c r="AY1892" s="104"/>
      <c r="AZ1892" s="104"/>
      <c r="BA1892" s="104"/>
      <c r="BB1892" s="104"/>
      <c r="BC1892" s="104"/>
      <c r="BD1892" s="104"/>
      <c r="BE1892" s="104"/>
      <c r="BF1892" s="104"/>
      <c r="BG1892" s="104"/>
      <c r="BH1892" s="104"/>
      <c r="BI1892" s="104"/>
      <c r="BJ1892" s="103"/>
      <c r="BL1892" s="103"/>
      <c r="BN1892" s="103"/>
      <c r="CA1892" s="156"/>
    </row>
    <row r="1893" spans="3:79" s="105" customFormat="1" ht="13.5">
      <c r="C1893" s="136"/>
      <c r="E1893" s="103"/>
      <c r="F1893" s="103"/>
      <c r="G1893" s="104"/>
      <c r="O1893" s="103"/>
      <c r="P1893" s="184"/>
      <c r="Q1893" s="103"/>
      <c r="R1893" s="103"/>
      <c r="S1893" s="213"/>
      <c r="T1893" s="213"/>
      <c r="U1893" s="103"/>
      <c r="V1893" s="104"/>
      <c r="W1893" s="104"/>
      <c r="X1893" s="103"/>
      <c r="Y1893" s="104"/>
      <c r="AB1893" s="103"/>
      <c r="AC1893" s="103"/>
      <c r="AS1893" s="104"/>
      <c r="AT1893" s="104"/>
      <c r="AU1893" s="104"/>
      <c r="AV1893" s="104"/>
      <c r="AW1893" s="104"/>
      <c r="AX1893" s="104"/>
      <c r="AY1893" s="104"/>
      <c r="AZ1893" s="104"/>
      <c r="BA1893" s="104"/>
      <c r="BB1893" s="104"/>
      <c r="BC1893" s="104"/>
      <c r="BD1893" s="104"/>
      <c r="BE1893" s="104"/>
      <c r="BF1893" s="104"/>
      <c r="BG1893" s="104"/>
      <c r="BH1893" s="104"/>
      <c r="BI1893" s="104"/>
      <c r="BJ1893" s="103"/>
      <c r="BL1893" s="103"/>
      <c r="BN1893" s="103"/>
      <c r="CA1893" s="156"/>
    </row>
    <row r="1894" spans="3:79" s="105" customFormat="1" ht="27">
      <c r="C1894" s="136" t="s">
        <v>2170</v>
      </c>
      <c r="E1894" s="103"/>
      <c r="F1894" s="103"/>
      <c r="G1894" s="106"/>
      <c r="O1894" s="103"/>
      <c r="P1894" s="184"/>
      <c r="Q1894" s="103"/>
      <c r="R1894" s="103"/>
      <c r="S1894" s="213"/>
      <c r="T1894" s="213"/>
      <c r="U1894" s="103"/>
      <c r="V1894" s="106"/>
      <c r="W1894" s="106"/>
      <c r="X1894" s="103"/>
      <c r="Y1894" s="106"/>
      <c r="AB1894" s="103"/>
      <c r="AC1894" s="103"/>
      <c r="AS1894" s="106"/>
      <c r="AT1894" s="106"/>
      <c r="AU1894" s="106"/>
      <c r="AV1894" s="106"/>
      <c r="AW1894" s="106"/>
      <c r="AX1894" s="106"/>
      <c r="AY1894" s="106"/>
      <c r="AZ1894" s="106"/>
      <c r="BA1894" s="106"/>
      <c r="BB1894" s="106"/>
      <c r="BC1894" s="106"/>
      <c r="BD1894" s="106"/>
      <c r="BE1894" s="106"/>
      <c r="BF1894" s="106"/>
      <c r="BG1894" s="106"/>
      <c r="BH1894" s="106"/>
      <c r="BI1894" s="106"/>
      <c r="BJ1894" s="103"/>
      <c r="BL1894" s="103"/>
      <c r="BN1894" s="103"/>
      <c r="CA1894" s="156"/>
    </row>
    <row r="1895" spans="3:79" s="105" customFormat="1" ht="14.25">
      <c r="C1895" s="136" t="s">
        <v>2171</v>
      </c>
      <c r="E1895" s="103"/>
      <c r="F1895" s="103"/>
      <c r="G1895" s="106"/>
      <c r="O1895" s="103"/>
      <c r="P1895" s="184"/>
      <c r="Q1895" s="103"/>
      <c r="R1895" s="103"/>
      <c r="S1895" s="213"/>
      <c r="T1895" s="213"/>
      <c r="U1895" s="103"/>
      <c r="V1895" s="106"/>
      <c r="W1895" s="106"/>
      <c r="X1895" s="103"/>
      <c r="Y1895" s="106"/>
      <c r="AB1895" s="103"/>
      <c r="AC1895" s="103"/>
      <c r="AS1895" s="106"/>
      <c r="AT1895" s="106"/>
      <c r="AU1895" s="106"/>
      <c r="AV1895" s="106"/>
      <c r="AW1895" s="106"/>
      <c r="AX1895" s="106"/>
      <c r="AY1895" s="106"/>
      <c r="AZ1895" s="106"/>
      <c r="BA1895" s="106"/>
      <c r="BB1895" s="106"/>
      <c r="BC1895" s="106"/>
      <c r="BD1895" s="106"/>
      <c r="BE1895" s="106"/>
      <c r="BF1895" s="106"/>
      <c r="BG1895" s="106"/>
      <c r="BH1895" s="106"/>
      <c r="BI1895" s="106"/>
      <c r="BJ1895" s="103"/>
      <c r="BL1895" s="103"/>
      <c r="BN1895" s="103"/>
      <c r="CA1895" s="156"/>
    </row>
    <row r="1896" spans="3:79" s="105" customFormat="1" ht="14.25">
      <c r="C1896" s="136" t="s">
        <v>2172</v>
      </c>
      <c r="E1896" s="103"/>
      <c r="F1896" s="103"/>
      <c r="G1896" s="106"/>
      <c r="O1896" s="103"/>
      <c r="P1896" s="184"/>
      <c r="Q1896" s="103"/>
      <c r="R1896" s="103"/>
      <c r="S1896" s="213"/>
      <c r="T1896" s="213"/>
      <c r="U1896" s="103"/>
      <c r="V1896" s="106"/>
      <c r="W1896" s="106"/>
      <c r="X1896" s="103"/>
      <c r="Y1896" s="106"/>
      <c r="AB1896" s="103"/>
      <c r="AC1896" s="103"/>
      <c r="AS1896" s="106"/>
      <c r="AT1896" s="106"/>
      <c r="AU1896" s="106"/>
      <c r="AV1896" s="106"/>
      <c r="AW1896" s="106"/>
      <c r="AX1896" s="106"/>
      <c r="AY1896" s="106"/>
      <c r="AZ1896" s="106"/>
      <c r="BA1896" s="106"/>
      <c r="BB1896" s="106"/>
      <c r="BC1896" s="106"/>
      <c r="BD1896" s="106"/>
      <c r="BE1896" s="106"/>
      <c r="BF1896" s="106"/>
      <c r="BG1896" s="106"/>
      <c r="BH1896" s="106"/>
      <c r="BI1896" s="106"/>
      <c r="BJ1896" s="103"/>
      <c r="BL1896" s="103"/>
      <c r="BN1896" s="103"/>
      <c r="CA1896" s="156"/>
    </row>
    <row r="1897" spans="3:79" s="105" customFormat="1" ht="14.25">
      <c r="C1897" s="136"/>
      <c r="E1897" s="103"/>
      <c r="F1897" s="103"/>
      <c r="G1897" s="106"/>
      <c r="O1897" s="103"/>
      <c r="P1897" s="184"/>
      <c r="Q1897" s="103"/>
      <c r="R1897" s="103"/>
      <c r="S1897" s="213"/>
      <c r="T1897" s="213"/>
      <c r="U1897" s="103"/>
      <c r="V1897" s="106"/>
      <c r="W1897" s="106"/>
      <c r="X1897" s="103"/>
      <c r="Y1897" s="106"/>
      <c r="AB1897" s="103"/>
      <c r="AC1897" s="103"/>
      <c r="AS1897" s="106"/>
      <c r="AT1897" s="106"/>
      <c r="AU1897" s="106"/>
      <c r="AV1897" s="106"/>
      <c r="AW1897" s="106"/>
      <c r="AX1897" s="106"/>
      <c r="AY1897" s="106"/>
      <c r="AZ1897" s="106"/>
      <c r="BA1897" s="106"/>
      <c r="BB1897" s="106"/>
      <c r="BC1897" s="106"/>
      <c r="BD1897" s="106"/>
      <c r="BE1897" s="106"/>
      <c r="BF1897" s="106"/>
      <c r="BG1897" s="106"/>
      <c r="BH1897" s="106"/>
      <c r="BI1897" s="106"/>
      <c r="BJ1897" s="103"/>
      <c r="BL1897" s="103"/>
      <c r="BN1897" s="103"/>
      <c r="CA1897" s="156"/>
    </row>
    <row r="1898" spans="3:79" s="105" customFormat="1" ht="14.25">
      <c r="C1898" s="136" t="s">
        <v>2173</v>
      </c>
      <c r="E1898" s="103"/>
      <c r="F1898" s="103"/>
      <c r="G1898" s="106"/>
      <c r="O1898" s="103"/>
      <c r="P1898" s="184"/>
      <c r="Q1898" s="103"/>
      <c r="R1898" s="103"/>
      <c r="S1898" s="213"/>
      <c r="T1898" s="213"/>
      <c r="U1898" s="103"/>
      <c r="V1898" s="106"/>
      <c r="W1898" s="106"/>
      <c r="X1898" s="103"/>
      <c r="Y1898" s="106"/>
      <c r="AB1898" s="103"/>
      <c r="AC1898" s="103"/>
      <c r="AS1898" s="106"/>
      <c r="AT1898" s="106"/>
      <c r="AU1898" s="106"/>
      <c r="AV1898" s="106"/>
      <c r="AW1898" s="106"/>
      <c r="AX1898" s="106"/>
      <c r="AY1898" s="106"/>
      <c r="AZ1898" s="106"/>
      <c r="BA1898" s="106"/>
      <c r="BB1898" s="106"/>
      <c r="BC1898" s="106"/>
      <c r="BD1898" s="106"/>
      <c r="BE1898" s="106"/>
      <c r="BF1898" s="106"/>
      <c r="BG1898" s="106"/>
      <c r="BH1898" s="106"/>
      <c r="BI1898" s="106"/>
      <c r="BJ1898" s="103"/>
      <c r="BL1898" s="103"/>
      <c r="BN1898" s="103"/>
      <c r="CA1898" s="156"/>
    </row>
    <row r="1899" spans="3:79" s="105" customFormat="1" ht="14.25">
      <c r="C1899" s="136" t="s">
        <v>2174</v>
      </c>
      <c r="E1899" s="103"/>
      <c r="F1899" s="103"/>
      <c r="G1899" s="106"/>
      <c r="O1899" s="103"/>
      <c r="P1899" s="184"/>
      <c r="Q1899" s="103"/>
      <c r="R1899" s="103"/>
      <c r="S1899" s="213"/>
      <c r="T1899" s="213"/>
      <c r="U1899" s="103"/>
      <c r="V1899" s="106"/>
      <c r="W1899" s="106"/>
      <c r="X1899" s="103"/>
      <c r="Y1899" s="106"/>
      <c r="AB1899" s="103"/>
      <c r="AC1899" s="103"/>
      <c r="AS1899" s="106"/>
      <c r="AT1899" s="106"/>
      <c r="AU1899" s="106"/>
      <c r="AV1899" s="106"/>
      <c r="AW1899" s="106"/>
      <c r="AX1899" s="106"/>
      <c r="AY1899" s="106"/>
      <c r="AZ1899" s="106"/>
      <c r="BA1899" s="106"/>
      <c r="BB1899" s="106"/>
      <c r="BC1899" s="106"/>
      <c r="BD1899" s="106"/>
      <c r="BE1899" s="106"/>
      <c r="BF1899" s="106"/>
      <c r="BG1899" s="106"/>
      <c r="BH1899" s="106"/>
      <c r="BI1899" s="106"/>
      <c r="BJ1899" s="103"/>
      <c r="BL1899" s="103"/>
      <c r="BN1899" s="103"/>
      <c r="CA1899" s="156"/>
    </row>
    <row r="1900" spans="3:79" s="105" customFormat="1" ht="27">
      <c r="C1900" s="136" t="s">
        <v>2175</v>
      </c>
      <c r="E1900" s="103"/>
      <c r="F1900" s="103"/>
      <c r="G1900" s="106"/>
      <c r="O1900" s="103"/>
      <c r="P1900" s="184"/>
      <c r="Q1900" s="103"/>
      <c r="R1900" s="103"/>
      <c r="S1900" s="213"/>
      <c r="T1900" s="213"/>
      <c r="U1900" s="103"/>
      <c r="V1900" s="106"/>
      <c r="W1900" s="106"/>
      <c r="X1900" s="103"/>
      <c r="Y1900" s="106"/>
      <c r="AB1900" s="103"/>
      <c r="AC1900" s="103"/>
      <c r="AS1900" s="106"/>
      <c r="AT1900" s="106"/>
      <c r="AU1900" s="106"/>
      <c r="AV1900" s="106"/>
      <c r="AW1900" s="106"/>
      <c r="AX1900" s="106"/>
      <c r="AY1900" s="106"/>
      <c r="AZ1900" s="106"/>
      <c r="BA1900" s="106"/>
      <c r="BB1900" s="106"/>
      <c r="BC1900" s="106"/>
      <c r="BD1900" s="106"/>
      <c r="BE1900" s="106"/>
      <c r="BF1900" s="106"/>
      <c r="BG1900" s="106"/>
      <c r="BH1900" s="106"/>
      <c r="BI1900" s="106"/>
      <c r="BJ1900" s="103"/>
      <c r="BL1900" s="103"/>
      <c r="BN1900" s="103"/>
      <c r="CA1900" s="156"/>
    </row>
    <row r="1901" spans="3:79" s="105" customFormat="1" ht="14.25">
      <c r="C1901" s="136" t="s">
        <v>2176</v>
      </c>
      <c r="E1901" s="103"/>
      <c r="F1901" s="103"/>
      <c r="G1901" s="106"/>
      <c r="O1901" s="103"/>
      <c r="P1901" s="184"/>
      <c r="Q1901" s="103"/>
      <c r="R1901" s="103"/>
      <c r="S1901" s="213"/>
      <c r="T1901" s="213"/>
      <c r="U1901" s="103"/>
      <c r="V1901" s="106"/>
      <c r="W1901" s="106"/>
      <c r="X1901" s="103"/>
      <c r="Y1901" s="106"/>
      <c r="AB1901" s="103"/>
      <c r="AC1901" s="103"/>
      <c r="AS1901" s="106"/>
      <c r="AT1901" s="106"/>
      <c r="AU1901" s="106"/>
      <c r="AV1901" s="106"/>
      <c r="AW1901" s="106"/>
      <c r="AX1901" s="106"/>
      <c r="AY1901" s="106"/>
      <c r="AZ1901" s="106"/>
      <c r="BA1901" s="106"/>
      <c r="BB1901" s="106"/>
      <c r="BC1901" s="106"/>
      <c r="BD1901" s="106"/>
      <c r="BE1901" s="106"/>
      <c r="BF1901" s="106"/>
      <c r="BG1901" s="106"/>
      <c r="BH1901" s="106"/>
      <c r="BI1901" s="106"/>
      <c r="BJ1901" s="103"/>
      <c r="BL1901" s="103"/>
      <c r="BN1901" s="103"/>
      <c r="CA1901" s="156"/>
    </row>
    <row r="1902" spans="3:79" s="105" customFormat="1" ht="14.25">
      <c r="C1902" s="136" t="s">
        <v>2177</v>
      </c>
      <c r="E1902" s="103"/>
      <c r="F1902" s="103"/>
      <c r="G1902" s="106"/>
      <c r="O1902" s="103"/>
      <c r="P1902" s="184"/>
      <c r="Q1902" s="103"/>
      <c r="R1902" s="103"/>
      <c r="S1902" s="213"/>
      <c r="T1902" s="213"/>
      <c r="U1902" s="103"/>
      <c r="V1902" s="106"/>
      <c r="W1902" s="106"/>
      <c r="X1902" s="103"/>
      <c r="Y1902" s="106"/>
      <c r="AB1902" s="103"/>
      <c r="AC1902" s="103"/>
      <c r="AS1902" s="106"/>
      <c r="AT1902" s="106"/>
      <c r="AU1902" s="106"/>
      <c r="AV1902" s="106"/>
      <c r="AW1902" s="106"/>
      <c r="AX1902" s="106"/>
      <c r="AY1902" s="106"/>
      <c r="AZ1902" s="106"/>
      <c r="BA1902" s="106"/>
      <c r="BB1902" s="106"/>
      <c r="BC1902" s="106"/>
      <c r="BD1902" s="106"/>
      <c r="BE1902" s="106"/>
      <c r="BF1902" s="106"/>
      <c r="BG1902" s="106"/>
      <c r="BH1902" s="106"/>
      <c r="BI1902" s="106"/>
      <c r="BJ1902" s="103"/>
      <c r="BL1902" s="103"/>
      <c r="BN1902" s="103"/>
      <c r="CA1902" s="156"/>
    </row>
    <row r="1903" spans="3:79" s="105" customFormat="1" ht="14.25">
      <c r="C1903" s="136" t="s">
        <v>2178</v>
      </c>
      <c r="E1903" s="103"/>
      <c r="F1903" s="103"/>
      <c r="G1903" s="106"/>
      <c r="O1903" s="103"/>
      <c r="P1903" s="184"/>
      <c r="Q1903" s="103"/>
      <c r="R1903" s="103"/>
      <c r="S1903" s="213"/>
      <c r="T1903" s="213"/>
      <c r="U1903" s="103"/>
      <c r="V1903" s="106"/>
      <c r="W1903" s="106"/>
      <c r="X1903" s="103"/>
      <c r="Y1903" s="106"/>
      <c r="AB1903" s="103"/>
      <c r="AC1903" s="103"/>
      <c r="AS1903" s="106"/>
      <c r="AT1903" s="106"/>
      <c r="AU1903" s="106"/>
      <c r="AV1903" s="106"/>
      <c r="AW1903" s="106"/>
      <c r="AX1903" s="106"/>
      <c r="AY1903" s="106"/>
      <c r="AZ1903" s="106"/>
      <c r="BA1903" s="106"/>
      <c r="BB1903" s="106"/>
      <c r="BC1903" s="106"/>
      <c r="BD1903" s="106"/>
      <c r="BE1903" s="106"/>
      <c r="BF1903" s="106"/>
      <c r="BG1903" s="106"/>
      <c r="BH1903" s="106"/>
      <c r="BI1903" s="106"/>
      <c r="BJ1903" s="103"/>
      <c r="BL1903" s="103"/>
      <c r="BN1903" s="103"/>
      <c r="CA1903" s="156"/>
    </row>
    <row r="1904" spans="3:79" s="105" customFormat="1" ht="14.25">
      <c r="C1904" s="136" t="s">
        <v>2179</v>
      </c>
      <c r="E1904" s="103"/>
      <c r="F1904" s="103"/>
      <c r="G1904" s="106"/>
      <c r="O1904" s="103"/>
      <c r="P1904" s="184"/>
      <c r="Q1904" s="103"/>
      <c r="R1904" s="103"/>
      <c r="S1904" s="213"/>
      <c r="T1904" s="213"/>
      <c r="U1904" s="103"/>
      <c r="V1904" s="106"/>
      <c r="W1904" s="106"/>
      <c r="X1904" s="103"/>
      <c r="Y1904" s="106"/>
      <c r="AB1904" s="103"/>
      <c r="AC1904" s="103"/>
      <c r="AS1904" s="106"/>
      <c r="AT1904" s="106"/>
      <c r="AU1904" s="106"/>
      <c r="AV1904" s="106"/>
      <c r="AW1904" s="106"/>
      <c r="AX1904" s="106"/>
      <c r="AY1904" s="106"/>
      <c r="AZ1904" s="106"/>
      <c r="BA1904" s="106"/>
      <c r="BB1904" s="106"/>
      <c r="BC1904" s="106"/>
      <c r="BD1904" s="106"/>
      <c r="BE1904" s="106"/>
      <c r="BF1904" s="106"/>
      <c r="BG1904" s="106"/>
      <c r="BH1904" s="106"/>
      <c r="BI1904" s="106"/>
      <c r="BJ1904" s="103"/>
      <c r="BL1904" s="103"/>
      <c r="BN1904" s="103"/>
      <c r="CA1904" s="156"/>
    </row>
    <row r="1905" spans="3:79" s="105" customFormat="1" ht="14.25">
      <c r="C1905" s="136" t="s">
        <v>2180</v>
      </c>
      <c r="E1905" s="103"/>
      <c r="F1905" s="103"/>
      <c r="G1905" s="106"/>
      <c r="O1905" s="103"/>
      <c r="P1905" s="184"/>
      <c r="Q1905" s="103"/>
      <c r="R1905" s="103"/>
      <c r="S1905" s="213"/>
      <c r="T1905" s="213"/>
      <c r="U1905" s="103"/>
      <c r="V1905" s="106"/>
      <c r="W1905" s="106"/>
      <c r="X1905" s="103"/>
      <c r="Y1905" s="106"/>
      <c r="AB1905" s="103"/>
      <c r="AC1905" s="103"/>
      <c r="AS1905" s="106"/>
      <c r="AT1905" s="106"/>
      <c r="AU1905" s="106"/>
      <c r="AV1905" s="106"/>
      <c r="AW1905" s="106"/>
      <c r="AX1905" s="106"/>
      <c r="AY1905" s="106"/>
      <c r="AZ1905" s="106"/>
      <c r="BA1905" s="106"/>
      <c r="BB1905" s="106"/>
      <c r="BC1905" s="106"/>
      <c r="BD1905" s="106"/>
      <c r="BE1905" s="106"/>
      <c r="BF1905" s="106"/>
      <c r="BG1905" s="106"/>
      <c r="BH1905" s="106"/>
      <c r="BI1905" s="106"/>
      <c r="BJ1905" s="103"/>
      <c r="BL1905" s="103"/>
      <c r="BN1905" s="103"/>
      <c r="CA1905" s="156"/>
    </row>
    <row r="1906" spans="3:79" s="105" customFormat="1" ht="13.5">
      <c r="C1906" s="136"/>
      <c r="E1906" s="103"/>
      <c r="F1906" s="103"/>
      <c r="G1906" s="104"/>
      <c r="O1906" s="103"/>
      <c r="P1906" s="184"/>
      <c r="Q1906" s="103"/>
      <c r="R1906" s="103"/>
      <c r="S1906" s="213"/>
      <c r="T1906" s="213"/>
      <c r="U1906" s="103"/>
      <c r="V1906" s="104"/>
      <c r="W1906" s="104"/>
      <c r="X1906" s="103"/>
      <c r="Y1906" s="104"/>
      <c r="AB1906" s="103"/>
      <c r="AC1906" s="103"/>
      <c r="AS1906" s="104"/>
      <c r="AT1906" s="104"/>
      <c r="AU1906" s="104"/>
      <c r="AV1906" s="104"/>
      <c r="AW1906" s="104"/>
      <c r="AX1906" s="104"/>
      <c r="AY1906" s="104"/>
      <c r="AZ1906" s="104"/>
      <c r="BA1906" s="104"/>
      <c r="BB1906" s="104"/>
      <c r="BC1906" s="104"/>
      <c r="BD1906" s="104"/>
      <c r="BE1906" s="104"/>
      <c r="BF1906" s="104"/>
      <c r="BG1906" s="104"/>
      <c r="BH1906" s="104"/>
      <c r="BI1906" s="104"/>
      <c r="BJ1906" s="103"/>
      <c r="BL1906" s="103"/>
      <c r="BN1906" s="103"/>
      <c r="CA1906" s="156"/>
    </row>
    <row r="1907" spans="3:79" s="105" customFormat="1" ht="13.5">
      <c r="C1907" s="136"/>
      <c r="E1907" s="103"/>
      <c r="F1907" s="103"/>
      <c r="G1907" s="104"/>
      <c r="O1907" s="103"/>
      <c r="P1907" s="184"/>
      <c r="Q1907" s="103"/>
      <c r="R1907" s="103"/>
      <c r="S1907" s="213"/>
      <c r="T1907" s="213"/>
      <c r="U1907" s="103"/>
      <c r="V1907" s="104"/>
      <c r="W1907" s="104"/>
      <c r="X1907" s="103"/>
      <c r="Y1907" s="104"/>
      <c r="AB1907" s="103"/>
      <c r="AC1907" s="103"/>
      <c r="AS1907" s="104"/>
      <c r="AT1907" s="104"/>
      <c r="AU1907" s="104"/>
      <c r="AV1907" s="104"/>
      <c r="AW1907" s="104"/>
      <c r="AX1907" s="104"/>
      <c r="AY1907" s="104"/>
      <c r="AZ1907" s="104"/>
      <c r="BA1907" s="104"/>
      <c r="BB1907" s="104"/>
      <c r="BC1907" s="104"/>
      <c r="BD1907" s="104"/>
      <c r="BE1907" s="104"/>
      <c r="BF1907" s="104"/>
      <c r="BG1907" s="104"/>
      <c r="BH1907" s="104"/>
      <c r="BI1907" s="104"/>
      <c r="BJ1907" s="103"/>
      <c r="BL1907" s="103"/>
      <c r="BN1907" s="103"/>
      <c r="CA1907" s="156"/>
    </row>
    <row r="1908" spans="3:79" s="80" customFormat="1">
      <c r="C1908" s="136" t="s">
        <v>2108</v>
      </c>
      <c r="E1908" s="107"/>
      <c r="F1908" s="107"/>
      <c r="G1908" s="107"/>
      <c r="O1908" s="107"/>
      <c r="P1908" s="178"/>
      <c r="Q1908" s="107"/>
      <c r="R1908" s="107"/>
      <c r="S1908" s="214"/>
      <c r="T1908" s="214"/>
      <c r="U1908" s="107"/>
      <c r="V1908" s="107"/>
      <c r="W1908" s="107"/>
      <c r="X1908" s="107"/>
      <c r="Y1908" s="107"/>
      <c r="AS1908" s="107"/>
      <c r="AT1908" s="107"/>
      <c r="AU1908" s="107"/>
      <c r="AV1908" s="107"/>
      <c r="AW1908" s="107"/>
      <c r="AX1908" s="107"/>
      <c r="AY1908" s="107"/>
      <c r="AZ1908" s="107"/>
      <c r="BA1908" s="107"/>
      <c r="BB1908" s="107"/>
      <c r="BC1908" s="107"/>
      <c r="BD1908" s="107"/>
      <c r="BE1908" s="107"/>
      <c r="BF1908" s="107"/>
      <c r="BG1908" s="107"/>
      <c r="BH1908" s="107"/>
      <c r="BI1908" s="107"/>
      <c r="CA1908" s="147"/>
    </row>
    <row r="1909" spans="3:79" s="80" customFormat="1">
      <c r="C1909" s="136" t="s">
        <v>2109</v>
      </c>
      <c r="E1909" s="107"/>
      <c r="F1909" s="107"/>
      <c r="G1909" s="107"/>
      <c r="O1909" s="107"/>
      <c r="P1909" s="178"/>
      <c r="Q1909" s="107"/>
      <c r="R1909" s="107"/>
      <c r="S1909" s="214"/>
      <c r="T1909" s="214"/>
      <c r="U1909" s="107"/>
      <c r="V1909" s="107"/>
      <c r="W1909" s="107"/>
      <c r="X1909" s="107"/>
      <c r="Y1909" s="107"/>
      <c r="AS1909" s="107"/>
      <c r="AT1909" s="107"/>
      <c r="AU1909" s="107"/>
      <c r="AV1909" s="107"/>
      <c r="AW1909" s="107"/>
      <c r="AX1909" s="107"/>
      <c r="AY1909" s="107"/>
      <c r="AZ1909" s="107"/>
      <c r="BA1909" s="107"/>
      <c r="BB1909" s="107"/>
      <c r="BC1909" s="107"/>
      <c r="BD1909" s="107"/>
      <c r="BE1909" s="107"/>
      <c r="BF1909" s="107"/>
      <c r="BG1909" s="107"/>
      <c r="BH1909" s="107"/>
      <c r="BI1909" s="107"/>
      <c r="CA1909" s="147"/>
    </row>
    <row r="1910" spans="3:79" s="80" customFormat="1">
      <c r="C1910" s="136" t="s">
        <v>2110</v>
      </c>
      <c r="E1910" s="107"/>
      <c r="F1910" s="107"/>
      <c r="G1910" s="107"/>
      <c r="O1910" s="107"/>
      <c r="P1910" s="178"/>
      <c r="Q1910" s="107"/>
      <c r="R1910" s="107"/>
      <c r="S1910" s="214"/>
      <c r="T1910" s="214"/>
      <c r="U1910" s="107"/>
      <c r="V1910" s="107"/>
      <c r="W1910" s="107"/>
      <c r="X1910" s="107"/>
      <c r="Y1910" s="107"/>
      <c r="AS1910" s="107"/>
      <c r="AT1910" s="107"/>
      <c r="AU1910" s="107"/>
      <c r="AV1910" s="107"/>
      <c r="AW1910" s="107"/>
      <c r="AX1910" s="107"/>
      <c r="AY1910" s="107"/>
      <c r="AZ1910" s="107"/>
      <c r="BA1910" s="107"/>
      <c r="BB1910" s="107"/>
      <c r="BC1910" s="107"/>
      <c r="BD1910" s="107"/>
      <c r="BE1910" s="107"/>
      <c r="BF1910" s="107"/>
      <c r="BG1910" s="107"/>
      <c r="BH1910" s="107"/>
      <c r="BI1910" s="107"/>
      <c r="CA1910" s="147"/>
    </row>
    <row r="1911" spans="3:79" s="80" customFormat="1">
      <c r="C1911" s="136" t="s">
        <v>2123</v>
      </c>
      <c r="E1911" s="107"/>
      <c r="F1911" s="107"/>
      <c r="G1911" s="107"/>
      <c r="O1911" s="107"/>
      <c r="P1911" s="178"/>
      <c r="Q1911" s="107"/>
      <c r="R1911" s="107"/>
      <c r="S1911" s="214"/>
      <c r="T1911" s="214"/>
      <c r="U1911" s="107"/>
      <c r="V1911" s="107"/>
      <c r="W1911" s="107"/>
      <c r="X1911" s="107"/>
      <c r="Y1911" s="107"/>
      <c r="AS1911" s="107"/>
      <c r="AT1911" s="107"/>
      <c r="AU1911" s="107"/>
      <c r="AV1911" s="107"/>
      <c r="AW1911" s="107"/>
      <c r="AX1911" s="107"/>
      <c r="AY1911" s="107"/>
      <c r="AZ1911" s="107"/>
      <c r="BA1911" s="107"/>
      <c r="BB1911" s="107"/>
      <c r="BC1911" s="107"/>
      <c r="BD1911" s="107"/>
      <c r="BE1911" s="107"/>
      <c r="BF1911" s="107"/>
      <c r="BG1911" s="107"/>
      <c r="BH1911" s="107"/>
      <c r="BI1911" s="107"/>
      <c r="CA1911" s="147"/>
    </row>
    <row r="1912" spans="3:79" s="80" customFormat="1">
      <c r="C1912" s="136" t="s">
        <v>2124</v>
      </c>
      <c r="E1912" s="107"/>
      <c r="F1912" s="107"/>
      <c r="G1912" s="107"/>
      <c r="O1912" s="107"/>
      <c r="P1912" s="178"/>
      <c r="Q1912" s="107"/>
      <c r="R1912" s="107"/>
      <c r="S1912" s="214"/>
      <c r="T1912" s="214"/>
      <c r="U1912" s="107"/>
      <c r="V1912" s="107"/>
      <c r="W1912" s="107"/>
      <c r="X1912" s="107"/>
      <c r="Y1912" s="107"/>
      <c r="AS1912" s="107"/>
      <c r="AT1912" s="107"/>
      <c r="AU1912" s="107"/>
      <c r="AV1912" s="107"/>
      <c r="AW1912" s="107"/>
      <c r="AX1912" s="107"/>
      <c r="AY1912" s="107"/>
      <c r="AZ1912" s="107"/>
      <c r="BA1912" s="107"/>
      <c r="BB1912" s="107"/>
      <c r="BC1912" s="107"/>
      <c r="BD1912" s="107"/>
      <c r="BE1912" s="107"/>
      <c r="BF1912" s="107"/>
      <c r="BG1912" s="107"/>
      <c r="BH1912" s="107"/>
      <c r="BI1912" s="107"/>
      <c r="CA1912" s="147"/>
    </row>
    <row r="1913" spans="3:79" s="80" customFormat="1">
      <c r="C1913" s="136"/>
      <c r="E1913" s="107"/>
      <c r="F1913" s="107"/>
      <c r="G1913" s="107"/>
      <c r="O1913" s="107"/>
      <c r="P1913" s="178"/>
      <c r="Q1913" s="107"/>
      <c r="R1913" s="107"/>
      <c r="S1913" s="214"/>
      <c r="T1913" s="214"/>
      <c r="U1913" s="107"/>
      <c r="V1913" s="107"/>
      <c r="W1913" s="107"/>
      <c r="X1913" s="107"/>
      <c r="Y1913" s="107"/>
      <c r="AS1913" s="107"/>
      <c r="AT1913" s="107"/>
      <c r="AU1913" s="107"/>
      <c r="AV1913" s="107"/>
      <c r="AW1913" s="107"/>
      <c r="AX1913" s="107"/>
      <c r="AY1913" s="107"/>
      <c r="AZ1913" s="107"/>
      <c r="BA1913" s="107"/>
      <c r="BB1913" s="107"/>
      <c r="BC1913" s="107"/>
      <c r="BD1913" s="107"/>
      <c r="BE1913" s="107"/>
      <c r="BF1913" s="107"/>
      <c r="BG1913" s="107"/>
      <c r="BH1913" s="107"/>
      <c r="BI1913" s="107"/>
      <c r="CA1913" s="147"/>
    </row>
    <row r="1914" spans="3:79" s="80" customFormat="1">
      <c r="C1914" s="136" t="s">
        <v>2111</v>
      </c>
      <c r="E1914" s="107"/>
      <c r="F1914" s="107"/>
      <c r="G1914" s="107"/>
      <c r="O1914" s="107"/>
      <c r="P1914" s="178"/>
      <c r="Q1914" s="107"/>
      <c r="R1914" s="107"/>
      <c r="S1914" s="214"/>
      <c r="T1914" s="214"/>
      <c r="U1914" s="107"/>
      <c r="V1914" s="107"/>
      <c r="W1914" s="107"/>
      <c r="X1914" s="107"/>
      <c r="Y1914" s="107"/>
      <c r="AS1914" s="107"/>
      <c r="AT1914" s="107"/>
      <c r="AU1914" s="107"/>
      <c r="AV1914" s="107"/>
      <c r="AW1914" s="107"/>
      <c r="AX1914" s="107"/>
      <c r="AY1914" s="107"/>
      <c r="AZ1914" s="107"/>
      <c r="BA1914" s="107"/>
      <c r="BB1914" s="107"/>
      <c r="BC1914" s="107"/>
      <c r="BD1914" s="107"/>
      <c r="BE1914" s="107"/>
      <c r="BF1914" s="107"/>
      <c r="BG1914" s="107"/>
      <c r="BH1914" s="107"/>
      <c r="BI1914" s="107"/>
      <c r="CA1914" s="147"/>
    </row>
    <row r="1915" spans="3:79" s="80" customFormat="1">
      <c r="C1915" s="136" t="s">
        <v>2162</v>
      </c>
      <c r="E1915" s="107"/>
      <c r="F1915" s="107"/>
      <c r="G1915" s="107"/>
      <c r="O1915" s="107"/>
      <c r="P1915" s="178"/>
      <c r="Q1915" s="107"/>
      <c r="R1915" s="107"/>
      <c r="S1915" s="214"/>
      <c r="T1915" s="214"/>
      <c r="U1915" s="107"/>
      <c r="V1915" s="107"/>
      <c r="W1915" s="107"/>
      <c r="X1915" s="107"/>
      <c r="Y1915" s="107"/>
      <c r="AS1915" s="107"/>
      <c r="AT1915" s="107"/>
      <c r="AU1915" s="107"/>
      <c r="AV1915" s="107"/>
      <c r="AW1915" s="107"/>
      <c r="AX1915" s="107"/>
      <c r="AY1915" s="107"/>
      <c r="AZ1915" s="107"/>
      <c r="BA1915" s="107"/>
      <c r="BB1915" s="107"/>
      <c r="BC1915" s="107"/>
      <c r="BD1915" s="107"/>
      <c r="BE1915" s="107"/>
      <c r="BF1915" s="107"/>
      <c r="BG1915" s="107"/>
      <c r="BH1915" s="107"/>
      <c r="BI1915" s="107"/>
      <c r="CA1915" s="147"/>
    </row>
    <row r="1916" spans="3:79" s="80" customFormat="1">
      <c r="C1916" s="136"/>
      <c r="E1916" s="107"/>
      <c r="F1916" s="107"/>
      <c r="G1916" s="107"/>
      <c r="O1916" s="107"/>
      <c r="P1916" s="178"/>
      <c r="Q1916" s="107"/>
      <c r="R1916" s="107"/>
      <c r="S1916" s="214"/>
      <c r="T1916" s="214"/>
      <c r="U1916" s="107"/>
      <c r="V1916" s="107"/>
      <c r="W1916" s="107"/>
      <c r="X1916" s="107"/>
      <c r="Y1916" s="107"/>
      <c r="AS1916" s="107"/>
      <c r="AT1916" s="107"/>
      <c r="AU1916" s="107"/>
      <c r="AV1916" s="107"/>
      <c r="AW1916" s="107"/>
      <c r="AX1916" s="107"/>
      <c r="AY1916" s="107"/>
      <c r="AZ1916" s="107"/>
      <c r="BA1916" s="107"/>
      <c r="BB1916" s="107"/>
      <c r="BC1916" s="107"/>
      <c r="BD1916" s="107"/>
      <c r="BE1916" s="107"/>
      <c r="BF1916" s="107"/>
      <c r="BG1916" s="107"/>
      <c r="BH1916" s="107"/>
      <c r="BI1916" s="107"/>
      <c r="CA1916" s="147"/>
    </row>
    <row r="1917" spans="3:79" s="80" customFormat="1">
      <c r="C1917" s="136" t="s">
        <v>2127</v>
      </c>
      <c r="E1917" s="107"/>
      <c r="F1917" s="107"/>
      <c r="G1917" s="107"/>
      <c r="O1917" s="107"/>
      <c r="P1917" s="178"/>
      <c r="Q1917" s="107"/>
      <c r="R1917" s="107"/>
      <c r="S1917" s="214"/>
      <c r="T1917" s="214"/>
      <c r="U1917" s="107"/>
      <c r="V1917" s="107"/>
      <c r="W1917" s="107"/>
      <c r="X1917" s="107"/>
      <c r="Y1917" s="107"/>
      <c r="AS1917" s="107"/>
      <c r="AT1917" s="107"/>
      <c r="AU1917" s="107"/>
      <c r="AV1917" s="107"/>
      <c r="AW1917" s="107"/>
      <c r="AX1917" s="107"/>
      <c r="AY1917" s="107"/>
      <c r="AZ1917" s="107"/>
      <c r="BA1917" s="107"/>
      <c r="BB1917" s="107"/>
      <c r="BC1917" s="107"/>
      <c r="BD1917" s="107"/>
      <c r="BE1917" s="107"/>
      <c r="BF1917" s="107"/>
      <c r="BG1917" s="107"/>
      <c r="BH1917" s="107"/>
      <c r="BI1917" s="107"/>
      <c r="CA1917" s="147"/>
    </row>
    <row r="1918" spans="3:79" s="80" customFormat="1">
      <c r="C1918" s="136" t="s">
        <v>2163</v>
      </c>
      <c r="E1918" s="107"/>
      <c r="F1918" s="107"/>
      <c r="G1918" s="107"/>
      <c r="O1918" s="107"/>
      <c r="P1918" s="178"/>
      <c r="Q1918" s="107"/>
      <c r="R1918" s="107"/>
      <c r="S1918" s="214"/>
      <c r="T1918" s="214"/>
      <c r="U1918" s="107"/>
      <c r="V1918" s="107"/>
      <c r="W1918" s="107"/>
      <c r="X1918" s="107"/>
      <c r="Y1918" s="107"/>
      <c r="AS1918" s="107"/>
      <c r="AT1918" s="107"/>
      <c r="AU1918" s="107"/>
      <c r="AV1918" s="107"/>
      <c r="AW1918" s="107"/>
      <c r="AX1918" s="107"/>
      <c r="AY1918" s="107"/>
      <c r="AZ1918" s="107"/>
      <c r="BA1918" s="107"/>
      <c r="BB1918" s="107"/>
      <c r="BC1918" s="107"/>
      <c r="BD1918" s="107"/>
      <c r="BE1918" s="107"/>
      <c r="BF1918" s="107"/>
      <c r="BG1918" s="107"/>
      <c r="BH1918" s="107"/>
      <c r="BI1918" s="107"/>
      <c r="CA1918" s="147"/>
    </row>
    <row r="1919" spans="3:79" s="80" customFormat="1">
      <c r="C1919" s="136" t="s">
        <v>2129</v>
      </c>
      <c r="E1919" s="107"/>
      <c r="F1919" s="107"/>
      <c r="G1919" s="107"/>
      <c r="O1919" s="107"/>
      <c r="P1919" s="178"/>
      <c r="Q1919" s="107"/>
      <c r="R1919" s="107"/>
      <c r="S1919" s="214"/>
      <c r="T1919" s="214"/>
      <c r="U1919" s="107"/>
      <c r="V1919" s="107"/>
      <c r="W1919" s="107"/>
      <c r="X1919" s="107"/>
      <c r="Y1919" s="107"/>
      <c r="AS1919" s="107"/>
      <c r="AT1919" s="107"/>
      <c r="AU1919" s="107"/>
      <c r="AV1919" s="107"/>
      <c r="AW1919" s="107"/>
      <c r="AX1919" s="107"/>
      <c r="AY1919" s="107"/>
      <c r="AZ1919" s="107"/>
      <c r="BA1919" s="107"/>
      <c r="BB1919" s="107"/>
      <c r="BC1919" s="107"/>
      <c r="BD1919" s="107"/>
      <c r="BE1919" s="107"/>
      <c r="BF1919" s="107"/>
      <c r="BG1919" s="107"/>
      <c r="BH1919" s="107"/>
      <c r="BI1919" s="107"/>
      <c r="CA1919" s="147"/>
    </row>
    <row r="1920" spans="3:79" s="80" customFormat="1">
      <c r="C1920" s="136" t="s">
        <v>2130</v>
      </c>
      <c r="E1920" s="107"/>
      <c r="F1920" s="107"/>
      <c r="G1920" s="107"/>
      <c r="O1920" s="107"/>
      <c r="P1920" s="178"/>
      <c r="Q1920" s="107"/>
      <c r="R1920" s="107"/>
      <c r="S1920" s="214"/>
      <c r="T1920" s="214"/>
      <c r="U1920" s="107"/>
      <c r="V1920" s="107"/>
      <c r="W1920" s="107"/>
      <c r="X1920" s="107"/>
      <c r="Y1920" s="107"/>
      <c r="AS1920" s="107"/>
      <c r="AT1920" s="107"/>
      <c r="AU1920" s="107"/>
      <c r="AV1920" s="107"/>
      <c r="AW1920" s="107"/>
      <c r="AX1920" s="107"/>
      <c r="AY1920" s="107"/>
      <c r="AZ1920" s="107"/>
      <c r="BA1920" s="107"/>
      <c r="BB1920" s="107"/>
      <c r="BC1920" s="107"/>
      <c r="BD1920" s="107"/>
      <c r="BE1920" s="107"/>
      <c r="BF1920" s="107"/>
      <c r="BG1920" s="107"/>
      <c r="BH1920" s="107"/>
      <c r="BI1920" s="107"/>
      <c r="CA1920" s="147"/>
    </row>
    <row r="1921" spans="3:79" s="80" customFormat="1">
      <c r="C1921" s="136" t="s">
        <v>2131</v>
      </c>
      <c r="E1921" s="107"/>
      <c r="F1921" s="107"/>
      <c r="G1921" s="107"/>
      <c r="O1921" s="107"/>
      <c r="P1921" s="178"/>
      <c r="Q1921" s="107"/>
      <c r="R1921" s="107"/>
      <c r="S1921" s="214"/>
      <c r="T1921" s="214"/>
      <c r="U1921" s="107"/>
      <c r="V1921" s="107"/>
      <c r="W1921" s="107"/>
      <c r="X1921" s="107"/>
      <c r="Y1921" s="107"/>
      <c r="AS1921" s="107"/>
      <c r="AT1921" s="107"/>
      <c r="AU1921" s="107"/>
      <c r="AV1921" s="107"/>
      <c r="AW1921" s="107"/>
      <c r="AX1921" s="107"/>
      <c r="AY1921" s="107"/>
      <c r="AZ1921" s="107"/>
      <c r="BA1921" s="107"/>
      <c r="BB1921" s="107"/>
      <c r="BC1921" s="107"/>
      <c r="BD1921" s="107"/>
      <c r="BE1921" s="107"/>
      <c r="BF1921" s="107"/>
      <c r="BG1921" s="107"/>
      <c r="BH1921" s="107"/>
      <c r="BI1921" s="107"/>
      <c r="CA1921" s="147"/>
    </row>
    <row r="1922" spans="3:79" s="80" customFormat="1">
      <c r="C1922" s="136" t="s">
        <v>2132</v>
      </c>
      <c r="E1922" s="107"/>
      <c r="F1922" s="107"/>
      <c r="G1922" s="107"/>
      <c r="O1922" s="107"/>
      <c r="P1922" s="178"/>
      <c r="Q1922" s="107"/>
      <c r="R1922" s="107"/>
      <c r="S1922" s="214"/>
      <c r="T1922" s="214"/>
      <c r="U1922" s="107"/>
      <c r="V1922" s="107"/>
      <c r="W1922" s="107"/>
      <c r="X1922" s="107"/>
      <c r="Y1922" s="107"/>
      <c r="AS1922" s="107"/>
      <c r="AT1922" s="107"/>
      <c r="AU1922" s="107"/>
      <c r="AV1922" s="107"/>
      <c r="AW1922" s="107"/>
      <c r="AX1922" s="107"/>
      <c r="AY1922" s="107"/>
      <c r="AZ1922" s="107"/>
      <c r="BA1922" s="107"/>
      <c r="BB1922" s="107"/>
      <c r="BC1922" s="107"/>
      <c r="BD1922" s="107"/>
      <c r="BE1922" s="107"/>
      <c r="BF1922" s="107"/>
      <c r="BG1922" s="107"/>
      <c r="BH1922" s="107"/>
      <c r="BI1922" s="107"/>
      <c r="CA1922" s="147"/>
    </row>
    <row r="1923" spans="3:79" s="80" customFormat="1">
      <c r="C1923" s="136" t="s">
        <v>2133</v>
      </c>
      <c r="E1923" s="107"/>
      <c r="F1923" s="107"/>
      <c r="G1923" s="107"/>
      <c r="O1923" s="107"/>
      <c r="P1923" s="178"/>
      <c r="Q1923" s="107"/>
      <c r="R1923" s="107"/>
      <c r="S1923" s="214"/>
      <c r="T1923" s="214"/>
      <c r="U1923" s="107"/>
      <c r="V1923" s="107"/>
      <c r="W1923" s="107"/>
      <c r="X1923" s="107"/>
      <c r="Y1923" s="107"/>
      <c r="AS1923" s="107"/>
      <c r="AT1923" s="107"/>
      <c r="AU1923" s="107"/>
      <c r="AV1923" s="107"/>
      <c r="AW1923" s="107"/>
      <c r="AX1923" s="107"/>
      <c r="AY1923" s="107"/>
      <c r="AZ1923" s="107"/>
      <c r="BA1923" s="107"/>
      <c r="BB1923" s="107"/>
      <c r="BC1923" s="107"/>
      <c r="BD1923" s="107"/>
      <c r="BE1923" s="107"/>
      <c r="BF1923" s="107"/>
      <c r="BG1923" s="107"/>
      <c r="BH1923" s="107"/>
      <c r="BI1923" s="107"/>
      <c r="CA1923" s="147"/>
    </row>
    <row r="1924" spans="3:79" s="80" customFormat="1" ht="27">
      <c r="C1924" s="136" t="s">
        <v>2134</v>
      </c>
      <c r="E1924" s="107"/>
      <c r="F1924" s="107"/>
      <c r="G1924" s="107"/>
      <c r="O1924" s="107"/>
      <c r="P1924" s="178"/>
      <c r="Q1924" s="107"/>
      <c r="R1924" s="107"/>
      <c r="S1924" s="214"/>
      <c r="T1924" s="214"/>
      <c r="U1924" s="107"/>
      <c r="V1924" s="107"/>
      <c r="W1924" s="107"/>
      <c r="X1924" s="107"/>
      <c r="Y1924" s="107"/>
      <c r="AS1924" s="107"/>
      <c r="AT1924" s="107"/>
      <c r="AU1924" s="107"/>
      <c r="AV1924" s="107"/>
      <c r="AW1924" s="107"/>
      <c r="AX1924" s="107"/>
      <c r="AY1924" s="107"/>
      <c r="AZ1924" s="107"/>
      <c r="BA1924" s="107"/>
      <c r="BB1924" s="107"/>
      <c r="BC1924" s="107"/>
      <c r="BD1924" s="107"/>
      <c r="BE1924" s="107"/>
      <c r="BF1924" s="107"/>
      <c r="BG1924" s="107"/>
      <c r="BH1924" s="107"/>
      <c r="BI1924" s="107"/>
      <c r="CA1924" s="147"/>
    </row>
    <row r="1925" spans="3:79" s="80" customFormat="1">
      <c r="C1925" s="136" t="s">
        <v>2135</v>
      </c>
      <c r="E1925" s="107"/>
      <c r="F1925" s="107"/>
      <c r="G1925" s="107"/>
      <c r="O1925" s="107"/>
      <c r="P1925" s="178"/>
      <c r="Q1925" s="107"/>
      <c r="R1925" s="107"/>
      <c r="S1925" s="214"/>
      <c r="T1925" s="214"/>
      <c r="U1925" s="107"/>
      <c r="V1925" s="107"/>
      <c r="W1925" s="107"/>
      <c r="X1925" s="107"/>
      <c r="Y1925" s="107"/>
      <c r="AS1925" s="107"/>
      <c r="AT1925" s="107"/>
      <c r="AU1925" s="107"/>
      <c r="AV1925" s="107"/>
      <c r="AW1925" s="107"/>
      <c r="AX1925" s="107"/>
      <c r="AY1925" s="107"/>
      <c r="AZ1925" s="107"/>
      <c r="BA1925" s="107"/>
      <c r="BB1925" s="107"/>
      <c r="BC1925" s="107"/>
      <c r="BD1925" s="107"/>
      <c r="BE1925" s="107"/>
      <c r="BF1925" s="107"/>
      <c r="BG1925" s="107"/>
      <c r="BH1925" s="107"/>
      <c r="BI1925" s="107"/>
      <c r="CA1925" s="147"/>
    </row>
    <row r="1926" spans="3:79" s="80" customFormat="1">
      <c r="C1926" s="136" t="s">
        <v>2136</v>
      </c>
      <c r="E1926" s="107"/>
      <c r="F1926" s="107"/>
      <c r="G1926" s="107"/>
      <c r="O1926" s="107"/>
      <c r="P1926" s="178"/>
      <c r="Q1926" s="107"/>
      <c r="R1926" s="107"/>
      <c r="S1926" s="214"/>
      <c r="T1926" s="214"/>
      <c r="U1926" s="107"/>
      <c r="V1926" s="107"/>
      <c r="W1926" s="107"/>
      <c r="X1926" s="107"/>
      <c r="Y1926" s="107"/>
      <c r="AS1926" s="107"/>
      <c r="AT1926" s="107"/>
      <c r="AU1926" s="107"/>
      <c r="AV1926" s="107"/>
      <c r="AW1926" s="107"/>
      <c r="AX1926" s="107"/>
      <c r="AY1926" s="107"/>
      <c r="AZ1926" s="107"/>
      <c r="BA1926" s="107"/>
      <c r="BB1926" s="107"/>
      <c r="BC1926" s="107"/>
      <c r="BD1926" s="107"/>
      <c r="BE1926" s="107"/>
      <c r="BF1926" s="107"/>
      <c r="BG1926" s="107"/>
      <c r="BH1926" s="107"/>
      <c r="BI1926" s="107"/>
      <c r="CA1926" s="147"/>
    </row>
    <row r="1927" spans="3:79" s="80" customFormat="1">
      <c r="C1927" s="136"/>
      <c r="E1927" s="107"/>
      <c r="F1927" s="107"/>
      <c r="G1927" s="107"/>
      <c r="O1927" s="107"/>
      <c r="P1927" s="178"/>
      <c r="Q1927" s="107"/>
      <c r="R1927" s="107"/>
      <c r="S1927" s="214"/>
      <c r="T1927" s="214"/>
      <c r="U1927" s="107"/>
      <c r="V1927" s="107"/>
      <c r="W1927" s="107"/>
      <c r="X1927" s="107"/>
      <c r="Y1927" s="107"/>
      <c r="AS1927" s="107"/>
      <c r="AT1927" s="107"/>
      <c r="AU1927" s="107"/>
      <c r="AV1927" s="107"/>
      <c r="AW1927" s="107"/>
      <c r="AX1927" s="107"/>
      <c r="AY1927" s="107"/>
      <c r="AZ1927" s="107"/>
      <c r="BA1927" s="107"/>
      <c r="BB1927" s="107"/>
      <c r="BC1927" s="107"/>
      <c r="BD1927" s="107"/>
      <c r="BE1927" s="107"/>
      <c r="BF1927" s="107"/>
      <c r="BG1927" s="107"/>
      <c r="BH1927" s="107"/>
      <c r="BI1927" s="107"/>
      <c r="CA1927" s="147"/>
    </row>
    <row r="1928" spans="3:79" s="80" customFormat="1">
      <c r="C1928" s="136" t="s">
        <v>2164</v>
      </c>
      <c r="E1928" s="107"/>
      <c r="F1928" s="107"/>
      <c r="G1928" s="107"/>
      <c r="O1928" s="107"/>
      <c r="P1928" s="178"/>
      <c r="Q1928" s="107"/>
      <c r="R1928" s="107"/>
      <c r="S1928" s="214"/>
      <c r="T1928" s="214"/>
      <c r="U1928" s="107"/>
      <c r="V1928" s="107"/>
      <c r="W1928" s="107"/>
      <c r="X1928" s="107"/>
      <c r="Y1928" s="107"/>
      <c r="AS1928" s="107"/>
      <c r="AT1928" s="107"/>
      <c r="AU1928" s="107"/>
      <c r="AV1928" s="107"/>
      <c r="AW1928" s="107"/>
      <c r="AX1928" s="107"/>
      <c r="AY1928" s="107"/>
      <c r="AZ1928" s="107"/>
      <c r="BA1928" s="107"/>
      <c r="BB1928" s="107"/>
      <c r="BC1928" s="107"/>
      <c r="BD1928" s="107"/>
      <c r="BE1928" s="107"/>
      <c r="BF1928" s="107"/>
      <c r="BG1928" s="107"/>
      <c r="BH1928" s="107"/>
      <c r="BI1928" s="107"/>
      <c r="CA1928" s="147"/>
    </row>
    <row r="1929" spans="3:79" s="80" customFormat="1">
      <c r="C1929" s="136" t="s">
        <v>2165</v>
      </c>
      <c r="E1929" s="107"/>
      <c r="F1929" s="107"/>
      <c r="G1929" s="107"/>
      <c r="O1929" s="107"/>
      <c r="P1929" s="178"/>
      <c r="Q1929" s="107"/>
      <c r="R1929" s="107"/>
      <c r="S1929" s="214"/>
      <c r="T1929" s="214"/>
      <c r="U1929" s="107"/>
      <c r="V1929" s="107"/>
      <c r="W1929" s="107"/>
      <c r="X1929" s="107"/>
      <c r="Y1929" s="107"/>
      <c r="AS1929" s="107"/>
      <c r="AT1929" s="107"/>
      <c r="AU1929" s="107"/>
      <c r="AV1929" s="107"/>
      <c r="AW1929" s="107"/>
      <c r="AX1929" s="107"/>
      <c r="AY1929" s="107"/>
      <c r="AZ1929" s="107"/>
      <c r="BA1929" s="107"/>
      <c r="BB1929" s="107"/>
      <c r="BC1929" s="107"/>
      <c r="BD1929" s="107"/>
      <c r="BE1929" s="107"/>
      <c r="BF1929" s="107"/>
      <c r="BG1929" s="107"/>
      <c r="BH1929" s="107"/>
      <c r="BI1929" s="107"/>
      <c r="CA1929" s="147"/>
    </row>
    <row r="1930" spans="3:79" s="80" customFormat="1">
      <c r="C1930" s="136" t="s">
        <v>2166</v>
      </c>
      <c r="E1930" s="107"/>
      <c r="F1930" s="107"/>
      <c r="G1930" s="107"/>
      <c r="O1930" s="107"/>
      <c r="P1930" s="178"/>
      <c r="Q1930" s="107"/>
      <c r="R1930" s="107"/>
      <c r="S1930" s="214"/>
      <c r="T1930" s="214"/>
      <c r="U1930" s="107"/>
      <c r="V1930" s="107"/>
      <c r="W1930" s="107"/>
      <c r="X1930" s="107"/>
      <c r="Y1930" s="107"/>
      <c r="AS1930" s="107"/>
      <c r="AT1930" s="107"/>
      <c r="AU1930" s="107"/>
      <c r="AV1930" s="107"/>
      <c r="AW1930" s="107"/>
      <c r="AX1930" s="107"/>
      <c r="AY1930" s="107"/>
      <c r="AZ1930" s="107"/>
      <c r="BA1930" s="107"/>
      <c r="BB1930" s="107"/>
      <c r="BC1930" s="107"/>
      <c r="BD1930" s="107"/>
      <c r="BE1930" s="107"/>
      <c r="BF1930" s="107"/>
      <c r="BG1930" s="107"/>
      <c r="BH1930" s="107"/>
      <c r="BI1930" s="107"/>
      <c r="CA1930" s="147"/>
    </row>
    <row r="1931" spans="3:79" s="80" customFormat="1">
      <c r="C1931" s="136" t="s">
        <v>2167</v>
      </c>
      <c r="E1931" s="107"/>
      <c r="F1931" s="107"/>
      <c r="G1931" s="107"/>
      <c r="O1931" s="107"/>
      <c r="P1931" s="178"/>
      <c r="Q1931" s="107"/>
      <c r="R1931" s="107"/>
      <c r="S1931" s="214"/>
      <c r="T1931" s="214"/>
      <c r="U1931" s="107"/>
      <c r="V1931" s="107"/>
      <c r="W1931" s="107"/>
      <c r="X1931" s="107"/>
      <c r="Y1931" s="107"/>
      <c r="AS1931" s="107"/>
      <c r="AT1931" s="107"/>
      <c r="AU1931" s="107"/>
      <c r="AV1931" s="107"/>
      <c r="AW1931" s="107"/>
      <c r="AX1931" s="107"/>
      <c r="AY1931" s="107"/>
      <c r="AZ1931" s="107"/>
      <c r="BA1931" s="107"/>
      <c r="BB1931" s="107"/>
      <c r="BC1931" s="107"/>
      <c r="BD1931" s="107"/>
      <c r="BE1931" s="107"/>
      <c r="BF1931" s="107"/>
      <c r="BG1931" s="107"/>
      <c r="BH1931" s="107"/>
      <c r="BI1931" s="107"/>
      <c r="CA1931" s="147"/>
    </row>
    <row r="1932" spans="3:79" s="80" customFormat="1">
      <c r="C1932" s="136" t="s">
        <v>2168</v>
      </c>
      <c r="E1932" s="107"/>
      <c r="F1932" s="107"/>
      <c r="G1932" s="107"/>
      <c r="O1932" s="107"/>
      <c r="P1932" s="178"/>
      <c r="Q1932" s="107"/>
      <c r="R1932" s="107"/>
      <c r="S1932" s="214"/>
      <c r="T1932" s="214"/>
      <c r="U1932" s="107"/>
      <c r="V1932" s="107"/>
      <c r="W1932" s="107"/>
      <c r="X1932" s="107"/>
      <c r="Y1932" s="107"/>
      <c r="AS1932" s="107"/>
      <c r="AT1932" s="107"/>
      <c r="AU1932" s="107"/>
      <c r="AV1932" s="107"/>
      <c r="AW1932" s="107"/>
      <c r="AX1932" s="107"/>
      <c r="AY1932" s="107"/>
      <c r="AZ1932" s="107"/>
      <c r="BA1932" s="107"/>
      <c r="BB1932" s="107"/>
      <c r="BC1932" s="107"/>
      <c r="BD1932" s="107"/>
      <c r="BE1932" s="107"/>
      <c r="BF1932" s="107"/>
      <c r="BG1932" s="107"/>
      <c r="BH1932" s="107"/>
      <c r="BI1932" s="107"/>
      <c r="CA1932" s="147"/>
    </row>
    <row r="1933" spans="3:79" s="80" customFormat="1">
      <c r="C1933" s="136" t="s">
        <v>2169</v>
      </c>
      <c r="E1933" s="107"/>
      <c r="F1933" s="107"/>
      <c r="G1933" s="107"/>
      <c r="O1933" s="107"/>
      <c r="P1933" s="178"/>
      <c r="Q1933" s="107"/>
      <c r="R1933" s="107"/>
      <c r="S1933" s="214"/>
      <c r="T1933" s="214"/>
      <c r="U1933" s="107"/>
      <c r="V1933" s="107"/>
      <c r="W1933" s="107"/>
      <c r="X1933" s="107"/>
      <c r="Y1933" s="107"/>
      <c r="AS1933" s="107"/>
      <c r="AT1933" s="107"/>
      <c r="AU1933" s="107"/>
      <c r="AV1933" s="107"/>
      <c r="AW1933" s="107"/>
      <c r="AX1933" s="107"/>
      <c r="AY1933" s="107"/>
      <c r="AZ1933" s="107"/>
      <c r="BA1933" s="107"/>
      <c r="BB1933" s="107"/>
      <c r="BC1933" s="107"/>
      <c r="BD1933" s="107"/>
      <c r="BE1933" s="107"/>
      <c r="BF1933" s="107"/>
      <c r="BG1933" s="107"/>
      <c r="BH1933" s="107"/>
      <c r="BI1933" s="107"/>
      <c r="CA1933" s="147"/>
    </row>
    <row r="1934" spans="3:79" s="105" customFormat="1" ht="13.5">
      <c r="C1934" s="136"/>
      <c r="E1934" s="103"/>
      <c r="F1934" s="103"/>
      <c r="G1934" s="104"/>
      <c r="O1934" s="103"/>
      <c r="P1934" s="184"/>
      <c r="Q1934" s="103"/>
      <c r="R1934" s="103"/>
      <c r="S1934" s="213"/>
      <c r="T1934" s="213"/>
      <c r="U1934" s="103"/>
      <c r="V1934" s="104"/>
      <c r="W1934" s="104"/>
      <c r="X1934" s="103"/>
      <c r="Y1934" s="104"/>
      <c r="AB1934" s="103"/>
      <c r="AC1934" s="103"/>
      <c r="AS1934" s="104"/>
      <c r="AT1934" s="104"/>
      <c r="AU1934" s="104"/>
      <c r="AV1934" s="104"/>
      <c r="AW1934" s="104"/>
      <c r="AX1934" s="104"/>
      <c r="AY1934" s="104"/>
      <c r="AZ1934" s="104"/>
      <c r="BA1934" s="104"/>
      <c r="BB1934" s="104"/>
      <c r="BC1934" s="104"/>
      <c r="BD1934" s="104"/>
      <c r="BE1934" s="104"/>
      <c r="BF1934" s="104"/>
      <c r="BG1934" s="104"/>
      <c r="BH1934" s="104"/>
      <c r="BI1934" s="104"/>
      <c r="BJ1934" s="103"/>
      <c r="BL1934" s="103"/>
      <c r="BN1934" s="103"/>
      <c r="CA1934" s="156"/>
    </row>
    <row r="1935" spans="3:79" s="105" customFormat="1" ht="13.5">
      <c r="C1935" s="136"/>
      <c r="E1935" s="103"/>
      <c r="F1935" s="103"/>
      <c r="G1935" s="104"/>
      <c r="O1935" s="103"/>
      <c r="P1935" s="184"/>
      <c r="Q1935" s="103"/>
      <c r="R1935" s="103"/>
      <c r="S1935" s="213"/>
      <c r="T1935" s="213"/>
      <c r="U1935" s="103"/>
      <c r="V1935" s="104"/>
      <c r="W1935" s="104"/>
      <c r="X1935" s="103"/>
      <c r="Y1935" s="104"/>
      <c r="AB1935" s="103"/>
      <c r="AC1935" s="103"/>
      <c r="AS1935" s="104"/>
      <c r="AT1935" s="104"/>
      <c r="AU1935" s="104"/>
      <c r="AV1935" s="104"/>
      <c r="AW1935" s="104"/>
      <c r="AX1935" s="104"/>
      <c r="AY1935" s="104"/>
      <c r="AZ1935" s="104"/>
      <c r="BA1935" s="104"/>
      <c r="BB1935" s="104"/>
      <c r="BC1935" s="104"/>
      <c r="BD1935" s="104"/>
      <c r="BE1935" s="104"/>
      <c r="BF1935" s="104"/>
      <c r="BG1935" s="104"/>
      <c r="BH1935" s="104"/>
      <c r="BI1935" s="104"/>
      <c r="BJ1935" s="103"/>
      <c r="BL1935" s="103"/>
      <c r="BN1935" s="103"/>
      <c r="CA1935" s="156"/>
    </row>
    <row r="1936" spans="3:79" s="97" customFormat="1" ht="13.5">
      <c r="C1936" s="136"/>
      <c r="E1936" s="96"/>
      <c r="F1936" s="96"/>
      <c r="G1936" s="96"/>
      <c r="O1936" s="96"/>
      <c r="P1936" s="181"/>
      <c r="Q1936" s="96"/>
      <c r="R1936" s="96"/>
      <c r="S1936" s="215"/>
      <c r="T1936" s="215"/>
      <c r="U1936" s="96"/>
      <c r="V1936" s="96"/>
      <c r="W1936" s="96"/>
      <c r="X1936" s="96"/>
      <c r="Y1936" s="96"/>
      <c r="AB1936" s="96"/>
      <c r="AC1936" s="96"/>
      <c r="AD1936" s="96"/>
      <c r="AS1936" s="96"/>
      <c r="AT1936" s="96"/>
      <c r="AU1936" s="96"/>
      <c r="AV1936" s="96"/>
      <c r="AW1936" s="96"/>
      <c r="AX1936" s="96"/>
      <c r="AY1936" s="96"/>
      <c r="AZ1936" s="96"/>
      <c r="BA1936" s="96"/>
      <c r="BB1936" s="96"/>
      <c r="BC1936" s="96"/>
      <c r="BD1936" s="96"/>
      <c r="BE1936" s="96"/>
      <c r="BF1936" s="96"/>
      <c r="BG1936" s="96"/>
      <c r="BH1936" s="96"/>
      <c r="BI1936" s="96"/>
      <c r="BJ1936" s="96"/>
      <c r="BL1936" s="96"/>
      <c r="BN1936" s="96"/>
      <c r="BP1936" s="96"/>
      <c r="CA1936" s="154"/>
    </row>
    <row r="1937" spans="3:79" s="99" customFormat="1" ht="13.5">
      <c r="C1937" s="136" t="s">
        <v>2181</v>
      </c>
      <c r="E1937" s="97"/>
      <c r="F1937" s="97" t="s">
        <v>34</v>
      </c>
      <c r="G1937" s="98"/>
      <c r="O1937" s="97"/>
      <c r="P1937" s="180"/>
      <c r="Q1937" s="97"/>
      <c r="R1937" s="97"/>
      <c r="S1937" s="210"/>
      <c r="T1937" s="210"/>
      <c r="U1937" s="97"/>
      <c r="V1937" s="98"/>
      <c r="W1937" s="98"/>
      <c r="X1937" s="97"/>
      <c r="Y1937" s="98"/>
      <c r="AB1937" s="97" t="s">
        <v>36</v>
      </c>
      <c r="AC1937" s="97"/>
      <c r="AD1937" s="97" t="s">
        <v>35</v>
      </c>
      <c r="AS1937" s="98"/>
      <c r="AT1937" s="98"/>
      <c r="AU1937" s="98"/>
      <c r="AV1937" s="98"/>
      <c r="AW1937" s="98"/>
      <c r="AX1937" s="98"/>
      <c r="AY1937" s="98"/>
      <c r="AZ1937" s="98"/>
      <c r="BA1937" s="98"/>
      <c r="BB1937" s="98"/>
      <c r="BC1937" s="98"/>
      <c r="BD1937" s="98"/>
      <c r="BE1937" s="98"/>
      <c r="BF1937" s="98"/>
      <c r="BG1937" s="98"/>
      <c r="BH1937" s="98"/>
      <c r="BI1937" s="98"/>
      <c r="BJ1937" s="97"/>
      <c r="BL1937" s="97"/>
      <c r="BN1937" s="97"/>
      <c r="BP1937" s="97" t="s">
        <v>41</v>
      </c>
      <c r="CA1937" s="154"/>
    </row>
    <row r="1938" spans="3:79" s="99" customFormat="1" ht="13.5">
      <c r="C1938" s="136" t="s">
        <v>2182</v>
      </c>
      <c r="E1938" s="97"/>
      <c r="F1938" s="97" t="s">
        <v>34</v>
      </c>
      <c r="G1938" s="98"/>
      <c r="O1938" s="97"/>
      <c r="P1938" s="180"/>
      <c r="Q1938" s="97"/>
      <c r="R1938" s="97"/>
      <c r="S1938" s="210"/>
      <c r="T1938" s="210"/>
      <c r="U1938" s="97"/>
      <c r="V1938" s="98"/>
      <c r="W1938" s="98"/>
      <c r="X1938" s="97"/>
      <c r="Y1938" s="98"/>
      <c r="AB1938" s="97" t="s">
        <v>36</v>
      </c>
      <c r="AC1938" s="97"/>
      <c r="AD1938" s="97" t="s">
        <v>35</v>
      </c>
      <c r="AS1938" s="98"/>
      <c r="AT1938" s="98"/>
      <c r="AU1938" s="98"/>
      <c r="AV1938" s="98"/>
      <c r="AW1938" s="98"/>
      <c r="AX1938" s="98"/>
      <c r="AY1938" s="98"/>
      <c r="AZ1938" s="98"/>
      <c r="BA1938" s="98"/>
      <c r="BB1938" s="98"/>
      <c r="BC1938" s="98"/>
      <c r="BD1938" s="98"/>
      <c r="BE1938" s="98"/>
      <c r="BF1938" s="98"/>
      <c r="BG1938" s="98"/>
      <c r="BH1938" s="98"/>
      <c r="BI1938" s="98"/>
      <c r="BJ1938" s="97"/>
      <c r="BL1938" s="97"/>
      <c r="BN1938" s="97"/>
      <c r="BP1938" s="97" t="s">
        <v>41</v>
      </c>
      <c r="CA1938" s="154"/>
    </row>
    <row r="1939" spans="3:79" s="99" customFormat="1" ht="13.5">
      <c r="C1939" s="136" t="s">
        <v>2183</v>
      </c>
      <c r="E1939" s="97"/>
      <c r="F1939" s="97" t="s">
        <v>34</v>
      </c>
      <c r="G1939" s="98"/>
      <c r="O1939" s="97"/>
      <c r="P1939" s="180"/>
      <c r="Q1939" s="97"/>
      <c r="R1939" s="97"/>
      <c r="S1939" s="210"/>
      <c r="T1939" s="210"/>
      <c r="U1939" s="97"/>
      <c r="V1939" s="98"/>
      <c r="W1939" s="98"/>
      <c r="X1939" s="97"/>
      <c r="Y1939" s="98"/>
      <c r="AB1939" s="97" t="s">
        <v>36</v>
      </c>
      <c r="AC1939" s="97"/>
      <c r="AD1939" s="97" t="s">
        <v>35</v>
      </c>
      <c r="AS1939" s="98"/>
      <c r="AT1939" s="98"/>
      <c r="AU1939" s="98"/>
      <c r="AV1939" s="98"/>
      <c r="AW1939" s="98"/>
      <c r="AX1939" s="98"/>
      <c r="AY1939" s="98"/>
      <c r="AZ1939" s="98"/>
      <c r="BA1939" s="98"/>
      <c r="BB1939" s="98"/>
      <c r="BC1939" s="98"/>
      <c r="BD1939" s="98"/>
      <c r="BE1939" s="98"/>
      <c r="BF1939" s="98"/>
      <c r="BG1939" s="98"/>
      <c r="BH1939" s="98"/>
      <c r="BI1939" s="98"/>
      <c r="BJ1939" s="97"/>
      <c r="BL1939" s="97"/>
      <c r="BN1939" s="97"/>
      <c r="BP1939" s="97" t="s">
        <v>41</v>
      </c>
      <c r="CA1939" s="154"/>
    </row>
    <row r="1940" spans="3:79" s="99" customFormat="1" ht="13.5">
      <c r="C1940" s="136" t="s">
        <v>2184</v>
      </c>
      <c r="E1940" s="97"/>
      <c r="F1940" s="97" t="s">
        <v>34</v>
      </c>
      <c r="G1940" s="98"/>
      <c r="O1940" s="97"/>
      <c r="P1940" s="180"/>
      <c r="Q1940" s="97"/>
      <c r="R1940" s="97"/>
      <c r="S1940" s="210"/>
      <c r="T1940" s="210"/>
      <c r="U1940" s="97"/>
      <c r="V1940" s="98"/>
      <c r="W1940" s="98"/>
      <c r="X1940" s="97"/>
      <c r="Y1940" s="98"/>
      <c r="AB1940" s="97" t="s">
        <v>36</v>
      </c>
      <c r="AC1940" s="97"/>
      <c r="AD1940" s="97" t="s">
        <v>35</v>
      </c>
      <c r="AS1940" s="98"/>
      <c r="AT1940" s="98"/>
      <c r="AU1940" s="98"/>
      <c r="AV1940" s="98"/>
      <c r="AW1940" s="98"/>
      <c r="AX1940" s="98"/>
      <c r="AY1940" s="98"/>
      <c r="AZ1940" s="98"/>
      <c r="BA1940" s="98"/>
      <c r="BB1940" s="98"/>
      <c r="BC1940" s="98"/>
      <c r="BD1940" s="98"/>
      <c r="BE1940" s="98"/>
      <c r="BF1940" s="98"/>
      <c r="BG1940" s="98"/>
      <c r="BH1940" s="98"/>
      <c r="BI1940" s="98"/>
      <c r="BJ1940" s="97"/>
      <c r="BL1940" s="97"/>
      <c r="BN1940" s="97"/>
      <c r="BP1940" s="97" t="s">
        <v>41</v>
      </c>
      <c r="CA1940" s="154"/>
    </row>
    <row r="1941" spans="3:79" s="99" customFormat="1" ht="13.5">
      <c r="C1941" s="136" t="s">
        <v>2185</v>
      </c>
      <c r="E1941" s="97"/>
      <c r="F1941" s="97" t="s">
        <v>34</v>
      </c>
      <c r="G1941" s="98"/>
      <c r="O1941" s="97"/>
      <c r="P1941" s="180"/>
      <c r="Q1941" s="97"/>
      <c r="R1941" s="97"/>
      <c r="S1941" s="210"/>
      <c r="T1941" s="210"/>
      <c r="U1941" s="97"/>
      <c r="V1941" s="98"/>
      <c r="W1941" s="98"/>
      <c r="X1941" s="97"/>
      <c r="Y1941" s="98"/>
      <c r="AB1941" s="97" t="s">
        <v>36</v>
      </c>
      <c r="AC1941" s="97"/>
      <c r="AD1941" s="97" t="s">
        <v>35</v>
      </c>
      <c r="AS1941" s="98"/>
      <c r="AT1941" s="98"/>
      <c r="AU1941" s="98"/>
      <c r="AV1941" s="98"/>
      <c r="AW1941" s="98"/>
      <c r="AX1941" s="98"/>
      <c r="AY1941" s="98"/>
      <c r="AZ1941" s="98"/>
      <c r="BA1941" s="98"/>
      <c r="BB1941" s="98"/>
      <c r="BC1941" s="98"/>
      <c r="BD1941" s="98"/>
      <c r="BE1941" s="98"/>
      <c r="BF1941" s="98"/>
      <c r="BG1941" s="98"/>
      <c r="BH1941" s="98"/>
      <c r="BI1941" s="98"/>
      <c r="BJ1941" s="97"/>
      <c r="BL1941" s="97"/>
      <c r="BN1941" s="97"/>
      <c r="BP1941" s="97" t="s">
        <v>41</v>
      </c>
      <c r="CA1941" s="154"/>
    </row>
    <row r="1942" spans="3:79" s="99" customFormat="1" ht="27">
      <c r="C1942" s="136" t="s">
        <v>2186</v>
      </c>
      <c r="E1942" s="97"/>
      <c r="F1942" s="97" t="s">
        <v>34</v>
      </c>
      <c r="G1942" s="98"/>
      <c r="O1942" s="97"/>
      <c r="P1942" s="180"/>
      <c r="Q1942" s="97"/>
      <c r="R1942" s="97"/>
      <c r="S1942" s="210"/>
      <c r="T1942" s="210"/>
      <c r="U1942" s="97"/>
      <c r="V1942" s="98"/>
      <c r="W1942" s="98"/>
      <c r="X1942" s="97"/>
      <c r="Y1942" s="98"/>
      <c r="AB1942" s="97" t="s">
        <v>36</v>
      </c>
      <c r="AC1942" s="97"/>
      <c r="AD1942" s="97" t="s">
        <v>35</v>
      </c>
      <c r="AS1942" s="98"/>
      <c r="AT1942" s="98"/>
      <c r="AU1942" s="98"/>
      <c r="AV1942" s="98"/>
      <c r="AW1942" s="98"/>
      <c r="AX1942" s="98"/>
      <c r="AY1942" s="98"/>
      <c r="AZ1942" s="98"/>
      <c r="BA1942" s="98"/>
      <c r="BB1942" s="98"/>
      <c r="BC1942" s="98"/>
      <c r="BD1942" s="98"/>
      <c r="BE1942" s="98"/>
      <c r="BF1942" s="98"/>
      <c r="BG1942" s="98"/>
      <c r="BH1942" s="98"/>
      <c r="BI1942" s="98"/>
      <c r="BJ1942" s="97"/>
      <c r="BL1942" s="97"/>
      <c r="BN1942" s="97"/>
      <c r="BP1942" s="97" t="s">
        <v>41</v>
      </c>
      <c r="CA1942" s="154"/>
    </row>
    <row r="1943" spans="3:79" s="99" customFormat="1" ht="13.5">
      <c r="C1943" s="136" t="s">
        <v>2187</v>
      </c>
      <c r="E1943" s="97"/>
      <c r="F1943" s="97" t="s">
        <v>34</v>
      </c>
      <c r="G1943" s="98"/>
      <c r="O1943" s="97"/>
      <c r="P1943" s="180"/>
      <c r="Q1943" s="97"/>
      <c r="R1943" s="97"/>
      <c r="S1943" s="210"/>
      <c r="T1943" s="210"/>
      <c r="U1943" s="97"/>
      <c r="V1943" s="98"/>
      <c r="W1943" s="98"/>
      <c r="X1943" s="97"/>
      <c r="Y1943" s="98"/>
      <c r="AB1943" s="97" t="s">
        <v>36</v>
      </c>
      <c r="AC1943" s="97"/>
      <c r="AD1943" s="97" t="s">
        <v>35</v>
      </c>
      <c r="AS1943" s="98"/>
      <c r="AT1943" s="98"/>
      <c r="AU1943" s="98"/>
      <c r="AV1943" s="98"/>
      <c r="AW1943" s="98"/>
      <c r="AX1943" s="98"/>
      <c r="AY1943" s="98"/>
      <c r="AZ1943" s="98"/>
      <c r="BA1943" s="98"/>
      <c r="BB1943" s="98"/>
      <c r="BC1943" s="98"/>
      <c r="BD1943" s="98"/>
      <c r="BE1943" s="98"/>
      <c r="BF1943" s="98"/>
      <c r="BG1943" s="98"/>
      <c r="BH1943" s="98"/>
      <c r="BI1943" s="98"/>
      <c r="BJ1943" s="97"/>
      <c r="BL1943" s="97"/>
      <c r="BN1943" s="97"/>
      <c r="BP1943" s="97" t="s">
        <v>41</v>
      </c>
      <c r="CA1943" s="154"/>
    </row>
    <row r="1944" spans="3:79" s="99" customFormat="1" ht="13.5">
      <c r="C1944" s="136" t="s">
        <v>2188</v>
      </c>
      <c r="E1944" s="97"/>
      <c r="F1944" s="97" t="s">
        <v>34</v>
      </c>
      <c r="G1944" s="98"/>
      <c r="O1944" s="97"/>
      <c r="P1944" s="180"/>
      <c r="Q1944" s="97"/>
      <c r="R1944" s="97"/>
      <c r="S1944" s="210"/>
      <c r="T1944" s="210"/>
      <c r="U1944" s="97"/>
      <c r="V1944" s="98"/>
      <c r="W1944" s="98"/>
      <c r="X1944" s="97"/>
      <c r="Y1944" s="98"/>
      <c r="AB1944" s="97" t="s">
        <v>36</v>
      </c>
      <c r="AC1944" s="97"/>
      <c r="AD1944" s="97" t="s">
        <v>35</v>
      </c>
      <c r="AS1944" s="98"/>
      <c r="AT1944" s="98"/>
      <c r="AU1944" s="98"/>
      <c r="AV1944" s="98"/>
      <c r="AW1944" s="98"/>
      <c r="AX1944" s="98"/>
      <c r="AY1944" s="98"/>
      <c r="AZ1944" s="98"/>
      <c r="BA1944" s="98"/>
      <c r="BB1944" s="98"/>
      <c r="BC1944" s="98"/>
      <c r="BD1944" s="98"/>
      <c r="BE1944" s="98"/>
      <c r="BF1944" s="98"/>
      <c r="BG1944" s="98"/>
      <c r="BH1944" s="98"/>
      <c r="BI1944" s="98"/>
      <c r="BJ1944" s="97"/>
      <c r="BL1944" s="97"/>
      <c r="BN1944" s="97"/>
      <c r="BP1944" s="97" t="s">
        <v>41</v>
      </c>
      <c r="CA1944" s="154"/>
    </row>
    <row r="1945" spans="3:79" s="99" customFormat="1" ht="13.5">
      <c r="C1945" s="136" t="s">
        <v>2189</v>
      </c>
      <c r="E1945" s="97"/>
      <c r="F1945" s="97" t="s">
        <v>34</v>
      </c>
      <c r="G1945" s="98"/>
      <c r="O1945" s="97"/>
      <c r="P1945" s="180"/>
      <c r="Q1945" s="97"/>
      <c r="R1945" s="97"/>
      <c r="S1945" s="210"/>
      <c r="T1945" s="210"/>
      <c r="U1945" s="97"/>
      <c r="V1945" s="98"/>
      <c r="W1945" s="98"/>
      <c r="X1945" s="97"/>
      <c r="Y1945" s="98"/>
      <c r="AB1945" s="97" t="s">
        <v>36</v>
      </c>
      <c r="AC1945" s="97"/>
      <c r="AD1945" s="97" t="s">
        <v>35</v>
      </c>
      <c r="AS1945" s="98"/>
      <c r="AT1945" s="98"/>
      <c r="AU1945" s="98"/>
      <c r="AV1945" s="98"/>
      <c r="AW1945" s="98"/>
      <c r="AX1945" s="98"/>
      <c r="AY1945" s="98"/>
      <c r="AZ1945" s="98"/>
      <c r="BA1945" s="98"/>
      <c r="BB1945" s="98"/>
      <c r="BC1945" s="98"/>
      <c r="BD1945" s="98"/>
      <c r="BE1945" s="98"/>
      <c r="BF1945" s="98"/>
      <c r="BG1945" s="98"/>
      <c r="BH1945" s="98"/>
      <c r="BI1945" s="98"/>
      <c r="BJ1945" s="97"/>
      <c r="BL1945" s="97"/>
      <c r="BN1945" s="97"/>
      <c r="BP1945" s="97" t="s">
        <v>41</v>
      </c>
      <c r="CA1945" s="154"/>
    </row>
    <row r="1946" spans="3:79" s="99" customFormat="1" ht="13.5">
      <c r="C1946" s="136" t="s">
        <v>2190</v>
      </c>
      <c r="E1946" s="97"/>
      <c r="F1946" s="97" t="s">
        <v>34</v>
      </c>
      <c r="G1946" s="98"/>
      <c r="O1946" s="97"/>
      <c r="P1946" s="180"/>
      <c r="Q1946" s="97"/>
      <c r="R1946" s="97"/>
      <c r="S1946" s="210"/>
      <c r="T1946" s="210"/>
      <c r="U1946" s="97"/>
      <c r="V1946" s="98"/>
      <c r="W1946" s="98"/>
      <c r="X1946" s="97"/>
      <c r="Y1946" s="98"/>
      <c r="AB1946" s="97" t="s">
        <v>36</v>
      </c>
      <c r="AC1946" s="97"/>
      <c r="AD1946" s="97" t="s">
        <v>35</v>
      </c>
      <c r="AS1946" s="98"/>
      <c r="AT1946" s="98"/>
      <c r="AU1946" s="98"/>
      <c r="AV1946" s="98"/>
      <c r="AW1946" s="98"/>
      <c r="AX1946" s="98"/>
      <c r="AY1946" s="98"/>
      <c r="AZ1946" s="98"/>
      <c r="BA1946" s="98"/>
      <c r="BB1946" s="98"/>
      <c r="BC1946" s="98"/>
      <c r="BD1946" s="98"/>
      <c r="BE1946" s="98"/>
      <c r="BF1946" s="98"/>
      <c r="BG1946" s="98"/>
      <c r="BH1946" s="98"/>
      <c r="BI1946" s="98"/>
      <c r="BJ1946" s="97"/>
      <c r="BL1946" s="97"/>
      <c r="BN1946" s="97"/>
      <c r="BP1946" s="97" t="s">
        <v>41</v>
      </c>
      <c r="CA1946" s="154"/>
    </row>
    <row r="1947" spans="3:79" s="99" customFormat="1" ht="27">
      <c r="C1947" s="136" t="s">
        <v>2191</v>
      </c>
      <c r="E1947" s="97"/>
      <c r="F1947" s="97" t="s">
        <v>34</v>
      </c>
      <c r="G1947" s="98"/>
      <c r="O1947" s="97"/>
      <c r="P1947" s="180"/>
      <c r="Q1947" s="97"/>
      <c r="R1947" s="97"/>
      <c r="S1947" s="210"/>
      <c r="T1947" s="210"/>
      <c r="U1947" s="97"/>
      <c r="V1947" s="98"/>
      <c r="W1947" s="98"/>
      <c r="X1947" s="97"/>
      <c r="Y1947" s="98"/>
      <c r="AB1947" s="97" t="s">
        <v>36</v>
      </c>
      <c r="AC1947" s="97"/>
      <c r="AD1947" s="97" t="s">
        <v>35</v>
      </c>
      <c r="AS1947" s="98"/>
      <c r="AT1947" s="98"/>
      <c r="AU1947" s="98"/>
      <c r="AV1947" s="98"/>
      <c r="AW1947" s="98"/>
      <c r="AX1947" s="98"/>
      <c r="AY1947" s="98"/>
      <c r="AZ1947" s="98"/>
      <c r="BA1947" s="98"/>
      <c r="BB1947" s="98"/>
      <c r="BC1947" s="98"/>
      <c r="BD1947" s="98"/>
      <c r="BE1947" s="98"/>
      <c r="BF1947" s="98"/>
      <c r="BG1947" s="98"/>
      <c r="BH1947" s="98"/>
      <c r="BI1947" s="98"/>
      <c r="BJ1947" s="97"/>
      <c r="BL1947" s="97"/>
      <c r="BN1947" s="97"/>
      <c r="BP1947" s="97" t="s">
        <v>41</v>
      </c>
      <c r="CA1947" s="154"/>
    </row>
    <row r="1948" spans="3:79" s="99" customFormat="1" ht="27">
      <c r="C1948" s="136" t="s">
        <v>2192</v>
      </c>
      <c r="E1948" s="97"/>
      <c r="F1948" s="97" t="s">
        <v>34</v>
      </c>
      <c r="G1948" s="98"/>
      <c r="O1948" s="97"/>
      <c r="P1948" s="180"/>
      <c r="Q1948" s="97"/>
      <c r="R1948" s="97"/>
      <c r="S1948" s="210"/>
      <c r="T1948" s="210"/>
      <c r="U1948" s="97"/>
      <c r="V1948" s="98"/>
      <c r="W1948" s="98"/>
      <c r="X1948" s="97"/>
      <c r="Y1948" s="98"/>
      <c r="AB1948" s="97" t="s">
        <v>36</v>
      </c>
      <c r="AC1948" s="97"/>
      <c r="AD1948" s="97" t="s">
        <v>35</v>
      </c>
      <c r="AS1948" s="98"/>
      <c r="AT1948" s="98"/>
      <c r="AU1948" s="98"/>
      <c r="AV1948" s="98"/>
      <c r="AW1948" s="98"/>
      <c r="AX1948" s="98"/>
      <c r="AY1948" s="98"/>
      <c r="AZ1948" s="98"/>
      <c r="BA1948" s="98"/>
      <c r="BB1948" s="98"/>
      <c r="BC1948" s="98"/>
      <c r="BD1948" s="98"/>
      <c r="BE1948" s="98"/>
      <c r="BF1948" s="98"/>
      <c r="BG1948" s="98"/>
      <c r="BH1948" s="98"/>
      <c r="BI1948" s="98"/>
      <c r="BJ1948" s="97"/>
      <c r="BL1948" s="97"/>
      <c r="BN1948" s="97"/>
      <c r="BP1948" s="97" t="s">
        <v>41</v>
      </c>
      <c r="CA1948" s="154"/>
    </row>
    <row r="1949" spans="3:79" s="99" customFormat="1" ht="13.5">
      <c r="C1949" s="136" t="s">
        <v>2193</v>
      </c>
      <c r="E1949" s="97"/>
      <c r="F1949" s="97" t="s">
        <v>34</v>
      </c>
      <c r="G1949" s="98"/>
      <c r="O1949" s="97"/>
      <c r="P1949" s="180"/>
      <c r="Q1949" s="97"/>
      <c r="R1949" s="97"/>
      <c r="S1949" s="210"/>
      <c r="T1949" s="210"/>
      <c r="U1949" s="97"/>
      <c r="V1949" s="98"/>
      <c r="W1949" s="98"/>
      <c r="X1949" s="97"/>
      <c r="Y1949" s="98"/>
      <c r="AB1949" s="97" t="s">
        <v>36</v>
      </c>
      <c r="AC1949" s="97"/>
      <c r="AD1949" s="97" t="s">
        <v>35</v>
      </c>
      <c r="AS1949" s="98"/>
      <c r="AT1949" s="98"/>
      <c r="AU1949" s="98"/>
      <c r="AV1949" s="98"/>
      <c r="AW1949" s="98"/>
      <c r="AX1949" s="98"/>
      <c r="AY1949" s="98"/>
      <c r="AZ1949" s="98"/>
      <c r="BA1949" s="98"/>
      <c r="BB1949" s="98"/>
      <c r="BC1949" s="98"/>
      <c r="BD1949" s="98"/>
      <c r="BE1949" s="98"/>
      <c r="BF1949" s="98"/>
      <c r="BG1949" s="98"/>
      <c r="BH1949" s="98"/>
      <c r="BI1949" s="98"/>
      <c r="BJ1949" s="97"/>
      <c r="BL1949" s="97"/>
      <c r="BN1949" s="97"/>
      <c r="BP1949" s="97" t="s">
        <v>41</v>
      </c>
      <c r="CA1949" s="154"/>
    </row>
    <row r="1950" spans="3:79" s="99" customFormat="1" ht="13.5">
      <c r="C1950" s="136"/>
      <c r="E1950" s="97"/>
      <c r="F1950" s="97" t="s">
        <v>34</v>
      </c>
      <c r="G1950" s="98"/>
      <c r="O1950" s="97"/>
      <c r="P1950" s="180"/>
      <c r="Q1950" s="97"/>
      <c r="R1950" s="97"/>
      <c r="S1950" s="210"/>
      <c r="T1950" s="210"/>
      <c r="U1950" s="97"/>
      <c r="V1950" s="98"/>
      <c r="W1950" s="98"/>
      <c r="X1950" s="97"/>
      <c r="Y1950" s="98"/>
      <c r="AB1950" s="97" t="s">
        <v>36</v>
      </c>
      <c r="AC1950" s="97"/>
      <c r="AD1950" s="97" t="s">
        <v>35</v>
      </c>
      <c r="AS1950" s="98"/>
      <c r="AT1950" s="98"/>
      <c r="AU1950" s="98"/>
      <c r="AV1950" s="98"/>
      <c r="AW1950" s="98"/>
      <c r="AX1950" s="98"/>
      <c r="AY1950" s="98"/>
      <c r="AZ1950" s="98"/>
      <c r="BA1950" s="98"/>
      <c r="BB1950" s="98"/>
      <c r="BC1950" s="98"/>
      <c r="BD1950" s="98"/>
      <c r="BE1950" s="98"/>
      <c r="BF1950" s="98"/>
      <c r="BG1950" s="98"/>
      <c r="BH1950" s="98"/>
      <c r="BI1950" s="98"/>
      <c r="BJ1950" s="97"/>
      <c r="BL1950" s="97"/>
      <c r="BN1950" s="97"/>
      <c r="BP1950" s="97" t="s">
        <v>41</v>
      </c>
      <c r="CA1950" s="154"/>
    </row>
    <row r="1951" spans="3:79" s="99" customFormat="1" ht="13.5">
      <c r="C1951" s="136"/>
      <c r="E1951" s="97"/>
      <c r="F1951" s="97" t="s">
        <v>34</v>
      </c>
      <c r="G1951" s="98"/>
      <c r="O1951" s="97"/>
      <c r="P1951" s="180"/>
      <c r="Q1951" s="97"/>
      <c r="R1951" s="97"/>
      <c r="S1951" s="210"/>
      <c r="T1951" s="210"/>
      <c r="U1951" s="97"/>
      <c r="V1951" s="98"/>
      <c r="W1951" s="98"/>
      <c r="X1951" s="97"/>
      <c r="Y1951" s="98"/>
      <c r="AB1951" s="97" t="s">
        <v>36</v>
      </c>
      <c r="AC1951" s="97"/>
      <c r="AD1951" s="97" t="s">
        <v>35</v>
      </c>
      <c r="AS1951" s="98"/>
      <c r="AT1951" s="98"/>
      <c r="AU1951" s="98"/>
      <c r="AV1951" s="98"/>
      <c r="AW1951" s="98"/>
      <c r="AX1951" s="98"/>
      <c r="AY1951" s="98"/>
      <c r="AZ1951" s="98"/>
      <c r="BA1951" s="98"/>
      <c r="BB1951" s="98"/>
      <c r="BC1951" s="98"/>
      <c r="BD1951" s="98"/>
      <c r="BE1951" s="98"/>
      <c r="BF1951" s="98"/>
      <c r="BG1951" s="98"/>
      <c r="BH1951" s="98"/>
      <c r="BI1951" s="98"/>
      <c r="BJ1951" s="97"/>
      <c r="BL1951" s="97"/>
      <c r="BN1951" s="97"/>
      <c r="BP1951" s="97" t="s">
        <v>41</v>
      </c>
      <c r="CA1951" s="154"/>
    </row>
    <row r="1952" spans="3:79" s="99" customFormat="1" ht="13.5">
      <c r="C1952" s="136"/>
      <c r="E1952" s="97"/>
      <c r="F1952" s="97" t="s">
        <v>34</v>
      </c>
      <c r="G1952" s="98"/>
      <c r="O1952" s="97"/>
      <c r="P1952" s="180"/>
      <c r="Q1952" s="97"/>
      <c r="R1952" s="97"/>
      <c r="S1952" s="210"/>
      <c r="T1952" s="210"/>
      <c r="U1952" s="97"/>
      <c r="V1952" s="98"/>
      <c r="W1952" s="98"/>
      <c r="X1952" s="97"/>
      <c r="Y1952" s="98"/>
      <c r="AB1952" s="97" t="s">
        <v>36</v>
      </c>
      <c r="AC1952" s="97"/>
      <c r="AD1952" s="97" t="s">
        <v>35</v>
      </c>
      <c r="AS1952" s="98"/>
      <c r="AT1952" s="98"/>
      <c r="AU1952" s="98"/>
      <c r="AV1952" s="98"/>
      <c r="AW1952" s="98"/>
      <c r="AX1952" s="98"/>
      <c r="AY1952" s="98"/>
      <c r="AZ1952" s="98"/>
      <c r="BA1952" s="98"/>
      <c r="BB1952" s="98"/>
      <c r="BC1952" s="98"/>
      <c r="BD1952" s="98"/>
      <c r="BE1952" s="98"/>
      <c r="BF1952" s="98"/>
      <c r="BG1952" s="98"/>
      <c r="BH1952" s="98"/>
      <c r="BI1952" s="98"/>
      <c r="BJ1952" s="97"/>
      <c r="BL1952" s="97"/>
      <c r="BN1952" s="97"/>
      <c r="BP1952" s="97" t="s">
        <v>41</v>
      </c>
      <c r="CA1952" s="154"/>
    </row>
    <row r="1953" spans="3:79" s="99" customFormat="1" ht="13.5">
      <c r="C1953" s="136" t="s">
        <v>2194</v>
      </c>
      <c r="E1953" s="97"/>
      <c r="F1953" s="97" t="s">
        <v>34</v>
      </c>
      <c r="G1953" s="98"/>
      <c r="O1953" s="97"/>
      <c r="P1953" s="180"/>
      <c r="Q1953" s="97"/>
      <c r="R1953" s="97"/>
      <c r="S1953" s="210"/>
      <c r="T1953" s="210"/>
      <c r="U1953" s="97"/>
      <c r="V1953" s="98"/>
      <c r="W1953" s="98"/>
      <c r="X1953" s="97"/>
      <c r="Y1953" s="98"/>
      <c r="AB1953" s="97" t="s">
        <v>36</v>
      </c>
      <c r="AC1953" s="97"/>
      <c r="AD1953" s="97" t="s">
        <v>35</v>
      </c>
      <c r="AS1953" s="98"/>
      <c r="AT1953" s="98"/>
      <c r="AU1953" s="98"/>
      <c r="AV1953" s="98"/>
      <c r="AW1953" s="98"/>
      <c r="AX1953" s="98"/>
      <c r="AY1953" s="98"/>
      <c r="AZ1953" s="98"/>
      <c r="BA1953" s="98"/>
      <c r="BB1953" s="98"/>
      <c r="BC1953" s="98"/>
      <c r="BD1953" s="98"/>
      <c r="BE1953" s="98"/>
      <c r="BF1953" s="98"/>
      <c r="BG1953" s="98"/>
      <c r="BH1953" s="98"/>
      <c r="BI1953" s="98"/>
      <c r="BJ1953" s="97"/>
      <c r="BL1953" s="97"/>
      <c r="BN1953" s="97"/>
      <c r="BP1953" s="97" t="s">
        <v>39</v>
      </c>
      <c r="CA1953" s="154"/>
    </row>
    <row r="1954" spans="3:79" s="99" customFormat="1" ht="13.5">
      <c r="C1954" s="136" t="s">
        <v>2195</v>
      </c>
      <c r="E1954" s="97"/>
      <c r="F1954" s="97" t="s">
        <v>34</v>
      </c>
      <c r="G1954" s="98"/>
      <c r="O1954" s="97"/>
      <c r="P1954" s="180"/>
      <c r="Q1954" s="97"/>
      <c r="R1954" s="97"/>
      <c r="S1954" s="210"/>
      <c r="T1954" s="210"/>
      <c r="U1954" s="97"/>
      <c r="V1954" s="98"/>
      <c r="W1954" s="98"/>
      <c r="X1954" s="97"/>
      <c r="Y1954" s="98"/>
      <c r="AB1954" s="97" t="s">
        <v>36</v>
      </c>
      <c r="AC1954" s="97"/>
      <c r="AD1954" s="97" t="s">
        <v>35</v>
      </c>
      <c r="AS1954" s="98"/>
      <c r="AT1954" s="98"/>
      <c r="AU1954" s="98"/>
      <c r="AV1954" s="98"/>
      <c r="AW1954" s="98"/>
      <c r="AX1954" s="98"/>
      <c r="AY1954" s="98"/>
      <c r="AZ1954" s="98"/>
      <c r="BA1954" s="98"/>
      <c r="BB1954" s="98"/>
      <c r="BC1954" s="98"/>
      <c r="BD1954" s="98"/>
      <c r="BE1954" s="98"/>
      <c r="BF1954" s="98"/>
      <c r="BG1954" s="98"/>
      <c r="BH1954" s="98"/>
      <c r="BI1954" s="98"/>
      <c r="BJ1954" s="97"/>
      <c r="BL1954" s="97"/>
      <c r="BN1954" s="97"/>
      <c r="BP1954" s="97" t="s">
        <v>39</v>
      </c>
      <c r="CA1954" s="154"/>
    </row>
    <row r="1955" spans="3:79" s="99" customFormat="1" ht="13.5">
      <c r="C1955" s="136" t="s">
        <v>2196</v>
      </c>
      <c r="E1955" s="97"/>
      <c r="F1955" s="97" t="s">
        <v>34</v>
      </c>
      <c r="G1955" s="98"/>
      <c r="O1955" s="97"/>
      <c r="P1955" s="180"/>
      <c r="Q1955" s="97"/>
      <c r="R1955" s="97"/>
      <c r="S1955" s="210"/>
      <c r="T1955" s="210"/>
      <c r="U1955" s="97"/>
      <c r="V1955" s="98"/>
      <c r="W1955" s="98"/>
      <c r="X1955" s="97"/>
      <c r="Y1955" s="98"/>
      <c r="AB1955" s="97" t="s">
        <v>36</v>
      </c>
      <c r="AC1955" s="97"/>
      <c r="AD1955" s="97" t="s">
        <v>35</v>
      </c>
      <c r="AS1955" s="98"/>
      <c r="AT1955" s="98"/>
      <c r="AU1955" s="98"/>
      <c r="AV1955" s="98"/>
      <c r="AW1955" s="98"/>
      <c r="AX1955" s="98"/>
      <c r="AY1955" s="98"/>
      <c r="AZ1955" s="98"/>
      <c r="BA1955" s="98"/>
      <c r="BB1955" s="98"/>
      <c r="BC1955" s="98"/>
      <c r="BD1955" s="98"/>
      <c r="BE1955" s="98"/>
      <c r="BF1955" s="98"/>
      <c r="BG1955" s="98"/>
      <c r="BH1955" s="98"/>
      <c r="BI1955" s="98"/>
      <c r="BJ1955" s="97"/>
      <c r="BL1955" s="97"/>
      <c r="BN1955" s="97"/>
      <c r="BP1955" s="97" t="s">
        <v>39</v>
      </c>
      <c r="CA1955" s="154"/>
    </row>
    <row r="1956" spans="3:79" s="99" customFormat="1" ht="13.5">
      <c r="C1956" s="136" t="s">
        <v>2197</v>
      </c>
      <c r="E1956" s="97"/>
      <c r="F1956" s="97" t="s">
        <v>34</v>
      </c>
      <c r="G1956" s="98"/>
      <c r="O1956" s="97"/>
      <c r="P1956" s="180"/>
      <c r="Q1956" s="97"/>
      <c r="R1956" s="97"/>
      <c r="S1956" s="210"/>
      <c r="T1956" s="210"/>
      <c r="U1956" s="97"/>
      <c r="V1956" s="98"/>
      <c r="W1956" s="98"/>
      <c r="X1956" s="97"/>
      <c r="Y1956" s="98"/>
      <c r="AB1956" s="97" t="s">
        <v>36</v>
      </c>
      <c r="AC1956" s="97"/>
      <c r="AD1956" s="97" t="s">
        <v>35</v>
      </c>
      <c r="AS1956" s="98"/>
      <c r="AT1956" s="98"/>
      <c r="AU1956" s="98"/>
      <c r="AV1956" s="98"/>
      <c r="AW1956" s="98"/>
      <c r="AX1956" s="98"/>
      <c r="AY1956" s="98"/>
      <c r="AZ1956" s="98"/>
      <c r="BA1956" s="98"/>
      <c r="BB1956" s="98"/>
      <c r="BC1956" s="98"/>
      <c r="BD1956" s="98"/>
      <c r="BE1956" s="98"/>
      <c r="BF1956" s="98"/>
      <c r="BG1956" s="98"/>
      <c r="BH1956" s="98"/>
      <c r="BI1956" s="98"/>
      <c r="BJ1956" s="97"/>
      <c r="BL1956" s="97"/>
      <c r="BN1956" s="97"/>
      <c r="BP1956" s="97" t="s">
        <v>39</v>
      </c>
      <c r="CA1956" s="154"/>
    </row>
    <row r="1957" spans="3:79" s="99" customFormat="1" ht="13.5">
      <c r="C1957" s="136"/>
      <c r="E1957" s="97"/>
      <c r="F1957" s="97" t="s">
        <v>34</v>
      </c>
      <c r="G1957" s="98"/>
      <c r="O1957" s="97"/>
      <c r="P1957" s="180"/>
      <c r="Q1957" s="97"/>
      <c r="R1957" s="97"/>
      <c r="S1957" s="210"/>
      <c r="T1957" s="210"/>
      <c r="U1957" s="97"/>
      <c r="V1957" s="98"/>
      <c r="W1957" s="98"/>
      <c r="X1957" s="97"/>
      <c r="Y1957" s="98"/>
      <c r="AB1957" s="97" t="s">
        <v>36</v>
      </c>
      <c r="AC1957" s="97"/>
      <c r="AD1957" s="97" t="s">
        <v>35</v>
      </c>
      <c r="AS1957" s="98"/>
      <c r="AT1957" s="98"/>
      <c r="AU1957" s="98"/>
      <c r="AV1957" s="98"/>
      <c r="AW1957" s="98"/>
      <c r="AX1957" s="98"/>
      <c r="AY1957" s="98"/>
      <c r="AZ1957" s="98"/>
      <c r="BA1957" s="98"/>
      <c r="BB1957" s="98"/>
      <c r="BC1957" s="98"/>
      <c r="BD1957" s="98"/>
      <c r="BE1957" s="98"/>
      <c r="BF1957" s="98"/>
      <c r="BG1957" s="98"/>
      <c r="BH1957" s="98"/>
      <c r="BI1957" s="98"/>
      <c r="BJ1957" s="97"/>
      <c r="BL1957" s="97"/>
      <c r="BN1957" s="97"/>
      <c r="BP1957" s="97" t="s">
        <v>39</v>
      </c>
      <c r="CA1957" s="154"/>
    </row>
    <row r="1958" spans="3:79" s="99" customFormat="1" ht="13.5">
      <c r="C1958" s="136"/>
      <c r="E1958" s="97"/>
      <c r="F1958" s="97" t="s">
        <v>34</v>
      </c>
      <c r="G1958" s="98"/>
      <c r="O1958" s="97"/>
      <c r="P1958" s="180"/>
      <c r="Q1958" s="97"/>
      <c r="R1958" s="97"/>
      <c r="S1958" s="210"/>
      <c r="T1958" s="210"/>
      <c r="U1958" s="97"/>
      <c r="V1958" s="98"/>
      <c r="W1958" s="98"/>
      <c r="X1958" s="97"/>
      <c r="Y1958" s="98"/>
      <c r="AB1958" s="97" t="s">
        <v>36</v>
      </c>
      <c r="AC1958" s="97"/>
      <c r="AD1958" s="97" t="s">
        <v>35</v>
      </c>
      <c r="AS1958" s="98"/>
      <c r="AT1958" s="98"/>
      <c r="AU1958" s="98"/>
      <c r="AV1958" s="98"/>
      <c r="AW1958" s="98"/>
      <c r="AX1958" s="98"/>
      <c r="AY1958" s="98"/>
      <c r="AZ1958" s="98"/>
      <c r="BA1958" s="98"/>
      <c r="BB1958" s="98"/>
      <c r="BC1958" s="98"/>
      <c r="BD1958" s="98"/>
      <c r="BE1958" s="98"/>
      <c r="BF1958" s="98"/>
      <c r="BG1958" s="98"/>
      <c r="BH1958" s="98"/>
      <c r="BI1958" s="98"/>
      <c r="BJ1958" s="97"/>
      <c r="BL1958" s="97"/>
      <c r="BN1958" s="97"/>
      <c r="BP1958" s="97" t="s">
        <v>39</v>
      </c>
      <c r="CA1958" s="154"/>
    </row>
    <row r="1959" spans="3:79" s="99" customFormat="1" ht="13.5">
      <c r="C1959" s="136"/>
      <c r="E1959" s="97"/>
      <c r="F1959" s="97" t="s">
        <v>34</v>
      </c>
      <c r="G1959" s="98"/>
      <c r="O1959" s="97"/>
      <c r="P1959" s="180"/>
      <c r="Q1959" s="97"/>
      <c r="R1959" s="97"/>
      <c r="S1959" s="210"/>
      <c r="T1959" s="210"/>
      <c r="U1959" s="97"/>
      <c r="V1959" s="98"/>
      <c r="W1959" s="98"/>
      <c r="X1959" s="97"/>
      <c r="Y1959" s="98"/>
      <c r="AB1959" s="97" t="s">
        <v>36</v>
      </c>
      <c r="AC1959" s="97"/>
      <c r="AD1959" s="97" t="s">
        <v>35</v>
      </c>
      <c r="AS1959" s="98"/>
      <c r="AT1959" s="98"/>
      <c r="AU1959" s="98"/>
      <c r="AV1959" s="98"/>
      <c r="AW1959" s="98"/>
      <c r="AX1959" s="98"/>
      <c r="AY1959" s="98"/>
      <c r="AZ1959" s="98"/>
      <c r="BA1959" s="98"/>
      <c r="BB1959" s="98"/>
      <c r="BC1959" s="98"/>
      <c r="BD1959" s="98"/>
      <c r="BE1959" s="98"/>
      <c r="BF1959" s="98"/>
      <c r="BG1959" s="98"/>
      <c r="BH1959" s="98"/>
      <c r="BI1959" s="98"/>
      <c r="BJ1959" s="97"/>
      <c r="BL1959" s="97"/>
      <c r="BN1959" s="97"/>
      <c r="BP1959" s="97" t="s">
        <v>39</v>
      </c>
      <c r="CA1959" s="154"/>
    </row>
    <row r="1960" spans="3:79" s="99" customFormat="1" ht="13.5">
      <c r="C1960" s="136"/>
      <c r="E1960" s="97"/>
      <c r="F1960" s="97" t="s">
        <v>34</v>
      </c>
      <c r="G1960" s="98"/>
      <c r="O1960" s="97"/>
      <c r="P1960" s="180"/>
      <c r="Q1960" s="97"/>
      <c r="R1960" s="97"/>
      <c r="S1960" s="210"/>
      <c r="T1960" s="210"/>
      <c r="U1960" s="97"/>
      <c r="V1960" s="98"/>
      <c r="W1960" s="98"/>
      <c r="X1960" s="97"/>
      <c r="Y1960" s="98"/>
      <c r="AB1960" s="97" t="s">
        <v>36</v>
      </c>
      <c r="AC1960" s="97"/>
      <c r="AD1960" s="108" t="s">
        <v>40</v>
      </c>
      <c r="AS1960" s="98"/>
      <c r="AT1960" s="98"/>
      <c r="AU1960" s="98"/>
      <c r="AV1960" s="98"/>
      <c r="AW1960" s="98"/>
      <c r="AX1960" s="98"/>
      <c r="AY1960" s="98"/>
      <c r="AZ1960" s="98"/>
      <c r="BA1960" s="98"/>
      <c r="BB1960" s="98"/>
      <c r="BC1960" s="98"/>
      <c r="BD1960" s="98"/>
      <c r="BE1960" s="98"/>
      <c r="BF1960" s="98"/>
      <c r="BG1960" s="98"/>
      <c r="BH1960" s="98"/>
      <c r="BI1960" s="98"/>
      <c r="BJ1960" s="97"/>
      <c r="BL1960" s="97"/>
      <c r="BN1960" s="97"/>
      <c r="BP1960" s="97" t="s">
        <v>39</v>
      </c>
      <c r="CA1960" s="154"/>
    </row>
    <row r="1961" spans="3:79" s="99" customFormat="1" ht="13.5">
      <c r="C1961" s="136"/>
      <c r="E1961" s="97"/>
      <c r="F1961" s="97" t="s">
        <v>34</v>
      </c>
      <c r="G1961" s="98"/>
      <c r="O1961" s="97"/>
      <c r="P1961" s="180"/>
      <c r="Q1961" s="97"/>
      <c r="R1961" s="97"/>
      <c r="S1961" s="210"/>
      <c r="T1961" s="210"/>
      <c r="U1961" s="97"/>
      <c r="V1961" s="98"/>
      <c r="W1961" s="98"/>
      <c r="X1961" s="97"/>
      <c r="Y1961" s="98"/>
      <c r="AB1961" s="97" t="s">
        <v>36</v>
      </c>
      <c r="AC1961" s="97"/>
      <c r="AD1961" s="97" t="s">
        <v>35</v>
      </c>
      <c r="AS1961" s="98"/>
      <c r="AT1961" s="98"/>
      <c r="AU1961" s="98"/>
      <c r="AV1961" s="98"/>
      <c r="AW1961" s="98"/>
      <c r="AX1961" s="98"/>
      <c r="AY1961" s="98"/>
      <c r="AZ1961" s="98"/>
      <c r="BA1961" s="98"/>
      <c r="BB1961" s="98"/>
      <c r="BC1961" s="98"/>
      <c r="BD1961" s="98"/>
      <c r="BE1961" s="98"/>
      <c r="BF1961" s="98"/>
      <c r="BG1961" s="98"/>
      <c r="BH1961" s="98"/>
      <c r="BI1961" s="98"/>
      <c r="BJ1961" s="97"/>
      <c r="BL1961" s="97"/>
      <c r="BN1961" s="97"/>
      <c r="BP1961" s="97"/>
      <c r="CA1961" s="154"/>
    </row>
    <row r="1962" spans="3:79" s="99" customFormat="1" ht="13.5">
      <c r="C1962" s="136" t="s">
        <v>2198</v>
      </c>
      <c r="E1962" s="97"/>
      <c r="F1962" s="97" t="s">
        <v>34</v>
      </c>
      <c r="G1962" s="98"/>
      <c r="O1962" s="97"/>
      <c r="P1962" s="180"/>
      <c r="Q1962" s="97"/>
      <c r="R1962" s="97"/>
      <c r="S1962" s="210"/>
      <c r="T1962" s="210"/>
      <c r="U1962" s="97"/>
      <c r="V1962" s="98"/>
      <c r="W1962" s="98"/>
      <c r="X1962" s="97"/>
      <c r="Y1962" s="98"/>
      <c r="AB1962" s="97" t="s">
        <v>36</v>
      </c>
      <c r="AC1962" s="97"/>
      <c r="AD1962" s="97" t="s">
        <v>35</v>
      </c>
      <c r="AS1962" s="98"/>
      <c r="AT1962" s="98"/>
      <c r="AU1962" s="98"/>
      <c r="AV1962" s="98"/>
      <c r="AW1962" s="98"/>
      <c r="AX1962" s="98"/>
      <c r="AY1962" s="98"/>
      <c r="AZ1962" s="98"/>
      <c r="BA1962" s="98"/>
      <c r="BB1962" s="98"/>
      <c r="BC1962" s="98"/>
      <c r="BD1962" s="98"/>
      <c r="BE1962" s="98"/>
      <c r="BF1962" s="98"/>
      <c r="BG1962" s="98"/>
      <c r="BH1962" s="98"/>
      <c r="BI1962" s="98"/>
      <c r="BJ1962" s="97"/>
      <c r="BL1962" s="97"/>
      <c r="BN1962" s="97"/>
      <c r="BP1962" s="97" t="s">
        <v>38</v>
      </c>
      <c r="CA1962" s="154"/>
    </row>
    <row r="1963" spans="3:79" s="99" customFormat="1" ht="13.5">
      <c r="C1963" s="136"/>
      <c r="E1963" s="97"/>
      <c r="F1963" s="97" t="s">
        <v>34</v>
      </c>
      <c r="G1963" s="98"/>
      <c r="O1963" s="97"/>
      <c r="P1963" s="180"/>
      <c r="Q1963" s="97"/>
      <c r="R1963" s="97"/>
      <c r="S1963" s="210"/>
      <c r="T1963" s="210"/>
      <c r="U1963" s="97"/>
      <c r="V1963" s="98"/>
      <c r="W1963" s="98"/>
      <c r="X1963" s="97"/>
      <c r="Y1963" s="98"/>
      <c r="AB1963" s="97" t="s">
        <v>36</v>
      </c>
      <c r="AC1963" s="97"/>
      <c r="AD1963" s="97" t="s">
        <v>35</v>
      </c>
      <c r="AS1963" s="98"/>
      <c r="AT1963" s="98"/>
      <c r="AU1963" s="98"/>
      <c r="AV1963" s="98"/>
      <c r="AW1963" s="98"/>
      <c r="AX1963" s="98"/>
      <c r="AY1963" s="98"/>
      <c r="AZ1963" s="98"/>
      <c r="BA1963" s="98"/>
      <c r="BB1963" s="98"/>
      <c r="BC1963" s="98"/>
      <c r="BD1963" s="98"/>
      <c r="BE1963" s="98"/>
      <c r="BF1963" s="98"/>
      <c r="BG1963" s="98"/>
      <c r="BH1963" s="98"/>
      <c r="BI1963" s="98"/>
      <c r="BJ1963" s="97"/>
      <c r="BL1963" s="97"/>
      <c r="BN1963" s="97"/>
      <c r="BP1963" s="97"/>
      <c r="CA1963" s="154"/>
    </row>
    <row r="1964" spans="3:79" s="99" customFormat="1" ht="13.5">
      <c r="C1964" s="136" t="s">
        <v>2199</v>
      </c>
      <c r="E1964" s="97"/>
      <c r="F1964" s="97" t="s">
        <v>34</v>
      </c>
      <c r="O1964" s="97"/>
      <c r="P1964" s="180"/>
      <c r="Q1964" s="97"/>
      <c r="R1964" s="97"/>
      <c r="S1964" s="210"/>
      <c r="T1964" s="210"/>
      <c r="U1964" s="97"/>
      <c r="X1964" s="97"/>
      <c r="AB1964" s="97" t="s">
        <v>36</v>
      </c>
      <c r="AC1964" s="97"/>
      <c r="AD1964" s="97" t="s">
        <v>35</v>
      </c>
      <c r="BJ1964" s="97"/>
      <c r="BL1964" s="97"/>
      <c r="BN1964" s="97"/>
      <c r="BP1964" s="97" t="s">
        <v>37</v>
      </c>
      <c r="CA1964" s="154"/>
    </row>
    <row r="1965" spans="3:79" s="99" customFormat="1" ht="13.5">
      <c r="C1965" s="136" t="s">
        <v>2200</v>
      </c>
      <c r="E1965" s="97"/>
      <c r="F1965" s="97" t="s">
        <v>34</v>
      </c>
      <c r="O1965" s="97"/>
      <c r="P1965" s="180"/>
      <c r="Q1965" s="97"/>
      <c r="R1965" s="97"/>
      <c r="S1965" s="210"/>
      <c r="T1965" s="210"/>
      <c r="U1965" s="97"/>
      <c r="X1965" s="97"/>
      <c r="AB1965" s="97" t="s">
        <v>36</v>
      </c>
      <c r="AC1965" s="97"/>
      <c r="AD1965" s="97" t="s">
        <v>35</v>
      </c>
      <c r="BJ1965" s="97"/>
      <c r="BL1965" s="97"/>
      <c r="BN1965" s="97"/>
      <c r="BP1965" s="97" t="s">
        <v>37</v>
      </c>
      <c r="CA1965" s="154"/>
    </row>
    <row r="1966" spans="3:79" s="99" customFormat="1" ht="13.5">
      <c r="C1966" s="136" t="s">
        <v>2201</v>
      </c>
      <c r="E1966" s="97"/>
      <c r="F1966" s="97" t="s">
        <v>34</v>
      </c>
      <c r="G1966" s="98"/>
      <c r="O1966" s="97"/>
      <c r="P1966" s="180"/>
      <c r="Q1966" s="97"/>
      <c r="R1966" s="97"/>
      <c r="S1966" s="210"/>
      <c r="T1966" s="210"/>
      <c r="U1966" s="97"/>
      <c r="V1966" s="98"/>
      <c r="W1966" s="98"/>
      <c r="X1966" s="97"/>
      <c r="Y1966" s="98"/>
      <c r="AB1966" s="97" t="s">
        <v>36</v>
      </c>
      <c r="AC1966" s="97"/>
      <c r="AD1966" s="97" t="s">
        <v>35</v>
      </c>
      <c r="AS1966" s="98"/>
      <c r="AT1966" s="98"/>
      <c r="AU1966" s="98"/>
      <c r="AV1966" s="98"/>
      <c r="AW1966" s="98"/>
      <c r="AX1966" s="98"/>
      <c r="AY1966" s="98"/>
      <c r="AZ1966" s="98"/>
      <c r="BA1966" s="98"/>
      <c r="BB1966" s="98"/>
      <c r="BC1966" s="98"/>
      <c r="BD1966" s="98"/>
      <c r="BE1966" s="98"/>
      <c r="BF1966" s="98"/>
      <c r="BG1966" s="98"/>
      <c r="BH1966" s="98"/>
      <c r="BI1966" s="98"/>
      <c r="BJ1966" s="97"/>
      <c r="BL1966" s="97"/>
      <c r="BN1966" s="97"/>
      <c r="BP1966" s="97" t="s">
        <v>37</v>
      </c>
      <c r="CA1966" s="154"/>
    </row>
    <row r="1967" spans="3:79" s="99" customFormat="1" ht="13.5">
      <c r="C1967" s="136" t="s">
        <v>2202</v>
      </c>
      <c r="E1967" s="97"/>
      <c r="F1967" s="97" t="s">
        <v>34</v>
      </c>
      <c r="G1967" s="98"/>
      <c r="O1967" s="97"/>
      <c r="P1967" s="180"/>
      <c r="Q1967" s="97"/>
      <c r="R1967" s="97"/>
      <c r="S1967" s="210"/>
      <c r="T1967" s="210"/>
      <c r="U1967" s="97"/>
      <c r="V1967" s="98"/>
      <c r="W1967" s="98"/>
      <c r="X1967" s="97"/>
      <c r="Y1967" s="98"/>
      <c r="AB1967" s="97" t="s">
        <v>36</v>
      </c>
      <c r="AC1967" s="97"/>
      <c r="AD1967" s="97" t="s">
        <v>35</v>
      </c>
      <c r="AS1967" s="98"/>
      <c r="AT1967" s="98"/>
      <c r="AU1967" s="98"/>
      <c r="AV1967" s="98"/>
      <c r="AW1967" s="98"/>
      <c r="AX1967" s="98"/>
      <c r="AY1967" s="98"/>
      <c r="AZ1967" s="98"/>
      <c r="BA1967" s="98"/>
      <c r="BB1967" s="98"/>
      <c r="BC1967" s="98"/>
      <c r="BD1967" s="98"/>
      <c r="BE1967" s="98"/>
      <c r="BF1967" s="98"/>
      <c r="BG1967" s="98"/>
      <c r="BH1967" s="98"/>
      <c r="BI1967" s="98"/>
      <c r="BJ1967" s="97"/>
      <c r="BL1967" s="97"/>
      <c r="BN1967" s="97"/>
      <c r="BP1967" s="97" t="s">
        <v>37</v>
      </c>
      <c r="CA1967" s="154"/>
    </row>
    <row r="1968" spans="3:79" s="99" customFormat="1" ht="13.5">
      <c r="C1968" s="136" t="s">
        <v>2203</v>
      </c>
      <c r="E1968" s="97"/>
      <c r="F1968" s="97" t="s">
        <v>34</v>
      </c>
      <c r="G1968" s="98"/>
      <c r="O1968" s="97"/>
      <c r="P1968" s="180"/>
      <c r="Q1968" s="97"/>
      <c r="R1968" s="97"/>
      <c r="S1968" s="210"/>
      <c r="T1968" s="210"/>
      <c r="U1968" s="97"/>
      <c r="V1968" s="98"/>
      <c r="W1968" s="98"/>
      <c r="X1968" s="97"/>
      <c r="Y1968" s="98"/>
      <c r="AB1968" s="97" t="s">
        <v>36</v>
      </c>
      <c r="AC1968" s="97"/>
      <c r="AD1968" s="97" t="s">
        <v>35</v>
      </c>
      <c r="AS1968" s="98"/>
      <c r="AT1968" s="98"/>
      <c r="AU1968" s="98"/>
      <c r="AV1968" s="98"/>
      <c r="AW1968" s="98"/>
      <c r="AX1968" s="98"/>
      <c r="AY1968" s="98"/>
      <c r="AZ1968" s="98"/>
      <c r="BA1968" s="98"/>
      <c r="BB1968" s="98"/>
      <c r="BC1968" s="98"/>
      <c r="BD1968" s="98"/>
      <c r="BE1968" s="98"/>
      <c r="BF1968" s="98"/>
      <c r="BG1968" s="98"/>
      <c r="BH1968" s="98"/>
      <c r="BI1968" s="98"/>
      <c r="BJ1968" s="97"/>
      <c r="BL1968" s="97"/>
      <c r="BN1968" s="97"/>
      <c r="BP1968" s="97" t="s">
        <v>37</v>
      </c>
      <c r="CA1968" s="154"/>
    </row>
    <row r="1969" spans="3:79" s="99" customFormat="1" ht="13.5">
      <c r="C1969" s="136"/>
      <c r="E1969" s="97"/>
      <c r="F1969" s="97" t="s">
        <v>34</v>
      </c>
      <c r="G1969" s="98"/>
      <c r="O1969" s="97"/>
      <c r="P1969" s="180"/>
      <c r="Q1969" s="97"/>
      <c r="R1969" s="97"/>
      <c r="S1969" s="210"/>
      <c r="T1969" s="210"/>
      <c r="U1969" s="97"/>
      <c r="V1969" s="98"/>
      <c r="W1969" s="98"/>
      <c r="X1969" s="97"/>
      <c r="Y1969" s="98"/>
      <c r="AB1969" s="97" t="s">
        <v>36</v>
      </c>
      <c r="AC1969" s="97"/>
      <c r="AD1969" s="97" t="s">
        <v>35</v>
      </c>
      <c r="AS1969" s="98"/>
      <c r="AT1969" s="98"/>
      <c r="AU1969" s="98"/>
      <c r="AV1969" s="98"/>
      <c r="AW1969" s="98"/>
      <c r="AX1969" s="98"/>
      <c r="AY1969" s="98"/>
      <c r="AZ1969" s="98"/>
      <c r="BA1969" s="98"/>
      <c r="BB1969" s="98"/>
      <c r="BC1969" s="98"/>
      <c r="BD1969" s="98"/>
      <c r="BE1969" s="98"/>
      <c r="BF1969" s="98"/>
      <c r="BG1969" s="98"/>
      <c r="BH1969" s="98"/>
      <c r="BI1969" s="98"/>
      <c r="BJ1969" s="97"/>
      <c r="BL1969" s="97"/>
      <c r="BN1969" s="97"/>
      <c r="BP1969" s="97" t="s">
        <v>37</v>
      </c>
      <c r="CA1969" s="154"/>
    </row>
    <row r="1970" spans="3:79" s="99" customFormat="1" ht="13.5">
      <c r="C1970" s="136"/>
      <c r="E1970" s="97"/>
      <c r="F1970" s="97" t="s">
        <v>34</v>
      </c>
      <c r="G1970" s="98"/>
      <c r="O1970" s="97"/>
      <c r="P1970" s="180"/>
      <c r="Q1970" s="97"/>
      <c r="R1970" s="97"/>
      <c r="S1970" s="210"/>
      <c r="T1970" s="210"/>
      <c r="U1970" s="97"/>
      <c r="V1970" s="98"/>
      <c r="W1970" s="98"/>
      <c r="X1970" s="97"/>
      <c r="Y1970" s="98"/>
      <c r="AB1970" s="97" t="s">
        <v>36</v>
      </c>
      <c r="AC1970" s="97"/>
      <c r="AD1970" s="97" t="s">
        <v>35</v>
      </c>
      <c r="AS1970" s="98"/>
      <c r="AT1970" s="98"/>
      <c r="AU1970" s="98"/>
      <c r="AV1970" s="98"/>
      <c r="AW1970" s="98"/>
      <c r="AX1970" s="98"/>
      <c r="AY1970" s="98"/>
      <c r="AZ1970" s="98"/>
      <c r="BA1970" s="98"/>
      <c r="BB1970" s="98"/>
      <c r="BC1970" s="98"/>
      <c r="BD1970" s="98"/>
      <c r="BE1970" s="98"/>
      <c r="BF1970" s="98"/>
      <c r="BG1970" s="98"/>
      <c r="BH1970" s="98"/>
      <c r="BI1970" s="98"/>
      <c r="BJ1970" s="97"/>
      <c r="BL1970" s="97"/>
      <c r="BN1970" s="97"/>
      <c r="BP1970" s="97"/>
      <c r="CA1970" s="154"/>
    </row>
    <row r="1971" spans="3:79" s="99" customFormat="1" ht="13.5">
      <c r="C1971" s="136"/>
      <c r="E1971" s="97"/>
      <c r="F1971" s="97" t="s">
        <v>34</v>
      </c>
      <c r="G1971" s="98"/>
      <c r="O1971" s="97"/>
      <c r="P1971" s="180"/>
      <c r="Q1971" s="97"/>
      <c r="R1971" s="97"/>
      <c r="S1971" s="210"/>
      <c r="T1971" s="210"/>
      <c r="U1971" s="97"/>
      <c r="V1971" s="98"/>
      <c r="W1971" s="98"/>
      <c r="X1971" s="97"/>
      <c r="Y1971" s="98"/>
      <c r="AB1971" s="97" t="s">
        <v>36</v>
      </c>
      <c r="AC1971" s="97"/>
      <c r="AD1971" s="97" t="s">
        <v>35</v>
      </c>
      <c r="AS1971" s="98"/>
      <c r="AT1971" s="98"/>
      <c r="AU1971" s="98"/>
      <c r="AV1971" s="98"/>
      <c r="AW1971" s="98"/>
      <c r="AX1971" s="98"/>
      <c r="AY1971" s="98"/>
      <c r="AZ1971" s="98"/>
      <c r="BA1971" s="98"/>
      <c r="BB1971" s="98"/>
      <c r="BC1971" s="98"/>
      <c r="BD1971" s="98"/>
      <c r="BE1971" s="98"/>
      <c r="BF1971" s="98"/>
      <c r="BG1971" s="98"/>
      <c r="BH1971" s="98"/>
      <c r="BI1971" s="98"/>
      <c r="BJ1971" s="97"/>
      <c r="BL1971" s="97"/>
      <c r="BN1971" s="97"/>
      <c r="BP1971" s="97"/>
      <c r="CA1971" s="154"/>
    </row>
    <row r="1972" spans="3:79" s="99" customFormat="1" ht="13.5">
      <c r="C1972" s="136"/>
      <c r="E1972" s="97"/>
      <c r="F1972" s="97" t="s">
        <v>34</v>
      </c>
      <c r="G1972" s="98"/>
      <c r="O1972" s="97"/>
      <c r="P1972" s="180"/>
      <c r="Q1972" s="97"/>
      <c r="R1972" s="97"/>
      <c r="S1972" s="210"/>
      <c r="T1972" s="210"/>
      <c r="U1972" s="97"/>
      <c r="V1972" s="98"/>
      <c r="W1972" s="98"/>
      <c r="X1972" s="97"/>
      <c r="Y1972" s="98"/>
      <c r="AB1972" s="97" t="s">
        <v>36</v>
      </c>
      <c r="AC1972" s="97"/>
      <c r="AD1972" s="97" t="s">
        <v>35</v>
      </c>
      <c r="AS1972" s="98"/>
      <c r="AT1972" s="98"/>
      <c r="AU1972" s="98"/>
      <c r="AV1972" s="98"/>
      <c r="AW1972" s="98"/>
      <c r="AX1972" s="98"/>
      <c r="AY1972" s="98"/>
      <c r="AZ1972" s="98"/>
      <c r="BA1972" s="98"/>
      <c r="BB1972" s="98"/>
      <c r="BC1972" s="98"/>
      <c r="BD1972" s="98"/>
      <c r="BE1972" s="98"/>
      <c r="BF1972" s="98"/>
      <c r="BG1972" s="98"/>
      <c r="BH1972" s="98"/>
      <c r="BI1972" s="98"/>
      <c r="BJ1972" s="97"/>
      <c r="BL1972" s="97"/>
      <c r="BN1972" s="97"/>
      <c r="BP1972" s="97"/>
      <c r="CA1972" s="154"/>
    </row>
    <row r="1973" spans="3:79" s="99" customFormat="1" ht="13.5">
      <c r="C1973" s="136"/>
      <c r="E1973" s="97"/>
      <c r="F1973" s="97" t="s">
        <v>34</v>
      </c>
      <c r="G1973" s="98"/>
      <c r="O1973" s="97"/>
      <c r="P1973" s="180"/>
      <c r="Q1973" s="97"/>
      <c r="R1973" s="97"/>
      <c r="S1973" s="210"/>
      <c r="T1973" s="210"/>
      <c r="U1973" s="97"/>
      <c r="V1973" s="98"/>
      <c r="W1973" s="98"/>
      <c r="X1973" s="97"/>
      <c r="Y1973" s="98"/>
      <c r="AB1973" s="97" t="s">
        <v>36</v>
      </c>
      <c r="AC1973" s="97"/>
      <c r="AD1973" s="97" t="s">
        <v>35</v>
      </c>
      <c r="AS1973" s="98"/>
      <c r="AT1973" s="98"/>
      <c r="AU1973" s="98"/>
      <c r="AV1973" s="98"/>
      <c r="AW1973" s="98"/>
      <c r="AX1973" s="98"/>
      <c r="AY1973" s="98"/>
      <c r="AZ1973" s="98"/>
      <c r="BA1973" s="98"/>
      <c r="BB1973" s="98"/>
      <c r="BC1973" s="98"/>
      <c r="BD1973" s="98"/>
      <c r="BE1973" s="98"/>
      <c r="BF1973" s="98"/>
      <c r="BG1973" s="98"/>
      <c r="BH1973" s="98"/>
      <c r="BI1973" s="98"/>
      <c r="BJ1973" s="97"/>
      <c r="BL1973" s="97"/>
      <c r="BN1973" s="97"/>
      <c r="BP1973" s="97"/>
      <c r="CA1973" s="154"/>
    </row>
    <row r="1974" spans="3:79" s="99" customFormat="1" ht="13.5">
      <c r="C1974" s="136"/>
      <c r="E1974" s="97"/>
      <c r="F1974" s="97" t="s">
        <v>34</v>
      </c>
      <c r="G1974" s="98"/>
      <c r="O1974" s="97"/>
      <c r="P1974" s="180"/>
      <c r="Q1974" s="97"/>
      <c r="R1974" s="97"/>
      <c r="S1974" s="210"/>
      <c r="T1974" s="210"/>
      <c r="U1974" s="97"/>
      <c r="V1974" s="98"/>
      <c r="W1974" s="98"/>
      <c r="X1974" s="97"/>
      <c r="Y1974" s="98"/>
      <c r="AC1974" s="97"/>
      <c r="AD1974" s="97" t="s">
        <v>35</v>
      </c>
      <c r="AS1974" s="98"/>
      <c r="AT1974" s="98"/>
      <c r="AU1974" s="98"/>
      <c r="AV1974" s="98"/>
      <c r="AW1974" s="98"/>
      <c r="AX1974" s="98"/>
      <c r="AY1974" s="98"/>
      <c r="AZ1974" s="98"/>
      <c r="BA1974" s="98"/>
      <c r="BB1974" s="98"/>
      <c r="BC1974" s="98"/>
      <c r="BD1974" s="98"/>
      <c r="BE1974" s="98"/>
      <c r="BF1974" s="98"/>
      <c r="BG1974" s="98"/>
      <c r="BH1974" s="98"/>
      <c r="BI1974" s="98"/>
      <c r="BJ1974" s="97"/>
      <c r="BL1974" s="97"/>
      <c r="BN1974" s="97"/>
      <c r="BP1974" s="97"/>
      <c r="CA1974" s="154"/>
    </row>
    <row r="1975" spans="3:79" s="99" customFormat="1" ht="13.5">
      <c r="C1975" s="136"/>
      <c r="E1975" s="97"/>
      <c r="F1975" s="97" t="s">
        <v>34</v>
      </c>
      <c r="G1975" s="98"/>
      <c r="O1975" s="97"/>
      <c r="P1975" s="180"/>
      <c r="Q1975" s="97"/>
      <c r="R1975" s="97"/>
      <c r="S1975" s="210"/>
      <c r="T1975" s="210"/>
      <c r="U1975" s="97"/>
      <c r="V1975" s="98"/>
      <c r="W1975" s="98"/>
      <c r="X1975" s="97"/>
      <c r="Y1975" s="98"/>
      <c r="AC1975" s="97"/>
      <c r="AD1975" s="97" t="s">
        <v>35</v>
      </c>
      <c r="AS1975" s="98"/>
      <c r="AT1975" s="98"/>
      <c r="AU1975" s="98"/>
      <c r="AV1975" s="98"/>
      <c r="AW1975" s="98"/>
      <c r="AX1975" s="98"/>
      <c r="AY1975" s="98"/>
      <c r="AZ1975" s="98"/>
      <c r="BA1975" s="98"/>
      <c r="BB1975" s="98"/>
      <c r="BC1975" s="98"/>
      <c r="BD1975" s="98"/>
      <c r="BE1975" s="98"/>
      <c r="BF1975" s="98"/>
      <c r="BG1975" s="98"/>
      <c r="BH1975" s="98"/>
      <c r="BI1975" s="98"/>
      <c r="BJ1975" s="97"/>
      <c r="BL1975" s="97"/>
      <c r="BN1975" s="97"/>
      <c r="BP1975" s="97"/>
      <c r="CA1975" s="154"/>
    </row>
    <row r="1976" spans="3:79" s="99" customFormat="1" ht="13.5">
      <c r="C1976" s="136"/>
      <c r="E1976" s="97"/>
      <c r="F1976" s="97" t="s">
        <v>34</v>
      </c>
      <c r="G1976" s="98"/>
      <c r="O1976" s="97"/>
      <c r="P1976" s="180"/>
      <c r="Q1976" s="97"/>
      <c r="R1976" s="97"/>
      <c r="S1976" s="210"/>
      <c r="T1976" s="210"/>
      <c r="U1976" s="97"/>
      <c r="V1976" s="98"/>
      <c r="W1976" s="98"/>
      <c r="X1976" s="97"/>
      <c r="Y1976" s="98"/>
      <c r="AC1976" s="97"/>
      <c r="AD1976" s="97" t="s">
        <v>35</v>
      </c>
      <c r="AS1976" s="98"/>
      <c r="AT1976" s="98"/>
      <c r="AU1976" s="98"/>
      <c r="AV1976" s="98"/>
      <c r="AW1976" s="98"/>
      <c r="AX1976" s="98"/>
      <c r="AY1976" s="98"/>
      <c r="AZ1976" s="98"/>
      <c r="BA1976" s="98"/>
      <c r="BB1976" s="98"/>
      <c r="BC1976" s="98"/>
      <c r="BD1976" s="98"/>
      <c r="BE1976" s="98"/>
      <c r="BF1976" s="98"/>
      <c r="BG1976" s="98"/>
      <c r="BH1976" s="98"/>
      <c r="BI1976" s="98"/>
      <c r="BJ1976" s="97"/>
      <c r="BL1976" s="97"/>
      <c r="BN1976" s="97"/>
      <c r="BP1976" s="97"/>
      <c r="CA1976" s="154"/>
    </row>
    <row r="1977" spans="3:79" s="99" customFormat="1" ht="13.5">
      <c r="C1977" s="136"/>
      <c r="E1977" s="97"/>
      <c r="F1977" s="97" t="s">
        <v>34</v>
      </c>
      <c r="G1977" s="98"/>
      <c r="O1977" s="97"/>
      <c r="P1977" s="180"/>
      <c r="Q1977" s="97"/>
      <c r="R1977" s="97"/>
      <c r="S1977" s="210"/>
      <c r="T1977" s="210"/>
      <c r="U1977" s="97"/>
      <c r="V1977" s="98"/>
      <c r="W1977" s="98"/>
      <c r="X1977" s="97"/>
      <c r="Y1977" s="98"/>
      <c r="AC1977" s="97"/>
      <c r="AD1977" s="97" t="s">
        <v>35</v>
      </c>
      <c r="AS1977" s="98"/>
      <c r="AT1977" s="98"/>
      <c r="AU1977" s="98"/>
      <c r="AV1977" s="98"/>
      <c r="AW1977" s="98"/>
      <c r="AX1977" s="98"/>
      <c r="AY1977" s="98"/>
      <c r="AZ1977" s="98"/>
      <c r="BA1977" s="98"/>
      <c r="BB1977" s="98"/>
      <c r="BC1977" s="98"/>
      <c r="BD1977" s="98"/>
      <c r="BE1977" s="98"/>
      <c r="BF1977" s="98"/>
      <c r="BG1977" s="98"/>
      <c r="BH1977" s="98"/>
      <c r="BI1977" s="98"/>
      <c r="BJ1977" s="97"/>
      <c r="BL1977" s="97"/>
      <c r="BN1977" s="97"/>
      <c r="BP1977" s="97"/>
      <c r="CA1977" s="154"/>
    </row>
    <row r="1978" spans="3:79" s="99" customFormat="1" ht="13.5">
      <c r="C1978" s="136"/>
      <c r="E1978" s="97"/>
      <c r="F1978" s="97" t="s">
        <v>34</v>
      </c>
      <c r="G1978" s="98"/>
      <c r="O1978" s="97"/>
      <c r="P1978" s="180"/>
      <c r="Q1978" s="97"/>
      <c r="R1978" s="97"/>
      <c r="S1978" s="210"/>
      <c r="T1978" s="210"/>
      <c r="U1978" s="97"/>
      <c r="V1978" s="98"/>
      <c r="W1978" s="98"/>
      <c r="X1978" s="97"/>
      <c r="Y1978" s="98"/>
      <c r="AC1978" s="97"/>
      <c r="AD1978" s="97" t="s">
        <v>35</v>
      </c>
      <c r="AS1978" s="98"/>
      <c r="AT1978" s="98"/>
      <c r="AU1978" s="98"/>
      <c r="AV1978" s="98"/>
      <c r="AW1978" s="98"/>
      <c r="AX1978" s="98"/>
      <c r="AY1978" s="98"/>
      <c r="AZ1978" s="98"/>
      <c r="BA1978" s="98"/>
      <c r="BB1978" s="98"/>
      <c r="BC1978" s="98"/>
      <c r="BD1978" s="98"/>
      <c r="BE1978" s="98"/>
      <c r="BF1978" s="98"/>
      <c r="BG1978" s="98"/>
      <c r="BH1978" s="98"/>
      <c r="BI1978" s="98"/>
      <c r="BJ1978" s="97"/>
      <c r="BL1978" s="97"/>
      <c r="BN1978" s="97"/>
      <c r="BP1978" s="97"/>
      <c r="CA1978" s="154"/>
    </row>
    <row r="1979" spans="3:79" s="99" customFormat="1" ht="13.5">
      <c r="C1979" s="136"/>
      <c r="E1979" s="97"/>
      <c r="F1979" s="97" t="s">
        <v>34</v>
      </c>
      <c r="G1979" s="98"/>
      <c r="O1979" s="97"/>
      <c r="P1979" s="180"/>
      <c r="Q1979" s="97"/>
      <c r="R1979" s="97"/>
      <c r="S1979" s="210"/>
      <c r="T1979" s="210"/>
      <c r="U1979" s="97"/>
      <c r="V1979" s="98"/>
      <c r="W1979" s="98"/>
      <c r="X1979" s="97"/>
      <c r="Y1979" s="98"/>
      <c r="AC1979" s="97"/>
      <c r="AD1979" s="97" t="s">
        <v>35</v>
      </c>
      <c r="AS1979" s="98"/>
      <c r="AT1979" s="98"/>
      <c r="AU1979" s="98"/>
      <c r="AV1979" s="98"/>
      <c r="AW1979" s="98"/>
      <c r="AX1979" s="98"/>
      <c r="AY1979" s="98"/>
      <c r="AZ1979" s="98"/>
      <c r="BA1979" s="98"/>
      <c r="BB1979" s="98"/>
      <c r="BC1979" s="98"/>
      <c r="BD1979" s="98"/>
      <c r="BE1979" s="98"/>
      <c r="BF1979" s="98"/>
      <c r="BG1979" s="98"/>
      <c r="BH1979" s="98"/>
      <c r="BI1979" s="98"/>
      <c r="BJ1979" s="97"/>
      <c r="BL1979" s="97"/>
      <c r="BN1979" s="97"/>
      <c r="BP1979" s="97"/>
      <c r="CA1979" s="154"/>
    </row>
    <row r="1980" spans="3:79" s="99" customFormat="1" ht="13.5">
      <c r="C1980" s="136"/>
      <c r="E1980" s="97"/>
      <c r="F1980" s="97" t="s">
        <v>34</v>
      </c>
      <c r="G1980" s="98"/>
      <c r="O1980" s="97"/>
      <c r="P1980" s="180"/>
      <c r="Q1980" s="97"/>
      <c r="R1980" s="97"/>
      <c r="S1980" s="210"/>
      <c r="T1980" s="210"/>
      <c r="U1980" s="97"/>
      <c r="V1980" s="98"/>
      <c r="W1980" s="98"/>
      <c r="X1980" s="97"/>
      <c r="Y1980" s="98"/>
      <c r="AC1980" s="97"/>
      <c r="AD1980" s="97" t="s">
        <v>35</v>
      </c>
      <c r="AS1980" s="98"/>
      <c r="AT1980" s="98"/>
      <c r="AU1980" s="98"/>
      <c r="AV1980" s="98"/>
      <c r="AW1980" s="98"/>
      <c r="AX1980" s="98"/>
      <c r="AY1980" s="98"/>
      <c r="AZ1980" s="98"/>
      <c r="BA1980" s="98"/>
      <c r="BB1980" s="98"/>
      <c r="BC1980" s="98"/>
      <c r="BD1980" s="98"/>
      <c r="BE1980" s="98"/>
      <c r="BF1980" s="98"/>
      <c r="BG1980" s="98"/>
      <c r="BH1980" s="98"/>
      <c r="BI1980" s="98"/>
      <c r="BJ1980" s="97"/>
      <c r="BL1980" s="97"/>
      <c r="BN1980" s="97"/>
      <c r="BP1980" s="97"/>
      <c r="CA1980" s="154"/>
    </row>
    <row r="1981" spans="3:79" s="99" customFormat="1" ht="13.5">
      <c r="C1981" s="136"/>
      <c r="E1981" s="97"/>
      <c r="F1981" s="97" t="s">
        <v>34</v>
      </c>
      <c r="G1981" s="98"/>
      <c r="O1981" s="97"/>
      <c r="P1981" s="180"/>
      <c r="Q1981" s="97"/>
      <c r="R1981" s="97"/>
      <c r="S1981" s="210"/>
      <c r="T1981" s="210"/>
      <c r="U1981" s="97"/>
      <c r="V1981" s="98"/>
      <c r="W1981" s="98"/>
      <c r="X1981" s="97"/>
      <c r="Y1981" s="98"/>
      <c r="AC1981" s="97"/>
      <c r="AD1981" s="97" t="s">
        <v>35</v>
      </c>
      <c r="AS1981" s="98"/>
      <c r="AT1981" s="98"/>
      <c r="AU1981" s="98"/>
      <c r="AV1981" s="98"/>
      <c r="AW1981" s="98"/>
      <c r="AX1981" s="98"/>
      <c r="AY1981" s="98"/>
      <c r="AZ1981" s="98"/>
      <c r="BA1981" s="98"/>
      <c r="BB1981" s="98"/>
      <c r="BC1981" s="98"/>
      <c r="BD1981" s="98"/>
      <c r="BE1981" s="98"/>
      <c r="BF1981" s="98"/>
      <c r="BG1981" s="98"/>
      <c r="BH1981" s="98"/>
      <c r="BI1981" s="98"/>
      <c r="BJ1981" s="97"/>
      <c r="BL1981" s="97"/>
      <c r="BN1981" s="97"/>
      <c r="BP1981" s="97"/>
      <c r="CA1981" s="154"/>
    </row>
    <row r="1982" spans="3:79" s="99" customFormat="1" ht="13.5">
      <c r="C1982" s="136"/>
      <c r="E1982" s="97"/>
      <c r="F1982" s="97" t="s">
        <v>34</v>
      </c>
      <c r="G1982" s="98"/>
      <c r="O1982" s="97"/>
      <c r="P1982" s="180"/>
      <c r="Q1982" s="97"/>
      <c r="R1982" s="97"/>
      <c r="S1982" s="210"/>
      <c r="T1982" s="210"/>
      <c r="U1982" s="97"/>
      <c r="V1982" s="98"/>
      <c r="W1982" s="98"/>
      <c r="X1982" s="97"/>
      <c r="Y1982" s="98"/>
      <c r="AC1982" s="97"/>
      <c r="AD1982" s="97" t="s">
        <v>35</v>
      </c>
      <c r="AS1982" s="98"/>
      <c r="AT1982" s="98"/>
      <c r="AU1982" s="98"/>
      <c r="AV1982" s="98"/>
      <c r="AW1982" s="98"/>
      <c r="AX1982" s="98"/>
      <c r="AY1982" s="98"/>
      <c r="AZ1982" s="98"/>
      <c r="BA1982" s="98"/>
      <c r="BB1982" s="98"/>
      <c r="BC1982" s="98"/>
      <c r="BD1982" s="98"/>
      <c r="BE1982" s="98"/>
      <c r="BF1982" s="98"/>
      <c r="BG1982" s="98"/>
      <c r="BH1982" s="98"/>
      <c r="BI1982" s="98"/>
      <c r="BJ1982" s="97"/>
      <c r="BL1982" s="97"/>
      <c r="BN1982" s="97"/>
      <c r="BP1982" s="97"/>
      <c r="CA1982" s="154"/>
    </row>
    <row r="1983" spans="3:79" s="99" customFormat="1" ht="13.5">
      <c r="C1983" s="136"/>
      <c r="E1983" s="97"/>
      <c r="F1983" s="97" t="s">
        <v>34</v>
      </c>
      <c r="G1983" s="98"/>
      <c r="O1983" s="97"/>
      <c r="P1983" s="180"/>
      <c r="Q1983" s="97"/>
      <c r="R1983" s="97"/>
      <c r="S1983" s="210"/>
      <c r="T1983" s="210"/>
      <c r="U1983" s="97"/>
      <c r="V1983" s="98"/>
      <c r="W1983" s="98"/>
      <c r="X1983" s="97"/>
      <c r="Y1983" s="98"/>
      <c r="AC1983" s="97"/>
      <c r="AD1983" s="97" t="s">
        <v>35</v>
      </c>
      <c r="AS1983" s="98"/>
      <c r="AT1983" s="98"/>
      <c r="AU1983" s="98"/>
      <c r="AV1983" s="98"/>
      <c r="AW1983" s="98"/>
      <c r="AX1983" s="98"/>
      <c r="AY1983" s="98"/>
      <c r="AZ1983" s="98"/>
      <c r="BA1983" s="98"/>
      <c r="BB1983" s="98"/>
      <c r="BC1983" s="98"/>
      <c r="BD1983" s="98"/>
      <c r="BE1983" s="98"/>
      <c r="BF1983" s="98"/>
      <c r="BG1983" s="98"/>
      <c r="BH1983" s="98"/>
      <c r="BI1983" s="98"/>
      <c r="BJ1983" s="97"/>
      <c r="BL1983" s="97"/>
      <c r="BN1983" s="97"/>
      <c r="BP1983" s="97"/>
      <c r="CA1983" s="154"/>
    </row>
    <row r="1984" spans="3:79" s="99" customFormat="1" ht="13.5">
      <c r="C1984" s="136"/>
      <c r="E1984" s="97"/>
      <c r="F1984" s="97" t="s">
        <v>34</v>
      </c>
      <c r="G1984" s="98"/>
      <c r="O1984" s="97"/>
      <c r="P1984" s="180"/>
      <c r="Q1984" s="97"/>
      <c r="R1984" s="97"/>
      <c r="S1984" s="210"/>
      <c r="T1984" s="210"/>
      <c r="U1984" s="97"/>
      <c r="V1984" s="98"/>
      <c r="W1984" s="98"/>
      <c r="X1984" s="97"/>
      <c r="Y1984" s="98"/>
      <c r="AC1984" s="97"/>
      <c r="AD1984" s="97" t="s">
        <v>35</v>
      </c>
      <c r="AS1984" s="98"/>
      <c r="AT1984" s="98"/>
      <c r="AU1984" s="98"/>
      <c r="AV1984" s="98"/>
      <c r="AW1984" s="98"/>
      <c r="AX1984" s="98"/>
      <c r="AY1984" s="98"/>
      <c r="AZ1984" s="98"/>
      <c r="BA1984" s="98"/>
      <c r="BB1984" s="98"/>
      <c r="BC1984" s="98"/>
      <c r="BD1984" s="98"/>
      <c r="BE1984" s="98"/>
      <c r="BF1984" s="98"/>
      <c r="BG1984" s="98"/>
      <c r="BH1984" s="98"/>
      <c r="BI1984" s="98"/>
      <c r="BJ1984" s="97"/>
      <c r="BL1984" s="97"/>
      <c r="BN1984" s="97"/>
      <c r="BP1984" s="97"/>
      <c r="CA1984" s="154"/>
    </row>
    <row r="1985" spans="3:79" s="99" customFormat="1" ht="13.5">
      <c r="C1985" s="136"/>
      <c r="E1985" s="97"/>
      <c r="F1985" s="97" t="s">
        <v>34</v>
      </c>
      <c r="G1985" s="98"/>
      <c r="O1985" s="97"/>
      <c r="P1985" s="181"/>
      <c r="Q1985" s="97"/>
      <c r="R1985" s="97"/>
      <c r="S1985" s="210"/>
      <c r="T1985" s="210"/>
      <c r="U1985" s="97"/>
      <c r="V1985" s="98"/>
      <c r="W1985" s="98"/>
      <c r="X1985" s="97"/>
      <c r="Y1985" s="98"/>
      <c r="AC1985" s="97"/>
      <c r="AS1985" s="98"/>
      <c r="AT1985" s="98"/>
      <c r="AU1985" s="98"/>
      <c r="AV1985" s="98"/>
      <c r="AW1985" s="98"/>
      <c r="AX1985" s="98"/>
      <c r="AY1985" s="98"/>
      <c r="AZ1985" s="98"/>
      <c r="BA1985" s="98"/>
      <c r="BB1985" s="98"/>
      <c r="BC1985" s="98"/>
      <c r="BD1985" s="98"/>
      <c r="BE1985" s="98"/>
      <c r="BF1985" s="98"/>
      <c r="BG1985" s="98"/>
      <c r="BH1985" s="98"/>
      <c r="BI1985" s="98"/>
      <c r="BJ1985" s="97"/>
      <c r="BL1985" s="97"/>
      <c r="BN1985" s="97"/>
      <c r="CA1985" s="154"/>
    </row>
    <row r="1986" spans="3:79" s="99" customFormat="1" ht="13.5">
      <c r="C1986" s="136"/>
      <c r="E1986" s="97"/>
      <c r="F1986" s="97" t="s">
        <v>34</v>
      </c>
      <c r="G1986" s="97"/>
      <c r="O1986" s="97"/>
      <c r="P1986" s="180"/>
      <c r="Q1986" s="97"/>
      <c r="R1986" s="97"/>
      <c r="S1986" s="210"/>
      <c r="T1986" s="210"/>
      <c r="U1986" s="97"/>
      <c r="V1986" s="97"/>
      <c r="W1986" s="97"/>
      <c r="X1986" s="97"/>
      <c r="Y1986" s="97"/>
      <c r="AC1986" s="97"/>
      <c r="AS1986" s="97"/>
      <c r="AT1986" s="97"/>
      <c r="AU1986" s="97"/>
      <c r="AV1986" s="97"/>
      <c r="AW1986" s="97"/>
      <c r="AX1986" s="97"/>
      <c r="AY1986" s="97"/>
      <c r="AZ1986" s="97"/>
      <c r="BA1986" s="97"/>
      <c r="BB1986" s="97"/>
      <c r="BC1986" s="97"/>
      <c r="BD1986" s="97"/>
      <c r="BE1986" s="97"/>
      <c r="BF1986" s="97"/>
      <c r="BG1986" s="97"/>
      <c r="BH1986" s="97"/>
      <c r="BI1986" s="97"/>
      <c r="BJ1986" s="97"/>
      <c r="BL1986" s="97"/>
      <c r="BN1986" s="97"/>
      <c r="CA1986" s="154"/>
    </row>
    <row r="1987" spans="3:79" s="99" customFormat="1" ht="13.5">
      <c r="C1987" s="136"/>
      <c r="E1987" s="97"/>
      <c r="F1987" s="97"/>
      <c r="G1987" s="97"/>
      <c r="O1987" s="97"/>
      <c r="P1987" s="180"/>
      <c r="Q1987" s="97"/>
      <c r="R1987" s="97"/>
      <c r="S1987" s="210"/>
      <c r="T1987" s="210"/>
      <c r="U1987" s="97"/>
      <c r="V1987" s="97"/>
      <c r="W1987" s="97"/>
      <c r="X1987" s="97"/>
      <c r="Y1987" s="97"/>
      <c r="AC1987" s="97"/>
      <c r="AS1987" s="97"/>
      <c r="AT1987" s="97"/>
      <c r="AU1987" s="97"/>
      <c r="AV1987" s="97"/>
      <c r="AW1987" s="97"/>
      <c r="AX1987" s="97"/>
      <c r="AY1987" s="97"/>
      <c r="AZ1987" s="97"/>
      <c r="BA1987" s="97"/>
      <c r="BB1987" s="97"/>
      <c r="BC1987" s="97"/>
      <c r="BD1987" s="97"/>
      <c r="BE1987" s="97"/>
      <c r="BF1987" s="97"/>
      <c r="BG1987" s="97"/>
      <c r="BH1987" s="97"/>
      <c r="BI1987" s="97"/>
      <c r="BJ1987" s="97"/>
      <c r="BL1987" s="97"/>
      <c r="BN1987" s="97"/>
      <c r="CA1987" s="154"/>
    </row>
    <row r="1988" spans="3:79" s="99" customFormat="1" ht="13.5">
      <c r="C1988" s="136"/>
      <c r="E1988" s="97"/>
      <c r="F1988" s="97"/>
      <c r="G1988" s="97"/>
      <c r="O1988" s="97"/>
      <c r="P1988" s="180"/>
      <c r="Q1988" s="97"/>
      <c r="R1988" s="97"/>
      <c r="S1988" s="210"/>
      <c r="T1988" s="210"/>
      <c r="U1988" s="97"/>
      <c r="V1988" s="97"/>
      <c r="W1988" s="97"/>
      <c r="X1988" s="97"/>
      <c r="Y1988" s="97"/>
      <c r="AC1988" s="97"/>
      <c r="AS1988" s="97"/>
      <c r="AT1988" s="97"/>
      <c r="AU1988" s="97"/>
      <c r="AV1988" s="97"/>
      <c r="AW1988" s="97"/>
      <c r="AX1988" s="97"/>
      <c r="AY1988" s="97"/>
      <c r="AZ1988" s="97"/>
      <c r="BA1988" s="97"/>
      <c r="BB1988" s="97"/>
      <c r="BC1988" s="97"/>
      <c r="BD1988" s="97"/>
      <c r="BE1988" s="97"/>
      <c r="BF1988" s="97"/>
      <c r="BG1988" s="97"/>
      <c r="BH1988" s="97"/>
      <c r="BI1988" s="97"/>
      <c r="BJ1988" s="97"/>
      <c r="BL1988" s="97"/>
      <c r="BN1988" s="97"/>
      <c r="CA1988" s="154"/>
    </row>
    <row r="1989" spans="3:79" s="99" customFormat="1" ht="13.5">
      <c r="C1989" s="136"/>
      <c r="E1989" s="97"/>
      <c r="F1989" s="97"/>
      <c r="G1989" s="97"/>
      <c r="O1989" s="97"/>
      <c r="P1989" s="180"/>
      <c r="Q1989" s="97"/>
      <c r="R1989" s="97"/>
      <c r="S1989" s="210"/>
      <c r="T1989" s="210"/>
      <c r="U1989" s="97"/>
      <c r="V1989" s="97"/>
      <c r="W1989" s="97"/>
      <c r="X1989" s="97"/>
      <c r="Y1989" s="97"/>
      <c r="AC1989" s="97"/>
      <c r="AS1989" s="97"/>
      <c r="AT1989" s="97"/>
      <c r="AU1989" s="97"/>
      <c r="AV1989" s="97"/>
      <c r="AW1989" s="97"/>
      <c r="AX1989" s="97"/>
      <c r="AY1989" s="97"/>
      <c r="AZ1989" s="97"/>
      <c r="BA1989" s="97"/>
      <c r="BB1989" s="97"/>
      <c r="BC1989" s="97"/>
      <c r="BD1989" s="97"/>
      <c r="BE1989" s="97"/>
      <c r="BF1989" s="97"/>
      <c r="BG1989" s="97"/>
      <c r="BH1989" s="97"/>
      <c r="BI1989" s="97"/>
      <c r="BJ1989" s="97"/>
      <c r="BL1989" s="97"/>
      <c r="BN1989" s="97"/>
      <c r="CA1989" s="154"/>
    </row>
    <row r="1990" spans="3:79" s="99" customFormat="1" ht="13.5">
      <c r="C1990" s="136"/>
      <c r="E1990" s="97"/>
      <c r="F1990" s="97" t="s">
        <v>1120</v>
      </c>
      <c r="G1990" s="97"/>
      <c r="O1990" s="97"/>
      <c r="P1990" s="180"/>
      <c r="Q1990" s="97"/>
      <c r="R1990" s="97"/>
      <c r="S1990" s="210"/>
      <c r="T1990" s="210"/>
      <c r="U1990" s="97"/>
      <c r="V1990" s="97"/>
      <c r="W1990" s="97"/>
      <c r="X1990" s="97"/>
      <c r="Y1990" s="97"/>
      <c r="AC1990" s="97"/>
      <c r="AS1990" s="97"/>
      <c r="AT1990" s="97"/>
      <c r="AU1990" s="97"/>
      <c r="AV1990" s="97"/>
      <c r="AW1990" s="97"/>
      <c r="AX1990" s="97"/>
      <c r="AY1990" s="97"/>
      <c r="AZ1990" s="97"/>
      <c r="BA1990" s="97"/>
      <c r="BB1990" s="97"/>
      <c r="BC1990" s="97"/>
      <c r="BD1990" s="97"/>
      <c r="BE1990" s="97"/>
      <c r="BF1990" s="97"/>
      <c r="BG1990" s="97"/>
      <c r="BH1990" s="97"/>
      <c r="BI1990" s="97"/>
      <c r="BJ1990" s="97"/>
      <c r="BL1990" s="97"/>
      <c r="BN1990" s="97"/>
      <c r="CA1990" s="154"/>
    </row>
    <row r="1991" spans="3:79" s="99" customFormat="1" ht="13.5">
      <c r="C1991" s="136"/>
      <c r="E1991" s="97"/>
      <c r="F1991" s="97"/>
      <c r="G1991" s="97"/>
      <c r="O1991" s="97"/>
      <c r="P1991" s="180"/>
      <c r="Q1991" s="97"/>
      <c r="R1991" s="97"/>
      <c r="S1991" s="210"/>
      <c r="T1991" s="210"/>
      <c r="U1991" s="97"/>
      <c r="V1991" s="97"/>
      <c r="W1991" s="97"/>
      <c r="X1991" s="97"/>
      <c r="Y1991" s="97"/>
      <c r="AC1991" s="97"/>
      <c r="AS1991" s="97"/>
      <c r="AT1991" s="97"/>
      <c r="AU1991" s="97"/>
      <c r="AV1991" s="97"/>
      <c r="AW1991" s="97"/>
      <c r="AX1991" s="97"/>
      <c r="AY1991" s="97"/>
      <c r="AZ1991" s="97"/>
      <c r="BA1991" s="97"/>
      <c r="BB1991" s="97"/>
      <c r="BC1991" s="97"/>
      <c r="BD1991" s="97"/>
      <c r="BE1991" s="97"/>
      <c r="BF1991" s="97"/>
      <c r="BG1991" s="97"/>
      <c r="BH1991" s="97"/>
      <c r="BI1991" s="97"/>
      <c r="BJ1991" s="97"/>
      <c r="BL1991" s="97"/>
      <c r="BN1991" s="97"/>
      <c r="CA1991" s="154"/>
    </row>
    <row r="1992" spans="3:79" s="80" customFormat="1" ht="21" customHeight="1">
      <c r="C1992" s="136"/>
      <c r="P1992" s="178"/>
      <c r="S1992" s="192"/>
      <c r="T1992" s="192"/>
      <c r="CA1992" s="147"/>
    </row>
    <row r="1993" spans="3:79" s="105" customFormat="1" ht="13.5">
      <c r="C1993" s="136"/>
      <c r="E1993" s="103"/>
      <c r="F1993" s="103"/>
      <c r="G1993" s="104"/>
      <c r="O1993" s="103"/>
      <c r="P1993" s="184"/>
      <c r="Q1993" s="103"/>
      <c r="R1993" s="103"/>
      <c r="S1993" s="213"/>
      <c r="T1993" s="213"/>
      <c r="U1993" s="103"/>
      <c r="V1993" s="104"/>
      <c r="W1993" s="104"/>
      <c r="X1993" s="103"/>
      <c r="Y1993" s="104"/>
      <c r="AC1993" s="103"/>
      <c r="AS1993" s="104"/>
      <c r="AT1993" s="104"/>
      <c r="AU1993" s="104"/>
      <c r="AV1993" s="104"/>
      <c r="AW1993" s="104"/>
      <c r="AX1993" s="104"/>
      <c r="AY1993" s="104"/>
      <c r="AZ1993" s="104"/>
      <c r="BA1993" s="104"/>
      <c r="BB1993" s="104"/>
      <c r="BC1993" s="104"/>
      <c r="BD1993" s="104"/>
      <c r="BE1993" s="104"/>
      <c r="BF1993" s="104"/>
      <c r="BG1993" s="104"/>
      <c r="BH1993" s="104"/>
      <c r="BI1993" s="104"/>
      <c r="BJ1993" s="103"/>
      <c r="BL1993" s="103"/>
      <c r="BN1993" s="103"/>
      <c r="CA1993" s="156"/>
    </row>
    <row r="1994" spans="3:79" s="105" customFormat="1" ht="13.5">
      <c r="C1994" s="136"/>
      <c r="E1994" s="103"/>
      <c r="F1994" s="103"/>
      <c r="G1994" s="104"/>
      <c r="O1994" s="103"/>
      <c r="P1994" s="184"/>
      <c r="Q1994" s="103"/>
      <c r="R1994" s="103"/>
      <c r="S1994" s="213"/>
      <c r="T1994" s="213"/>
      <c r="U1994" s="103"/>
      <c r="V1994" s="104"/>
      <c r="W1994" s="104"/>
      <c r="X1994" s="103"/>
      <c r="Y1994" s="104"/>
      <c r="AC1994" s="103"/>
      <c r="AS1994" s="104"/>
      <c r="AT1994" s="104"/>
      <c r="AU1994" s="104"/>
      <c r="AV1994" s="104"/>
      <c r="AW1994" s="104"/>
      <c r="AX1994" s="104"/>
      <c r="AY1994" s="104"/>
      <c r="AZ1994" s="104"/>
      <c r="BA1994" s="104"/>
      <c r="BB1994" s="104"/>
      <c r="BC1994" s="104"/>
      <c r="BD1994" s="104"/>
      <c r="BE1994" s="104"/>
      <c r="BF1994" s="104"/>
      <c r="BG1994" s="104"/>
      <c r="BH1994" s="104"/>
      <c r="BI1994" s="104"/>
      <c r="BJ1994" s="103"/>
      <c r="BL1994" s="103"/>
      <c r="BN1994" s="103"/>
      <c r="CA1994" s="156"/>
    </row>
    <row r="1995" spans="3:79" s="105" customFormat="1" ht="13.5">
      <c r="C1995" s="136"/>
      <c r="E1995" s="103"/>
      <c r="F1995" s="103"/>
      <c r="G1995" s="104"/>
      <c r="O1995" s="103"/>
      <c r="P1995" s="184"/>
      <c r="Q1995" s="103"/>
      <c r="R1995" s="103"/>
      <c r="S1995" s="213"/>
      <c r="T1995" s="213"/>
      <c r="U1995" s="103"/>
      <c r="V1995" s="104"/>
      <c r="W1995" s="104"/>
      <c r="X1995" s="103"/>
      <c r="Y1995" s="104"/>
      <c r="AC1995" s="103"/>
      <c r="AS1995" s="104"/>
      <c r="AT1995" s="104"/>
      <c r="AU1995" s="104"/>
      <c r="AV1995" s="104"/>
      <c r="AW1995" s="104"/>
      <c r="AX1995" s="104"/>
      <c r="AY1995" s="104"/>
      <c r="AZ1995" s="104"/>
      <c r="BA1995" s="104"/>
      <c r="BB1995" s="104"/>
      <c r="BC1995" s="104"/>
      <c r="BD1995" s="104"/>
      <c r="BE1995" s="104"/>
      <c r="BF1995" s="104"/>
      <c r="BG1995" s="104"/>
      <c r="BH1995" s="104"/>
      <c r="BI1995" s="104"/>
      <c r="BJ1995" s="103"/>
      <c r="BL1995" s="103"/>
      <c r="BN1995" s="103"/>
      <c r="CA1995" s="156"/>
    </row>
    <row r="1996" spans="3:79" s="105" customFormat="1" ht="13.5">
      <c r="C1996" s="136"/>
      <c r="E1996" s="103"/>
      <c r="F1996" s="103"/>
      <c r="G1996" s="104"/>
      <c r="O1996" s="103"/>
      <c r="P1996" s="184"/>
      <c r="Q1996" s="103"/>
      <c r="R1996" s="103"/>
      <c r="S1996" s="213"/>
      <c r="T1996" s="213"/>
      <c r="U1996" s="103"/>
      <c r="V1996" s="104"/>
      <c r="W1996" s="104"/>
      <c r="X1996" s="103"/>
      <c r="Y1996" s="104"/>
      <c r="AC1996" s="103"/>
      <c r="AS1996" s="104"/>
      <c r="AT1996" s="104"/>
      <c r="AU1996" s="104"/>
      <c r="AV1996" s="104"/>
      <c r="AW1996" s="104"/>
      <c r="AX1996" s="104"/>
      <c r="AY1996" s="104"/>
      <c r="AZ1996" s="104"/>
      <c r="BA1996" s="104"/>
      <c r="BB1996" s="104"/>
      <c r="BC1996" s="104"/>
      <c r="BD1996" s="104"/>
      <c r="BE1996" s="104"/>
      <c r="BF1996" s="104"/>
      <c r="BG1996" s="104"/>
      <c r="BH1996" s="104"/>
      <c r="BI1996" s="104"/>
      <c r="BJ1996" s="103"/>
      <c r="BL1996" s="103"/>
      <c r="BN1996" s="103"/>
      <c r="CA1996" s="156"/>
    </row>
    <row r="1997" spans="3:79" s="105" customFormat="1" ht="13.5">
      <c r="C1997" s="136"/>
      <c r="E1997" s="103"/>
      <c r="F1997" s="103"/>
      <c r="G1997" s="104"/>
      <c r="O1997" s="103"/>
      <c r="P1997" s="184"/>
      <c r="Q1997" s="103"/>
      <c r="R1997" s="103"/>
      <c r="S1997" s="213"/>
      <c r="T1997" s="213"/>
      <c r="U1997" s="103"/>
      <c r="V1997" s="104"/>
      <c r="W1997" s="104"/>
      <c r="X1997" s="103"/>
      <c r="Y1997" s="104"/>
      <c r="AC1997" s="103"/>
      <c r="AS1997" s="104"/>
      <c r="AT1997" s="104"/>
      <c r="AU1997" s="104"/>
      <c r="AV1997" s="104"/>
      <c r="AW1997" s="104"/>
      <c r="AX1997" s="104"/>
      <c r="AY1997" s="104"/>
      <c r="AZ1997" s="104"/>
      <c r="BA1997" s="104"/>
      <c r="BB1997" s="104"/>
      <c r="BC1997" s="104"/>
      <c r="BD1997" s="104"/>
      <c r="BE1997" s="104"/>
      <c r="BF1997" s="104"/>
      <c r="BG1997" s="104"/>
      <c r="BH1997" s="104"/>
      <c r="BI1997" s="104"/>
      <c r="BJ1997" s="103"/>
      <c r="BL1997" s="103"/>
      <c r="BN1997" s="103"/>
      <c r="CA1997" s="156"/>
    </row>
    <row r="1998" spans="3:79" s="99" customFormat="1" ht="13.5">
      <c r="C1998" s="136"/>
      <c r="E1998" s="97"/>
      <c r="F1998" s="97"/>
      <c r="G1998" s="98"/>
      <c r="O1998" s="97"/>
      <c r="P1998" s="181"/>
      <c r="Q1998" s="97"/>
      <c r="R1998" s="97"/>
      <c r="S1998" s="210"/>
      <c r="T1998" s="210"/>
      <c r="U1998" s="97"/>
      <c r="V1998" s="98"/>
      <c r="W1998" s="98"/>
      <c r="X1998" s="97"/>
      <c r="Y1998" s="98"/>
      <c r="AC1998" s="97"/>
      <c r="AS1998" s="98"/>
      <c r="AT1998" s="98"/>
      <c r="AU1998" s="98"/>
      <c r="AV1998" s="98"/>
      <c r="AW1998" s="98"/>
      <c r="AX1998" s="98"/>
      <c r="AY1998" s="98"/>
      <c r="AZ1998" s="98"/>
      <c r="BA1998" s="98"/>
      <c r="BB1998" s="98"/>
      <c r="BC1998" s="98"/>
      <c r="BD1998" s="98"/>
      <c r="BE1998" s="98"/>
      <c r="BF1998" s="98"/>
      <c r="BG1998" s="98"/>
      <c r="BH1998" s="98"/>
      <c r="BI1998" s="98"/>
      <c r="BJ1998" s="97"/>
      <c r="BL1998" s="97"/>
      <c r="BN1998" s="97"/>
      <c r="CA1998" s="154"/>
    </row>
    <row r="1999" spans="3:79" s="99" customFormat="1" ht="13.5">
      <c r="C1999" s="136"/>
      <c r="E1999" s="97"/>
      <c r="F1999" s="97"/>
      <c r="G1999" s="98"/>
      <c r="O1999" s="97"/>
      <c r="P1999" s="181"/>
      <c r="Q1999" s="97"/>
      <c r="R1999" s="97"/>
      <c r="S1999" s="210"/>
      <c r="T1999" s="210"/>
      <c r="U1999" s="97"/>
      <c r="V1999" s="98"/>
      <c r="W1999" s="98"/>
      <c r="X1999" s="97"/>
      <c r="Y1999" s="98"/>
      <c r="AC1999" s="97"/>
      <c r="AS1999" s="98"/>
      <c r="AT1999" s="98"/>
      <c r="AU1999" s="98"/>
      <c r="AV1999" s="98"/>
      <c r="AW1999" s="98"/>
      <c r="AX1999" s="98"/>
      <c r="AY1999" s="98"/>
      <c r="AZ1999" s="98"/>
      <c r="BA1999" s="98"/>
      <c r="BB1999" s="98"/>
      <c r="BC1999" s="98"/>
      <c r="BD1999" s="98"/>
      <c r="BE1999" s="98"/>
      <c r="BF1999" s="98"/>
      <c r="BG1999" s="98"/>
      <c r="BH1999" s="98"/>
      <c r="BI1999" s="98"/>
      <c r="BJ1999" s="97"/>
      <c r="BL1999" s="97"/>
      <c r="BN1999" s="97"/>
      <c r="CA1999" s="154"/>
    </row>
    <row r="2000" spans="3:79" s="99" customFormat="1" ht="13.5">
      <c r="C2000" s="136"/>
      <c r="E2000" s="97"/>
      <c r="F2000" s="97"/>
      <c r="G2000" s="98"/>
      <c r="O2000" s="97"/>
      <c r="P2000" s="181"/>
      <c r="Q2000" s="97"/>
      <c r="R2000" s="97"/>
      <c r="S2000" s="210"/>
      <c r="T2000" s="210"/>
      <c r="U2000" s="97"/>
      <c r="V2000" s="98"/>
      <c r="W2000" s="98"/>
      <c r="X2000" s="97"/>
      <c r="Y2000" s="98"/>
      <c r="AC2000" s="97"/>
      <c r="AS2000" s="98"/>
      <c r="AT2000" s="98"/>
      <c r="AU2000" s="98"/>
      <c r="AV2000" s="98"/>
      <c r="AW2000" s="98"/>
      <c r="AX2000" s="98"/>
      <c r="AY2000" s="98"/>
      <c r="AZ2000" s="98"/>
      <c r="BA2000" s="98"/>
      <c r="BB2000" s="98"/>
      <c r="BC2000" s="98"/>
      <c r="BD2000" s="98"/>
      <c r="BE2000" s="98"/>
      <c r="BF2000" s="98"/>
      <c r="BG2000" s="98"/>
      <c r="BH2000" s="98"/>
      <c r="BI2000" s="98"/>
      <c r="BJ2000" s="97"/>
      <c r="BL2000" s="97"/>
      <c r="BN2000" s="97"/>
      <c r="CA2000" s="154"/>
    </row>
    <row r="2001" spans="3:79" s="99" customFormat="1" ht="13.5">
      <c r="C2001" s="136"/>
      <c r="E2001" s="97"/>
      <c r="F2001" s="97"/>
      <c r="O2001" s="97"/>
      <c r="P2001" s="181"/>
      <c r="Q2001" s="97"/>
      <c r="R2001" s="97"/>
      <c r="S2001" s="210"/>
      <c r="T2001" s="210"/>
      <c r="U2001" s="97"/>
      <c r="X2001" s="97"/>
      <c r="AC2001" s="97"/>
      <c r="BJ2001" s="97"/>
      <c r="BL2001" s="97"/>
      <c r="BN2001" s="97"/>
      <c r="CA2001" s="154"/>
    </row>
    <row r="2002" spans="3:79" s="99" customFormat="1" ht="13.5">
      <c r="C2002" s="136"/>
      <c r="E2002" s="97"/>
      <c r="F2002" s="97"/>
      <c r="O2002" s="97"/>
      <c r="P2002" s="181"/>
      <c r="Q2002" s="97"/>
      <c r="R2002" s="97"/>
      <c r="S2002" s="210"/>
      <c r="T2002" s="210"/>
      <c r="U2002" s="97"/>
      <c r="X2002" s="97"/>
      <c r="AC2002" s="97"/>
      <c r="BJ2002" s="97"/>
      <c r="BL2002" s="97"/>
      <c r="BN2002" s="97"/>
      <c r="CA2002" s="154"/>
    </row>
    <row r="2007" spans="3:79">
      <c r="C2007" s="136" t="s">
        <v>2204</v>
      </c>
      <c r="D2007" s="109"/>
      <c r="E2007" s="109"/>
      <c r="F2007" s="109" t="s">
        <v>1121</v>
      </c>
      <c r="G2007" s="109"/>
      <c r="H2007" s="109"/>
      <c r="I2007" s="109"/>
      <c r="J2007" s="109"/>
      <c r="K2007" s="109"/>
      <c r="L2007" s="109"/>
      <c r="M2007" s="109"/>
      <c r="N2007" s="109"/>
      <c r="O2007" s="109"/>
      <c r="Q2007" s="109"/>
      <c r="R2007" s="109"/>
      <c r="S2007" s="216"/>
      <c r="T2007" s="216"/>
      <c r="U2007" s="109"/>
      <c r="V2007" s="109"/>
      <c r="W2007" s="109"/>
      <c r="X2007" s="109" t="s">
        <v>33</v>
      </c>
      <c r="Y2007" s="109"/>
      <c r="Z2007" s="76"/>
      <c r="AA2007" s="76"/>
      <c r="AB2007" s="76"/>
      <c r="AC2007" s="109" t="s">
        <v>29</v>
      </c>
      <c r="AD2007" s="76"/>
      <c r="AE2007" s="76"/>
      <c r="AF2007" s="76"/>
      <c r="AG2007" s="76"/>
      <c r="AH2007" s="76"/>
      <c r="AI2007" s="76"/>
      <c r="AJ2007" s="76"/>
      <c r="AK2007" s="76"/>
      <c r="AL2007" s="76"/>
      <c r="AM2007" s="76"/>
      <c r="AN2007" s="76"/>
      <c r="AO2007" s="76"/>
      <c r="AP2007" s="76"/>
      <c r="AQ2007" s="76"/>
      <c r="AR2007" s="76"/>
      <c r="AS2007" s="109"/>
      <c r="AT2007" s="109"/>
      <c r="AU2007" s="109"/>
      <c r="AV2007" s="109"/>
      <c r="AW2007" s="109"/>
      <c r="AX2007" s="109"/>
      <c r="AY2007" s="109"/>
      <c r="AZ2007" s="109"/>
      <c r="BA2007" s="109"/>
      <c r="BB2007" s="109"/>
      <c r="BC2007" s="109"/>
      <c r="BD2007" s="109"/>
      <c r="BE2007" s="109"/>
      <c r="BF2007" s="109"/>
      <c r="BG2007" s="109"/>
      <c r="BH2007" s="109"/>
      <c r="BI2007" s="109"/>
      <c r="BJ2007" s="109" t="s">
        <v>32</v>
      </c>
      <c r="BK2007" s="76"/>
      <c r="BL2007" s="109" t="s">
        <v>31</v>
      </c>
      <c r="BM2007" s="76"/>
      <c r="BN2007" s="109" t="s">
        <v>30</v>
      </c>
      <c r="BR2007" s="76"/>
      <c r="BS2007" s="76"/>
      <c r="BT2007" s="76"/>
      <c r="BU2007" s="76"/>
      <c r="BV2007" s="76"/>
      <c r="BW2007" s="76"/>
      <c r="BX2007" s="76"/>
      <c r="BZ2007" s="76"/>
    </row>
    <row r="2008" spans="3:79" ht="27">
      <c r="C2008" s="136" t="s">
        <v>2205</v>
      </c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Q2008" s="109"/>
      <c r="R2008" s="109"/>
      <c r="S2008" s="216"/>
      <c r="T2008" s="216"/>
      <c r="U2008" s="109"/>
      <c r="V2008" s="109"/>
      <c r="W2008" s="109"/>
      <c r="X2008" s="109" t="s">
        <v>9</v>
      </c>
      <c r="Y2008" s="109"/>
      <c r="Z2008" s="76"/>
      <c r="AA2008" s="76"/>
      <c r="AB2008" s="76"/>
      <c r="AC2008" s="109" t="s">
        <v>1</v>
      </c>
      <c r="AD2008" s="76"/>
      <c r="AE2008" s="76"/>
      <c r="AF2008" s="76"/>
      <c r="AG2008" s="76"/>
      <c r="AH2008" s="76"/>
      <c r="AI2008" s="76"/>
      <c r="AJ2008" s="76"/>
      <c r="AK2008" s="76"/>
      <c r="AL2008" s="76"/>
      <c r="AM2008" s="76"/>
      <c r="AN2008" s="76"/>
      <c r="AO2008" s="76"/>
      <c r="AP2008" s="76"/>
      <c r="AQ2008" s="76"/>
      <c r="AR2008" s="76"/>
      <c r="AS2008" s="109"/>
      <c r="AT2008" s="109"/>
      <c r="AU2008" s="109"/>
      <c r="AV2008" s="109"/>
      <c r="AW2008" s="109"/>
      <c r="AX2008" s="109"/>
      <c r="AY2008" s="109"/>
      <c r="AZ2008" s="109"/>
      <c r="BA2008" s="109"/>
      <c r="BB2008" s="109"/>
      <c r="BC2008" s="109"/>
      <c r="BD2008" s="109"/>
      <c r="BE2008" s="109"/>
      <c r="BF2008" s="109"/>
      <c r="BG2008" s="109"/>
      <c r="BH2008" s="109"/>
      <c r="BI2008" s="109"/>
      <c r="BJ2008" s="109"/>
      <c r="BK2008" s="76"/>
      <c r="BL2008" s="109"/>
      <c r="BM2008" s="76"/>
      <c r="BN2008" s="109"/>
      <c r="BR2008" s="76"/>
      <c r="BS2008" s="76"/>
      <c r="BT2008" s="76"/>
      <c r="BU2008" s="76"/>
      <c r="BV2008" s="76"/>
      <c r="BW2008" s="76"/>
      <c r="BX2008" s="76"/>
      <c r="BZ2008" s="76"/>
    </row>
    <row r="2009" spans="3:79" ht="27">
      <c r="C2009" s="136" t="s">
        <v>2206</v>
      </c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Q2009" s="109"/>
      <c r="R2009" s="109"/>
      <c r="S2009" s="216"/>
      <c r="T2009" s="216"/>
      <c r="U2009" s="109"/>
      <c r="V2009" s="109"/>
      <c r="W2009" s="109"/>
      <c r="X2009" s="109" t="s">
        <v>9</v>
      </c>
      <c r="Y2009" s="109"/>
      <c r="Z2009" s="76"/>
      <c r="AA2009" s="76"/>
      <c r="AB2009" s="76"/>
      <c r="AC2009" s="109"/>
      <c r="AD2009" s="76"/>
      <c r="AE2009" s="76"/>
      <c r="AF2009" s="76"/>
      <c r="AG2009" s="76"/>
      <c r="AH2009" s="76"/>
      <c r="AI2009" s="76"/>
      <c r="AJ2009" s="76"/>
      <c r="AK2009" s="76"/>
      <c r="AL2009" s="76"/>
      <c r="AM2009" s="76"/>
      <c r="AN2009" s="76"/>
      <c r="AO2009" s="76"/>
      <c r="AP2009" s="76"/>
      <c r="AQ2009" s="76"/>
      <c r="AR2009" s="76"/>
      <c r="AS2009" s="109"/>
      <c r="AT2009" s="109"/>
      <c r="AU2009" s="109"/>
      <c r="AV2009" s="109"/>
      <c r="AW2009" s="109"/>
      <c r="AX2009" s="109"/>
      <c r="AY2009" s="109"/>
      <c r="AZ2009" s="109"/>
      <c r="BA2009" s="109"/>
      <c r="BB2009" s="109"/>
      <c r="BC2009" s="109"/>
      <c r="BD2009" s="109"/>
      <c r="BE2009" s="109"/>
      <c r="BF2009" s="109"/>
      <c r="BG2009" s="109"/>
      <c r="BH2009" s="109"/>
      <c r="BI2009" s="109"/>
      <c r="BJ2009" s="109"/>
      <c r="BK2009" s="76"/>
      <c r="BL2009" s="109"/>
      <c r="BM2009" s="76"/>
      <c r="BN2009" s="109"/>
      <c r="BR2009" s="76"/>
      <c r="BS2009" s="76"/>
      <c r="BT2009" s="76"/>
      <c r="BU2009" s="76"/>
      <c r="BV2009" s="76"/>
      <c r="BW2009" s="76"/>
      <c r="BX2009" s="76"/>
      <c r="BZ2009" s="76"/>
    </row>
    <row r="2010" spans="3:79">
      <c r="C2010" s="136" t="s">
        <v>2207</v>
      </c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Q2010" s="109"/>
      <c r="R2010" s="109"/>
      <c r="S2010" s="216"/>
      <c r="T2010" s="216"/>
      <c r="U2010" s="109"/>
      <c r="V2010" s="109"/>
      <c r="W2010" s="109"/>
      <c r="X2010" s="109" t="s">
        <v>9</v>
      </c>
      <c r="Y2010" s="109"/>
      <c r="Z2010" s="76"/>
      <c r="AA2010" s="76"/>
      <c r="AB2010" s="76"/>
      <c r="AC2010" s="109"/>
      <c r="AD2010" s="76"/>
      <c r="AE2010" s="76"/>
      <c r="AF2010" s="76"/>
      <c r="AG2010" s="76"/>
      <c r="AH2010" s="76"/>
      <c r="AI2010" s="76"/>
      <c r="AJ2010" s="76"/>
      <c r="AK2010" s="76"/>
      <c r="AL2010" s="76"/>
      <c r="AM2010" s="76"/>
      <c r="AN2010" s="76"/>
      <c r="AO2010" s="76"/>
      <c r="AP2010" s="76"/>
      <c r="AQ2010" s="76"/>
      <c r="AR2010" s="76"/>
      <c r="AS2010" s="109"/>
      <c r="AT2010" s="109"/>
      <c r="AU2010" s="109"/>
      <c r="AV2010" s="109"/>
      <c r="AW2010" s="109"/>
      <c r="AX2010" s="109"/>
      <c r="AY2010" s="109"/>
      <c r="AZ2010" s="109"/>
      <c r="BA2010" s="109"/>
      <c r="BB2010" s="109"/>
      <c r="BC2010" s="109"/>
      <c r="BD2010" s="109"/>
      <c r="BE2010" s="109"/>
      <c r="BF2010" s="109"/>
      <c r="BG2010" s="109"/>
      <c r="BH2010" s="109"/>
      <c r="BI2010" s="109"/>
      <c r="BJ2010" s="109"/>
      <c r="BK2010" s="76"/>
      <c r="BL2010" s="109"/>
      <c r="BM2010" s="76"/>
      <c r="BN2010" s="109"/>
      <c r="BR2010" s="76"/>
      <c r="BS2010" s="76"/>
      <c r="BT2010" s="76"/>
      <c r="BU2010" s="76"/>
      <c r="BV2010" s="76"/>
      <c r="BW2010" s="76"/>
      <c r="BX2010" s="76"/>
      <c r="BZ2010" s="76"/>
    </row>
    <row r="2011" spans="3:79">
      <c r="C2011" s="136" t="s">
        <v>2208</v>
      </c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Q2011" s="109"/>
      <c r="R2011" s="109"/>
      <c r="S2011" s="216"/>
      <c r="T2011" s="216"/>
      <c r="U2011" s="109"/>
      <c r="V2011" s="109"/>
      <c r="W2011" s="109"/>
      <c r="X2011" s="109" t="s">
        <v>28</v>
      </c>
      <c r="Y2011" s="109"/>
      <c r="Z2011" s="76"/>
      <c r="AA2011" s="76"/>
      <c r="AB2011" s="76"/>
      <c r="AC2011" s="109" t="s">
        <v>1</v>
      </c>
      <c r="AD2011" s="76"/>
      <c r="AE2011" s="76"/>
      <c r="AF2011" s="76"/>
      <c r="AG2011" s="76"/>
      <c r="AH2011" s="76"/>
      <c r="AI2011" s="76"/>
      <c r="AJ2011" s="76"/>
      <c r="AK2011" s="76"/>
      <c r="AL2011" s="76"/>
      <c r="AM2011" s="76"/>
      <c r="AN2011" s="76"/>
      <c r="AO2011" s="76"/>
      <c r="AP2011" s="76"/>
      <c r="AQ2011" s="76"/>
      <c r="AR2011" s="76"/>
      <c r="AS2011" s="109"/>
      <c r="AT2011" s="109"/>
      <c r="AU2011" s="109"/>
      <c r="AV2011" s="109"/>
      <c r="AW2011" s="109"/>
      <c r="AX2011" s="109"/>
      <c r="AY2011" s="109"/>
      <c r="AZ2011" s="109"/>
      <c r="BA2011" s="109"/>
      <c r="BB2011" s="109"/>
      <c r="BC2011" s="109"/>
      <c r="BD2011" s="109"/>
      <c r="BE2011" s="109"/>
      <c r="BF2011" s="109"/>
      <c r="BG2011" s="109"/>
      <c r="BH2011" s="109"/>
      <c r="BI2011" s="109"/>
      <c r="BJ2011" s="109"/>
      <c r="BK2011" s="76"/>
      <c r="BL2011" s="109"/>
      <c r="BM2011" s="76"/>
      <c r="BN2011" s="109">
        <v>12</v>
      </c>
      <c r="BR2011" s="76"/>
      <c r="BS2011" s="76"/>
      <c r="BT2011" s="76"/>
      <c r="BU2011" s="76"/>
      <c r="BV2011" s="76"/>
      <c r="BW2011" s="76"/>
      <c r="BX2011" s="76"/>
      <c r="BZ2011" s="76"/>
    </row>
    <row r="2012" spans="3:79">
      <c r="C2012" s="136" t="s">
        <v>2209</v>
      </c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Q2012" s="109"/>
      <c r="R2012" s="109"/>
      <c r="S2012" s="216"/>
      <c r="T2012" s="216"/>
      <c r="U2012" s="109"/>
      <c r="V2012" s="109"/>
      <c r="W2012" s="109"/>
      <c r="X2012" s="109" t="s">
        <v>28</v>
      </c>
      <c r="Y2012" s="109"/>
      <c r="Z2012" s="76"/>
      <c r="AA2012" s="76"/>
      <c r="AB2012" s="76"/>
      <c r="AC2012" s="109" t="s">
        <v>1</v>
      </c>
      <c r="AD2012" s="76"/>
      <c r="AE2012" s="76"/>
      <c r="AF2012" s="76"/>
      <c r="AG2012" s="76"/>
      <c r="AH2012" s="76"/>
      <c r="AI2012" s="76"/>
      <c r="AJ2012" s="76"/>
      <c r="AK2012" s="76"/>
      <c r="AL2012" s="76"/>
      <c r="AM2012" s="76"/>
      <c r="AN2012" s="76"/>
      <c r="AO2012" s="76"/>
      <c r="AP2012" s="76"/>
      <c r="AQ2012" s="76"/>
      <c r="AR2012" s="76"/>
      <c r="AS2012" s="109"/>
      <c r="AT2012" s="109"/>
      <c r="AU2012" s="109"/>
      <c r="AV2012" s="109"/>
      <c r="AW2012" s="109"/>
      <c r="AX2012" s="109"/>
      <c r="AY2012" s="109"/>
      <c r="AZ2012" s="109"/>
      <c r="BA2012" s="109"/>
      <c r="BB2012" s="109"/>
      <c r="BC2012" s="109"/>
      <c r="BD2012" s="109"/>
      <c r="BE2012" s="109"/>
      <c r="BF2012" s="109"/>
      <c r="BG2012" s="109"/>
      <c r="BH2012" s="109"/>
      <c r="BI2012" s="109"/>
      <c r="BJ2012" s="109"/>
      <c r="BK2012" s="76"/>
      <c r="BL2012" s="109"/>
      <c r="BM2012" s="76"/>
      <c r="BN2012" s="109">
        <v>4</v>
      </c>
      <c r="BR2012" s="76"/>
      <c r="BS2012" s="76"/>
      <c r="BT2012" s="76"/>
      <c r="BU2012" s="76"/>
      <c r="BV2012" s="76"/>
      <c r="BW2012" s="76"/>
      <c r="BX2012" s="76"/>
      <c r="BZ2012" s="76"/>
    </row>
    <row r="2013" spans="3:79">
      <c r="C2013" s="136" t="s">
        <v>2210</v>
      </c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Q2013" s="109"/>
      <c r="R2013" s="109"/>
      <c r="S2013" s="216"/>
      <c r="T2013" s="216"/>
      <c r="U2013" s="109"/>
      <c r="V2013" s="109"/>
      <c r="W2013" s="109"/>
      <c r="X2013" s="109" t="s">
        <v>27</v>
      </c>
      <c r="Y2013" s="109"/>
      <c r="Z2013" s="76"/>
      <c r="AA2013" s="76"/>
      <c r="AB2013" s="76"/>
      <c r="AC2013" s="109" t="s">
        <v>1</v>
      </c>
      <c r="AD2013" s="76"/>
      <c r="AE2013" s="76"/>
      <c r="AF2013" s="76"/>
      <c r="AG2013" s="76"/>
      <c r="AH2013" s="76"/>
      <c r="AI2013" s="76"/>
      <c r="AJ2013" s="76"/>
      <c r="AK2013" s="76"/>
      <c r="AL2013" s="76"/>
      <c r="AM2013" s="76"/>
      <c r="AN2013" s="76"/>
      <c r="AO2013" s="76"/>
      <c r="AP2013" s="76"/>
      <c r="AQ2013" s="76"/>
      <c r="AR2013" s="76"/>
      <c r="AS2013" s="109"/>
      <c r="AT2013" s="109"/>
      <c r="AU2013" s="109"/>
      <c r="AV2013" s="109"/>
      <c r="AW2013" s="109"/>
      <c r="AX2013" s="109"/>
      <c r="AY2013" s="109"/>
      <c r="AZ2013" s="109"/>
      <c r="BA2013" s="109"/>
      <c r="BB2013" s="109"/>
      <c r="BC2013" s="109"/>
      <c r="BD2013" s="109"/>
      <c r="BE2013" s="109"/>
      <c r="BF2013" s="109"/>
      <c r="BG2013" s="109"/>
      <c r="BH2013" s="109"/>
      <c r="BI2013" s="109"/>
      <c r="BJ2013" s="109"/>
      <c r="BK2013" s="76"/>
      <c r="BL2013" s="109"/>
      <c r="BM2013" s="76"/>
      <c r="BN2013" s="109">
        <v>6</v>
      </c>
      <c r="BR2013" s="76"/>
      <c r="BS2013" s="76"/>
      <c r="BT2013" s="76"/>
      <c r="BU2013" s="76"/>
      <c r="BV2013" s="76"/>
      <c r="BW2013" s="76"/>
      <c r="BX2013" s="76"/>
      <c r="BZ2013" s="76"/>
    </row>
    <row r="2014" spans="3:79">
      <c r="C2014" s="136" t="s">
        <v>2211</v>
      </c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Q2014" s="109"/>
      <c r="R2014" s="109"/>
      <c r="S2014" s="216"/>
      <c r="T2014" s="216"/>
      <c r="U2014" s="109"/>
      <c r="V2014" s="109"/>
      <c r="W2014" s="109"/>
      <c r="X2014" s="109" t="s">
        <v>25</v>
      </c>
      <c r="Y2014" s="109"/>
      <c r="Z2014" s="76"/>
      <c r="AA2014" s="76"/>
      <c r="AB2014" s="76"/>
      <c r="AC2014" s="109" t="s">
        <v>1</v>
      </c>
      <c r="AD2014" s="76"/>
      <c r="AE2014" s="76"/>
      <c r="AF2014" s="76"/>
      <c r="AG2014" s="76"/>
      <c r="AH2014" s="76"/>
      <c r="AI2014" s="76"/>
      <c r="AJ2014" s="76"/>
      <c r="AK2014" s="76"/>
      <c r="AL2014" s="76"/>
      <c r="AM2014" s="76"/>
      <c r="AN2014" s="76"/>
      <c r="AO2014" s="76"/>
      <c r="AP2014" s="76"/>
      <c r="AQ2014" s="76"/>
      <c r="AR2014" s="76"/>
      <c r="AS2014" s="109"/>
      <c r="AT2014" s="109"/>
      <c r="AU2014" s="109"/>
      <c r="AV2014" s="109"/>
      <c r="AW2014" s="109"/>
      <c r="AX2014" s="109"/>
      <c r="AY2014" s="109"/>
      <c r="AZ2014" s="109"/>
      <c r="BA2014" s="109"/>
      <c r="BB2014" s="109"/>
      <c r="BC2014" s="109"/>
      <c r="BD2014" s="109"/>
      <c r="BE2014" s="109"/>
      <c r="BF2014" s="109"/>
      <c r="BG2014" s="109"/>
      <c r="BH2014" s="109"/>
      <c r="BI2014" s="109"/>
      <c r="BJ2014" s="109"/>
      <c r="BK2014" s="76"/>
      <c r="BL2014" s="109"/>
      <c r="BM2014" s="76"/>
      <c r="BN2014" s="109">
        <v>12</v>
      </c>
      <c r="BR2014" s="76"/>
      <c r="BS2014" s="76"/>
      <c r="BT2014" s="76"/>
      <c r="BU2014" s="76"/>
      <c r="BV2014" s="76"/>
      <c r="BW2014" s="76"/>
      <c r="BX2014" s="76"/>
      <c r="BZ2014" s="76"/>
    </row>
    <row r="2015" spans="3:79">
      <c r="C2015" s="136" t="s">
        <v>2212</v>
      </c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Q2015" s="109"/>
      <c r="R2015" s="109"/>
      <c r="S2015" s="216"/>
      <c r="T2015" s="216"/>
      <c r="U2015" s="109"/>
      <c r="V2015" s="109"/>
      <c r="W2015" s="109"/>
      <c r="X2015" s="109" t="s">
        <v>25</v>
      </c>
      <c r="Y2015" s="109"/>
      <c r="Z2015" s="76"/>
      <c r="AA2015" s="76"/>
      <c r="AB2015" s="76"/>
      <c r="AC2015" s="109" t="s">
        <v>1</v>
      </c>
      <c r="AD2015" s="76"/>
      <c r="AE2015" s="76"/>
      <c r="AF2015" s="76"/>
      <c r="AG2015" s="76"/>
      <c r="AH2015" s="76"/>
      <c r="AI2015" s="76"/>
      <c r="AJ2015" s="76"/>
      <c r="AK2015" s="76"/>
      <c r="AL2015" s="76"/>
      <c r="AM2015" s="76"/>
      <c r="AN2015" s="76"/>
      <c r="AO2015" s="76"/>
      <c r="AP2015" s="76"/>
      <c r="AQ2015" s="76"/>
      <c r="AR2015" s="76"/>
      <c r="AS2015" s="109"/>
      <c r="AT2015" s="109"/>
      <c r="AU2015" s="109"/>
      <c r="AV2015" s="109"/>
      <c r="AW2015" s="109"/>
      <c r="AX2015" s="109"/>
      <c r="AY2015" s="109"/>
      <c r="AZ2015" s="109"/>
      <c r="BA2015" s="109"/>
      <c r="BB2015" s="109"/>
      <c r="BC2015" s="109"/>
      <c r="BD2015" s="109"/>
      <c r="BE2015" s="109"/>
      <c r="BF2015" s="109"/>
      <c r="BG2015" s="109"/>
      <c r="BH2015" s="109"/>
      <c r="BI2015" s="109"/>
      <c r="BJ2015" s="109"/>
      <c r="BK2015" s="76"/>
      <c r="BL2015" s="109"/>
      <c r="BM2015" s="76"/>
      <c r="BN2015" s="109">
        <v>10</v>
      </c>
      <c r="BR2015" s="76"/>
      <c r="BS2015" s="76"/>
      <c r="BT2015" s="76"/>
      <c r="BU2015" s="76"/>
      <c r="BV2015" s="76"/>
      <c r="BW2015" s="76"/>
      <c r="BX2015" s="76"/>
      <c r="BZ2015" s="76"/>
    </row>
    <row r="2016" spans="3:79">
      <c r="C2016" s="136" t="s">
        <v>2213</v>
      </c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Q2016" s="109"/>
      <c r="R2016" s="109"/>
      <c r="S2016" s="216"/>
      <c r="T2016" s="216"/>
      <c r="U2016" s="109"/>
      <c r="V2016" s="109"/>
      <c r="W2016" s="109"/>
      <c r="X2016" s="109" t="s">
        <v>25</v>
      </c>
      <c r="Y2016" s="109"/>
      <c r="Z2016" s="76"/>
      <c r="AA2016" s="76"/>
      <c r="AB2016" s="76"/>
      <c r="AC2016" s="109" t="s">
        <v>1</v>
      </c>
      <c r="AD2016" s="76"/>
      <c r="AE2016" s="76"/>
      <c r="AF2016" s="76"/>
      <c r="AG2016" s="76"/>
      <c r="AH2016" s="76"/>
      <c r="AI2016" s="76"/>
      <c r="AJ2016" s="76"/>
      <c r="AK2016" s="76"/>
      <c r="AL2016" s="76"/>
      <c r="AM2016" s="76"/>
      <c r="AN2016" s="76"/>
      <c r="AO2016" s="76"/>
      <c r="AP2016" s="76"/>
      <c r="AQ2016" s="76"/>
      <c r="AR2016" s="76"/>
      <c r="AS2016" s="109"/>
      <c r="AT2016" s="109"/>
      <c r="AU2016" s="109"/>
      <c r="AV2016" s="109"/>
      <c r="AW2016" s="109"/>
      <c r="AX2016" s="109"/>
      <c r="AY2016" s="109"/>
      <c r="AZ2016" s="109"/>
      <c r="BA2016" s="109"/>
      <c r="BB2016" s="109"/>
      <c r="BC2016" s="109"/>
      <c r="BD2016" s="109"/>
      <c r="BE2016" s="109"/>
      <c r="BF2016" s="109"/>
      <c r="BG2016" s="109"/>
      <c r="BH2016" s="109"/>
      <c r="BI2016" s="109"/>
      <c r="BJ2016" s="109" t="s">
        <v>26</v>
      </c>
      <c r="BK2016" s="76"/>
      <c r="BL2016" s="109" t="s">
        <v>10</v>
      </c>
      <c r="BM2016" s="76"/>
      <c r="BN2016" s="109">
        <v>20</v>
      </c>
      <c r="BR2016" s="76"/>
      <c r="BS2016" s="76"/>
      <c r="BT2016" s="76"/>
      <c r="BU2016" s="76"/>
      <c r="BV2016" s="76"/>
      <c r="BW2016" s="76"/>
      <c r="BX2016" s="76"/>
      <c r="BZ2016" s="76"/>
    </row>
    <row r="2017" spans="3:78">
      <c r="C2017" s="136" t="s">
        <v>2214</v>
      </c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Q2017" s="109"/>
      <c r="R2017" s="109"/>
      <c r="S2017" s="216"/>
      <c r="T2017" s="216"/>
      <c r="U2017" s="109"/>
      <c r="V2017" s="109"/>
      <c r="W2017" s="109"/>
      <c r="X2017" s="109" t="s">
        <v>25</v>
      </c>
      <c r="Y2017" s="109"/>
      <c r="Z2017" s="76"/>
      <c r="AA2017" s="76"/>
      <c r="AB2017" s="76"/>
      <c r="AC2017" s="109" t="s">
        <v>1</v>
      </c>
      <c r="AD2017" s="76"/>
      <c r="AE2017" s="76"/>
      <c r="AF2017" s="76"/>
      <c r="AG2017" s="76"/>
      <c r="AH2017" s="76"/>
      <c r="AI2017" s="76"/>
      <c r="AJ2017" s="76"/>
      <c r="AK2017" s="76"/>
      <c r="AL2017" s="76"/>
      <c r="AM2017" s="76"/>
      <c r="AN2017" s="76"/>
      <c r="AO2017" s="76"/>
      <c r="AP2017" s="76"/>
      <c r="AQ2017" s="76"/>
      <c r="AR2017" s="76"/>
      <c r="AS2017" s="109"/>
      <c r="AT2017" s="109"/>
      <c r="AU2017" s="109"/>
      <c r="AV2017" s="109"/>
      <c r="AW2017" s="109"/>
      <c r="AX2017" s="109"/>
      <c r="AY2017" s="109"/>
      <c r="AZ2017" s="109"/>
      <c r="BA2017" s="109"/>
      <c r="BB2017" s="109"/>
      <c r="BC2017" s="109"/>
      <c r="BD2017" s="109"/>
      <c r="BE2017" s="109"/>
      <c r="BF2017" s="109"/>
      <c r="BG2017" s="109"/>
      <c r="BH2017" s="109"/>
      <c r="BI2017" s="109"/>
      <c r="BJ2017" s="109"/>
      <c r="BK2017" s="76"/>
      <c r="BL2017" s="109"/>
      <c r="BM2017" s="76"/>
      <c r="BN2017" s="109">
        <v>15</v>
      </c>
      <c r="BR2017" s="76"/>
      <c r="BS2017" s="76"/>
      <c r="BT2017" s="76"/>
      <c r="BU2017" s="76"/>
      <c r="BV2017" s="76"/>
      <c r="BW2017" s="76"/>
      <c r="BX2017" s="76"/>
      <c r="BZ2017" s="76"/>
    </row>
    <row r="2018" spans="3:78">
      <c r="C2018" s="136" t="s">
        <v>2215</v>
      </c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Q2018" s="109"/>
      <c r="R2018" s="109"/>
      <c r="S2018" s="216"/>
      <c r="T2018" s="216"/>
      <c r="U2018" s="109"/>
      <c r="V2018" s="109"/>
      <c r="W2018" s="109"/>
      <c r="X2018" s="109" t="s">
        <v>25</v>
      </c>
      <c r="Y2018" s="109"/>
      <c r="Z2018" s="76"/>
      <c r="AA2018" s="76"/>
      <c r="AB2018" s="76"/>
      <c r="AC2018" s="109" t="s">
        <v>1</v>
      </c>
      <c r="AD2018" s="76"/>
      <c r="AE2018" s="76"/>
      <c r="AF2018" s="76"/>
      <c r="AG2018" s="76"/>
      <c r="AH2018" s="76"/>
      <c r="AI2018" s="76"/>
      <c r="AJ2018" s="76"/>
      <c r="AK2018" s="76"/>
      <c r="AL2018" s="76"/>
      <c r="AM2018" s="76"/>
      <c r="AN2018" s="76"/>
      <c r="AO2018" s="76"/>
      <c r="AP2018" s="76"/>
      <c r="AQ2018" s="76"/>
      <c r="AR2018" s="76"/>
      <c r="AS2018" s="109"/>
      <c r="AT2018" s="109"/>
      <c r="AU2018" s="109"/>
      <c r="AV2018" s="109"/>
      <c r="AW2018" s="109"/>
      <c r="AX2018" s="109"/>
      <c r="AY2018" s="109"/>
      <c r="AZ2018" s="109"/>
      <c r="BA2018" s="109"/>
      <c r="BB2018" s="109"/>
      <c r="BC2018" s="109"/>
      <c r="BD2018" s="109"/>
      <c r="BE2018" s="109"/>
      <c r="BF2018" s="109"/>
      <c r="BG2018" s="109"/>
      <c r="BH2018" s="109"/>
      <c r="BI2018" s="109"/>
      <c r="BJ2018" s="109"/>
      <c r="BK2018" s="76"/>
      <c r="BL2018" s="109"/>
      <c r="BM2018" s="76"/>
      <c r="BN2018" s="109">
        <v>23</v>
      </c>
      <c r="BR2018" s="76"/>
      <c r="BS2018" s="76"/>
      <c r="BT2018" s="76"/>
      <c r="BU2018" s="76"/>
      <c r="BV2018" s="76"/>
      <c r="BW2018" s="76"/>
      <c r="BX2018" s="76"/>
      <c r="BZ2018" s="76"/>
    </row>
    <row r="2019" spans="3:78">
      <c r="C2019" s="136" t="s">
        <v>2216</v>
      </c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Q2019" s="109"/>
      <c r="R2019" s="109"/>
      <c r="S2019" s="216"/>
      <c r="T2019" s="216"/>
      <c r="U2019" s="109"/>
      <c r="V2019" s="109"/>
      <c r="W2019" s="109"/>
      <c r="X2019" s="109" t="s">
        <v>25</v>
      </c>
      <c r="Y2019" s="109"/>
      <c r="Z2019" s="76"/>
      <c r="AA2019" s="76"/>
      <c r="AB2019" s="76"/>
      <c r="AC2019" s="109" t="s">
        <v>1</v>
      </c>
      <c r="AD2019" s="76"/>
      <c r="AE2019" s="76"/>
      <c r="AF2019" s="76"/>
      <c r="AG2019" s="76"/>
      <c r="AH2019" s="76"/>
      <c r="AI2019" s="76"/>
      <c r="AJ2019" s="76"/>
      <c r="AK2019" s="76"/>
      <c r="AL2019" s="76"/>
      <c r="AM2019" s="76"/>
      <c r="AN2019" s="76"/>
      <c r="AO2019" s="76"/>
      <c r="AP2019" s="76"/>
      <c r="AQ2019" s="76"/>
      <c r="AR2019" s="76"/>
      <c r="AS2019" s="109"/>
      <c r="AT2019" s="109"/>
      <c r="AU2019" s="109"/>
      <c r="AV2019" s="109"/>
      <c r="AW2019" s="109"/>
      <c r="AX2019" s="109"/>
      <c r="AY2019" s="109"/>
      <c r="AZ2019" s="109"/>
      <c r="BA2019" s="109"/>
      <c r="BB2019" s="109"/>
      <c r="BC2019" s="109"/>
      <c r="BD2019" s="109"/>
      <c r="BE2019" s="109"/>
      <c r="BF2019" s="109"/>
      <c r="BG2019" s="109"/>
      <c r="BH2019" s="109"/>
      <c r="BI2019" s="109"/>
      <c r="BJ2019" s="109"/>
      <c r="BK2019" s="76"/>
      <c r="BL2019" s="109"/>
      <c r="BM2019" s="76"/>
      <c r="BN2019" s="109">
        <v>28</v>
      </c>
      <c r="BR2019" s="76"/>
      <c r="BS2019" s="76"/>
      <c r="BT2019" s="76"/>
      <c r="BU2019" s="76"/>
      <c r="BV2019" s="76"/>
      <c r="BW2019" s="76"/>
      <c r="BX2019" s="76"/>
      <c r="BZ2019" s="76"/>
    </row>
    <row r="2020" spans="3:78">
      <c r="C2020" s="136" t="s">
        <v>2217</v>
      </c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Q2020" s="109"/>
      <c r="R2020" s="109"/>
      <c r="S2020" s="216"/>
      <c r="T2020" s="216"/>
      <c r="U2020" s="109"/>
      <c r="V2020" s="109"/>
      <c r="W2020" s="109"/>
      <c r="X2020" s="109" t="s">
        <v>23</v>
      </c>
      <c r="Y2020" s="109"/>
      <c r="Z2020" s="76"/>
      <c r="AA2020" s="76"/>
      <c r="AB2020" s="76"/>
      <c r="AC2020" s="109" t="s">
        <v>1</v>
      </c>
      <c r="AD2020" s="76"/>
      <c r="AE2020" s="76"/>
      <c r="AF2020" s="76"/>
      <c r="AG2020" s="76"/>
      <c r="AH2020" s="76"/>
      <c r="AI2020" s="76"/>
      <c r="AJ2020" s="76"/>
      <c r="AK2020" s="76"/>
      <c r="AL2020" s="76"/>
      <c r="AM2020" s="76"/>
      <c r="AN2020" s="76"/>
      <c r="AO2020" s="76"/>
      <c r="AP2020" s="76"/>
      <c r="AQ2020" s="76"/>
      <c r="AR2020" s="76"/>
      <c r="AS2020" s="109"/>
      <c r="AT2020" s="109"/>
      <c r="AU2020" s="109"/>
      <c r="AV2020" s="109"/>
      <c r="AW2020" s="109"/>
      <c r="AX2020" s="109"/>
      <c r="AY2020" s="109"/>
      <c r="AZ2020" s="109"/>
      <c r="BA2020" s="109"/>
      <c r="BB2020" s="109"/>
      <c r="BC2020" s="109"/>
      <c r="BD2020" s="109"/>
      <c r="BE2020" s="109"/>
      <c r="BF2020" s="109"/>
      <c r="BG2020" s="109"/>
      <c r="BH2020" s="109"/>
      <c r="BI2020" s="109"/>
      <c r="BJ2020" s="109"/>
      <c r="BK2020" s="76"/>
      <c r="BL2020" s="109"/>
      <c r="BM2020" s="76"/>
      <c r="BN2020" s="109">
        <v>21</v>
      </c>
      <c r="BR2020" s="76"/>
      <c r="BS2020" s="76"/>
      <c r="BT2020" s="76"/>
      <c r="BU2020" s="76"/>
      <c r="BV2020" s="76"/>
      <c r="BW2020" s="76"/>
      <c r="BX2020" s="76"/>
      <c r="BZ2020" s="76"/>
    </row>
    <row r="2021" spans="3:78">
      <c r="C2021" s="136" t="s">
        <v>2218</v>
      </c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Q2021" s="109"/>
      <c r="R2021" s="109"/>
      <c r="S2021" s="216"/>
      <c r="T2021" s="216"/>
      <c r="U2021" s="109"/>
      <c r="V2021" s="109"/>
      <c r="W2021" s="109"/>
      <c r="X2021" s="109" t="s">
        <v>23</v>
      </c>
      <c r="Y2021" s="109"/>
      <c r="Z2021" s="76"/>
      <c r="AA2021" s="76"/>
      <c r="AB2021" s="76"/>
      <c r="AC2021" s="109" t="s">
        <v>1</v>
      </c>
      <c r="AD2021" s="76"/>
      <c r="AE2021" s="76"/>
      <c r="AF2021" s="76"/>
      <c r="AG2021" s="76"/>
      <c r="AH2021" s="76"/>
      <c r="AI2021" s="76"/>
      <c r="AJ2021" s="76"/>
      <c r="AK2021" s="76"/>
      <c r="AL2021" s="76"/>
      <c r="AM2021" s="76"/>
      <c r="AN2021" s="76"/>
      <c r="AO2021" s="76"/>
      <c r="AP2021" s="76"/>
      <c r="AQ2021" s="76"/>
      <c r="AR2021" s="76"/>
      <c r="AS2021" s="109"/>
      <c r="AT2021" s="109"/>
      <c r="AU2021" s="109"/>
      <c r="AV2021" s="109"/>
      <c r="AW2021" s="109"/>
      <c r="AX2021" s="109"/>
      <c r="AY2021" s="109"/>
      <c r="AZ2021" s="109"/>
      <c r="BA2021" s="109"/>
      <c r="BB2021" s="109"/>
      <c r="BC2021" s="109"/>
      <c r="BD2021" s="109"/>
      <c r="BE2021" s="109"/>
      <c r="BF2021" s="109"/>
      <c r="BG2021" s="109"/>
      <c r="BH2021" s="109"/>
      <c r="BI2021" s="109"/>
      <c r="BJ2021" s="109"/>
      <c r="BK2021" s="76"/>
      <c r="BL2021" s="109" t="s">
        <v>24</v>
      </c>
      <c r="BM2021" s="76"/>
      <c r="BN2021" s="109">
        <v>24</v>
      </c>
      <c r="BR2021" s="76"/>
      <c r="BS2021" s="76"/>
      <c r="BT2021" s="76"/>
      <c r="BU2021" s="76"/>
      <c r="BV2021" s="76"/>
      <c r="BW2021" s="76"/>
      <c r="BX2021" s="76"/>
      <c r="BZ2021" s="76"/>
    </row>
    <row r="2022" spans="3:78">
      <c r="C2022" s="136" t="s">
        <v>2219</v>
      </c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Q2022" s="109"/>
      <c r="R2022" s="109"/>
      <c r="S2022" s="216"/>
      <c r="T2022" s="216"/>
      <c r="U2022" s="109"/>
      <c r="V2022" s="109"/>
      <c r="W2022" s="109"/>
      <c r="X2022" s="109" t="s">
        <v>23</v>
      </c>
      <c r="Y2022" s="109"/>
      <c r="Z2022" s="76"/>
      <c r="AA2022" s="76"/>
      <c r="AB2022" s="76"/>
      <c r="AC2022" s="109" t="s">
        <v>17</v>
      </c>
      <c r="AD2022" s="76"/>
      <c r="AE2022" s="76"/>
      <c r="AF2022" s="76"/>
      <c r="AG2022" s="76"/>
      <c r="AH2022" s="76"/>
      <c r="AI2022" s="76"/>
      <c r="AJ2022" s="76"/>
      <c r="AK2022" s="76"/>
      <c r="AL2022" s="76"/>
      <c r="AM2022" s="76"/>
      <c r="AN2022" s="76"/>
      <c r="AO2022" s="76"/>
      <c r="AP2022" s="76"/>
      <c r="AQ2022" s="76"/>
      <c r="AR2022" s="76"/>
      <c r="AS2022" s="109"/>
      <c r="AT2022" s="109"/>
      <c r="AU2022" s="109"/>
      <c r="AV2022" s="109"/>
      <c r="AW2022" s="109"/>
      <c r="AX2022" s="109"/>
      <c r="AY2022" s="109"/>
      <c r="AZ2022" s="109"/>
      <c r="BA2022" s="109"/>
      <c r="BB2022" s="109"/>
      <c r="BC2022" s="109"/>
      <c r="BD2022" s="109"/>
      <c r="BE2022" s="109"/>
      <c r="BF2022" s="109"/>
      <c r="BG2022" s="109"/>
      <c r="BH2022" s="109"/>
      <c r="BI2022" s="109"/>
      <c r="BJ2022" s="109"/>
      <c r="BK2022" s="76"/>
      <c r="BL2022" s="109"/>
      <c r="BM2022" s="76"/>
      <c r="BN2022" s="109">
        <v>16</v>
      </c>
      <c r="BR2022" s="76"/>
      <c r="BS2022" s="76"/>
      <c r="BT2022" s="76"/>
      <c r="BU2022" s="76"/>
      <c r="BV2022" s="76"/>
      <c r="BW2022" s="76"/>
      <c r="BX2022" s="76"/>
      <c r="BZ2022" s="76"/>
    </row>
    <row r="2023" spans="3:78">
      <c r="C2023" s="136" t="s">
        <v>2220</v>
      </c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Q2023" s="109"/>
      <c r="R2023" s="109"/>
      <c r="S2023" s="216"/>
      <c r="T2023" s="216"/>
      <c r="U2023" s="109"/>
      <c r="V2023" s="109"/>
      <c r="W2023" s="109"/>
      <c r="X2023" s="109" t="s">
        <v>23</v>
      </c>
      <c r="Y2023" s="109"/>
      <c r="Z2023" s="76"/>
      <c r="AA2023" s="76"/>
      <c r="AB2023" s="76"/>
      <c r="AC2023" s="109" t="s">
        <v>1</v>
      </c>
      <c r="AD2023" s="76"/>
      <c r="AE2023" s="76"/>
      <c r="AF2023" s="76"/>
      <c r="AG2023" s="76"/>
      <c r="AH2023" s="76"/>
      <c r="AI2023" s="76"/>
      <c r="AJ2023" s="76"/>
      <c r="AK2023" s="76"/>
      <c r="AL2023" s="76"/>
      <c r="AM2023" s="76"/>
      <c r="AN2023" s="76"/>
      <c r="AO2023" s="76"/>
      <c r="AP2023" s="76"/>
      <c r="AQ2023" s="76"/>
      <c r="AR2023" s="76"/>
      <c r="AS2023" s="109"/>
      <c r="AT2023" s="109"/>
      <c r="AU2023" s="109"/>
      <c r="AV2023" s="109"/>
      <c r="AW2023" s="109"/>
      <c r="AX2023" s="109"/>
      <c r="AY2023" s="109"/>
      <c r="AZ2023" s="109"/>
      <c r="BA2023" s="109"/>
      <c r="BB2023" s="109"/>
      <c r="BC2023" s="109"/>
      <c r="BD2023" s="109"/>
      <c r="BE2023" s="109"/>
      <c r="BF2023" s="109"/>
      <c r="BG2023" s="109"/>
      <c r="BH2023" s="109"/>
      <c r="BI2023" s="109"/>
      <c r="BJ2023" s="109"/>
      <c r="BK2023" s="76"/>
      <c r="BL2023" s="109"/>
      <c r="BM2023" s="76"/>
      <c r="BN2023" s="109">
        <v>32</v>
      </c>
      <c r="BR2023" s="76"/>
      <c r="BS2023" s="76"/>
      <c r="BT2023" s="76"/>
      <c r="BU2023" s="76"/>
      <c r="BV2023" s="76"/>
      <c r="BW2023" s="76"/>
      <c r="BX2023" s="76"/>
      <c r="BZ2023" s="76"/>
    </row>
    <row r="2024" spans="3:78">
      <c r="C2024" s="136" t="s">
        <v>2221</v>
      </c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Q2024" s="109"/>
      <c r="R2024" s="109"/>
      <c r="S2024" s="216"/>
      <c r="T2024" s="216"/>
      <c r="U2024" s="109"/>
      <c r="V2024" s="109"/>
      <c r="W2024" s="109"/>
      <c r="X2024" s="109" t="s">
        <v>23</v>
      </c>
      <c r="Y2024" s="109"/>
      <c r="Z2024" s="76"/>
      <c r="AA2024" s="76"/>
      <c r="AB2024" s="76"/>
      <c r="AC2024" s="109" t="s">
        <v>1</v>
      </c>
      <c r="AD2024" s="76"/>
      <c r="AE2024" s="76"/>
      <c r="AF2024" s="76"/>
      <c r="AG2024" s="76"/>
      <c r="AH2024" s="76"/>
      <c r="AI2024" s="76"/>
      <c r="AJ2024" s="76"/>
      <c r="AK2024" s="76"/>
      <c r="AL2024" s="76"/>
      <c r="AM2024" s="76"/>
      <c r="AN2024" s="76"/>
      <c r="AO2024" s="76"/>
      <c r="AP2024" s="76"/>
      <c r="AQ2024" s="76"/>
      <c r="AR2024" s="76"/>
      <c r="AS2024" s="109"/>
      <c r="AT2024" s="109"/>
      <c r="AU2024" s="109"/>
      <c r="AV2024" s="109"/>
      <c r="AW2024" s="109"/>
      <c r="AX2024" s="109"/>
      <c r="AY2024" s="109"/>
      <c r="AZ2024" s="109"/>
      <c r="BA2024" s="109"/>
      <c r="BB2024" s="109"/>
      <c r="BC2024" s="109"/>
      <c r="BD2024" s="109"/>
      <c r="BE2024" s="109"/>
      <c r="BF2024" s="109"/>
      <c r="BG2024" s="109"/>
      <c r="BH2024" s="109"/>
      <c r="BI2024" s="109"/>
      <c r="BJ2024" s="109"/>
      <c r="BK2024" s="76"/>
      <c r="BL2024" s="109"/>
      <c r="BM2024" s="76"/>
      <c r="BN2024" s="109">
        <v>8</v>
      </c>
      <c r="BR2024" s="76"/>
      <c r="BS2024" s="76"/>
      <c r="BT2024" s="76"/>
      <c r="BU2024" s="76"/>
      <c r="BV2024" s="76"/>
      <c r="BW2024" s="76"/>
      <c r="BX2024" s="76"/>
      <c r="BZ2024" s="76"/>
    </row>
    <row r="2025" spans="3:78">
      <c r="C2025" s="136" t="s">
        <v>2222</v>
      </c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Q2025" s="109"/>
      <c r="R2025" s="109"/>
      <c r="S2025" s="216"/>
      <c r="T2025" s="216"/>
      <c r="U2025" s="109"/>
      <c r="V2025" s="109"/>
      <c r="W2025" s="109"/>
      <c r="X2025" s="109" t="s">
        <v>22</v>
      </c>
      <c r="Y2025" s="109"/>
      <c r="Z2025" s="76"/>
      <c r="AA2025" s="76"/>
      <c r="AB2025" s="76"/>
      <c r="AC2025" s="109" t="s">
        <v>1</v>
      </c>
      <c r="AD2025" s="76"/>
      <c r="AE2025" s="76"/>
      <c r="AF2025" s="76"/>
      <c r="AG2025" s="76"/>
      <c r="AH2025" s="76"/>
      <c r="AI2025" s="76"/>
      <c r="AJ2025" s="76"/>
      <c r="AK2025" s="76"/>
      <c r="AL2025" s="76"/>
      <c r="AM2025" s="76"/>
      <c r="AN2025" s="76"/>
      <c r="AO2025" s="76"/>
      <c r="AP2025" s="76"/>
      <c r="AQ2025" s="76"/>
      <c r="AR2025" s="76"/>
      <c r="AS2025" s="109"/>
      <c r="AT2025" s="109"/>
      <c r="AU2025" s="109"/>
      <c r="AV2025" s="109"/>
      <c r="AW2025" s="109"/>
      <c r="AX2025" s="109"/>
      <c r="AY2025" s="109"/>
      <c r="AZ2025" s="109"/>
      <c r="BA2025" s="109"/>
      <c r="BB2025" s="109"/>
      <c r="BC2025" s="109"/>
      <c r="BD2025" s="109"/>
      <c r="BE2025" s="109"/>
      <c r="BF2025" s="109"/>
      <c r="BG2025" s="109"/>
      <c r="BH2025" s="109"/>
      <c r="BI2025" s="109"/>
      <c r="BJ2025" s="109"/>
      <c r="BK2025" s="76"/>
      <c r="BL2025" s="109" t="s">
        <v>21</v>
      </c>
      <c r="BM2025" s="76"/>
      <c r="BN2025" s="109">
        <v>6</v>
      </c>
      <c r="BR2025" s="76"/>
      <c r="BS2025" s="76"/>
      <c r="BT2025" s="76"/>
      <c r="BU2025" s="76"/>
      <c r="BV2025" s="76"/>
      <c r="BW2025" s="76"/>
      <c r="BX2025" s="76"/>
      <c r="BZ2025" s="76"/>
    </row>
    <row r="2026" spans="3:78">
      <c r="C2026" s="136" t="s">
        <v>2223</v>
      </c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Q2026" s="109"/>
      <c r="R2026" s="109"/>
      <c r="S2026" s="216"/>
      <c r="T2026" s="216"/>
      <c r="U2026" s="109"/>
      <c r="V2026" s="109"/>
      <c r="W2026" s="109"/>
      <c r="X2026" s="109" t="s">
        <v>20</v>
      </c>
      <c r="Y2026" s="109"/>
      <c r="Z2026" s="76"/>
      <c r="AA2026" s="76"/>
      <c r="AB2026" s="76"/>
      <c r="AC2026" s="109"/>
      <c r="AD2026" s="76"/>
      <c r="AE2026" s="76"/>
      <c r="AF2026" s="76"/>
      <c r="AG2026" s="76"/>
      <c r="AH2026" s="76"/>
      <c r="AI2026" s="76"/>
      <c r="AJ2026" s="76"/>
      <c r="AK2026" s="76"/>
      <c r="AL2026" s="76"/>
      <c r="AM2026" s="76"/>
      <c r="AN2026" s="76"/>
      <c r="AO2026" s="76"/>
      <c r="AP2026" s="76"/>
      <c r="AQ2026" s="76"/>
      <c r="AR2026" s="76"/>
      <c r="AS2026" s="109"/>
      <c r="AT2026" s="109"/>
      <c r="AU2026" s="109"/>
      <c r="AV2026" s="109"/>
      <c r="AW2026" s="109"/>
      <c r="AX2026" s="109"/>
      <c r="AY2026" s="109"/>
      <c r="AZ2026" s="109"/>
      <c r="BA2026" s="109"/>
      <c r="BB2026" s="109"/>
      <c r="BC2026" s="109"/>
      <c r="BD2026" s="109"/>
      <c r="BE2026" s="109"/>
      <c r="BF2026" s="109"/>
      <c r="BG2026" s="109"/>
      <c r="BH2026" s="109"/>
      <c r="BI2026" s="109"/>
      <c r="BJ2026" s="109"/>
      <c r="BK2026" s="76"/>
      <c r="BL2026" s="109"/>
      <c r="BM2026" s="76"/>
      <c r="BN2026" s="109">
        <v>4</v>
      </c>
      <c r="BR2026" s="76"/>
      <c r="BS2026" s="76"/>
      <c r="BT2026" s="76"/>
      <c r="BU2026" s="76"/>
      <c r="BV2026" s="76"/>
      <c r="BW2026" s="76"/>
      <c r="BX2026" s="76"/>
      <c r="BZ2026" s="76"/>
    </row>
    <row r="2027" spans="3:78">
      <c r="C2027" s="136" t="s">
        <v>2224</v>
      </c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Q2027" s="109"/>
      <c r="R2027" s="109"/>
      <c r="S2027" s="216"/>
      <c r="T2027" s="216"/>
      <c r="U2027" s="109"/>
      <c r="V2027" s="109"/>
      <c r="W2027" s="109"/>
      <c r="X2027" s="109" t="s">
        <v>19</v>
      </c>
      <c r="Y2027" s="109"/>
      <c r="Z2027" s="76"/>
      <c r="AA2027" s="76"/>
      <c r="AB2027" s="76"/>
      <c r="AC2027" s="109" t="s">
        <v>1</v>
      </c>
      <c r="AD2027" s="76"/>
      <c r="AE2027" s="76"/>
      <c r="AF2027" s="76"/>
      <c r="AG2027" s="76"/>
      <c r="AH2027" s="76"/>
      <c r="AI2027" s="76"/>
      <c r="AJ2027" s="76"/>
      <c r="AK2027" s="76"/>
      <c r="AL2027" s="76"/>
      <c r="AM2027" s="76"/>
      <c r="AN2027" s="76"/>
      <c r="AO2027" s="76"/>
      <c r="AP2027" s="76"/>
      <c r="AQ2027" s="76"/>
      <c r="AR2027" s="76"/>
      <c r="AS2027" s="109"/>
      <c r="AT2027" s="109"/>
      <c r="AU2027" s="109"/>
      <c r="AV2027" s="109"/>
      <c r="AW2027" s="109"/>
      <c r="AX2027" s="109"/>
      <c r="AY2027" s="109"/>
      <c r="AZ2027" s="109"/>
      <c r="BA2027" s="109"/>
      <c r="BB2027" s="109"/>
      <c r="BC2027" s="109"/>
      <c r="BD2027" s="109"/>
      <c r="BE2027" s="109"/>
      <c r="BF2027" s="109"/>
      <c r="BG2027" s="109"/>
      <c r="BH2027" s="109"/>
      <c r="BI2027" s="109"/>
      <c r="BJ2027" s="109"/>
      <c r="BK2027" s="76"/>
      <c r="BL2027" s="109"/>
      <c r="BM2027" s="76"/>
      <c r="BN2027" s="109">
        <v>5</v>
      </c>
      <c r="BR2027" s="76"/>
      <c r="BS2027" s="76"/>
      <c r="BT2027" s="76"/>
      <c r="BU2027" s="76"/>
      <c r="BV2027" s="76"/>
      <c r="BW2027" s="76"/>
      <c r="BX2027" s="76"/>
      <c r="BZ2027" s="76"/>
    </row>
    <row r="2028" spans="3:78">
      <c r="C2028" s="136" t="s">
        <v>2225</v>
      </c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Q2028" s="109"/>
      <c r="R2028" s="109"/>
      <c r="S2028" s="216"/>
      <c r="T2028" s="216"/>
      <c r="U2028" s="109"/>
      <c r="V2028" s="109"/>
      <c r="W2028" s="109"/>
      <c r="X2028" s="109" t="s">
        <v>19</v>
      </c>
      <c r="Y2028" s="109"/>
      <c r="Z2028" s="76"/>
      <c r="AA2028" s="76"/>
      <c r="AB2028" s="76"/>
      <c r="AC2028" s="109" t="s">
        <v>1</v>
      </c>
      <c r="AD2028" s="76"/>
      <c r="AE2028" s="76"/>
      <c r="AF2028" s="76"/>
      <c r="AG2028" s="76"/>
      <c r="AH2028" s="76"/>
      <c r="AI2028" s="76"/>
      <c r="AJ2028" s="76"/>
      <c r="AK2028" s="76"/>
      <c r="AL2028" s="76"/>
      <c r="AM2028" s="76"/>
      <c r="AN2028" s="76"/>
      <c r="AO2028" s="76"/>
      <c r="AP2028" s="76"/>
      <c r="AQ2028" s="76"/>
      <c r="AR2028" s="76"/>
      <c r="AS2028" s="109"/>
      <c r="AT2028" s="109"/>
      <c r="AU2028" s="109"/>
      <c r="AV2028" s="109"/>
      <c r="AW2028" s="109"/>
      <c r="AX2028" s="109"/>
      <c r="AY2028" s="109"/>
      <c r="AZ2028" s="109"/>
      <c r="BA2028" s="109"/>
      <c r="BB2028" s="109"/>
      <c r="BC2028" s="109"/>
      <c r="BD2028" s="109"/>
      <c r="BE2028" s="109"/>
      <c r="BF2028" s="109"/>
      <c r="BG2028" s="109"/>
      <c r="BH2028" s="109"/>
      <c r="BI2028" s="109"/>
      <c r="BJ2028" s="109"/>
      <c r="BK2028" s="76"/>
      <c r="BL2028" s="109"/>
      <c r="BM2028" s="76"/>
      <c r="BN2028" s="109">
        <v>15</v>
      </c>
      <c r="BR2028" s="76"/>
      <c r="BS2028" s="76"/>
      <c r="BT2028" s="76"/>
      <c r="BU2028" s="76"/>
      <c r="BV2028" s="76"/>
      <c r="BW2028" s="76"/>
      <c r="BX2028" s="76"/>
      <c r="BZ2028" s="76"/>
    </row>
    <row r="2029" spans="3:78">
      <c r="C2029" s="136" t="s">
        <v>2226</v>
      </c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Q2029" s="109"/>
      <c r="R2029" s="109"/>
      <c r="S2029" s="216"/>
      <c r="T2029" s="216"/>
      <c r="U2029" s="109"/>
      <c r="V2029" s="109"/>
      <c r="W2029" s="109"/>
      <c r="X2029" s="109" t="s">
        <v>18</v>
      </c>
      <c r="Y2029" s="109"/>
      <c r="Z2029" s="76"/>
      <c r="AA2029" s="76"/>
      <c r="AB2029" s="76"/>
      <c r="AC2029" s="109" t="s">
        <v>17</v>
      </c>
      <c r="AD2029" s="76"/>
      <c r="AE2029" s="76"/>
      <c r="AF2029" s="76"/>
      <c r="AG2029" s="76"/>
      <c r="AH2029" s="76"/>
      <c r="AI2029" s="76"/>
      <c r="AJ2029" s="76"/>
      <c r="AK2029" s="76"/>
      <c r="AL2029" s="76"/>
      <c r="AM2029" s="76"/>
      <c r="AN2029" s="76"/>
      <c r="AO2029" s="76"/>
      <c r="AP2029" s="76"/>
      <c r="AQ2029" s="76"/>
      <c r="AR2029" s="76"/>
      <c r="AS2029" s="109"/>
      <c r="AT2029" s="109"/>
      <c r="AU2029" s="109"/>
      <c r="AV2029" s="109"/>
      <c r="AW2029" s="109"/>
      <c r="AX2029" s="109"/>
      <c r="AY2029" s="109"/>
      <c r="AZ2029" s="109"/>
      <c r="BA2029" s="109"/>
      <c r="BB2029" s="109"/>
      <c r="BC2029" s="109"/>
      <c r="BD2029" s="109"/>
      <c r="BE2029" s="109"/>
      <c r="BF2029" s="109"/>
      <c r="BG2029" s="109"/>
      <c r="BH2029" s="109"/>
      <c r="BI2029" s="109"/>
      <c r="BJ2029" s="109"/>
      <c r="BK2029" s="76"/>
      <c r="BL2029" s="109"/>
      <c r="BM2029" s="76"/>
      <c r="BN2029" s="109">
        <v>14</v>
      </c>
      <c r="BR2029" s="76"/>
      <c r="BS2029" s="76"/>
      <c r="BT2029" s="76"/>
      <c r="BU2029" s="76"/>
      <c r="BV2029" s="76"/>
      <c r="BW2029" s="76"/>
      <c r="BX2029" s="76"/>
      <c r="BZ2029" s="76"/>
    </row>
    <row r="2030" spans="3:78">
      <c r="C2030" s="136" t="s">
        <v>2227</v>
      </c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Q2030" s="109"/>
      <c r="R2030" s="109"/>
      <c r="S2030" s="216"/>
      <c r="T2030" s="216"/>
      <c r="U2030" s="109"/>
      <c r="V2030" s="109"/>
      <c r="W2030" s="109"/>
      <c r="X2030" s="109" t="s">
        <v>16</v>
      </c>
      <c r="Y2030" s="109"/>
      <c r="Z2030" s="76"/>
      <c r="AA2030" s="76"/>
      <c r="AB2030" s="76"/>
      <c r="AC2030" s="109" t="s">
        <v>1</v>
      </c>
      <c r="AD2030" s="76"/>
      <c r="AE2030" s="76"/>
      <c r="AF2030" s="76"/>
      <c r="AG2030" s="76"/>
      <c r="AH2030" s="76"/>
      <c r="AI2030" s="76"/>
      <c r="AJ2030" s="76"/>
      <c r="AK2030" s="76"/>
      <c r="AL2030" s="76"/>
      <c r="AM2030" s="76"/>
      <c r="AN2030" s="76"/>
      <c r="AO2030" s="76"/>
      <c r="AP2030" s="76"/>
      <c r="AQ2030" s="76"/>
      <c r="AR2030" s="76"/>
      <c r="AS2030" s="109"/>
      <c r="AT2030" s="109"/>
      <c r="AU2030" s="109"/>
      <c r="AV2030" s="109"/>
      <c r="AW2030" s="109"/>
      <c r="AX2030" s="109"/>
      <c r="AY2030" s="109"/>
      <c r="AZ2030" s="109"/>
      <c r="BA2030" s="109"/>
      <c r="BB2030" s="109"/>
      <c r="BC2030" s="109"/>
      <c r="BD2030" s="109"/>
      <c r="BE2030" s="109"/>
      <c r="BF2030" s="109"/>
      <c r="BG2030" s="109"/>
      <c r="BH2030" s="109"/>
      <c r="BI2030" s="109"/>
      <c r="BJ2030" s="109"/>
      <c r="BK2030" s="76"/>
      <c r="BL2030" s="109"/>
      <c r="BM2030" s="76"/>
      <c r="BN2030" s="109">
        <v>29</v>
      </c>
      <c r="BR2030" s="76"/>
      <c r="BS2030" s="76"/>
      <c r="BT2030" s="76"/>
      <c r="BU2030" s="76"/>
      <c r="BV2030" s="76"/>
      <c r="BW2030" s="76"/>
      <c r="BX2030" s="76"/>
      <c r="BZ2030" s="76"/>
    </row>
    <row r="2031" spans="3:78" ht="27">
      <c r="C2031" s="136" t="s">
        <v>2228</v>
      </c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Q2031" s="109"/>
      <c r="R2031" s="109"/>
      <c r="S2031" s="216"/>
      <c r="T2031" s="216"/>
      <c r="U2031" s="109"/>
      <c r="V2031" s="109"/>
      <c r="W2031" s="109"/>
      <c r="X2031" s="109" t="s">
        <v>9</v>
      </c>
      <c r="Y2031" s="109"/>
      <c r="Z2031" s="76"/>
      <c r="AA2031" s="76"/>
      <c r="AB2031" s="76"/>
      <c r="AC2031" s="109" t="s">
        <v>1</v>
      </c>
      <c r="AD2031" s="76"/>
      <c r="AE2031" s="76"/>
      <c r="AF2031" s="76"/>
      <c r="AG2031" s="76"/>
      <c r="AH2031" s="76"/>
      <c r="AI2031" s="76"/>
      <c r="AJ2031" s="76"/>
      <c r="AK2031" s="76"/>
      <c r="AL2031" s="76"/>
      <c r="AM2031" s="76"/>
      <c r="AN2031" s="76"/>
      <c r="AO2031" s="76"/>
      <c r="AP2031" s="76"/>
      <c r="AQ2031" s="76"/>
      <c r="AR2031" s="76"/>
      <c r="AS2031" s="109"/>
      <c r="AT2031" s="109"/>
      <c r="AU2031" s="109"/>
      <c r="AV2031" s="109"/>
      <c r="AW2031" s="109"/>
      <c r="AX2031" s="109"/>
      <c r="AY2031" s="109"/>
      <c r="AZ2031" s="109"/>
      <c r="BA2031" s="109"/>
      <c r="BB2031" s="109"/>
      <c r="BC2031" s="109"/>
      <c r="BD2031" s="109"/>
      <c r="BE2031" s="109"/>
      <c r="BF2031" s="109"/>
      <c r="BG2031" s="109"/>
      <c r="BH2031" s="109"/>
      <c r="BI2031" s="109"/>
      <c r="BJ2031" s="109"/>
      <c r="BK2031" s="76"/>
      <c r="BL2031" s="109"/>
      <c r="BM2031" s="76"/>
      <c r="BN2031" s="109">
        <v>17</v>
      </c>
      <c r="BR2031" s="76"/>
      <c r="BS2031" s="76"/>
      <c r="BT2031" s="76"/>
      <c r="BU2031" s="76"/>
      <c r="BV2031" s="76"/>
      <c r="BW2031" s="76"/>
      <c r="BX2031" s="76"/>
      <c r="BZ2031" s="76"/>
    </row>
    <row r="2032" spans="3:78">
      <c r="C2032" s="136" t="s">
        <v>2229</v>
      </c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Q2032" s="109"/>
      <c r="R2032" s="109"/>
      <c r="S2032" s="216"/>
      <c r="T2032" s="216"/>
      <c r="U2032" s="109"/>
      <c r="V2032" s="109"/>
      <c r="W2032" s="109"/>
      <c r="X2032" s="109" t="s">
        <v>9</v>
      </c>
      <c r="Y2032" s="109"/>
      <c r="Z2032" s="76"/>
      <c r="AA2032" s="76"/>
      <c r="AB2032" s="76"/>
      <c r="AC2032" s="109" t="s">
        <v>1</v>
      </c>
      <c r="AD2032" s="76"/>
      <c r="AE2032" s="76"/>
      <c r="AF2032" s="76"/>
      <c r="AG2032" s="76"/>
      <c r="AH2032" s="76"/>
      <c r="AI2032" s="76"/>
      <c r="AJ2032" s="76"/>
      <c r="AK2032" s="76"/>
      <c r="AL2032" s="76"/>
      <c r="AM2032" s="76"/>
      <c r="AN2032" s="76"/>
      <c r="AO2032" s="76"/>
      <c r="AP2032" s="76"/>
      <c r="AQ2032" s="76"/>
      <c r="AR2032" s="76"/>
      <c r="AS2032" s="109"/>
      <c r="AT2032" s="109"/>
      <c r="AU2032" s="109"/>
      <c r="AV2032" s="109"/>
      <c r="AW2032" s="109"/>
      <c r="AX2032" s="109"/>
      <c r="AY2032" s="109"/>
      <c r="AZ2032" s="109"/>
      <c r="BA2032" s="109"/>
      <c r="BB2032" s="109"/>
      <c r="BC2032" s="109"/>
      <c r="BD2032" s="109"/>
      <c r="BE2032" s="109"/>
      <c r="BF2032" s="109"/>
      <c r="BG2032" s="109"/>
      <c r="BH2032" s="109"/>
      <c r="BI2032" s="109"/>
      <c r="BJ2032" s="109"/>
      <c r="BK2032" s="76"/>
      <c r="BL2032" s="109"/>
      <c r="BM2032" s="76"/>
      <c r="BN2032" s="109">
        <v>9</v>
      </c>
      <c r="BR2032" s="76"/>
      <c r="BS2032" s="76"/>
      <c r="BT2032" s="76"/>
      <c r="BU2032" s="76"/>
      <c r="BV2032" s="76"/>
      <c r="BW2032" s="76"/>
      <c r="BX2032" s="76"/>
      <c r="BZ2032" s="76"/>
    </row>
    <row r="2033" spans="3:78">
      <c r="C2033" s="136" t="s">
        <v>2230</v>
      </c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Q2033" s="109"/>
      <c r="R2033" s="109"/>
      <c r="S2033" s="216"/>
      <c r="T2033" s="216"/>
      <c r="U2033" s="109"/>
      <c r="V2033" s="109"/>
      <c r="W2033" s="109"/>
      <c r="X2033" s="109" t="s">
        <v>9</v>
      </c>
      <c r="Y2033" s="109"/>
      <c r="Z2033" s="76"/>
      <c r="AA2033" s="76"/>
      <c r="AB2033" s="76"/>
      <c r="AC2033" s="109" t="s">
        <v>1</v>
      </c>
      <c r="AD2033" s="76"/>
      <c r="AE2033" s="76"/>
      <c r="AF2033" s="76"/>
      <c r="AG2033" s="76"/>
      <c r="AH2033" s="76"/>
      <c r="AI2033" s="76"/>
      <c r="AJ2033" s="76"/>
      <c r="AK2033" s="76"/>
      <c r="AL2033" s="76"/>
      <c r="AM2033" s="76"/>
      <c r="AN2033" s="76"/>
      <c r="AO2033" s="76"/>
      <c r="AP2033" s="76"/>
      <c r="AQ2033" s="76"/>
      <c r="AR2033" s="76"/>
      <c r="AS2033" s="109"/>
      <c r="AT2033" s="109"/>
      <c r="AU2033" s="109"/>
      <c r="AV2033" s="109"/>
      <c r="AW2033" s="109"/>
      <c r="AX2033" s="109"/>
      <c r="AY2033" s="109"/>
      <c r="AZ2033" s="109"/>
      <c r="BA2033" s="109"/>
      <c r="BB2033" s="109"/>
      <c r="BC2033" s="109"/>
      <c r="BD2033" s="109"/>
      <c r="BE2033" s="109"/>
      <c r="BF2033" s="109"/>
      <c r="BG2033" s="109"/>
      <c r="BH2033" s="109"/>
      <c r="BI2033" s="109"/>
      <c r="BJ2033" s="109"/>
      <c r="BK2033" s="76"/>
      <c r="BL2033" s="109"/>
      <c r="BM2033" s="76"/>
      <c r="BN2033" s="109">
        <v>10</v>
      </c>
      <c r="BR2033" s="76"/>
      <c r="BS2033" s="76"/>
      <c r="BT2033" s="76"/>
      <c r="BU2033" s="76"/>
      <c r="BV2033" s="76"/>
      <c r="BW2033" s="76"/>
      <c r="BX2033" s="76"/>
      <c r="BZ2033" s="76"/>
    </row>
    <row r="2034" spans="3:78">
      <c r="C2034" s="136" t="s">
        <v>2231</v>
      </c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Q2034" s="109"/>
      <c r="R2034" s="109"/>
      <c r="S2034" s="216"/>
      <c r="T2034" s="216"/>
      <c r="U2034" s="109"/>
      <c r="V2034" s="109"/>
      <c r="W2034" s="109"/>
      <c r="X2034" s="109" t="s">
        <v>9</v>
      </c>
      <c r="Y2034" s="109"/>
      <c r="Z2034" s="76"/>
      <c r="AA2034" s="76"/>
      <c r="AB2034" s="76"/>
      <c r="AC2034" s="109" t="s">
        <v>1</v>
      </c>
      <c r="AD2034" s="76"/>
      <c r="AE2034" s="76"/>
      <c r="AF2034" s="76"/>
      <c r="AG2034" s="76"/>
      <c r="AH2034" s="76"/>
      <c r="AI2034" s="76"/>
      <c r="AJ2034" s="76"/>
      <c r="AK2034" s="76"/>
      <c r="AL2034" s="76"/>
      <c r="AM2034" s="76"/>
      <c r="AN2034" s="76"/>
      <c r="AO2034" s="76"/>
      <c r="AP2034" s="76"/>
      <c r="AQ2034" s="76"/>
      <c r="AR2034" s="76"/>
      <c r="AS2034" s="109"/>
      <c r="AT2034" s="109"/>
      <c r="AU2034" s="109"/>
      <c r="AV2034" s="109"/>
      <c r="AW2034" s="109"/>
      <c r="AX2034" s="109"/>
      <c r="AY2034" s="109"/>
      <c r="AZ2034" s="109"/>
      <c r="BA2034" s="109"/>
      <c r="BB2034" s="109"/>
      <c r="BC2034" s="109"/>
      <c r="BD2034" s="109"/>
      <c r="BE2034" s="109"/>
      <c r="BF2034" s="109"/>
      <c r="BG2034" s="109"/>
      <c r="BH2034" s="109"/>
      <c r="BI2034" s="109"/>
      <c r="BJ2034" s="109"/>
      <c r="BK2034" s="76"/>
      <c r="BL2034" s="109"/>
      <c r="BM2034" s="76"/>
      <c r="BN2034" s="109">
        <v>15</v>
      </c>
      <c r="BR2034" s="76"/>
      <c r="BS2034" s="76"/>
      <c r="BT2034" s="76"/>
      <c r="BU2034" s="76"/>
      <c r="BV2034" s="76"/>
      <c r="BW2034" s="76"/>
      <c r="BX2034" s="76"/>
      <c r="BZ2034" s="76"/>
    </row>
    <row r="2035" spans="3:78" ht="27">
      <c r="C2035" s="136" t="s">
        <v>2232</v>
      </c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Q2035" s="109"/>
      <c r="R2035" s="109"/>
      <c r="S2035" s="216"/>
      <c r="T2035" s="216"/>
      <c r="U2035" s="109"/>
      <c r="V2035" s="109"/>
      <c r="W2035" s="109"/>
      <c r="X2035" s="109" t="s">
        <v>9</v>
      </c>
      <c r="Y2035" s="109"/>
      <c r="Z2035" s="76"/>
      <c r="AA2035" s="76"/>
      <c r="AB2035" s="76"/>
      <c r="AC2035" s="109" t="s">
        <v>1</v>
      </c>
      <c r="AD2035" s="76"/>
      <c r="AE2035" s="76"/>
      <c r="AF2035" s="76"/>
      <c r="AG2035" s="76"/>
      <c r="AH2035" s="76"/>
      <c r="AI2035" s="76"/>
      <c r="AJ2035" s="76"/>
      <c r="AK2035" s="76"/>
      <c r="AL2035" s="76"/>
      <c r="AM2035" s="76"/>
      <c r="AN2035" s="76"/>
      <c r="AO2035" s="76"/>
      <c r="AP2035" s="76"/>
      <c r="AQ2035" s="76"/>
      <c r="AR2035" s="76"/>
      <c r="AS2035" s="109"/>
      <c r="AT2035" s="109"/>
      <c r="AU2035" s="109"/>
      <c r="AV2035" s="109"/>
      <c r="AW2035" s="109"/>
      <c r="AX2035" s="109"/>
      <c r="AY2035" s="109"/>
      <c r="AZ2035" s="109"/>
      <c r="BA2035" s="109"/>
      <c r="BB2035" s="109"/>
      <c r="BC2035" s="109"/>
      <c r="BD2035" s="109"/>
      <c r="BE2035" s="109"/>
      <c r="BF2035" s="109"/>
      <c r="BG2035" s="109"/>
      <c r="BH2035" s="109"/>
      <c r="BI2035" s="109"/>
      <c r="BJ2035" s="109"/>
      <c r="BK2035" s="76"/>
      <c r="BL2035" s="109"/>
      <c r="BM2035" s="76"/>
      <c r="BN2035" s="109">
        <v>14</v>
      </c>
      <c r="BR2035" s="76"/>
      <c r="BS2035" s="76"/>
      <c r="BT2035" s="76"/>
      <c r="BU2035" s="76"/>
      <c r="BV2035" s="76"/>
      <c r="BW2035" s="76"/>
      <c r="BX2035" s="76"/>
      <c r="BZ2035" s="76"/>
    </row>
    <row r="2036" spans="3:78" ht="27">
      <c r="C2036" s="136" t="s">
        <v>2233</v>
      </c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Q2036" s="109"/>
      <c r="R2036" s="109"/>
      <c r="S2036" s="216"/>
      <c r="T2036" s="216"/>
      <c r="U2036" s="109"/>
      <c r="V2036" s="109"/>
      <c r="W2036" s="109"/>
      <c r="X2036" s="109" t="s">
        <v>9</v>
      </c>
      <c r="Y2036" s="109"/>
      <c r="Z2036" s="76"/>
      <c r="AA2036" s="76"/>
      <c r="AB2036" s="76"/>
      <c r="AC2036" s="109" t="s">
        <v>1</v>
      </c>
      <c r="AD2036" s="76"/>
      <c r="AE2036" s="76"/>
      <c r="AF2036" s="76"/>
      <c r="AG2036" s="76"/>
      <c r="AH2036" s="76"/>
      <c r="AI2036" s="76"/>
      <c r="AJ2036" s="76"/>
      <c r="AK2036" s="76"/>
      <c r="AL2036" s="76"/>
      <c r="AM2036" s="76"/>
      <c r="AN2036" s="76"/>
      <c r="AO2036" s="76"/>
      <c r="AP2036" s="76"/>
      <c r="AQ2036" s="76"/>
      <c r="AR2036" s="76"/>
      <c r="AS2036" s="109"/>
      <c r="AT2036" s="109"/>
      <c r="AU2036" s="109"/>
      <c r="AV2036" s="109"/>
      <c r="AW2036" s="109"/>
      <c r="AX2036" s="109"/>
      <c r="AY2036" s="109"/>
      <c r="AZ2036" s="109"/>
      <c r="BA2036" s="109"/>
      <c r="BB2036" s="109"/>
      <c r="BC2036" s="109"/>
      <c r="BD2036" s="109"/>
      <c r="BE2036" s="109"/>
      <c r="BF2036" s="109"/>
      <c r="BG2036" s="109"/>
      <c r="BH2036" s="109"/>
      <c r="BI2036" s="109"/>
      <c r="BJ2036" s="109"/>
      <c r="BK2036" s="76"/>
      <c r="BL2036" s="109"/>
      <c r="BM2036" s="76"/>
      <c r="BN2036" s="109">
        <v>8</v>
      </c>
      <c r="BR2036" s="76"/>
      <c r="BS2036" s="76"/>
      <c r="BT2036" s="76"/>
      <c r="BU2036" s="76"/>
      <c r="BV2036" s="76"/>
      <c r="BW2036" s="76"/>
      <c r="BX2036" s="76"/>
      <c r="BZ2036" s="76"/>
    </row>
    <row r="2037" spans="3:78">
      <c r="C2037" s="136" t="s">
        <v>2234</v>
      </c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Q2037" s="109"/>
      <c r="R2037" s="109"/>
      <c r="S2037" s="216"/>
      <c r="T2037" s="216"/>
      <c r="U2037" s="109"/>
      <c r="V2037" s="109"/>
      <c r="W2037" s="109"/>
      <c r="X2037" s="109" t="s">
        <v>9</v>
      </c>
      <c r="Y2037" s="109"/>
      <c r="Z2037" s="76"/>
      <c r="AA2037" s="76"/>
      <c r="AB2037" s="76"/>
      <c r="AC2037" s="109" t="s">
        <v>1</v>
      </c>
      <c r="AD2037" s="76"/>
      <c r="AE2037" s="76"/>
      <c r="AF2037" s="76"/>
      <c r="AG2037" s="76"/>
      <c r="AH2037" s="76"/>
      <c r="AI2037" s="76"/>
      <c r="AJ2037" s="76"/>
      <c r="AK2037" s="76"/>
      <c r="AL2037" s="76"/>
      <c r="AM2037" s="76"/>
      <c r="AN2037" s="76"/>
      <c r="AO2037" s="76"/>
      <c r="AP2037" s="76"/>
      <c r="AQ2037" s="76"/>
      <c r="AR2037" s="76"/>
      <c r="AS2037" s="109"/>
      <c r="AT2037" s="109"/>
      <c r="AU2037" s="109"/>
      <c r="AV2037" s="109"/>
      <c r="AW2037" s="109"/>
      <c r="AX2037" s="109"/>
      <c r="AY2037" s="109"/>
      <c r="AZ2037" s="109"/>
      <c r="BA2037" s="109"/>
      <c r="BB2037" s="109"/>
      <c r="BC2037" s="109"/>
      <c r="BD2037" s="109"/>
      <c r="BE2037" s="109"/>
      <c r="BF2037" s="109"/>
      <c r="BG2037" s="109"/>
      <c r="BH2037" s="109"/>
      <c r="BI2037" s="109"/>
      <c r="BJ2037" s="109" t="s">
        <v>15</v>
      </c>
      <c r="BK2037" s="76"/>
      <c r="BL2037" s="109" t="s">
        <v>10</v>
      </c>
      <c r="BM2037" s="76"/>
      <c r="BN2037" s="109">
        <v>27</v>
      </c>
      <c r="BR2037" s="76"/>
      <c r="BS2037" s="76"/>
      <c r="BT2037" s="76"/>
      <c r="BU2037" s="76"/>
      <c r="BV2037" s="76"/>
      <c r="BW2037" s="76"/>
      <c r="BX2037" s="76"/>
      <c r="BZ2037" s="76"/>
    </row>
    <row r="2038" spans="3:78">
      <c r="C2038" s="136" t="s">
        <v>2235</v>
      </c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Q2038" s="109"/>
      <c r="R2038" s="109"/>
      <c r="S2038" s="216"/>
      <c r="T2038" s="216"/>
      <c r="U2038" s="109"/>
      <c r="V2038" s="109"/>
      <c r="W2038" s="109"/>
      <c r="X2038" s="109" t="s">
        <v>9</v>
      </c>
      <c r="Y2038" s="109"/>
      <c r="Z2038" s="76"/>
      <c r="AA2038" s="76"/>
      <c r="AB2038" s="76"/>
      <c r="AC2038" s="109" t="s">
        <v>1</v>
      </c>
      <c r="AD2038" s="76"/>
      <c r="AE2038" s="76"/>
      <c r="AF2038" s="76"/>
      <c r="AG2038" s="76"/>
      <c r="AH2038" s="76"/>
      <c r="AI2038" s="76"/>
      <c r="AJ2038" s="76"/>
      <c r="AK2038" s="76"/>
      <c r="AL2038" s="76"/>
      <c r="AM2038" s="76"/>
      <c r="AN2038" s="76"/>
      <c r="AO2038" s="76"/>
      <c r="AP2038" s="76"/>
      <c r="AQ2038" s="76"/>
      <c r="AR2038" s="76"/>
      <c r="AS2038" s="109"/>
      <c r="AT2038" s="109"/>
      <c r="AU2038" s="109"/>
      <c r="AV2038" s="109"/>
      <c r="AW2038" s="109"/>
      <c r="AX2038" s="109"/>
      <c r="AY2038" s="109"/>
      <c r="AZ2038" s="109"/>
      <c r="BA2038" s="109"/>
      <c r="BB2038" s="109"/>
      <c r="BC2038" s="109"/>
      <c r="BD2038" s="109"/>
      <c r="BE2038" s="109"/>
      <c r="BF2038" s="109"/>
      <c r="BG2038" s="109"/>
      <c r="BH2038" s="109"/>
      <c r="BI2038" s="109"/>
      <c r="BJ2038" s="109" t="s">
        <v>14</v>
      </c>
      <c r="BK2038" s="76"/>
      <c r="BL2038" s="109" t="s">
        <v>13</v>
      </c>
      <c r="BM2038" s="76"/>
      <c r="BN2038" s="109">
        <v>28</v>
      </c>
      <c r="BR2038" s="76"/>
      <c r="BS2038" s="76"/>
      <c r="BT2038" s="76"/>
      <c r="BU2038" s="76"/>
      <c r="BV2038" s="76"/>
      <c r="BW2038" s="76"/>
      <c r="BX2038" s="76"/>
      <c r="BZ2038" s="76"/>
    </row>
    <row r="2039" spans="3:78">
      <c r="C2039" s="136" t="s">
        <v>2236</v>
      </c>
      <c r="D2039" s="109"/>
      <c r="E2039" s="109"/>
      <c r="F2039" s="109" t="s">
        <v>12</v>
      </c>
      <c r="G2039" s="109"/>
      <c r="H2039" s="109"/>
      <c r="I2039" s="109"/>
      <c r="J2039" s="109"/>
      <c r="K2039" s="109"/>
      <c r="L2039" s="109"/>
      <c r="M2039" s="109"/>
      <c r="N2039" s="109"/>
      <c r="O2039" s="109"/>
      <c r="Q2039" s="109"/>
      <c r="R2039" s="109"/>
      <c r="S2039" s="216"/>
      <c r="T2039" s="216"/>
      <c r="U2039" s="109"/>
      <c r="V2039" s="109"/>
      <c r="W2039" s="109"/>
      <c r="X2039" s="109" t="s">
        <v>9</v>
      </c>
      <c r="Y2039" s="109"/>
      <c r="Z2039" s="76"/>
      <c r="AA2039" s="76"/>
      <c r="AB2039" s="76"/>
      <c r="AC2039" s="109" t="s">
        <v>1</v>
      </c>
      <c r="AD2039" s="76"/>
      <c r="AE2039" s="76"/>
      <c r="AF2039" s="76"/>
      <c r="AG2039" s="76"/>
      <c r="AH2039" s="76"/>
      <c r="AI2039" s="76"/>
      <c r="AJ2039" s="76"/>
      <c r="AK2039" s="76"/>
      <c r="AL2039" s="76"/>
      <c r="AM2039" s="76"/>
      <c r="AN2039" s="76"/>
      <c r="AO2039" s="76"/>
      <c r="AP2039" s="76"/>
      <c r="AQ2039" s="76"/>
      <c r="AR2039" s="76"/>
      <c r="AS2039" s="109"/>
      <c r="AT2039" s="109"/>
      <c r="AU2039" s="109"/>
      <c r="AV2039" s="109"/>
      <c r="AW2039" s="109"/>
      <c r="AX2039" s="109"/>
      <c r="AY2039" s="109"/>
      <c r="AZ2039" s="109"/>
      <c r="BA2039" s="109"/>
      <c r="BB2039" s="109"/>
      <c r="BC2039" s="109"/>
      <c r="BD2039" s="109"/>
      <c r="BE2039" s="109"/>
      <c r="BF2039" s="109"/>
      <c r="BG2039" s="109"/>
      <c r="BH2039" s="109"/>
      <c r="BI2039" s="109"/>
      <c r="BJ2039" s="109" t="s">
        <v>11</v>
      </c>
      <c r="BK2039" s="76"/>
      <c r="BL2039" s="109" t="s">
        <v>10</v>
      </c>
      <c r="BM2039" s="76"/>
      <c r="BN2039" s="109">
        <v>27</v>
      </c>
      <c r="BR2039" s="76"/>
      <c r="BS2039" s="76"/>
      <c r="BT2039" s="76"/>
      <c r="BU2039" s="76"/>
      <c r="BV2039" s="76"/>
      <c r="BW2039" s="76"/>
      <c r="BX2039" s="76"/>
      <c r="BZ2039" s="76"/>
    </row>
    <row r="2040" spans="3:78">
      <c r="C2040" s="136" t="s">
        <v>2237</v>
      </c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Q2040" s="109"/>
      <c r="R2040" s="109"/>
      <c r="S2040" s="216"/>
      <c r="T2040" s="216"/>
      <c r="U2040" s="109"/>
      <c r="V2040" s="109"/>
      <c r="W2040" s="109"/>
      <c r="X2040" s="109" t="s">
        <v>9</v>
      </c>
      <c r="Y2040" s="109"/>
      <c r="Z2040" s="76"/>
      <c r="AA2040" s="76"/>
      <c r="AB2040" s="76"/>
      <c r="AC2040" s="109" t="s">
        <v>1</v>
      </c>
      <c r="AD2040" s="76"/>
      <c r="AE2040" s="76"/>
      <c r="AF2040" s="76"/>
      <c r="AG2040" s="76"/>
      <c r="AH2040" s="76"/>
      <c r="AI2040" s="76"/>
      <c r="AJ2040" s="76"/>
      <c r="AK2040" s="76"/>
      <c r="AL2040" s="76"/>
      <c r="AM2040" s="76"/>
      <c r="AN2040" s="76"/>
      <c r="AO2040" s="76"/>
      <c r="AP2040" s="76"/>
      <c r="AQ2040" s="76"/>
      <c r="AR2040" s="76"/>
      <c r="AS2040" s="109"/>
      <c r="AT2040" s="109"/>
      <c r="AU2040" s="109"/>
      <c r="AV2040" s="109"/>
      <c r="AW2040" s="109"/>
      <c r="AX2040" s="109"/>
      <c r="AY2040" s="109"/>
      <c r="AZ2040" s="109"/>
      <c r="BA2040" s="109"/>
      <c r="BB2040" s="109"/>
      <c r="BC2040" s="109"/>
      <c r="BD2040" s="109"/>
      <c r="BE2040" s="109"/>
      <c r="BF2040" s="109"/>
      <c r="BG2040" s="109"/>
      <c r="BH2040" s="109"/>
      <c r="BI2040" s="109"/>
      <c r="BJ2040" s="109"/>
      <c r="BK2040" s="76"/>
      <c r="BL2040" s="109"/>
      <c r="BM2040" s="76"/>
      <c r="BN2040" s="109">
        <v>25</v>
      </c>
      <c r="BR2040" s="76"/>
      <c r="BS2040" s="76"/>
      <c r="BT2040" s="76"/>
      <c r="BU2040" s="76"/>
      <c r="BV2040" s="76"/>
      <c r="BW2040" s="76"/>
      <c r="BX2040" s="76"/>
      <c r="BZ2040" s="76"/>
    </row>
    <row r="2041" spans="3:78" ht="27">
      <c r="C2041" s="136" t="s">
        <v>2238</v>
      </c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Q2041" s="109"/>
      <c r="R2041" s="109"/>
      <c r="S2041" s="216"/>
      <c r="T2041" s="216"/>
      <c r="U2041" s="109"/>
      <c r="V2041" s="109"/>
      <c r="W2041" s="109"/>
      <c r="X2041" s="109" t="s">
        <v>9</v>
      </c>
      <c r="Y2041" s="109"/>
      <c r="Z2041" s="76"/>
      <c r="AA2041" s="76"/>
      <c r="AB2041" s="76"/>
      <c r="AC2041" s="109" t="s">
        <v>1</v>
      </c>
      <c r="AD2041" s="76"/>
      <c r="AE2041" s="76"/>
      <c r="AF2041" s="76"/>
      <c r="AG2041" s="76"/>
      <c r="AH2041" s="76"/>
      <c r="AI2041" s="76"/>
      <c r="AJ2041" s="76"/>
      <c r="AK2041" s="76"/>
      <c r="AL2041" s="76"/>
      <c r="AM2041" s="76"/>
      <c r="AN2041" s="76"/>
      <c r="AO2041" s="76"/>
      <c r="AP2041" s="76"/>
      <c r="AQ2041" s="76"/>
      <c r="AR2041" s="76"/>
      <c r="AS2041" s="109"/>
      <c r="AT2041" s="109"/>
      <c r="AU2041" s="109"/>
      <c r="AV2041" s="109"/>
      <c r="AW2041" s="109"/>
      <c r="AX2041" s="109"/>
      <c r="AY2041" s="109"/>
      <c r="AZ2041" s="109"/>
      <c r="BA2041" s="109"/>
      <c r="BB2041" s="109"/>
      <c r="BC2041" s="109"/>
      <c r="BD2041" s="109"/>
      <c r="BE2041" s="109"/>
      <c r="BF2041" s="109"/>
      <c r="BG2041" s="109"/>
      <c r="BH2041" s="109"/>
      <c r="BI2041" s="109"/>
      <c r="BJ2041" s="109"/>
      <c r="BK2041" s="76"/>
      <c r="BL2041" s="109"/>
      <c r="BM2041" s="76"/>
      <c r="BN2041" s="109">
        <v>6</v>
      </c>
      <c r="BR2041" s="76"/>
      <c r="BS2041" s="76"/>
      <c r="BT2041" s="76"/>
      <c r="BU2041" s="76"/>
      <c r="BV2041" s="76"/>
      <c r="BW2041" s="76"/>
      <c r="BX2041" s="76"/>
      <c r="BZ2041" s="76"/>
    </row>
    <row r="2042" spans="3:78">
      <c r="C2042" s="136" t="s">
        <v>1080</v>
      </c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Q2042" s="109"/>
      <c r="R2042" s="109"/>
      <c r="S2042" s="216"/>
      <c r="T2042" s="216"/>
      <c r="U2042" s="109"/>
      <c r="V2042" s="109"/>
      <c r="W2042" s="109"/>
      <c r="X2042" s="109" t="s">
        <v>9</v>
      </c>
      <c r="Y2042" s="109"/>
      <c r="Z2042" s="76"/>
      <c r="AA2042" s="76"/>
      <c r="AB2042" s="76"/>
      <c r="AC2042" s="109" t="s">
        <v>1</v>
      </c>
      <c r="AD2042" s="76"/>
      <c r="AE2042" s="76"/>
      <c r="AF2042" s="76"/>
      <c r="AG2042" s="76"/>
      <c r="AH2042" s="76"/>
      <c r="AI2042" s="76"/>
      <c r="AJ2042" s="76"/>
      <c r="AK2042" s="76"/>
      <c r="AL2042" s="76"/>
      <c r="AM2042" s="76"/>
      <c r="AN2042" s="76"/>
      <c r="AO2042" s="76"/>
      <c r="AP2042" s="76"/>
      <c r="AQ2042" s="76"/>
      <c r="AR2042" s="76"/>
      <c r="AS2042" s="109"/>
      <c r="AT2042" s="109"/>
      <c r="AU2042" s="109"/>
      <c r="AV2042" s="109"/>
      <c r="AW2042" s="109"/>
      <c r="AX2042" s="109"/>
      <c r="AY2042" s="109"/>
      <c r="AZ2042" s="109"/>
      <c r="BA2042" s="109"/>
      <c r="BB2042" s="109"/>
      <c r="BC2042" s="109"/>
      <c r="BD2042" s="109"/>
      <c r="BE2042" s="109"/>
      <c r="BF2042" s="109"/>
      <c r="BG2042" s="109"/>
      <c r="BH2042" s="109"/>
      <c r="BI2042" s="109"/>
      <c r="BJ2042" s="109"/>
      <c r="BK2042" s="76"/>
      <c r="BL2042" s="109"/>
      <c r="BM2042" s="76"/>
      <c r="BN2042" s="109">
        <v>10</v>
      </c>
      <c r="BR2042" s="76"/>
      <c r="BS2042" s="76"/>
      <c r="BT2042" s="76"/>
      <c r="BU2042" s="76"/>
      <c r="BV2042" s="76"/>
      <c r="BW2042" s="76"/>
      <c r="BX2042" s="76"/>
      <c r="BZ2042" s="76"/>
    </row>
    <row r="2043" spans="3:78">
      <c r="C2043" s="136" t="s">
        <v>2239</v>
      </c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Q2043" s="109"/>
      <c r="R2043" s="109"/>
      <c r="S2043" s="216"/>
      <c r="T2043" s="216"/>
      <c r="U2043" s="109"/>
      <c r="V2043" s="109"/>
      <c r="W2043" s="109"/>
      <c r="X2043" s="109" t="s">
        <v>9</v>
      </c>
      <c r="Y2043" s="109"/>
      <c r="Z2043" s="76"/>
      <c r="AA2043" s="76"/>
      <c r="AB2043" s="76"/>
      <c r="AC2043" s="109" t="s">
        <v>1</v>
      </c>
      <c r="AD2043" s="76"/>
      <c r="AE2043" s="76"/>
      <c r="AF2043" s="76"/>
      <c r="AG2043" s="76"/>
      <c r="AH2043" s="76"/>
      <c r="AI2043" s="76"/>
      <c r="AJ2043" s="76"/>
      <c r="AK2043" s="76"/>
      <c r="AL2043" s="76"/>
      <c r="AM2043" s="76"/>
      <c r="AN2043" s="76"/>
      <c r="AO2043" s="76"/>
      <c r="AP2043" s="76"/>
      <c r="AQ2043" s="76"/>
      <c r="AR2043" s="76"/>
      <c r="AS2043" s="109"/>
      <c r="AT2043" s="109"/>
      <c r="AU2043" s="109"/>
      <c r="AV2043" s="109"/>
      <c r="AW2043" s="109"/>
      <c r="AX2043" s="109"/>
      <c r="AY2043" s="109"/>
      <c r="AZ2043" s="109"/>
      <c r="BA2043" s="109"/>
      <c r="BB2043" s="109"/>
      <c r="BC2043" s="109"/>
      <c r="BD2043" s="109"/>
      <c r="BE2043" s="109"/>
      <c r="BF2043" s="109"/>
      <c r="BG2043" s="109"/>
      <c r="BH2043" s="109"/>
      <c r="BI2043" s="109"/>
      <c r="BJ2043" s="109"/>
      <c r="BK2043" s="76"/>
      <c r="BL2043" s="109"/>
      <c r="BM2043" s="76"/>
      <c r="BN2043" s="109">
        <v>11</v>
      </c>
      <c r="BR2043" s="76"/>
      <c r="BS2043" s="76"/>
      <c r="BT2043" s="76"/>
      <c r="BU2043" s="76"/>
      <c r="BV2043" s="76"/>
      <c r="BW2043" s="76"/>
      <c r="BX2043" s="76"/>
      <c r="BZ2043" s="76"/>
    </row>
    <row r="2044" spans="3:78">
      <c r="C2044" s="136" t="s">
        <v>2240</v>
      </c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Q2044" s="109"/>
      <c r="R2044" s="109"/>
      <c r="S2044" s="216"/>
      <c r="T2044" s="216"/>
      <c r="U2044" s="109"/>
      <c r="V2044" s="109"/>
      <c r="W2044" s="109"/>
      <c r="X2044" s="109" t="s">
        <v>9</v>
      </c>
      <c r="Y2044" s="109"/>
      <c r="Z2044" s="76"/>
      <c r="AA2044" s="76"/>
      <c r="AB2044" s="76"/>
      <c r="AC2044" s="109" t="s">
        <v>1</v>
      </c>
      <c r="AD2044" s="76"/>
      <c r="AE2044" s="76"/>
      <c r="AF2044" s="76"/>
      <c r="AG2044" s="76"/>
      <c r="AH2044" s="76"/>
      <c r="AI2044" s="76"/>
      <c r="AJ2044" s="76"/>
      <c r="AK2044" s="76"/>
      <c r="AL2044" s="76"/>
      <c r="AM2044" s="76"/>
      <c r="AN2044" s="76"/>
      <c r="AO2044" s="76"/>
      <c r="AP2044" s="76"/>
      <c r="AQ2044" s="76"/>
      <c r="AR2044" s="76"/>
      <c r="AS2044" s="109"/>
      <c r="AT2044" s="109"/>
      <c r="AU2044" s="109"/>
      <c r="AV2044" s="109"/>
      <c r="AW2044" s="109"/>
      <c r="AX2044" s="109"/>
      <c r="AY2044" s="109"/>
      <c r="AZ2044" s="109"/>
      <c r="BA2044" s="109"/>
      <c r="BB2044" s="109"/>
      <c r="BC2044" s="109"/>
      <c r="BD2044" s="109"/>
      <c r="BE2044" s="109"/>
      <c r="BF2044" s="109"/>
      <c r="BG2044" s="109"/>
      <c r="BH2044" s="109"/>
      <c r="BI2044" s="109"/>
      <c r="BJ2044" s="109"/>
      <c r="BK2044" s="76"/>
      <c r="BL2044" s="109"/>
      <c r="BM2044" s="76"/>
      <c r="BN2044" s="109">
        <v>8</v>
      </c>
      <c r="BR2044" s="76"/>
      <c r="BS2044" s="76"/>
      <c r="BT2044" s="76"/>
      <c r="BU2044" s="76"/>
      <c r="BV2044" s="76"/>
      <c r="BW2044" s="76"/>
      <c r="BX2044" s="76"/>
      <c r="BZ2044" s="76"/>
    </row>
    <row r="2045" spans="3:78">
      <c r="C2045" s="136" t="s">
        <v>2241</v>
      </c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Q2045" s="109"/>
      <c r="R2045" s="109"/>
      <c r="S2045" s="216"/>
      <c r="T2045" s="216"/>
      <c r="U2045" s="109"/>
      <c r="V2045" s="109"/>
      <c r="W2045" s="109"/>
      <c r="X2045" s="109" t="s">
        <v>9</v>
      </c>
      <c r="Y2045" s="109"/>
      <c r="Z2045" s="76"/>
      <c r="AA2045" s="76"/>
      <c r="AB2045" s="76"/>
      <c r="AC2045" s="109" t="s">
        <v>1</v>
      </c>
      <c r="AD2045" s="76"/>
      <c r="AE2045" s="76"/>
      <c r="AF2045" s="76"/>
      <c r="AG2045" s="76"/>
      <c r="AH2045" s="76"/>
      <c r="AI2045" s="76"/>
      <c r="AJ2045" s="76"/>
      <c r="AK2045" s="76"/>
      <c r="AL2045" s="76"/>
      <c r="AM2045" s="76"/>
      <c r="AN2045" s="76"/>
      <c r="AO2045" s="76"/>
      <c r="AP2045" s="76"/>
      <c r="AQ2045" s="76"/>
      <c r="AR2045" s="76"/>
      <c r="AS2045" s="109"/>
      <c r="AT2045" s="109"/>
      <c r="AU2045" s="109"/>
      <c r="AV2045" s="109"/>
      <c r="AW2045" s="109"/>
      <c r="AX2045" s="109"/>
      <c r="AY2045" s="109"/>
      <c r="AZ2045" s="109"/>
      <c r="BA2045" s="109"/>
      <c r="BB2045" s="109"/>
      <c r="BC2045" s="109"/>
      <c r="BD2045" s="109"/>
      <c r="BE2045" s="109"/>
      <c r="BF2045" s="109"/>
      <c r="BG2045" s="109"/>
      <c r="BH2045" s="109"/>
      <c r="BI2045" s="109"/>
      <c r="BJ2045" s="109"/>
      <c r="BK2045" s="76"/>
      <c r="BL2045" s="109"/>
      <c r="BM2045" s="76"/>
      <c r="BN2045" s="109">
        <v>10</v>
      </c>
      <c r="BR2045" s="76"/>
      <c r="BS2045" s="76"/>
      <c r="BT2045" s="76"/>
      <c r="BU2045" s="76"/>
      <c r="BV2045" s="76"/>
      <c r="BW2045" s="76"/>
      <c r="BX2045" s="76"/>
      <c r="BZ2045" s="76"/>
    </row>
    <row r="2046" spans="3:78" ht="27">
      <c r="C2046" s="136" t="s">
        <v>2242</v>
      </c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Q2046" s="109"/>
      <c r="R2046" s="109"/>
      <c r="S2046" s="216"/>
      <c r="T2046" s="216"/>
      <c r="U2046" s="109"/>
      <c r="V2046" s="109"/>
      <c r="W2046" s="109"/>
      <c r="X2046" s="109" t="s">
        <v>9</v>
      </c>
      <c r="Y2046" s="109"/>
      <c r="Z2046" s="76"/>
      <c r="AA2046" s="76"/>
      <c r="AB2046" s="76"/>
      <c r="AC2046" s="109" t="s">
        <v>1</v>
      </c>
      <c r="AD2046" s="76"/>
      <c r="AE2046" s="76"/>
      <c r="AF2046" s="76"/>
      <c r="AG2046" s="76"/>
      <c r="AH2046" s="76"/>
      <c r="AI2046" s="76"/>
      <c r="AJ2046" s="76"/>
      <c r="AK2046" s="76"/>
      <c r="AL2046" s="76"/>
      <c r="AM2046" s="76"/>
      <c r="AN2046" s="76"/>
      <c r="AO2046" s="76"/>
      <c r="AP2046" s="76"/>
      <c r="AQ2046" s="76"/>
      <c r="AR2046" s="76"/>
      <c r="AS2046" s="109"/>
      <c r="AT2046" s="109"/>
      <c r="AU2046" s="109"/>
      <c r="AV2046" s="109"/>
      <c r="AW2046" s="109"/>
      <c r="AX2046" s="109"/>
      <c r="AY2046" s="109"/>
      <c r="AZ2046" s="109"/>
      <c r="BA2046" s="109"/>
      <c r="BB2046" s="109"/>
      <c r="BC2046" s="109"/>
      <c r="BD2046" s="109"/>
      <c r="BE2046" s="109"/>
      <c r="BF2046" s="109"/>
      <c r="BG2046" s="109"/>
      <c r="BH2046" s="109"/>
      <c r="BI2046" s="109"/>
      <c r="BJ2046" s="109"/>
      <c r="BK2046" s="76"/>
      <c r="BL2046" s="109"/>
      <c r="BM2046" s="76"/>
      <c r="BN2046" s="109">
        <v>9</v>
      </c>
      <c r="BR2046" s="76"/>
      <c r="BS2046" s="76"/>
      <c r="BT2046" s="76"/>
      <c r="BU2046" s="76"/>
      <c r="BV2046" s="76"/>
      <c r="BW2046" s="76"/>
      <c r="BX2046" s="76"/>
      <c r="BZ2046" s="76"/>
    </row>
    <row r="2047" spans="3:78">
      <c r="C2047" s="136" t="s">
        <v>2243</v>
      </c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Q2047" s="109"/>
      <c r="R2047" s="109"/>
      <c r="S2047" s="216"/>
      <c r="T2047" s="216"/>
      <c r="U2047" s="109"/>
      <c r="V2047" s="109"/>
      <c r="W2047" s="109"/>
      <c r="X2047" s="109" t="s">
        <v>9</v>
      </c>
      <c r="Y2047" s="109"/>
      <c r="Z2047" s="76"/>
      <c r="AA2047" s="76"/>
      <c r="AB2047" s="76"/>
      <c r="AC2047" s="109" t="s">
        <v>1</v>
      </c>
      <c r="AD2047" s="76"/>
      <c r="AE2047" s="76"/>
      <c r="AF2047" s="76"/>
      <c r="AG2047" s="76"/>
      <c r="AH2047" s="76"/>
      <c r="AI2047" s="76"/>
      <c r="AJ2047" s="76"/>
      <c r="AK2047" s="76"/>
      <c r="AL2047" s="76"/>
      <c r="AM2047" s="76"/>
      <c r="AN2047" s="76"/>
      <c r="AO2047" s="76"/>
      <c r="AP2047" s="76"/>
      <c r="AQ2047" s="76"/>
      <c r="AR2047" s="76"/>
      <c r="AS2047" s="109"/>
      <c r="AT2047" s="109"/>
      <c r="AU2047" s="109"/>
      <c r="AV2047" s="109"/>
      <c r="AW2047" s="109"/>
      <c r="AX2047" s="109"/>
      <c r="AY2047" s="109"/>
      <c r="AZ2047" s="109"/>
      <c r="BA2047" s="109"/>
      <c r="BB2047" s="109"/>
      <c r="BC2047" s="109"/>
      <c r="BD2047" s="109"/>
      <c r="BE2047" s="109"/>
      <c r="BF2047" s="109"/>
      <c r="BG2047" s="109"/>
      <c r="BH2047" s="109"/>
      <c r="BI2047" s="109"/>
      <c r="BJ2047" s="109"/>
      <c r="BK2047" s="76"/>
      <c r="BL2047" s="109"/>
      <c r="BM2047" s="76"/>
      <c r="BN2047" s="109">
        <v>8</v>
      </c>
      <c r="BR2047" s="76"/>
      <c r="BS2047" s="76"/>
      <c r="BT2047" s="76"/>
      <c r="BU2047" s="76"/>
      <c r="BV2047" s="76"/>
      <c r="BW2047" s="76"/>
      <c r="BX2047" s="76"/>
      <c r="BZ2047" s="76"/>
    </row>
    <row r="2048" spans="3:78">
      <c r="C2048" s="136" t="s">
        <v>2244</v>
      </c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Q2048" s="109"/>
      <c r="R2048" s="109"/>
      <c r="S2048" s="216"/>
      <c r="T2048" s="216"/>
      <c r="U2048" s="109"/>
      <c r="V2048" s="109"/>
      <c r="W2048" s="109"/>
      <c r="X2048" s="109" t="s">
        <v>9</v>
      </c>
      <c r="Y2048" s="109"/>
      <c r="Z2048" s="76"/>
      <c r="AA2048" s="76"/>
      <c r="AB2048" s="76"/>
      <c r="AC2048" s="109" t="s">
        <v>1</v>
      </c>
      <c r="AD2048" s="76"/>
      <c r="AE2048" s="76"/>
      <c r="AF2048" s="76"/>
      <c r="AG2048" s="76"/>
      <c r="AH2048" s="76"/>
      <c r="AI2048" s="76"/>
      <c r="AJ2048" s="76"/>
      <c r="AK2048" s="76"/>
      <c r="AL2048" s="76"/>
      <c r="AM2048" s="76"/>
      <c r="AN2048" s="76"/>
      <c r="AO2048" s="76"/>
      <c r="AP2048" s="76"/>
      <c r="AQ2048" s="76"/>
      <c r="AR2048" s="76"/>
      <c r="AS2048" s="109"/>
      <c r="AT2048" s="109"/>
      <c r="AU2048" s="109"/>
      <c r="AV2048" s="109"/>
      <c r="AW2048" s="109"/>
      <c r="AX2048" s="109"/>
      <c r="AY2048" s="109"/>
      <c r="AZ2048" s="109"/>
      <c r="BA2048" s="109"/>
      <c r="BB2048" s="109"/>
      <c r="BC2048" s="109"/>
      <c r="BD2048" s="109"/>
      <c r="BE2048" s="109"/>
      <c r="BF2048" s="109"/>
      <c r="BG2048" s="109"/>
      <c r="BH2048" s="109"/>
      <c r="BI2048" s="109"/>
      <c r="BJ2048" s="109"/>
      <c r="BK2048" s="76"/>
      <c r="BL2048" s="109"/>
      <c r="BM2048" s="76"/>
      <c r="BN2048" s="109">
        <v>9</v>
      </c>
      <c r="BR2048" s="76"/>
      <c r="BS2048" s="76"/>
      <c r="BT2048" s="76"/>
      <c r="BU2048" s="76"/>
      <c r="BV2048" s="76"/>
      <c r="BW2048" s="76"/>
      <c r="BX2048" s="76"/>
      <c r="BZ2048" s="76"/>
    </row>
    <row r="2049" spans="3:78">
      <c r="C2049" s="136" t="s">
        <v>2245</v>
      </c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Q2049" s="109"/>
      <c r="R2049" s="109"/>
      <c r="S2049" s="216"/>
      <c r="T2049" s="216"/>
      <c r="U2049" s="109"/>
      <c r="V2049" s="109"/>
      <c r="W2049" s="109"/>
      <c r="X2049" s="109" t="s">
        <v>7</v>
      </c>
      <c r="Y2049" s="109"/>
      <c r="Z2049" s="76"/>
      <c r="AA2049" s="76"/>
      <c r="AB2049" s="76"/>
      <c r="AC2049" s="109" t="s">
        <v>8</v>
      </c>
      <c r="AD2049" s="76"/>
      <c r="AE2049" s="76"/>
      <c r="AF2049" s="76"/>
      <c r="AG2049" s="76"/>
      <c r="AH2049" s="76"/>
      <c r="AI2049" s="76"/>
      <c r="AJ2049" s="76"/>
      <c r="AK2049" s="76"/>
      <c r="AL2049" s="76"/>
      <c r="AM2049" s="76"/>
      <c r="AN2049" s="76"/>
      <c r="AO2049" s="76"/>
      <c r="AP2049" s="76"/>
      <c r="AQ2049" s="76"/>
      <c r="AR2049" s="76"/>
      <c r="AS2049" s="109"/>
      <c r="AT2049" s="109"/>
      <c r="AU2049" s="109"/>
      <c r="AV2049" s="109"/>
      <c r="AW2049" s="109"/>
      <c r="AX2049" s="109"/>
      <c r="AY2049" s="109"/>
      <c r="AZ2049" s="109"/>
      <c r="BA2049" s="109"/>
      <c r="BB2049" s="109"/>
      <c r="BC2049" s="109"/>
      <c r="BD2049" s="109"/>
      <c r="BE2049" s="109"/>
      <c r="BF2049" s="109"/>
      <c r="BG2049" s="109"/>
      <c r="BH2049" s="109"/>
      <c r="BI2049" s="109"/>
      <c r="BJ2049" s="109"/>
      <c r="BK2049" s="76"/>
      <c r="BL2049" s="109"/>
      <c r="BM2049" s="76"/>
      <c r="BN2049" s="109">
        <v>24</v>
      </c>
      <c r="BR2049" s="76"/>
      <c r="BS2049" s="76"/>
      <c r="BT2049" s="76"/>
      <c r="BU2049" s="76"/>
      <c r="BV2049" s="76"/>
      <c r="BW2049" s="76"/>
      <c r="BX2049" s="76"/>
      <c r="BZ2049" s="76"/>
    </row>
    <row r="2050" spans="3:78">
      <c r="C2050" s="136" t="s">
        <v>2246</v>
      </c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Q2050" s="109"/>
      <c r="R2050" s="109"/>
      <c r="S2050" s="216"/>
      <c r="T2050" s="216"/>
      <c r="U2050" s="109"/>
      <c r="V2050" s="109"/>
      <c r="W2050" s="109"/>
      <c r="X2050" s="109" t="s">
        <v>7</v>
      </c>
      <c r="Y2050" s="109"/>
      <c r="Z2050" s="76"/>
      <c r="AA2050" s="76"/>
      <c r="AB2050" s="76"/>
      <c r="AC2050" s="109" t="s">
        <v>1</v>
      </c>
      <c r="AD2050" s="76"/>
      <c r="AE2050" s="76"/>
      <c r="AF2050" s="76"/>
      <c r="AG2050" s="76"/>
      <c r="AH2050" s="76"/>
      <c r="AI2050" s="76"/>
      <c r="AJ2050" s="76"/>
      <c r="AK2050" s="76"/>
      <c r="AL2050" s="76"/>
      <c r="AM2050" s="76"/>
      <c r="AN2050" s="76"/>
      <c r="AO2050" s="76"/>
      <c r="AP2050" s="76"/>
      <c r="AQ2050" s="76"/>
      <c r="AR2050" s="76"/>
      <c r="AS2050" s="109"/>
      <c r="AT2050" s="109"/>
      <c r="AU2050" s="109"/>
      <c r="AV2050" s="109"/>
      <c r="AW2050" s="109"/>
      <c r="AX2050" s="109"/>
      <c r="AY2050" s="109"/>
      <c r="AZ2050" s="109"/>
      <c r="BA2050" s="109"/>
      <c r="BB2050" s="109"/>
      <c r="BC2050" s="109"/>
      <c r="BD2050" s="109"/>
      <c r="BE2050" s="109"/>
      <c r="BF2050" s="109"/>
      <c r="BG2050" s="109"/>
      <c r="BH2050" s="109"/>
      <c r="BI2050" s="109"/>
      <c r="BJ2050" s="109"/>
      <c r="BK2050" s="76"/>
      <c r="BL2050" s="109"/>
      <c r="BM2050" s="76"/>
      <c r="BN2050" s="109">
        <v>26</v>
      </c>
      <c r="BR2050" s="76"/>
      <c r="BS2050" s="76"/>
      <c r="BT2050" s="76"/>
      <c r="BU2050" s="76"/>
      <c r="BV2050" s="76"/>
      <c r="BW2050" s="76"/>
      <c r="BX2050" s="76"/>
      <c r="BZ2050" s="76"/>
    </row>
    <row r="2051" spans="3:78">
      <c r="C2051" s="136" t="s">
        <v>2247</v>
      </c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Q2051" s="109"/>
      <c r="R2051" s="109"/>
      <c r="S2051" s="216"/>
      <c r="T2051" s="216"/>
      <c r="U2051" s="109"/>
      <c r="V2051" s="109"/>
      <c r="W2051" s="109"/>
      <c r="X2051" s="109" t="s">
        <v>6</v>
      </c>
      <c r="Y2051" s="109"/>
      <c r="Z2051" s="76"/>
      <c r="AA2051" s="76"/>
      <c r="AB2051" s="76"/>
      <c r="AC2051" s="109" t="s">
        <v>1</v>
      </c>
      <c r="AD2051" s="76"/>
      <c r="AE2051" s="76"/>
      <c r="AF2051" s="76"/>
      <c r="AG2051" s="76"/>
      <c r="AH2051" s="76"/>
      <c r="AI2051" s="76"/>
      <c r="AJ2051" s="76"/>
      <c r="AK2051" s="76"/>
      <c r="AL2051" s="76"/>
      <c r="AM2051" s="76"/>
      <c r="AN2051" s="76"/>
      <c r="AO2051" s="76"/>
      <c r="AP2051" s="76"/>
      <c r="AQ2051" s="76"/>
      <c r="AR2051" s="76"/>
      <c r="AS2051" s="109"/>
      <c r="AT2051" s="109"/>
      <c r="AU2051" s="109"/>
      <c r="AV2051" s="109"/>
      <c r="AW2051" s="109"/>
      <c r="AX2051" s="109"/>
      <c r="AY2051" s="109"/>
      <c r="AZ2051" s="109"/>
      <c r="BA2051" s="109"/>
      <c r="BB2051" s="109"/>
      <c r="BC2051" s="109"/>
      <c r="BD2051" s="109"/>
      <c r="BE2051" s="109"/>
      <c r="BF2051" s="109"/>
      <c r="BG2051" s="109"/>
      <c r="BH2051" s="109"/>
      <c r="BI2051" s="109"/>
      <c r="BJ2051" s="109"/>
      <c r="BK2051" s="76"/>
      <c r="BL2051" s="109"/>
      <c r="BM2051" s="76"/>
      <c r="BN2051" s="109">
        <v>4</v>
      </c>
      <c r="BR2051" s="76"/>
      <c r="BS2051" s="76"/>
      <c r="BT2051" s="76"/>
      <c r="BU2051" s="76"/>
      <c r="BV2051" s="76"/>
      <c r="BW2051" s="76"/>
      <c r="BX2051" s="76"/>
      <c r="BZ2051" s="76"/>
    </row>
    <row r="2052" spans="3:78">
      <c r="C2052" s="136" t="s">
        <v>2248</v>
      </c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Q2052" s="109"/>
      <c r="R2052" s="109"/>
      <c r="S2052" s="216"/>
      <c r="T2052" s="216"/>
      <c r="U2052" s="109"/>
      <c r="V2052" s="109"/>
      <c r="W2052" s="109"/>
      <c r="X2052" s="109" t="s">
        <v>5</v>
      </c>
      <c r="Y2052" s="109"/>
      <c r="Z2052" s="76"/>
      <c r="AA2052" s="76"/>
      <c r="AB2052" s="76"/>
      <c r="AC2052" s="109"/>
      <c r="AD2052" s="76"/>
      <c r="AE2052" s="76"/>
      <c r="AF2052" s="76"/>
      <c r="AG2052" s="76"/>
      <c r="AH2052" s="76"/>
      <c r="AI2052" s="76"/>
      <c r="AJ2052" s="76"/>
      <c r="AK2052" s="76"/>
      <c r="AL2052" s="76"/>
      <c r="AM2052" s="76"/>
      <c r="AN2052" s="76"/>
      <c r="AO2052" s="76"/>
      <c r="AP2052" s="76"/>
      <c r="AQ2052" s="76"/>
      <c r="AR2052" s="76"/>
      <c r="AS2052" s="109"/>
      <c r="AT2052" s="109"/>
      <c r="AU2052" s="109"/>
      <c r="AV2052" s="109"/>
      <c r="AW2052" s="109"/>
      <c r="AX2052" s="109"/>
      <c r="AY2052" s="109"/>
      <c r="AZ2052" s="109"/>
      <c r="BA2052" s="109"/>
      <c r="BB2052" s="109"/>
      <c r="BC2052" s="109"/>
      <c r="BD2052" s="109"/>
      <c r="BE2052" s="109"/>
      <c r="BF2052" s="109"/>
      <c r="BG2052" s="109"/>
      <c r="BH2052" s="109"/>
      <c r="BI2052" s="109"/>
      <c r="BJ2052" s="109"/>
      <c r="BK2052" s="76"/>
      <c r="BL2052" s="109"/>
      <c r="BM2052" s="76"/>
      <c r="BN2052" s="109"/>
      <c r="BR2052" s="76"/>
      <c r="BS2052" s="76"/>
      <c r="BT2052" s="76"/>
      <c r="BU2052" s="76"/>
      <c r="BV2052" s="76"/>
      <c r="BW2052" s="76"/>
      <c r="BX2052" s="76"/>
      <c r="BZ2052" s="76"/>
    </row>
    <row r="2053" spans="3:78">
      <c r="C2053" s="136" t="s">
        <v>2249</v>
      </c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Q2053" s="109"/>
      <c r="R2053" s="109"/>
      <c r="S2053" s="216"/>
      <c r="T2053" s="216"/>
      <c r="U2053" s="109"/>
      <c r="V2053" s="109"/>
      <c r="W2053" s="109"/>
      <c r="X2053" s="109" t="s">
        <v>5</v>
      </c>
      <c r="Y2053" s="109"/>
      <c r="Z2053" s="76"/>
      <c r="AA2053" s="76"/>
      <c r="AB2053" s="76"/>
      <c r="AC2053" s="109"/>
      <c r="AD2053" s="76"/>
      <c r="AE2053" s="76"/>
      <c r="AF2053" s="76"/>
      <c r="AG2053" s="76"/>
      <c r="AH2053" s="76"/>
      <c r="AI2053" s="76"/>
      <c r="AJ2053" s="76"/>
      <c r="AK2053" s="76"/>
      <c r="AL2053" s="76"/>
      <c r="AM2053" s="76"/>
      <c r="AN2053" s="76"/>
      <c r="AO2053" s="76"/>
      <c r="AP2053" s="76"/>
      <c r="AQ2053" s="76"/>
      <c r="AR2053" s="76"/>
      <c r="AS2053" s="109"/>
      <c r="AT2053" s="109"/>
      <c r="AU2053" s="109"/>
      <c r="AV2053" s="109"/>
      <c r="AW2053" s="109"/>
      <c r="AX2053" s="109"/>
      <c r="AY2053" s="109"/>
      <c r="AZ2053" s="109"/>
      <c r="BA2053" s="109"/>
      <c r="BB2053" s="109"/>
      <c r="BC2053" s="109"/>
      <c r="BD2053" s="109"/>
      <c r="BE2053" s="109"/>
      <c r="BF2053" s="109"/>
      <c r="BG2053" s="109"/>
      <c r="BH2053" s="109"/>
      <c r="BI2053" s="109"/>
      <c r="BJ2053" s="109"/>
      <c r="BK2053" s="76"/>
      <c r="BL2053" s="109"/>
      <c r="BM2053" s="76"/>
      <c r="BN2053" s="109"/>
      <c r="BR2053" s="76"/>
      <c r="BS2053" s="76"/>
      <c r="BT2053" s="76"/>
      <c r="BU2053" s="76"/>
      <c r="BV2053" s="76"/>
      <c r="BW2053" s="76"/>
      <c r="BX2053" s="76"/>
      <c r="BZ2053" s="76"/>
    </row>
    <row r="2054" spans="3:78">
      <c r="C2054" s="136" t="s">
        <v>2250</v>
      </c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Q2054" s="109"/>
      <c r="R2054" s="109"/>
      <c r="S2054" s="216"/>
      <c r="T2054" s="216"/>
      <c r="U2054" s="109"/>
      <c r="V2054" s="109"/>
      <c r="W2054" s="109"/>
      <c r="X2054" s="109" t="s">
        <v>5</v>
      </c>
      <c r="Y2054" s="109"/>
      <c r="Z2054" s="76"/>
      <c r="AA2054" s="76"/>
      <c r="AB2054" s="76"/>
      <c r="AC2054" s="109"/>
      <c r="AD2054" s="76"/>
      <c r="AE2054" s="76"/>
      <c r="AF2054" s="76"/>
      <c r="AG2054" s="76"/>
      <c r="AH2054" s="76"/>
      <c r="AI2054" s="76"/>
      <c r="AJ2054" s="76"/>
      <c r="AK2054" s="76"/>
      <c r="AL2054" s="76"/>
      <c r="AM2054" s="76"/>
      <c r="AN2054" s="76"/>
      <c r="AO2054" s="76"/>
      <c r="AP2054" s="76"/>
      <c r="AQ2054" s="76"/>
      <c r="AR2054" s="76"/>
      <c r="AS2054" s="109"/>
      <c r="AT2054" s="109"/>
      <c r="AU2054" s="109"/>
      <c r="AV2054" s="109"/>
      <c r="AW2054" s="109"/>
      <c r="AX2054" s="109"/>
      <c r="AY2054" s="109"/>
      <c r="AZ2054" s="109"/>
      <c r="BA2054" s="109"/>
      <c r="BB2054" s="109"/>
      <c r="BC2054" s="109"/>
      <c r="BD2054" s="109"/>
      <c r="BE2054" s="109"/>
      <c r="BF2054" s="109"/>
      <c r="BG2054" s="109"/>
      <c r="BH2054" s="109"/>
      <c r="BI2054" s="109"/>
      <c r="BJ2054" s="109"/>
      <c r="BK2054" s="76"/>
      <c r="BL2054" s="109"/>
      <c r="BM2054" s="76"/>
      <c r="BN2054" s="109"/>
      <c r="BR2054" s="76"/>
      <c r="BS2054" s="76"/>
      <c r="BT2054" s="76"/>
      <c r="BU2054" s="76"/>
      <c r="BV2054" s="76"/>
      <c r="BW2054" s="76"/>
      <c r="BX2054" s="76"/>
      <c r="BZ2054" s="76"/>
    </row>
    <row r="2055" spans="3:78">
      <c r="C2055" s="136" t="s">
        <v>2251</v>
      </c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Q2055" s="109"/>
      <c r="R2055" s="109"/>
      <c r="S2055" s="216"/>
      <c r="T2055" s="216"/>
      <c r="U2055" s="109"/>
      <c r="V2055" s="109"/>
      <c r="W2055" s="109"/>
      <c r="X2055" s="109" t="s">
        <v>5</v>
      </c>
      <c r="Y2055" s="109"/>
      <c r="Z2055" s="76"/>
      <c r="AA2055" s="76"/>
      <c r="AB2055" s="76"/>
      <c r="AC2055" s="109"/>
      <c r="AD2055" s="76"/>
      <c r="AE2055" s="76"/>
      <c r="AF2055" s="76"/>
      <c r="AG2055" s="76"/>
      <c r="AH2055" s="76"/>
      <c r="AI2055" s="76"/>
      <c r="AJ2055" s="76"/>
      <c r="AK2055" s="76"/>
      <c r="AL2055" s="76"/>
      <c r="AM2055" s="76"/>
      <c r="AN2055" s="76"/>
      <c r="AO2055" s="76"/>
      <c r="AP2055" s="76"/>
      <c r="AQ2055" s="76"/>
      <c r="AR2055" s="76"/>
      <c r="AS2055" s="109"/>
      <c r="AT2055" s="109"/>
      <c r="AU2055" s="109"/>
      <c r="AV2055" s="109"/>
      <c r="AW2055" s="109"/>
      <c r="AX2055" s="109"/>
      <c r="AY2055" s="109"/>
      <c r="AZ2055" s="109"/>
      <c r="BA2055" s="109"/>
      <c r="BB2055" s="109"/>
      <c r="BC2055" s="109"/>
      <c r="BD2055" s="109"/>
      <c r="BE2055" s="109"/>
      <c r="BF2055" s="109"/>
      <c r="BG2055" s="109"/>
      <c r="BH2055" s="109"/>
      <c r="BI2055" s="109"/>
      <c r="BJ2055" s="109"/>
      <c r="BK2055" s="76"/>
      <c r="BL2055" s="109"/>
      <c r="BM2055" s="76"/>
      <c r="BN2055" s="109"/>
      <c r="BR2055" s="76"/>
      <c r="BS2055" s="76"/>
      <c r="BT2055" s="76"/>
      <c r="BU2055" s="76"/>
      <c r="BV2055" s="76"/>
      <c r="BW2055" s="76"/>
      <c r="BX2055" s="76"/>
      <c r="BZ2055" s="76"/>
    </row>
    <row r="2056" spans="3:78">
      <c r="C2056" s="136" t="s">
        <v>2252</v>
      </c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Q2056" s="109"/>
      <c r="R2056" s="109"/>
      <c r="S2056" s="216"/>
      <c r="T2056" s="216"/>
      <c r="U2056" s="109"/>
      <c r="V2056" s="109"/>
      <c r="W2056" s="109"/>
      <c r="X2056" s="109" t="s">
        <v>5</v>
      </c>
      <c r="Y2056" s="109"/>
      <c r="Z2056" s="76"/>
      <c r="AA2056" s="76"/>
      <c r="AB2056" s="76"/>
      <c r="AC2056" s="109"/>
      <c r="AD2056" s="76"/>
      <c r="AE2056" s="76"/>
      <c r="AF2056" s="76"/>
      <c r="AG2056" s="76"/>
      <c r="AH2056" s="76"/>
      <c r="AI2056" s="76"/>
      <c r="AJ2056" s="76"/>
      <c r="AK2056" s="76"/>
      <c r="AL2056" s="76"/>
      <c r="AM2056" s="76"/>
      <c r="AN2056" s="76"/>
      <c r="AO2056" s="76"/>
      <c r="AP2056" s="76"/>
      <c r="AQ2056" s="76"/>
      <c r="AR2056" s="76"/>
      <c r="AS2056" s="109"/>
      <c r="AT2056" s="109"/>
      <c r="AU2056" s="109"/>
      <c r="AV2056" s="109"/>
      <c r="AW2056" s="109"/>
      <c r="AX2056" s="109"/>
      <c r="AY2056" s="109"/>
      <c r="AZ2056" s="109"/>
      <c r="BA2056" s="109"/>
      <c r="BB2056" s="109"/>
      <c r="BC2056" s="109"/>
      <c r="BD2056" s="109"/>
      <c r="BE2056" s="109"/>
      <c r="BF2056" s="109"/>
      <c r="BG2056" s="109"/>
      <c r="BH2056" s="109"/>
      <c r="BI2056" s="109"/>
      <c r="BJ2056" s="109"/>
      <c r="BK2056" s="76"/>
      <c r="BL2056" s="109"/>
      <c r="BM2056" s="76"/>
      <c r="BN2056" s="109"/>
      <c r="BR2056" s="76"/>
      <c r="BS2056" s="76"/>
      <c r="BT2056" s="76"/>
      <c r="BU2056" s="76"/>
      <c r="BV2056" s="76"/>
      <c r="BW2056" s="76"/>
      <c r="BX2056" s="76"/>
      <c r="BZ2056" s="76"/>
    </row>
    <row r="2057" spans="3:78">
      <c r="C2057" s="136" t="s">
        <v>2253</v>
      </c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Q2057" s="109"/>
      <c r="R2057" s="109"/>
      <c r="S2057" s="216"/>
      <c r="T2057" s="216"/>
      <c r="U2057" s="109"/>
      <c r="V2057" s="109"/>
      <c r="W2057" s="109"/>
      <c r="X2057" s="109" t="s">
        <v>5</v>
      </c>
      <c r="Y2057" s="109"/>
      <c r="Z2057" s="76"/>
      <c r="AA2057" s="76"/>
      <c r="AB2057" s="76"/>
      <c r="AC2057" s="109"/>
      <c r="AD2057" s="76"/>
      <c r="AE2057" s="76"/>
      <c r="AF2057" s="76"/>
      <c r="AG2057" s="76"/>
      <c r="AH2057" s="76"/>
      <c r="AI2057" s="76"/>
      <c r="AJ2057" s="76"/>
      <c r="AK2057" s="76"/>
      <c r="AL2057" s="76"/>
      <c r="AM2057" s="76"/>
      <c r="AN2057" s="76"/>
      <c r="AO2057" s="76"/>
      <c r="AP2057" s="76"/>
      <c r="AQ2057" s="76"/>
      <c r="AR2057" s="76"/>
      <c r="AS2057" s="109"/>
      <c r="AT2057" s="109"/>
      <c r="AU2057" s="109"/>
      <c r="AV2057" s="109"/>
      <c r="AW2057" s="109"/>
      <c r="AX2057" s="109"/>
      <c r="AY2057" s="109"/>
      <c r="AZ2057" s="109"/>
      <c r="BA2057" s="109"/>
      <c r="BB2057" s="109"/>
      <c r="BC2057" s="109"/>
      <c r="BD2057" s="109"/>
      <c r="BE2057" s="109"/>
      <c r="BF2057" s="109"/>
      <c r="BG2057" s="109"/>
      <c r="BH2057" s="109"/>
      <c r="BI2057" s="109"/>
      <c r="BJ2057" s="109"/>
      <c r="BK2057" s="76"/>
      <c r="BL2057" s="109"/>
      <c r="BM2057" s="76"/>
      <c r="BN2057" s="109"/>
      <c r="BR2057" s="76"/>
      <c r="BS2057" s="76"/>
      <c r="BT2057" s="76"/>
      <c r="BU2057" s="76"/>
      <c r="BV2057" s="76"/>
      <c r="BW2057" s="76"/>
      <c r="BX2057" s="76"/>
      <c r="BZ2057" s="76"/>
    </row>
    <row r="2058" spans="3:78">
      <c r="C2058" s="136" t="s">
        <v>2254</v>
      </c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Q2058" s="109"/>
      <c r="R2058" s="109"/>
      <c r="S2058" s="216"/>
      <c r="T2058" s="216"/>
      <c r="U2058" s="109"/>
      <c r="V2058" s="109"/>
      <c r="W2058" s="109"/>
      <c r="X2058" s="109" t="s">
        <v>5</v>
      </c>
      <c r="Y2058" s="109"/>
      <c r="Z2058" s="76"/>
      <c r="AA2058" s="76"/>
      <c r="AB2058" s="76"/>
      <c r="AC2058" s="109"/>
      <c r="AD2058" s="76"/>
      <c r="AE2058" s="76"/>
      <c r="AF2058" s="76"/>
      <c r="AG2058" s="76"/>
      <c r="AH2058" s="76"/>
      <c r="AI2058" s="76"/>
      <c r="AJ2058" s="76"/>
      <c r="AK2058" s="76"/>
      <c r="AL2058" s="76"/>
      <c r="AM2058" s="76"/>
      <c r="AN2058" s="76"/>
      <c r="AO2058" s="76"/>
      <c r="AP2058" s="76"/>
      <c r="AQ2058" s="76"/>
      <c r="AR2058" s="76"/>
      <c r="AS2058" s="109"/>
      <c r="AT2058" s="109"/>
      <c r="AU2058" s="109"/>
      <c r="AV2058" s="109"/>
      <c r="AW2058" s="109"/>
      <c r="AX2058" s="109"/>
      <c r="AY2058" s="109"/>
      <c r="AZ2058" s="109"/>
      <c r="BA2058" s="109"/>
      <c r="BB2058" s="109"/>
      <c r="BC2058" s="109"/>
      <c r="BD2058" s="109"/>
      <c r="BE2058" s="109"/>
      <c r="BF2058" s="109"/>
      <c r="BG2058" s="109"/>
      <c r="BH2058" s="109"/>
      <c r="BI2058" s="109"/>
      <c r="BJ2058" s="109"/>
      <c r="BK2058" s="76"/>
      <c r="BL2058" s="109"/>
      <c r="BM2058" s="76"/>
      <c r="BN2058" s="109"/>
      <c r="BR2058" s="76"/>
      <c r="BS2058" s="76"/>
      <c r="BT2058" s="76"/>
      <c r="BU2058" s="76"/>
      <c r="BV2058" s="76"/>
      <c r="BW2058" s="76"/>
      <c r="BX2058" s="76"/>
      <c r="BZ2058" s="76"/>
    </row>
    <row r="2059" spans="3:78">
      <c r="C2059" s="136" t="s">
        <v>2255</v>
      </c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Q2059" s="109"/>
      <c r="R2059" s="109"/>
      <c r="S2059" s="216"/>
      <c r="T2059" s="216"/>
      <c r="U2059" s="109"/>
      <c r="V2059" s="109"/>
      <c r="W2059" s="109"/>
      <c r="X2059" s="109" t="s">
        <v>5</v>
      </c>
      <c r="Y2059" s="109"/>
      <c r="Z2059" s="76"/>
      <c r="AA2059" s="76"/>
      <c r="AB2059" s="76"/>
      <c r="AC2059" s="109"/>
      <c r="AD2059" s="76"/>
      <c r="AE2059" s="76"/>
      <c r="AF2059" s="76"/>
      <c r="AG2059" s="76"/>
      <c r="AH2059" s="76"/>
      <c r="AI2059" s="76"/>
      <c r="AJ2059" s="76"/>
      <c r="AK2059" s="76"/>
      <c r="AL2059" s="76"/>
      <c r="AM2059" s="76"/>
      <c r="AN2059" s="76"/>
      <c r="AO2059" s="76"/>
      <c r="AP2059" s="76"/>
      <c r="AQ2059" s="76"/>
      <c r="AR2059" s="76"/>
      <c r="AS2059" s="109"/>
      <c r="AT2059" s="109"/>
      <c r="AU2059" s="109"/>
      <c r="AV2059" s="109"/>
      <c r="AW2059" s="109"/>
      <c r="AX2059" s="109"/>
      <c r="AY2059" s="109"/>
      <c r="AZ2059" s="109"/>
      <c r="BA2059" s="109"/>
      <c r="BB2059" s="109"/>
      <c r="BC2059" s="109"/>
      <c r="BD2059" s="109"/>
      <c r="BE2059" s="109"/>
      <c r="BF2059" s="109"/>
      <c r="BG2059" s="109"/>
      <c r="BH2059" s="109"/>
      <c r="BI2059" s="109"/>
      <c r="BJ2059" s="109"/>
      <c r="BK2059" s="76"/>
      <c r="BL2059" s="109"/>
      <c r="BM2059" s="76"/>
      <c r="BN2059" s="109"/>
      <c r="BR2059" s="76"/>
      <c r="BS2059" s="76"/>
      <c r="BT2059" s="76"/>
      <c r="BU2059" s="76"/>
      <c r="BV2059" s="76"/>
      <c r="BW2059" s="76"/>
      <c r="BX2059" s="76"/>
      <c r="BZ2059" s="76"/>
    </row>
    <row r="2060" spans="3:78">
      <c r="C2060" s="136" t="s">
        <v>2256</v>
      </c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Q2060" s="109"/>
      <c r="R2060" s="109"/>
      <c r="S2060" s="216"/>
      <c r="T2060" s="216"/>
      <c r="U2060" s="109"/>
      <c r="V2060" s="109"/>
      <c r="W2060" s="109"/>
      <c r="X2060" s="109" t="s">
        <v>5</v>
      </c>
      <c r="Y2060" s="109"/>
      <c r="Z2060" s="76"/>
      <c r="AA2060" s="76"/>
      <c r="AB2060" s="76"/>
      <c r="AC2060" s="109"/>
      <c r="AD2060" s="76"/>
      <c r="AE2060" s="76"/>
      <c r="AF2060" s="76"/>
      <c r="AG2060" s="76"/>
      <c r="AH2060" s="76"/>
      <c r="AI2060" s="76"/>
      <c r="AJ2060" s="76"/>
      <c r="AK2060" s="76"/>
      <c r="AL2060" s="76"/>
      <c r="AM2060" s="76"/>
      <c r="AN2060" s="76"/>
      <c r="AO2060" s="76"/>
      <c r="AP2060" s="76"/>
      <c r="AQ2060" s="76"/>
      <c r="AR2060" s="76"/>
      <c r="AS2060" s="109"/>
      <c r="AT2060" s="109"/>
      <c r="AU2060" s="109"/>
      <c r="AV2060" s="109"/>
      <c r="AW2060" s="109"/>
      <c r="AX2060" s="109"/>
      <c r="AY2060" s="109"/>
      <c r="AZ2060" s="109"/>
      <c r="BA2060" s="109"/>
      <c r="BB2060" s="109"/>
      <c r="BC2060" s="109"/>
      <c r="BD2060" s="109"/>
      <c r="BE2060" s="109"/>
      <c r="BF2060" s="109"/>
      <c r="BG2060" s="109"/>
      <c r="BH2060" s="109"/>
      <c r="BI2060" s="109"/>
      <c r="BJ2060" s="109"/>
      <c r="BK2060" s="76"/>
      <c r="BL2060" s="109"/>
      <c r="BM2060" s="76"/>
      <c r="BN2060" s="109"/>
      <c r="BR2060" s="76"/>
      <c r="BS2060" s="76"/>
      <c r="BT2060" s="76"/>
      <c r="BU2060" s="76"/>
      <c r="BV2060" s="76"/>
      <c r="BW2060" s="76"/>
      <c r="BX2060" s="76"/>
      <c r="BZ2060" s="76"/>
    </row>
    <row r="2061" spans="3:78">
      <c r="C2061" s="136" t="s">
        <v>2257</v>
      </c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Q2061" s="109"/>
      <c r="R2061" s="109"/>
      <c r="S2061" s="216"/>
      <c r="T2061" s="216"/>
      <c r="U2061" s="109"/>
      <c r="V2061" s="109"/>
      <c r="W2061" s="109"/>
      <c r="X2061" s="109" t="s">
        <v>5</v>
      </c>
      <c r="Y2061" s="109"/>
      <c r="Z2061" s="76"/>
      <c r="AA2061" s="76"/>
      <c r="AB2061" s="76"/>
      <c r="AC2061" s="109"/>
      <c r="AD2061" s="76"/>
      <c r="AE2061" s="76"/>
      <c r="AF2061" s="76"/>
      <c r="AG2061" s="76"/>
      <c r="AH2061" s="76"/>
      <c r="AI2061" s="76"/>
      <c r="AJ2061" s="76"/>
      <c r="AK2061" s="76"/>
      <c r="AL2061" s="76"/>
      <c r="AM2061" s="76"/>
      <c r="AN2061" s="76"/>
      <c r="AO2061" s="76"/>
      <c r="AP2061" s="76"/>
      <c r="AQ2061" s="76"/>
      <c r="AR2061" s="76"/>
      <c r="AS2061" s="109"/>
      <c r="AT2061" s="109"/>
      <c r="AU2061" s="109"/>
      <c r="AV2061" s="109"/>
      <c r="AW2061" s="109"/>
      <c r="AX2061" s="109"/>
      <c r="AY2061" s="109"/>
      <c r="AZ2061" s="109"/>
      <c r="BA2061" s="109"/>
      <c r="BB2061" s="109"/>
      <c r="BC2061" s="109"/>
      <c r="BD2061" s="109"/>
      <c r="BE2061" s="109"/>
      <c r="BF2061" s="109"/>
      <c r="BG2061" s="109"/>
      <c r="BH2061" s="109"/>
      <c r="BI2061" s="109"/>
      <c r="BJ2061" s="109"/>
      <c r="BK2061" s="76"/>
      <c r="BL2061" s="109"/>
      <c r="BM2061" s="76"/>
      <c r="BN2061" s="109"/>
      <c r="BR2061" s="76"/>
      <c r="BS2061" s="76"/>
      <c r="BT2061" s="76"/>
      <c r="BU2061" s="76"/>
      <c r="BV2061" s="76"/>
      <c r="BW2061" s="76"/>
      <c r="BX2061" s="76"/>
      <c r="BZ2061" s="76"/>
    </row>
    <row r="2062" spans="3:78">
      <c r="C2062" s="136" t="s">
        <v>2258</v>
      </c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Q2062" s="109"/>
      <c r="R2062" s="109"/>
      <c r="S2062" s="216"/>
      <c r="T2062" s="216"/>
      <c r="U2062" s="109"/>
      <c r="V2062" s="109"/>
      <c r="W2062" s="109"/>
      <c r="X2062" s="109" t="s">
        <v>5</v>
      </c>
      <c r="Y2062" s="109"/>
      <c r="Z2062" s="76"/>
      <c r="AA2062" s="76"/>
      <c r="AB2062" s="76"/>
      <c r="AC2062" s="109"/>
      <c r="AD2062" s="76"/>
      <c r="AE2062" s="76"/>
      <c r="AF2062" s="76"/>
      <c r="AG2062" s="76"/>
      <c r="AH2062" s="76"/>
      <c r="AI2062" s="76"/>
      <c r="AJ2062" s="76"/>
      <c r="AK2062" s="76"/>
      <c r="AL2062" s="76"/>
      <c r="AM2062" s="76"/>
      <c r="AN2062" s="76"/>
      <c r="AO2062" s="76"/>
      <c r="AP2062" s="76"/>
      <c r="AQ2062" s="76"/>
      <c r="AR2062" s="76"/>
      <c r="AS2062" s="109"/>
      <c r="AT2062" s="109"/>
      <c r="AU2062" s="109"/>
      <c r="AV2062" s="109"/>
      <c r="AW2062" s="109"/>
      <c r="AX2062" s="109"/>
      <c r="AY2062" s="109"/>
      <c r="AZ2062" s="109"/>
      <c r="BA2062" s="109"/>
      <c r="BB2062" s="109"/>
      <c r="BC2062" s="109"/>
      <c r="BD2062" s="109"/>
      <c r="BE2062" s="109"/>
      <c r="BF2062" s="109"/>
      <c r="BG2062" s="109"/>
      <c r="BH2062" s="109"/>
      <c r="BI2062" s="109"/>
      <c r="BJ2062" s="109"/>
      <c r="BK2062" s="76"/>
      <c r="BL2062" s="109"/>
      <c r="BM2062" s="76"/>
      <c r="BN2062" s="109"/>
      <c r="BR2062" s="76"/>
      <c r="BS2062" s="76"/>
      <c r="BT2062" s="76"/>
      <c r="BU2062" s="76"/>
      <c r="BV2062" s="76"/>
      <c r="BW2062" s="76"/>
      <c r="BX2062" s="76"/>
      <c r="BZ2062" s="76"/>
    </row>
    <row r="2063" spans="3:78">
      <c r="C2063" s="136" t="s">
        <v>2259</v>
      </c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Q2063" s="109"/>
      <c r="R2063" s="109"/>
      <c r="S2063" s="216"/>
      <c r="T2063" s="216"/>
      <c r="U2063" s="109"/>
      <c r="V2063" s="109"/>
      <c r="W2063" s="109"/>
      <c r="X2063" s="109" t="s">
        <v>5</v>
      </c>
      <c r="Y2063" s="109"/>
      <c r="Z2063" s="76"/>
      <c r="AA2063" s="76"/>
      <c r="AB2063" s="76"/>
      <c r="AC2063" s="109"/>
      <c r="AD2063" s="76"/>
      <c r="AE2063" s="76"/>
      <c r="AF2063" s="76"/>
      <c r="AG2063" s="76"/>
      <c r="AH2063" s="76"/>
      <c r="AI2063" s="76"/>
      <c r="AJ2063" s="76"/>
      <c r="AK2063" s="76"/>
      <c r="AL2063" s="76"/>
      <c r="AM2063" s="76"/>
      <c r="AN2063" s="76"/>
      <c r="AO2063" s="76"/>
      <c r="AP2063" s="76"/>
      <c r="AQ2063" s="76"/>
      <c r="AR2063" s="76"/>
      <c r="AS2063" s="109"/>
      <c r="AT2063" s="109"/>
      <c r="AU2063" s="109"/>
      <c r="AV2063" s="109"/>
      <c r="AW2063" s="109"/>
      <c r="AX2063" s="109"/>
      <c r="AY2063" s="109"/>
      <c r="AZ2063" s="109"/>
      <c r="BA2063" s="109"/>
      <c r="BB2063" s="109"/>
      <c r="BC2063" s="109"/>
      <c r="BD2063" s="109"/>
      <c r="BE2063" s="109"/>
      <c r="BF2063" s="109"/>
      <c r="BG2063" s="109"/>
      <c r="BH2063" s="109"/>
      <c r="BI2063" s="109"/>
      <c r="BJ2063" s="109"/>
      <c r="BK2063" s="76"/>
      <c r="BL2063" s="109"/>
      <c r="BM2063" s="76"/>
      <c r="BN2063" s="109"/>
      <c r="BR2063" s="76"/>
      <c r="BS2063" s="76"/>
      <c r="BT2063" s="76"/>
      <c r="BU2063" s="76"/>
      <c r="BV2063" s="76"/>
      <c r="BW2063" s="76"/>
      <c r="BX2063" s="76"/>
      <c r="BZ2063" s="76"/>
    </row>
    <row r="2064" spans="3:78">
      <c r="C2064" s="136" t="s">
        <v>2260</v>
      </c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Q2064" s="109"/>
      <c r="R2064" s="109"/>
      <c r="S2064" s="216"/>
      <c r="T2064" s="216"/>
      <c r="U2064" s="109"/>
      <c r="V2064" s="109"/>
      <c r="W2064" s="109"/>
      <c r="X2064" s="109" t="s">
        <v>5</v>
      </c>
      <c r="Y2064" s="109"/>
      <c r="Z2064" s="76"/>
      <c r="AA2064" s="76"/>
      <c r="AB2064" s="76"/>
      <c r="AC2064" s="109"/>
      <c r="AD2064" s="76"/>
      <c r="AE2064" s="76"/>
      <c r="AF2064" s="76"/>
      <c r="AG2064" s="76"/>
      <c r="AH2064" s="76"/>
      <c r="AI2064" s="76"/>
      <c r="AJ2064" s="76"/>
      <c r="AK2064" s="76"/>
      <c r="AL2064" s="76"/>
      <c r="AM2064" s="76"/>
      <c r="AN2064" s="76"/>
      <c r="AO2064" s="76"/>
      <c r="AP2064" s="76"/>
      <c r="AQ2064" s="76"/>
      <c r="AR2064" s="76"/>
      <c r="AS2064" s="109"/>
      <c r="AT2064" s="109"/>
      <c r="AU2064" s="109"/>
      <c r="AV2064" s="109"/>
      <c r="AW2064" s="109"/>
      <c r="AX2064" s="109"/>
      <c r="AY2064" s="109"/>
      <c r="AZ2064" s="109"/>
      <c r="BA2064" s="109"/>
      <c r="BB2064" s="109"/>
      <c r="BC2064" s="109"/>
      <c r="BD2064" s="109"/>
      <c r="BE2064" s="109"/>
      <c r="BF2064" s="109"/>
      <c r="BG2064" s="109"/>
      <c r="BH2064" s="109"/>
      <c r="BI2064" s="109"/>
      <c r="BJ2064" s="109"/>
      <c r="BK2064" s="76"/>
      <c r="BL2064" s="109"/>
      <c r="BM2064" s="76"/>
      <c r="BN2064" s="109"/>
      <c r="BR2064" s="76"/>
      <c r="BS2064" s="76"/>
      <c r="BT2064" s="76"/>
      <c r="BU2064" s="76"/>
      <c r="BV2064" s="76"/>
      <c r="BW2064" s="76"/>
      <c r="BX2064" s="76"/>
      <c r="BZ2064" s="76"/>
    </row>
    <row r="2065" spans="3:78">
      <c r="C2065" s="136" t="s">
        <v>2261</v>
      </c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Q2065" s="109"/>
      <c r="R2065" s="109"/>
      <c r="S2065" s="216"/>
      <c r="T2065" s="216"/>
      <c r="U2065" s="109"/>
      <c r="V2065" s="109"/>
      <c r="W2065" s="109"/>
      <c r="X2065" s="109" t="s">
        <v>5</v>
      </c>
      <c r="Y2065" s="109"/>
      <c r="Z2065" s="76"/>
      <c r="AA2065" s="76"/>
      <c r="AB2065" s="76"/>
      <c r="AC2065" s="109"/>
      <c r="AD2065" s="76"/>
      <c r="AE2065" s="76"/>
      <c r="AF2065" s="76"/>
      <c r="AG2065" s="76"/>
      <c r="AH2065" s="76"/>
      <c r="AI2065" s="76"/>
      <c r="AJ2065" s="76"/>
      <c r="AK2065" s="76"/>
      <c r="AL2065" s="76"/>
      <c r="AM2065" s="76"/>
      <c r="AN2065" s="76"/>
      <c r="AO2065" s="76"/>
      <c r="AP2065" s="76"/>
      <c r="AQ2065" s="76"/>
      <c r="AR2065" s="76"/>
      <c r="AS2065" s="109"/>
      <c r="AT2065" s="109"/>
      <c r="AU2065" s="109"/>
      <c r="AV2065" s="109"/>
      <c r="AW2065" s="109"/>
      <c r="AX2065" s="109"/>
      <c r="AY2065" s="109"/>
      <c r="AZ2065" s="109"/>
      <c r="BA2065" s="109"/>
      <c r="BB2065" s="109"/>
      <c r="BC2065" s="109"/>
      <c r="BD2065" s="109"/>
      <c r="BE2065" s="109"/>
      <c r="BF2065" s="109"/>
      <c r="BG2065" s="109"/>
      <c r="BH2065" s="109"/>
      <c r="BI2065" s="109"/>
      <c r="BJ2065" s="109"/>
      <c r="BK2065" s="76"/>
      <c r="BL2065" s="109"/>
      <c r="BM2065" s="76"/>
      <c r="BN2065" s="109"/>
      <c r="BR2065" s="76"/>
      <c r="BS2065" s="76"/>
      <c r="BT2065" s="76"/>
      <c r="BU2065" s="76"/>
      <c r="BV2065" s="76"/>
      <c r="BW2065" s="76"/>
      <c r="BX2065" s="76"/>
      <c r="BZ2065" s="76"/>
    </row>
    <row r="2066" spans="3:78">
      <c r="C2066" s="136" t="s">
        <v>2262</v>
      </c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Q2066" s="109"/>
      <c r="R2066" s="109"/>
      <c r="S2066" s="216"/>
      <c r="T2066" s="216"/>
      <c r="U2066" s="109"/>
      <c r="V2066" s="109"/>
      <c r="W2066" s="109"/>
      <c r="X2066" s="109" t="s">
        <v>5</v>
      </c>
      <c r="Y2066" s="109"/>
      <c r="Z2066" s="76"/>
      <c r="AA2066" s="76"/>
      <c r="AB2066" s="76"/>
      <c r="AC2066" s="109"/>
      <c r="AD2066" s="76"/>
      <c r="AE2066" s="76"/>
      <c r="AF2066" s="76"/>
      <c r="AG2066" s="76"/>
      <c r="AH2066" s="76"/>
      <c r="AI2066" s="76"/>
      <c r="AJ2066" s="76"/>
      <c r="AK2066" s="76"/>
      <c r="AL2066" s="76"/>
      <c r="AM2066" s="76"/>
      <c r="AN2066" s="76"/>
      <c r="AO2066" s="76"/>
      <c r="AP2066" s="76"/>
      <c r="AQ2066" s="76"/>
      <c r="AR2066" s="76"/>
      <c r="AS2066" s="109"/>
      <c r="AT2066" s="109"/>
      <c r="AU2066" s="109"/>
      <c r="AV2066" s="109"/>
      <c r="AW2066" s="109"/>
      <c r="AX2066" s="109"/>
      <c r="AY2066" s="109"/>
      <c r="AZ2066" s="109"/>
      <c r="BA2066" s="109"/>
      <c r="BB2066" s="109"/>
      <c r="BC2066" s="109"/>
      <c r="BD2066" s="109"/>
      <c r="BE2066" s="109"/>
      <c r="BF2066" s="109"/>
      <c r="BG2066" s="109"/>
      <c r="BH2066" s="109"/>
      <c r="BI2066" s="109"/>
      <c r="BJ2066" s="109"/>
      <c r="BK2066" s="76"/>
      <c r="BL2066" s="109"/>
      <c r="BM2066" s="76"/>
      <c r="BN2066" s="109"/>
      <c r="BR2066" s="76"/>
      <c r="BS2066" s="76"/>
      <c r="BT2066" s="76"/>
      <c r="BU2066" s="76"/>
      <c r="BV2066" s="76"/>
      <c r="BW2066" s="76"/>
      <c r="BX2066" s="76"/>
      <c r="BZ2066" s="76"/>
    </row>
    <row r="2067" spans="3:78">
      <c r="C2067" s="136" t="s">
        <v>2263</v>
      </c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Q2067" s="109"/>
      <c r="R2067" s="109"/>
      <c r="S2067" s="216"/>
      <c r="T2067" s="216"/>
      <c r="U2067" s="109"/>
      <c r="V2067" s="109"/>
      <c r="W2067" s="109"/>
      <c r="X2067" s="109" t="s">
        <v>5</v>
      </c>
      <c r="Y2067" s="109"/>
      <c r="Z2067" s="76"/>
      <c r="AA2067" s="76"/>
      <c r="AB2067" s="76"/>
      <c r="AC2067" s="109"/>
      <c r="AD2067" s="76"/>
      <c r="AE2067" s="76"/>
      <c r="AF2067" s="76"/>
      <c r="AG2067" s="76"/>
      <c r="AH2067" s="76"/>
      <c r="AI2067" s="76"/>
      <c r="AJ2067" s="76"/>
      <c r="AK2067" s="76"/>
      <c r="AL2067" s="76"/>
      <c r="AM2067" s="76"/>
      <c r="AN2067" s="76"/>
      <c r="AO2067" s="76"/>
      <c r="AP2067" s="76"/>
      <c r="AQ2067" s="76"/>
      <c r="AR2067" s="76"/>
      <c r="AS2067" s="109"/>
      <c r="AT2067" s="109"/>
      <c r="AU2067" s="109"/>
      <c r="AV2067" s="109"/>
      <c r="AW2067" s="109"/>
      <c r="AX2067" s="109"/>
      <c r="AY2067" s="109"/>
      <c r="AZ2067" s="109"/>
      <c r="BA2067" s="109"/>
      <c r="BB2067" s="109"/>
      <c r="BC2067" s="109"/>
      <c r="BD2067" s="109"/>
      <c r="BE2067" s="109"/>
      <c r="BF2067" s="109"/>
      <c r="BG2067" s="109"/>
      <c r="BH2067" s="109"/>
      <c r="BI2067" s="109"/>
      <c r="BJ2067" s="109"/>
      <c r="BK2067" s="76"/>
      <c r="BL2067" s="109"/>
      <c r="BM2067" s="76"/>
      <c r="BN2067" s="109"/>
      <c r="BR2067" s="76"/>
      <c r="BS2067" s="76"/>
      <c r="BT2067" s="76"/>
      <c r="BU2067" s="76"/>
      <c r="BV2067" s="76"/>
      <c r="BW2067" s="76"/>
      <c r="BX2067" s="76"/>
      <c r="BZ2067" s="76"/>
    </row>
    <row r="2068" spans="3:78">
      <c r="C2068" s="136" t="s">
        <v>2264</v>
      </c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Q2068" s="109"/>
      <c r="R2068" s="109"/>
      <c r="S2068" s="216"/>
      <c r="T2068" s="216"/>
      <c r="U2068" s="109"/>
      <c r="V2068" s="109"/>
      <c r="W2068" s="109"/>
      <c r="X2068" s="109" t="s">
        <v>5</v>
      </c>
      <c r="Y2068" s="109"/>
      <c r="Z2068" s="76"/>
      <c r="AA2068" s="76"/>
      <c r="AB2068" s="76"/>
      <c r="AC2068" s="109"/>
      <c r="AD2068" s="76"/>
      <c r="AE2068" s="76"/>
      <c r="AF2068" s="76"/>
      <c r="AG2068" s="76"/>
      <c r="AH2068" s="76"/>
      <c r="AI2068" s="76"/>
      <c r="AJ2068" s="76"/>
      <c r="AK2068" s="76"/>
      <c r="AL2068" s="76"/>
      <c r="AM2068" s="76"/>
      <c r="AN2068" s="76"/>
      <c r="AO2068" s="76"/>
      <c r="AP2068" s="76"/>
      <c r="AQ2068" s="76"/>
      <c r="AR2068" s="76"/>
      <c r="AS2068" s="109"/>
      <c r="AT2068" s="109"/>
      <c r="AU2068" s="109"/>
      <c r="AV2068" s="109"/>
      <c r="AW2068" s="109"/>
      <c r="AX2068" s="109"/>
      <c r="AY2068" s="109"/>
      <c r="AZ2068" s="109"/>
      <c r="BA2068" s="109"/>
      <c r="BB2068" s="109"/>
      <c r="BC2068" s="109"/>
      <c r="BD2068" s="109"/>
      <c r="BE2068" s="109"/>
      <c r="BF2068" s="109"/>
      <c r="BG2068" s="109"/>
      <c r="BH2068" s="109"/>
      <c r="BI2068" s="109"/>
      <c r="BJ2068" s="109"/>
      <c r="BK2068" s="76"/>
      <c r="BL2068" s="109"/>
      <c r="BM2068" s="76"/>
      <c r="BN2068" s="109"/>
      <c r="BR2068" s="76"/>
      <c r="BS2068" s="76"/>
      <c r="BT2068" s="76"/>
      <c r="BU2068" s="76"/>
      <c r="BV2068" s="76"/>
      <c r="BW2068" s="76"/>
      <c r="BX2068" s="76"/>
      <c r="BZ2068" s="76"/>
    </row>
    <row r="2069" spans="3:78">
      <c r="C2069" s="136" t="s">
        <v>2265</v>
      </c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Q2069" s="109"/>
      <c r="R2069" s="109"/>
      <c r="S2069" s="216"/>
      <c r="T2069" s="216"/>
      <c r="U2069" s="109"/>
      <c r="V2069" s="109"/>
      <c r="W2069" s="109"/>
      <c r="X2069" s="109" t="s">
        <v>5</v>
      </c>
      <c r="Y2069" s="109"/>
      <c r="Z2069" s="76"/>
      <c r="AA2069" s="76"/>
      <c r="AB2069" s="76"/>
      <c r="AC2069" s="109"/>
      <c r="AD2069" s="76"/>
      <c r="AE2069" s="76"/>
      <c r="AF2069" s="76"/>
      <c r="AG2069" s="76"/>
      <c r="AH2069" s="76"/>
      <c r="AI2069" s="76"/>
      <c r="AJ2069" s="76"/>
      <c r="AK2069" s="76"/>
      <c r="AL2069" s="76"/>
      <c r="AM2069" s="76"/>
      <c r="AN2069" s="76"/>
      <c r="AO2069" s="76"/>
      <c r="AP2069" s="76"/>
      <c r="AQ2069" s="76"/>
      <c r="AR2069" s="76"/>
      <c r="AS2069" s="109"/>
      <c r="AT2069" s="109"/>
      <c r="AU2069" s="109"/>
      <c r="AV2069" s="109"/>
      <c r="AW2069" s="109"/>
      <c r="AX2069" s="109"/>
      <c r="AY2069" s="109"/>
      <c r="AZ2069" s="109"/>
      <c r="BA2069" s="109"/>
      <c r="BB2069" s="109"/>
      <c r="BC2069" s="109"/>
      <c r="BD2069" s="109"/>
      <c r="BE2069" s="109"/>
      <c r="BF2069" s="109"/>
      <c r="BG2069" s="109"/>
      <c r="BH2069" s="109"/>
      <c r="BI2069" s="109"/>
      <c r="BJ2069" s="109"/>
      <c r="BK2069" s="76"/>
      <c r="BL2069" s="109"/>
      <c r="BM2069" s="76"/>
      <c r="BN2069" s="109"/>
      <c r="BR2069" s="76"/>
      <c r="BS2069" s="76"/>
      <c r="BT2069" s="76"/>
      <c r="BU2069" s="76"/>
      <c r="BV2069" s="76"/>
      <c r="BW2069" s="76"/>
      <c r="BX2069" s="76"/>
      <c r="BZ2069" s="76"/>
    </row>
    <row r="2070" spans="3:78">
      <c r="C2070" s="136" t="s">
        <v>2266</v>
      </c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Q2070" s="109"/>
      <c r="R2070" s="109"/>
      <c r="S2070" s="216"/>
      <c r="T2070" s="216"/>
      <c r="U2070" s="109"/>
      <c r="V2070" s="109"/>
      <c r="W2070" s="109"/>
      <c r="X2070" s="109" t="s">
        <v>5</v>
      </c>
      <c r="Y2070" s="109"/>
      <c r="Z2070" s="76"/>
      <c r="AA2070" s="76"/>
      <c r="AB2070" s="76"/>
      <c r="AC2070" s="109"/>
      <c r="AD2070" s="76"/>
      <c r="AE2070" s="76"/>
      <c r="AF2070" s="76"/>
      <c r="AG2070" s="76"/>
      <c r="AH2070" s="76"/>
      <c r="AI2070" s="76"/>
      <c r="AJ2070" s="76"/>
      <c r="AK2070" s="76"/>
      <c r="AL2070" s="76"/>
      <c r="AM2070" s="76"/>
      <c r="AN2070" s="76"/>
      <c r="AO2070" s="76"/>
      <c r="AP2070" s="76"/>
      <c r="AQ2070" s="76"/>
      <c r="AR2070" s="76"/>
      <c r="AS2070" s="109"/>
      <c r="AT2070" s="109"/>
      <c r="AU2070" s="109"/>
      <c r="AV2070" s="109"/>
      <c r="AW2070" s="109"/>
      <c r="AX2070" s="109"/>
      <c r="AY2070" s="109"/>
      <c r="AZ2070" s="109"/>
      <c r="BA2070" s="109"/>
      <c r="BB2070" s="109"/>
      <c r="BC2070" s="109"/>
      <c r="BD2070" s="109"/>
      <c r="BE2070" s="109"/>
      <c r="BF2070" s="109"/>
      <c r="BG2070" s="109"/>
      <c r="BH2070" s="109"/>
      <c r="BI2070" s="109"/>
      <c r="BJ2070" s="109"/>
      <c r="BK2070" s="76"/>
      <c r="BL2070" s="109"/>
      <c r="BM2070" s="76"/>
      <c r="BN2070" s="109"/>
      <c r="BR2070" s="76"/>
      <c r="BS2070" s="76"/>
      <c r="BT2070" s="76"/>
      <c r="BU2070" s="76"/>
      <c r="BV2070" s="76"/>
      <c r="BW2070" s="76"/>
      <c r="BX2070" s="76"/>
      <c r="BZ2070" s="76"/>
    </row>
    <row r="2071" spans="3:78" ht="27">
      <c r="C2071" s="136" t="s">
        <v>2267</v>
      </c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Q2071" s="109"/>
      <c r="R2071" s="109"/>
      <c r="S2071" s="216"/>
      <c r="T2071" s="216"/>
      <c r="U2071" s="109"/>
      <c r="V2071" s="109"/>
      <c r="W2071" s="109"/>
      <c r="X2071" s="109" t="s">
        <v>5</v>
      </c>
      <c r="Y2071" s="109"/>
      <c r="Z2071" s="76"/>
      <c r="AA2071" s="76"/>
      <c r="AB2071" s="76"/>
      <c r="AC2071" s="109"/>
      <c r="AD2071" s="76"/>
      <c r="AE2071" s="76"/>
      <c r="AF2071" s="76"/>
      <c r="AG2071" s="76"/>
      <c r="AH2071" s="76"/>
      <c r="AI2071" s="76"/>
      <c r="AJ2071" s="76"/>
      <c r="AK2071" s="76"/>
      <c r="AL2071" s="76"/>
      <c r="AM2071" s="76"/>
      <c r="AN2071" s="76"/>
      <c r="AO2071" s="76"/>
      <c r="AP2071" s="76"/>
      <c r="AQ2071" s="76"/>
      <c r="AR2071" s="76"/>
      <c r="AS2071" s="109"/>
      <c r="AT2071" s="109"/>
      <c r="AU2071" s="109"/>
      <c r="AV2071" s="109"/>
      <c r="AW2071" s="109"/>
      <c r="AX2071" s="109"/>
      <c r="AY2071" s="109"/>
      <c r="AZ2071" s="109"/>
      <c r="BA2071" s="109"/>
      <c r="BB2071" s="109"/>
      <c r="BC2071" s="109"/>
      <c r="BD2071" s="109"/>
      <c r="BE2071" s="109"/>
      <c r="BF2071" s="109"/>
      <c r="BG2071" s="109"/>
      <c r="BH2071" s="109"/>
      <c r="BI2071" s="109"/>
      <c r="BJ2071" s="109"/>
      <c r="BK2071" s="76"/>
      <c r="BL2071" s="109"/>
      <c r="BM2071" s="76"/>
      <c r="BN2071" s="109"/>
      <c r="BR2071" s="76"/>
      <c r="BS2071" s="76"/>
      <c r="BT2071" s="76"/>
      <c r="BU2071" s="76"/>
      <c r="BV2071" s="76"/>
      <c r="BW2071" s="76"/>
      <c r="BX2071" s="76"/>
      <c r="BZ2071" s="76"/>
    </row>
    <row r="2072" spans="3:78">
      <c r="C2072" s="136" t="s">
        <v>2268</v>
      </c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Q2072" s="109"/>
      <c r="R2072" s="109"/>
      <c r="S2072" s="216"/>
      <c r="T2072" s="216"/>
      <c r="U2072" s="109"/>
      <c r="V2072" s="109"/>
      <c r="W2072" s="109"/>
      <c r="X2072" s="109" t="s">
        <v>5</v>
      </c>
      <c r="Y2072" s="109"/>
      <c r="Z2072" s="76"/>
      <c r="AA2072" s="76"/>
      <c r="AB2072" s="76"/>
      <c r="AC2072" s="109"/>
      <c r="AD2072" s="76"/>
      <c r="AE2072" s="76"/>
      <c r="AF2072" s="76"/>
      <c r="AG2072" s="76"/>
      <c r="AH2072" s="76"/>
      <c r="AI2072" s="76"/>
      <c r="AJ2072" s="76"/>
      <c r="AK2072" s="76"/>
      <c r="AL2072" s="76"/>
      <c r="AM2072" s="76"/>
      <c r="AN2072" s="76"/>
      <c r="AO2072" s="76"/>
      <c r="AP2072" s="76"/>
      <c r="AQ2072" s="76"/>
      <c r="AR2072" s="76"/>
      <c r="AS2072" s="109"/>
      <c r="AT2072" s="109"/>
      <c r="AU2072" s="109"/>
      <c r="AV2072" s="109"/>
      <c r="AW2072" s="109"/>
      <c r="AX2072" s="109"/>
      <c r="AY2072" s="109"/>
      <c r="AZ2072" s="109"/>
      <c r="BA2072" s="109"/>
      <c r="BB2072" s="109"/>
      <c r="BC2072" s="109"/>
      <c r="BD2072" s="109"/>
      <c r="BE2072" s="109"/>
      <c r="BF2072" s="109"/>
      <c r="BG2072" s="109"/>
      <c r="BH2072" s="109"/>
      <c r="BI2072" s="109"/>
      <c r="BJ2072" s="109"/>
      <c r="BK2072" s="76"/>
      <c r="BL2072" s="109"/>
      <c r="BM2072" s="76"/>
      <c r="BN2072" s="109"/>
      <c r="BR2072" s="76"/>
      <c r="BS2072" s="76"/>
      <c r="BT2072" s="76"/>
      <c r="BU2072" s="76"/>
      <c r="BV2072" s="76"/>
      <c r="BW2072" s="76"/>
      <c r="BX2072" s="76"/>
      <c r="BZ2072" s="76"/>
    </row>
    <row r="2073" spans="3:78">
      <c r="C2073" s="136" t="s">
        <v>2269</v>
      </c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Q2073" s="109"/>
      <c r="R2073" s="109"/>
      <c r="S2073" s="216"/>
      <c r="T2073" s="216"/>
      <c r="U2073" s="109"/>
      <c r="V2073" s="109"/>
      <c r="W2073" s="109"/>
      <c r="X2073" s="109" t="s">
        <v>5</v>
      </c>
      <c r="Y2073" s="109"/>
      <c r="Z2073" s="76"/>
      <c r="AA2073" s="76"/>
      <c r="AB2073" s="76"/>
      <c r="AC2073" s="109"/>
      <c r="AD2073" s="76"/>
      <c r="AE2073" s="76"/>
      <c r="AF2073" s="76"/>
      <c r="AG2073" s="76"/>
      <c r="AH2073" s="76"/>
      <c r="AI2073" s="76"/>
      <c r="AJ2073" s="76"/>
      <c r="AK2073" s="76"/>
      <c r="AL2073" s="76"/>
      <c r="AM2073" s="76"/>
      <c r="AN2073" s="76"/>
      <c r="AO2073" s="76"/>
      <c r="AP2073" s="76"/>
      <c r="AQ2073" s="76"/>
      <c r="AR2073" s="76"/>
      <c r="AS2073" s="109"/>
      <c r="AT2073" s="109"/>
      <c r="AU2073" s="109"/>
      <c r="AV2073" s="109"/>
      <c r="AW2073" s="109"/>
      <c r="AX2073" s="109"/>
      <c r="AY2073" s="109"/>
      <c r="AZ2073" s="109"/>
      <c r="BA2073" s="109"/>
      <c r="BB2073" s="109"/>
      <c r="BC2073" s="109"/>
      <c r="BD2073" s="109"/>
      <c r="BE2073" s="109"/>
      <c r="BF2073" s="109"/>
      <c r="BG2073" s="109"/>
      <c r="BH2073" s="109"/>
      <c r="BI2073" s="109"/>
      <c r="BJ2073" s="109"/>
      <c r="BK2073" s="76"/>
      <c r="BL2073" s="109"/>
      <c r="BM2073" s="76"/>
      <c r="BN2073" s="109"/>
      <c r="BR2073" s="76"/>
      <c r="BS2073" s="76"/>
      <c r="BT2073" s="76"/>
      <c r="BU2073" s="76"/>
      <c r="BV2073" s="76"/>
      <c r="BW2073" s="76"/>
      <c r="BX2073" s="76"/>
      <c r="BZ2073" s="76"/>
    </row>
    <row r="2074" spans="3:78">
      <c r="C2074" s="136" t="s">
        <v>2270</v>
      </c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Q2074" s="109"/>
      <c r="R2074" s="109"/>
      <c r="S2074" s="216"/>
      <c r="T2074" s="216"/>
      <c r="U2074" s="109"/>
      <c r="V2074" s="109"/>
      <c r="W2074" s="109"/>
      <c r="X2074" s="109" t="s">
        <v>5</v>
      </c>
      <c r="Y2074" s="109"/>
      <c r="Z2074" s="76"/>
      <c r="AA2074" s="76"/>
      <c r="AB2074" s="76"/>
      <c r="AC2074" s="109"/>
      <c r="AD2074" s="76"/>
      <c r="AE2074" s="76"/>
      <c r="AF2074" s="76"/>
      <c r="AG2074" s="76"/>
      <c r="AH2074" s="76"/>
      <c r="AI2074" s="76"/>
      <c r="AJ2074" s="76"/>
      <c r="AK2074" s="76"/>
      <c r="AL2074" s="76"/>
      <c r="AM2074" s="76"/>
      <c r="AN2074" s="76"/>
      <c r="AO2074" s="76"/>
      <c r="AP2074" s="76"/>
      <c r="AQ2074" s="76"/>
      <c r="AR2074" s="76"/>
      <c r="AS2074" s="109"/>
      <c r="AT2074" s="109"/>
      <c r="AU2074" s="109"/>
      <c r="AV2074" s="109"/>
      <c r="AW2074" s="109"/>
      <c r="AX2074" s="109"/>
      <c r="AY2074" s="109"/>
      <c r="AZ2074" s="109"/>
      <c r="BA2074" s="109"/>
      <c r="BB2074" s="109"/>
      <c r="BC2074" s="109"/>
      <c r="BD2074" s="109"/>
      <c r="BE2074" s="109"/>
      <c r="BF2074" s="109"/>
      <c r="BG2074" s="109"/>
      <c r="BH2074" s="109"/>
      <c r="BI2074" s="109"/>
      <c r="BJ2074" s="109"/>
      <c r="BK2074" s="76"/>
      <c r="BL2074" s="109"/>
      <c r="BM2074" s="76"/>
      <c r="BN2074" s="109"/>
      <c r="BR2074" s="76"/>
      <c r="BS2074" s="76"/>
      <c r="BT2074" s="76"/>
      <c r="BU2074" s="76"/>
      <c r="BV2074" s="76"/>
      <c r="BW2074" s="76"/>
      <c r="BX2074" s="76"/>
      <c r="BZ2074" s="76"/>
    </row>
    <row r="2075" spans="3:78" ht="40.5">
      <c r="C2075" s="136" t="s">
        <v>2271</v>
      </c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Q2075" s="109"/>
      <c r="R2075" s="109"/>
      <c r="S2075" s="216"/>
      <c r="T2075" s="216"/>
      <c r="U2075" s="109"/>
      <c r="V2075" s="109"/>
      <c r="W2075" s="109"/>
      <c r="X2075" s="109" t="s">
        <v>5</v>
      </c>
      <c r="Y2075" s="109"/>
      <c r="Z2075" s="76"/>
      <c r="AA2075" s="76"/>
      <c r="AB2075" s="76"/>
      <c r="AC2075" s="109"/>
      <c r="AD2075" s="76"/>
      <c r="AE2075" s="76"/>
      <c r="AF2075" s="76"/>
      <c r="AG2075" s="76"/>
      <c r="AH2075" s="76"/>
      <c r="AI2075" s="76"/>
      <c r="AJ2075" s="76"/>
      <c r="AK2075" s="76"/>
      <c r="AL2075" s="76"/>
      <c r="AM2075" s="76"/>
      <c r="AN2075" s="76"/>
      <c r="AO2075" s="76"/>
      <c r="AP2075" s="76"/>
      <c r="AQ2075" s="76"/>
      <c r="AR2075" s="76"/>
      <c r="AS2075" s="109"/>
      <c r="AT2075" s="109"/>
      <c r="AU2075" s="109"/>
      <c r="AV2075" s="109"/>
      <c r="AW2075" s="109"/>
      <c r="AX2075" s="109"/>
      <c r="AY2075" s="109"/>
      <c r="AZ2075" s="109"/>
      <c r="BA2075" s="109"/>
      <c r="BB2075" s="109"/>
      <c r="BC2075" s="109"/>
      <c r="BD2075" s="109"/>
      <c r="BE2075" s="109"/>
      <c r="BF2075" s="109"/>
      <c r="BG2075" s="109"/>
      <c r="BH2075" s="109"/>
      <c r="BI2075" s="109"/>
      <c r="BJ2075" s="109"/>
      <c r="BK2075" s="76"/>
      <c r="BL2075" s="109"/>
      <c r="BM2075" s="76"/>
      <c r="BN2075" s="109"/>
      <c r="BR2075" s="76"/>
      <c r="BS2075" s="76"/>
      <c r="BT2075" s="76"/>
      <c r="BU2075" s="76"/>
      <c r="BV2075" s="76"/>
      <c r="BW2075" s="76"/>
      <c r="BX2075" s="76"/>
      <c r="BZ2075" s="76"/>
    </row>
    <row r="2076" spans="3:78" ht="27">
      <c r="C2076" s="136" t="s">
        <v>2272</v>
      </c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Q2076" s="109"/>
      <c r="R2076" s="109"/>
      <c r="S2076" s="216"/>
      <c r="T2076" s="216"/>
      <c r="U2076" s="109"/>
      <c r="V2076" s="109"/>
      <c r="W2076" s="109"/>
      <c r="X2076" s="109" t="s">
        <v>5</v>
      </c>
      <c r="Y2076" s="109"/>
      <c r="Z2076" s="76"/>
      <c r="AA2076" s="76"/>
      <c r="AB2076" s="76"/>
      <c r="AC2076" s="109"/>
      <c r="AD2076" s="76"/>
      <c r="AE2076" s="76"/>
      <c r="AF2076" s="76"/>
      <c r="AG2076" s="76"/>
      <c r="AH2076" s="76"/>
      <c r="AI2076" s="76"/>
      <c r="AJ2076" s="76"/>
      <c r="AK2076" s="76"/>
      <c r="AL2076" s="76"/>
      <c r="AM2076" s="76"/>
      <c r="AN2076" s="76"/>
      <c r="AO2076" s="76"/>
      <c r="AP2076" s="76"/>
      <c r="AQ2076" s="76"/>
      <c r="AR2076" s="76"/>
      <c r="AS2076" s="109"/>
      <c r="AT2076" s="109"/>
      <c r="AU2076" s="109"/>
      <c r="AV2076" s="109"/>
      <c r="AW2076" s="109"/>
      <c r="AX2076" s="109"/>
      <c r="AY2076" s="109"/>
      <c r="AZ2076" s="109"/>
      <c r="BA2076" s="109"/>
      <c r="BB2076" s="109"/>
      <c r="BC2076" s="109"/>
      <c r="BD2076" s="109"/>
      <c r="BE2076" s="109"/>
      <c r="BF2076" s="109"/>
      <c r="BG2076" s="109"/>
      <c r="BH2076" s="109"/>
      <c r="BI2076" s="109"/>
      <c r="BJ2076" s="109"/>
      <c r="BK2076" s="76"/>
      <c r="BL2076" s="109"/>
      <c r="BM2076" s="76"/>
      <c r="BN2076" s="109"/>
      <c r="BR2076" s="76"/>
      <c r="BS2076" s="76"/>
      <c r="BT2076" s="76"/>
      <c r="BU2076" s="76"/>
      <c r="BV2076" s="76"/>
      <c r="BW2076" s="76"/>
      <c r="BX2076" s="76"/>
      <c r="BZ2076" s="76"/>
    </row>
    <row r="2077" spans="3:78">
      <c r="C2077" s="136" t="s">
        <v>2273</v>
      </c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Q2077" s="109"/>
      <c r="R2077" s="109"/>
      <c r="S2077" s="216"/>
      <c r="T2077" s="216"/>
      <c r="U2077" s="109"/>
      <c r="V2077" s="109"/>
      <c r="W2077" s="109"/>
      <c r="X2077" s="109" t="s">
        <v>5</v>
      </c>
      <c r="Y2077" s="109"/>
      <c r="Z2077" s="76"/>
      <c r="AA2077" s="76"/>
      <c r="AB2077" s="76"/>
      <c r="AC2077" s="109"/>
      <c r="AD2077" s="76"/>
      <c r="AE2077" s="76"/>
      <c r="AF2077" s="76"/>
      <c r="AG2077" s="76"/>
      <c r="AH2077" s="76"/>
      <c r="AI2077" s="76"/>
      <c r="AJ2077" s="76"/>
      <c r="AK2077" s="76"/>
      <c r="AL2077" s="76"/>
      <c r="AM2077" s="76"/>
      <c r="AN2077" s="76"/>
      <c r="AO2077" s="76"/>
      <c r="AP2077" s="76"/>
      <c r="AQ2077" s="76"/>
      <c r="AR2077" s="76"/>
      <c r="AS2077" s="109"/>
      <c r="AT2077" s="109"/>
      <c r="AU2077" s="109"/>
      <c r="AV2077" s="109"/>
      <c r="AW2077" s="109"/>
      <c r="AX2077" s="109"/>
      <c r="AY2077" s="109"/>
      <c r="AZ2077" s="109"/>
      <c r="BA2077" s="109"/>
      <c r="BB2077" s="109"/>
      <c r="BC2077" s="109"/>
      <c r="BD2077" s="109"/>
      <c r="BE2077" s="109"/>
      <c r="BF2077" s="109"/>
      <c r="BG2077" s="109"/>
      <c r="BH2077" s="109"/>
      <c r="BI2077" s="109"/>
      <c r="BJ2077" s="109"/>
      <c r="BK2077" s="76"/>
      <c r="BL2077" s="109"/>
      <c r="BM2077" s="76"/>
      <c r="BN2077" s="109"/>
      <c r="BR2077" s="76"/>
      <c r="BS2077" s="76"/>
      <c r="BT2077" s="76"/>
      <c r="BU2077" s="76"/>
      <c r="BV2077" s="76"/>
      <c r="BW2077" s="76"/>
      <c r="BX2077" s="76"/>
      <c r="BZ2077" s="76"/>
    </row>
    <row r="2078" spans="3:78">
      <c r="C2078" s="136" t="s">
        <v>2274</v>
      </c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Q2078" s="109"/>
      <c r="R2078" s="109"/>
      <c r="S2078" s="216"/>
      <c r="T2078" s="216"/>
      <c r="U2078" s="109"/>
      <c r="V2078" s="109"/>
      <c r="W2078" s="109"/>
      <c r="X2078" s="109" t="s">
        <v>5</v>
      </c>
      <c r="Y2078" s="109"/>
      <c r="Z2078" s="76"/>
      <c r="AA2078" s="76"/>
      <c r="AB2078" s="76"/>
      <c r="AC2078" s="109"/>
      <c r="AD2078" s="76"/>
      <c r="AE2078" s="76"/>
      <c r="AF2078" s="76"/>
      <c r="AG2078" s="76"/>
      <c r="AH2078" s="76"/>
      <c r="AI2078" s="76"/>
      <c r="AJ2078" s="76"/>
      <c r="AK2078" s="76"/>
      <c r="AL2078" s="76"/>
      <c r="AM2078" s="76"/>
      <c r="AN2078" s="76"/>
      <c r="AO2078" s="76"/>
      <c r="AP2078" s="76"/>
      <c r="AQ2078" s="76"/>
      <c r="AR2078" s="76"/>
      <c r="AS2078" s="109"/>
      <c r="AT2078" s="109"/>
      <c r="AU2078" s="109"/>
      <c r="AV2078" s="109"/>
      <c r="AW2078" s="109"/>
      <c r="AX2078" s="109"/>
      <c r="AY2078" s="109"/>
      <c r="AZ2078" s="109"/>
      <c r="BA2078" s="109"/>
      <c r="BB2078" s="109"/>
      <c r="BC2078" s="109"/>
      <c r="BD2078" s="109"/>
      <c r="BE2078" s="109"/>
      <c r="BF2078" s="109"/>
      <c r="BG2078" s="109"/>
      <c r="BH2078" s="109"/>
      <c r="BI2078" s="109"/>
      <c r="BJ2078" s="109"/>
      <c r="BK2078" s="76"/>
      <c r="BL2078" s="109"/>
      <c r="BM2078" s="76"/>
      <c r="BN2078" s="109"/>
      <c r="BR2078" s="76"/>
      <c r="BS2078" s="76"/>
      <c r="BT2078" s="76"/>
      <c r="BU2078" s="76"/>
      <c r="BV2078" s="76"/>
      <c r="BW2078" s="76"/>
      <c r="BX2078" s="76"/>
      <c r="BZ2078" s="76"/>
    </row>
    <row r="2079" spans="3:78">
      <c r="C2079" s="136" t="s">
        <v>2275</v>
      </c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Q2079" s="109"/>
      <c r="R2079" s="109"/>
      <c r="S2079" s="216"/>
      <c r="T2079" s="216"/>
      <c r="U2079" s="109"/>
      <c r="V2079" s="109"/>
      <c r="W2079" s="109"/>
      <c r="X2079" s="109" t="s">
        <v>5</v>
      </c>
      <c r="Y2079" s="109"/>
      <c r="Z2079" s="76"/>
      <c r="AA2079" s="76"/>
      <c r="AB2079" s="76"/>
      <c r="AC2079" s="109"/>
      <c r="AD2079" s="76"/>
      <c r="AE2079" s="76"/>
      <c r="AF2079" s="76"/>
      <c r="AG2079" s="76"/>
      <c r="AH2079" s="76"/>
      <c r="AI2079" s="76"/>
      <c r="AJ2079" s="76"/>
      <c r="AK2079" s="76"/>
      <c r="AL2079" s="76"/>
      <c r="AM2079" s="76"/>
      <c r="AN2079" s="76"/>
      <c r="AO2079" s="76"/>
      <c r="AP2079" s="76"/>
      <c r="AQ2079" s="76"/>
      <c r="AR2079" s="76"/>
      <c r="AS2079" s="109"/>
      <c r="AT2079" s="109"/>
      <c r="AU2079" s="109"/>
      <c r="AV2079" s="109"/>
      <c r="AW2079" s="109"/>
      <c r="AX2079" s="109"/>
      <c r="AY2079" s="109"/>
      <c r="AZ2079" s="109"/>
      <c r="BA2079" s="109"/>
      <c r="BB2079" s="109"/>
      <c r="BC2079" s="109"/>
      <c r="BD2079" s="109"/>
      <c r="BE2079" s="109"/>
      <c r="BF2079" s="109"/>
      <c r="BG2079" s="109"/>
      <c r="BH2079" s="109"/>
      <c r="BI2079" s="109"/>
      <c r="BJ2079" s="109"/>
      <c r="BK2079" s="76"/>
      <c r="BL2079" s="109"/>
      <c r="BM2079" s="76"/>
      <c r="BN2079" s="109"/>
      <c r="BR2079" s="76"/>
      <c r="BS2079" s="76"/>
      <c r="BT2079" s="76"/>
      <c r="BU2079" s="76"/>
      <c r="BV2079" s="76"/>
      <c r="BW2079" s="76"/>
      <c r="BX2079" s="76"/>
      <c r="BZ2079" s="76"/>
    </row>
    <row r="2080" spans="3:78">
      <c r="C2080" s="136" t="s">
        <v>2276</v>
      </c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Q2080" s="109"/>
      <c r="R2080" s="109"/>
      <c r="S2080" s="216"/>
      <c r="T2080" s="216"/>
      <c r="U2080" s="109"/>
      <c r="V2080" s="109"/>
      <c r="W2080" s="109"/>
      <c r="X2080" s="109" t="s">
        <v>4</v>
      </c>
      <c r="Y2080" s="109"/>
      <c r="Z2080" s="76"/>
      <c r="AA2080" s="76"/>
      <c r="AB2080" s="76"/>
      <c r="AC2080" s="109"/>
      <c r="AD2080" s="76"/>
      <c r="AE2080" s="76"/>
      <c r="AF2080" s="76"/>
      <c r="AG2080" s="76"/>
      <c r="AH2080" s="76"/>
      <c r="AI2080" s="76"/>
      <c r="AJ2080" s="76"/>
      <c r="AK2080" s="76"/>
      <c r="AL2080" s="76"/>
      <c r="AM2080" s="76"/>
      <c r="AN2080" s="76"/>
      <c r="AO2080" s="76"/>
      <c r="AP2080" s="76"/>
      <c r="AQ2080" s="76"/>
      <c r="AR2080" s="76"/>
      <c r="AS2080" s="109"/>
      <c r="AT2080" s="109"/>
      <c r="AU2080" s="109"/>
      <c r="AV2080" s="109"/>
      <c r="AW2080" s="109"/>
      <c r="AX2080" s="109"/>
      <c r="AY2080" s="109"/>
      <c r="AZ2080" s="109"/>
      <c r="BA2080" s="109"/>
      <c r="BB2080" s="109"/>
      <c r="BC2080" s="109"/>
      <c r="BD2080" s="109"/>
      <c r="BE2080" s="109"/>
      <c r="BF2080" s="109"/>
      <c r="BG2080" s="109"/>
      <c r="BH2080" s="109"/>
      <c r="BI2080" s="109"/>
      <c r="BJ2080" s="109"/>
      <c r="BK2080" s="76"/>
      <c r="BL2080" s="109"/>
      <c r="BM2080" s="76"/>
      <c r="BN2080" s="109">
        <v>6</v>
      </c>
      <c r="BR2080" s="76"/>
      <c r="BS2080" s="76"/>
      <c r="BT2080" s="76"/>
      <c r="BU2080" s="76"/>
      <c r="BV2080" s="76"/>
      <c r="BW2080" s="76"/>
      <c r="BX2080" s="76"/>
      <c r="BZ2080" s="76"/>
    </row>
    <row r="2081" spans="3:78">
      <c r="C2081" s="136" t="s">
        <v>2277</v>
      </c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Q2081" s="109"/>
      <c r="R2081" s="109"/>
      <c r="S2081" s="216"/>
      <c r="T2081" s="216"/>
      <c r="U2081" s="109"/>
      <c r="V2081" s="109"/>
      <c r="W2081" s="109"/>
      <c r="X2081" s="109" t="s">
        <v>4</v>
      </c>
      <c r="Y2081" s="109"/>
      <c r="Z2081" s="76"/>
      <c r="AA2081" s="76"/>
      <c r="AB2081" s="76"/>
      <c r="AC2081" s="109"/>
      <c r="AD2081" s="76"/>
      <c r="AE2081" s="76"/>
      <c r="AF2081" s="76"/>
      <c r="AG2081" s="76"/>
      <c r="AH2081" s="76"/>
      <c r="AI2081" s="76"/>
      <c r="AJ2081" s="76"/>
      <c r="AK2081" s="76"/>
      <c r="AL2081" s="76"/>
      <c r="AM2081" s="76"/>
      <c r="AN2081" s="76"/>
      <c r="AO2081" s="76"/>
      <c r="AP2081" s="76"/>
      <c r="AQ2081" s="76"/>
      <c r="AR2081" s="76"/>
      <c r="AS2081" s="109"/>
      <c r="AT2081" s="109"/>
      <c r="AU2081" s="109"/>
      <c r="AV2081" s="109"/>
      <c r="AW2081" s="109"/>
      <c r="AX2081" s="109"/>
      <c r="AY2081" s="109"/>
      <c r="AZ2081" s="109"/>
      <c r="BA2081" s="109"/>
      <c r="BB2081" s="109"/>
      <c r="BC2081" s="109"/>
      <c r="BD2081" s="109"/>
      <c r="BE2081" s="109"/>
      <c r="BF2081" s="109"/>
      <c r="BG2081" s="109"/>
      <c r="BH2081" s="109"/>
      <c r="BI2081" s="109"/>
      <c r="BJ2081" s="109"/>
      <c r="BK2081" s="76"/>
      <c r="BL2081" s="109"/>
      <c r="BM2081" s="76"/>
      <c r="BN2081" s="109">
        <v>3</v>
      </c>
      <c r="BR2081" s="76"/>
      <c r="BS2081" s="76"/>
      <c r="BT2081" s="76"/>
      <c r="BU2081" s="76"/>
      <c r="BV2081" s="76"/>
      <c r="BW2081" s="76"/>
      <c r="BX2081" s="76"/>
      <c r="BZ2081" s="76"/>
    </row>
    <row r="2082" spans="3:78">
      <c r="C2082" s="136" t="s">
        <v>2278</v>
      </c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Q2082" s="109"/>
      <c r="R2082" s="109"/>
      <c r="S2082" s="216"/>
      <c r="T2082" s="216"/>
      <c r="U2082" s="109"/>
      <c r="V2082" s="109"/>
      <c r="W2082" s="109"/>
      <c r="X2082" s="109" t="s">
        <v>4</v>
      </c>
      <c r="Y2082" s="109"/>
      <c r="Z2082" s="76"/>
      <c r="AA2082" s="76"/>
      <c r="AB2082" s="76"/>
      <c r="AC2082" s="109"/>
      <c r="AD2082" s="76"/>
      <c r="AE2082" s="76"/>
      <c r="AF2082" s="76"/>
      <c r="AG2082" s="76"/>
      <c r="AH2082" s="76"/>
      <c r="AI2082" s="76"/>
      <c r="AJ2082" s="76"/>
      <c r="AK2082" s="76"/>
      <c r="AL2082" s="76"/>
      <c r="AM2082" s="76"/>
      <c r="AN2082" s="76"/>
      <c r="AO2082" s="76"/>
      <c r="AP2082" s="76"/>
      <c r="AQ2082" s="76"/>
      <c r="AR2082" s="76"/>
      <c r="AS2082" s="109"/>
      <c r="AT2082" s="109"/>
      <c r="AU2082" s="109"/>
      <c r="AV2082" s="109"/>
      <c r="AW2082" s="109"/>
      <c r="AX2082" s="109"/>
      <c r="AY2082" s="109"/>
      <c r="AZ2082" s="109"/>
      <c r="BA2082" s="109"/>
      <c r="BB2082" s="109"/>
      <c r="BC2082" s="109"/>
      <c r="BD2082" s="109"/>
      <c r="BE2082" s="109"/>
      <c r="BF2082" s="109"/>
      <c r="BG2082" s="109"/>
      <c r="BH2082" s="109"/>
      <c r="BI2082" s="109"/>
      <c r="BJ2082" s="109"/>
      <c r="BK2082" s="76"/>
      <c r="BL2082" s="109"/>
      <c r="BM2082" s="76"/>
      <c r="BN2082" s="109">
        <v>3</v>
      </c>
      <c r="BR2082" s="76"/>
      <c r="BS2082" s="76"/>
      <c r="BT2082" s="76"/>
      <c r="BU2082" s="76"/>
      <c r="BV2082" s="76"/>
      <c r="BW2082" s="76"/>
      <c r="BX2082" s="76"/>
      <c r="BZ2082" s="76"/>
    </row>
    <row r="2083" spans="3:78">
      <c r="C2083" s="136" t="s">
        <v>2279</v>
      </c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Q2083" s="109"/>
      <c r="R2083" s="109"/>
      <c r="S2083" s="216"/>
      <c r="T2083" s="216"/>
      <c r="U2083" s="109"/>
      <c r="V2083" s="109"/>
      <c r="W2083" s="109"/>
      <c r="X2083" s="109" t="s">
        <v>4</v>
      </c>
      <c r="Y2083" s="109"/>
      <c r="Z2083" s="76"/>
      <c r="AA2083" s="76"/>
      <c r="AB2083" s="76"/>
      <c r="AC2083" s="109"/>
      <c r="AD2083" s="76"/>
      <c r="AE2083" s="76"/>
      <c r="AF2083" s="76"/>
      <c r="AG2083" s="76"/>
      <c r="AH2083" s="76"/>
      <c r="AI2083" s="76"/>
      <c r="AJ2083" s="76"/>
      <c r="AK2083" s="76"/>
      <c r="AL2083" s="76"/>
      <c r="AM2083" s="76"/>
      <c r="AN2083" s="76"/>
      <c r="AO2083" s="76"/>
      <c r="AP2083" s="76"/>
      <c r="AQ2083" s="76"/>
      <c r="AR2083" s="76"/>
      <c r="AS2083" s="109"/>
      <c r="AT2083" s="109"/>
      <c r="AU2083" s="109"/>
      <c r="AV2083" s="109"/>
      <c r="AW2083" s="109"/>
      <c r="AX2083" s="109"/>
      <c r="AY2083" s="109"/>
      <c r="AZ2083" s="109"/>
      <c r="BA2083" s="109"/>
      <c r="BB2083" s="109"/>
      <c r="BC2083" s="109"/>
      <c r="BD2083" s="109"/>
      <c r="BE2083" s="109"/>
      <c r="BF2083" s="109"/>
      <c r="BG2083" s="109"/>
      <c r="BH2083" s="109"/>
      <c r="BI2083" s="109"/>
      <c r="BJ2083" s="109"/>
      <c r="BK2083" s="76"/>
      <c r="BL2083" s="109"/>
      <c r="BM2083" s="76"/>
      <c r="BN2083" s="109">
        <v>5</v>
      </c>
      <c r="BR2083" s="76"/>
      <c r="BS2083" s="76"/>
      <c r="BT2083" s="76"/>
      <c r="BU2083" s="76"/>
      <c r="BV2083" s="76"/>
      <c r="BW2083" s="76"/>
      <c r="BX2083" s="76"/>
      <c r="BZ2083" s="76"/>
    </row>
    <row r="2084" spans="3:78">
      <c r="C2084" s="136" t="s">
        <v>2280</v>
      </c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Q2084" s="109"/>
      <c r="R2084" s="109"/>
      <c r="S2084" s="216"/>
      <c r="T2084" s="216"/>
      <c r="U2084" s="109"/>
      <c r="V2084" s="109"/>
      <c r="W2084" s="109"/>
      <c r="X2084" s="109" t="s">
        <v>4</v>
      </c>
      <c r="Y2084" s="109"/>
      <c r="Z2084" s="76"/>
      <c r="AA2084" s="76"/>
      <c r="AB2084" s="76"/>
      <c r="AC2084" s="109"/>
      <c r="AD2084" s="76"/>
      <c r="AE2084" s="76"/>
      <c r="AF2084" s="76"/>
      <c r="AG2084" s="76"/>
      <c r="AH2084" s="76"/>
      <c r="AI2084" s="76"/>
      <c r="AJ2084" s="76"/>
      <c r="AK2084" s="76"/>
      <c r="AL2084" s="76"/>
      <c r="AM2084" s="76"/>
      <c r="AN2084" s="76"/>
      <c r="AO2084" s="76"/>
      <c r="AP2084" s="76"/>
      <c r="AQ2084" s="76"/>
      <c r="AR2084" s="76"/>
      <c r="AS2084" s="109"/>
      <c r="AT2084" s="109"/>
      <c r="AU2084" s="109"/>
      <c r="AV2084" s="109"/>
      <c r="AW2084" s="109"/>
      <c r="AX2084" s="109"/>
      <c r="AY2084" s="109"/>
      <c r="AZ2084" s="109"/>
      <c r="BA2084" s="109"/>
      <c r="BB2084" s="109"/>
      <c r="BC2084" s="109"/>
      <c r="BD2084" s="109"/>
      <c r="BE2084" s="109"/>
      <c r="BF2084" s="109"/>
      <c r="BG2084" s="109"/>
      <c r="BH2084" s="109"/>
      <c r="BI2084" s="109"/>
      <c r="BJ2084" s="109"/>
      <c r="BK2084" s="76"/>
      <c r="BL2084" s="109"/>
      <c r="BM2084" s="76"/>
      <c r="BN2084" s="109">
        <v>3</v>
      </c>
      <c r="BR2084" s="76"/>
      <c r="BS2084" s="76"/>
      <c r="BT2084" s="76"/>
      <c r="BU2084" s="76"/>
      <c r="BV2084" s="76"/>
      <c r="BW2084" s="76"/>
      <c r="BX2084" s="76"/>
      <c r="BZ2084" s="76"/>
    </row>
    <row r="2085" spans="3:78">
      <c r="C2085" s="136" t="s">
        <v>2281</v>
      </c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Q2085" s="109"/>
      <c r="R2085" s="109"/>
      <c r="S2085" s="216"/>
      <c r="T2085" s="216"/>
      <c r="U2085" s="109"/>
      <c r="V2085" s="109"/>
      <c r="W2085" s="109"/>
      <c r="X2085" s="109" t="s">
        <v>4</v>
      </c>
      <c r="Y2085" s="109"/>
      <c r="Z2085" s="76"/>
      <c r="AA2085" s="76"/>
      <c r="AB2085" s="76"/>
      <c r="AC2085" s="109"/>
      <c r="AD2085" s="76"/>
      <c r="AE2085" s="76"/>
      <c r="AF2085" s="76"/>
      <c r="AG2085" s="76"/>
      <c r="AH2085" s="76"/>
      <c r="AI2085" s="76"/>
      <c r="AJ2085" s="76"/>
      <c r="AK2085" s="76"/>
      <c r="AL2085" s="76"/>
      <c r="AM2085" s="76"/>
      <c r="AN2085" s="76"/>
      <c r="AO2085" s="76"/>
      <c r="AP2085" s="76"/>
      <c r="AQ2085" s="76"/>
      <c r="AR2085" s="76"/>
      <c r="AS2085" s="109"/>
      <c r="AT2085" s="109"/>
      <c r="AU2085" s="109"/>
      <c r="AV2085" s="109"/>
      <c r="AW2085" s="109"/>
      <c r="AX2085" s="109"/>
      <c r="AY2085" s="109"/>
      <c r="AZ2085" s="109"/>
      <c r="BA2085" s="109"/>
      <c r="BB2085" s="109"/>
      <c r="BC2085" s="109"/>
      <c r="BD2085" s="109"/>
      <c r="BE2085" s="109"/>
      <c r="BF2085" s="109"/>
      <c r="BG2085" s="109"/>
      <c r="BH2085" s="109"/>
      <c r="BI2085" s="109"/>
      <c r="BJ2085" s="109"/>
      <c r="BK2085" s="76"/>
      <c r="BL2085" s="109"/>
      <c r="BM2085" s="76"/>
      <c r="BN2085" s="109">
        <v>2</v>
      </c>
      <c r="BR2085" s="76"/>
      <c r="BS2085" s="76"/>
      <c r="BT2085" s="76"/>
      <c r="BU2085" s="76"/>
      <c r="BV2085" s="76"/>
      <c r="BW2085" s="76"/>
      <c r="BX2085" s="76"/>
      <c r="BZ2085" s="76"/>
    </row>
    <row r="2086" spans="3:78">
      <c r="C2086" s="136" t="s">
        <v>2282</v>
      </c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Q2086" s="109"/>
      <c r="R2086" s="109"/>
      <c r="S2086" s="216"/>
      <c r="T2086" s="216"/>
      <c r="U2086" s="109"/>
      <c r="V2086" s="109"/>
      <c r="W2086" s="109"/>
      <c r="X2086" s="109" t="s">
        <v>4</v>
      </c>
      <c r="Y2086" s="109"/>
      <c r="Z2086" s="76"/>
      <c r="AA2086" s="76"/>
      <c r="AB2086" s="76"/>
      <c r="AC2086" s="109"/>
      <c r="AD2086" s="76"/>
      <c r="AE2086" s="76"/>
      <c r="AF2086" s="76"/>
      <c r="AG2086" s="76"/>
      <c r="AH2086" s="76"/>
      <c r="AI2086" s="76"/>
      <c r="AJ2086" s="76"/>
      <c r="AK2086" s="76"/>
      <c r="AL2086" s="76"/>
      <c r="AM2086" s="76"/>
      <c r="AN2086" s="76"/>
      <c r="AO2086" s="76"/>
      <c r="AP2086" s="76"/>
      <c r="AQ2086" s="76"/>
      <c r="AR2086" s="76"/>
      <c r="AS2086" s="109"/>
      <c r="AT2086" s="109"/>
      <c r="AU2086" s="109"/>
      <c r="AV2086" s="109"/>
      <c r="AW2086" s="109"/>
      <c r="AX2086" s="109"/>
      <c r="AY2086" s="109"/>
      <c r="AZ2086" s="109"/>
      <c r="BA2086" s="109"/>
      <c r="BB2086" s="109"/>
      <c r="BC2086" s="109"/>
      <c r="BD2086" s="109"/>
      <c r="BE2086" s="109"/>
      <c r="BF2086" s="109"/>
      <c r="BG2086" s="109"/>
      <c r="BH2086" s="109"/>
      <c r="BI2086" s="109"/>
      <c r="BJ2086" s="109"/>
      <c r="BK2086" s="76"/>
      <c r="BL2086" s="109"/>
      <c r="BM2086" s="76"/>
      <c r="BN2086" s="109">
        <v>2</v>
      </c>
      <c r="BR2086" s="76"/>
      <c r="BS2086" s="76"/>
      <c r="BT2086" s="76"/>
      <c r="BU2086" s="76"/>
      <c r="BV2086" s="76"/>
      <c r="BW2086" s="76"/>
      <c r="BX2086" s="76"/>
      <c r="BZ2086" s="76"/>
    </row>
    <row r="2087" spans="3:78">
      <c r="C2087" s="136" t="s">
        <v>2283</v>
      </c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Q2087" s="109"/>
      <c r="R2087" s="109"/>
      <c r="S2087" s="216"/>
      <c r="T2087" s="216"/>
      <c r="U2087" s="109"/>
      <c r="V2087" s="109"/>
      <c r="W2087" s="109"/>
      <c r="X2087" s="109" t="s">
        <v>4</v>
      </c>
      <c r="Y2087" s="109"/>
      <c r="Z2087" s="76"/>
      <c r="AA2087" s="76"/>
      <c r="AB2087" s="76"/>
      <c r="AC2087" s="109"/>
      <c r="AD2087" s="76"/>
      <c r="AE2087" s="76"/>
      <c r="AF2087" s="76"/>
      <c r="AG2087" s="76"/>
      <c r="AH2087" s="76"/>
      <c r="AI2087" s="76"/>
      <c r="AJ2087" s="76"/>
      <c r="AK2087" s="76"/>
      <c r="AL2087" s="76"/>
      <c r="AM2087" s="76"/>
      <c r="AN2087" s="76"/>
      <c r="AO2087" s="76"/>
      <c r="AP2087" s="76"/>
      <c r="AQ2087" s="76"/>
      <c r="AR2087" s="76"/>
      <c r="AS2087" s="109"/>
      <c r="AT2087" s="109"/>
      <c r="AU2087" s="109"/>
      <c r="AV2087" s="109"/>
      <c r="AW2087" s="109"/>
      <c r="AX2087" s="109"/>
      <c r="AY2087" s="109"/>
      <c r="AZ2087" s="109"/>
      <c r="BA2087" s="109"/>
      <c r="BB2087" s="109"/>
      <c r="BC2087" s="109"/>
      <c r="BD2087" s="109"/>
      <c r="BE2087" s="109"/>
      <c r="BF2087" s="109"/>
      <c r="BG2087" s="109"/>
      <c r="BH2087" s="109"/>
      <c r="BI2087" s="109"/>
      <c r="BJ2087" s="109"/>
      <c r="BK2087" s="76"/>
      <c r="BL2087" s="109"/>
      <c r="BM2087" s="76"/>
      <c r="BN2087" s="109">
        <v>2</v>
      </c>
      <c r="BR2087" s="76"/>
      <c r="BS2087" s="76"/>
      <c r="BT2087" s="76"/>
      <c r="BU2087" s="76"/>
      <c r="BV2087" s="76"/>
      <c r="BW2087" s="76"/>
      <c r="BX2087" s="76"/>
      <c r="BZ2087" s="76"/>
    </row>
    <row r="2088" spans="3:78">
      <c r="C2088" s="136" t="s">
        <v>2284</v>
      </c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Q2088" s="109"/>
      <c r="R2088" s="109"/>
      <c r="S2088" s="216"/>
      <c r="T2088" s="216"/>
      <c r="U2088" s="109"/>
      <c r="V2088" s="109"/>
      <c r="W2088" s="109"/>
      <c r="X2088" s="109" t="s">
        <v>4</v>
      </c>
      <c r="Y2088" s="109"/>
      <c r="Z2088" s="76"/>
      <c r="AA2088" s="76"/>
      <c r="AB2088" s="76"/>
      <c r="AC2088" s="109"/>
      <c r="AD2088" s="76"/>
      <c r="AE2088" s="76"/>
      <c r="AF2088" s="76"/>
      <c r="AG2088" s="76"/>
      <c r="AH2088" s="76"/>
      <c r="AI2088" s="76"/>
      <c r="AJ2088" s="76"/>
      <c r="AK2088" s="76"/>
      <c r="AL2088" s="76"/>
      <c r="AM2088" s="76"/>
      <c r="AN2088" s="76"/>
      <c r="AO2088" s="76"/>
      <c r="AP2088" s="76"/>
      <c r="AQ2088" s="76"/>
      <c r="AR2088" s="76"/>
      <c r="AS2088" s="109"/>
      <c r="AT2088" s="109"/>
      <c r="AU2088" s="109"/>
      <c r="AV2088" s="109"/>
      <c r="AW2088" s="109"/>
      <c r="AX2088" s="109"/>
      <c r="AY2088" s="109"/>
      <c r="AZ2088" s="109"/>
      <c r="BA2088" s="109"/>
      <c r="BB2088" s="109"/>
      <c r="BC2088" s="109"/>
      <c r="BD2088" s="109"/>
      <c r="BE2088" s="109"/>
      <c r="BF2088" s="109"/>
      <c r="BG2088" s="109"/>
      <c r="BH2088" s="109"/>
      <c r="BI2088" s="109"/>
      <c r="BJ2088" s="109"/>
      <c r="BK2088" s="76"/>
      <c r="BL2088" s="109"/>
      <c r="BM2088" s="76"/>
      <c r="BN2088" s="109">
        <v>1</v>
      </c>
      <c r="BR2088" s="76"/>
      <c r="BS2088" s="76"/>
      <c r="BT2088" s="76"/>
      <c r="BU2088" s="76"/>
      <c r="BV2088" s="76"/>
      <c r="BW2088" s="76"/>
      <c r="BX2088" s="76"/>
      <c r="BZ2088" s="76"/>
    </row>
    <row r="2089" spans="3:78">
      <c r="C2089" s="136" t="s">
        <v>2285</v>
      </c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Q2089" s="109"/>
      <c r="R2089" s="109"/>
      <c r="S2089" s="216"/>
      <c r="T2089" s="216"/>
      <c r="U2089" s="109"/>
      <c r="V2089" s="109"/>
      <c r="W2089" s="109"/>
      <c r="X2089" s="109" t="s">
        <v>4</v>
      </c>
      <c r="Y2089" s="109"/>
      <c r="Z2089" s="76"/>
      <c r="AA2089" s="76"/>
      <c r="AB2089" s="76"/>
      <c r="AC2089" s="109"/>
      <c r="AD2089" s="76"/>
      <c r="AE2089" s="76"/>
      <c r="AF2089" s="76"/>
      <c r="AG2089" s="76"/>
      <c r="AH2089" s="76"/>
      <c r="AI2089" s="76"/>
      <c r="AJ2089" s="76"/>
      <c r="AK2089" s="76"/>
      <c r="AL2089" s="76"/>
      <c r="AM2089" s="76"/>
      <c r="AN2089" s="76"/>
      <c r="AO2089" s="76"/>
      <c r="AP2089" s="76"/>
      <c r="AQ2089" s="76"/>
      <c r="AR2089" s="76"/>
      <c r="AS2089" s="109"/>
      <c r="AT2089" s="109"/>
      <c r="AU2089" s="109"/>
      <c r="AV2089" s="109"/>
      <c r="AW2089" s="109"/>
      <c r="AX2089" s="109"/>
      <c r="AY2089" s="109"/>
      <c r="AZ2089" s="109"/>
      <c r="BA2089" s="109"/>
      <c r="BB2089" s="109"/>
      <c r="BC2089" s="109"/>
      <c r="BD2089" s="109"/>
      <c r="BE2089" s="109"/>
      <c r="BF2089" s="109"/>
      <c r="BG2089" s="109"/>
      <c r="BH2089" s="109"/>
      <c r="BI2089" s="109"/>
      <c r="BJ2089" s="109"/>
      <c r="BK2089" s="76"/>
      <c r="BL2089" s="109"/>
      <c r="BM2089" s="76"/>
      <c r="BN2089" s="109">
        <v>4</v>
      </c>
      <c r="BR2089" s="76"/>
      <c r="BS2089" s="76"/>
      <c r="BT2089" s="76"/>
      <c r="BU2089" s="76"/>
      <c r="BV2089" s="76"/>
      <c r="BW2089" s="76"/>
      <c r="BX2089" s="76"/>
      <c r="BZ2089" s="76"/>
    </row>
    <row r="2090" spans="3:78">
      <c r="C2090" s="136" t="s">
        <v>2286</v>
      </c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Q2090" s="109"/>
      <c r="R2090" s="109"/>
      <c r="S2090" s="216"/>
      <c r="T2090" s="216"/>
      <c r="U2090" s="109"/>
      <c r="V2090" s="109"/>
      <c r="W2090" s="109"/>
      <c r="X2090" s="109" t="s">
        <v>4</v>
      </c>
      <c r="Y2090" s="109"/>
      <c r="Z2090" s="76"/>
      <c r="AA2090" s="76"/>
      <c r="AB2090" s="76"/>
      <c r="AC2090" s="109"/>
      <c r="AD2090" s="76"/>
      <c r="AE2090" s="76"/>
      <c r="AF2090" s="76"/>
      <c r="AG2090" s="76"/>
      <c r="AH2090" s="76"/>
      <c r="AI2090" s="76"/>
      <c r="AJ2090" s="76"/>
      <c r="AK2090" s="76"/>
      <c r="AL2090" s="76"/>
      <c r="AM2090" s="76"/>
      <c r="AN2090" s="76"/>
      <c r="AO2090" s="76"/>
      <c r="AP2090" s="76"/>
      <c r="AQ2090" s="76"/>
      <c r="AR2090" s="76"/>
      <c r="AS2090" s="109"/>
      <c r="AT2090" s="109"/>
      <c r="AU2090" s="109"/>
      <c r="AV2090" s="109"/>
      <c r="AW2090" s="109"/>
      <c r="AX2090" s="109"/>
      <c r="AY2090" s="109"/>
      <c r="AZ2090" s="109"/>
      <c r="BA2090" s="109"/>
      <c r="BB2090" s="109"/>
      <c r="BC2090" s="109"/>
      <c r="BD2090" s="109"/>
      <c r="BE2090" s="109"/>
      <c r="BF2090" s="109"/>
      <c r="BG2090" s="109"/>
      <c r="BH2090" s="109"/>
      <c r="BI2090" s="109"/>
      <c r="BJ2090" s="109"/>
      <c r="BK2090" s="76"/>
      <c r="BL2090" s="109"/>
      <c r="BM2090" s="76"/>
      <c r="BN2090" s="109">
        <v>3</v>
      </c>
      <c r="BR2090" s="76"/>
      <c r="BS2090" s="76"/>
      <c r="BT2090" s="76"/>
      <c r="BU2090" s="76"/>
      <c r="BV2090" s="76"/>
      <c r="BW2090" s="76"/>
      <c r="BX2090" s="76"/>
      <c r="BZ2090" s="76"/>
    </row>
    <row r="2091" spans="3:78" ht="27">
      <c r="C2091" s="136" t="s">
        <v>2287</v>
      </c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Q2091" s="109"/>
      <c r="R2091" s="109"/>
      <c r="S2091" s="216"/>
      <c r="T2091" s="216"/>
      <c r="U2091" s="109"/>
      <c r="V2091" s="109"/>
      <c r="W2091" s="109"/>
      <c r="X2091" s="109" t="s">
        <v>3</v>
      </c>
      <c r="Y2091" s="109"/>
      <c r="Z2091" s="76"/>
      <c r="AA2091" s="76"/>
      <c r="AB2091" s="76"/>
      <c r="AC2091" s="109" t="s">
        <v>1</v>
      </c>
      <c r="AD2091" s="76"/>
      <c r="AE2091" s="76"/>
      <c r="AF2091" s="76"/>
      <c r="AG2091" s="76"/>
      <c r="AH2091" s="76"/>
      <c r="AI2091" s="76"/>
      <c r="AJ2091" s="76"/>
      <c r="AK2091" s="76"/>
      <c r="AL2091" s="76"/>
      <c r="AM2091" s="76"/>
      <c r="AN2091" s="76"/>
      <c r="AO2091" s="76"/>
      <c r="AP2091" s="76"/>
      <c r="AQ2091" s="76"/>
      <c r="AR2091" s="76"/>
      <c r="AS2091" s="109"/>
      <c r="AT2091" s="109"/>
      <c r="AU2091" s="109"/>
      <c r="AV2091" s="109"/>
      <c r="AW2091" s="109"/>
      <c r="AX2091" s="109"/>
      <c r="AY2091" s="109"/>
      <c r="AZ2091" s="109"/>
      <c r="BA2091" s="109"/>
      <c r="BB2091" s="109"/>
      <c r="BC2091" s="109"/>
      <c r="BD2091" s="109"/>
      <c r="BE2091" s="109"/>
      <c r="BF2091" s="109"/>
      <c r="BG2091" s="109"/>
      <c r="BH2091" s="109"/>
      <c r="BI2091" s="109"/>
      <c r="BJ2091" s="109"/>
      <c r="BK2091" s="76"/>
      <c r="BL2091" s="109"/>
      <c r="BM2091" s="76"/>
      <c r="BN2091" s="109"/>
      <c r="BR2091" s="76"/>
      <c r="BS2091" s="76"/>
      <c r="BT2091" s="76"/>
      <c r="BU2091" s="76"/>
      <c r="BV2091" s="76"/>
      <c r="BW2091" s="76"/>
      <c r="BX2091" s="76"/>
      <c r="BZ2091" s="76"/>
    </row>
    <row r="2092" spans="3:78">
      <c r="C2092" s="136" t="s">
        <v>2288</v>
      </c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Q2092" s="109"/>
      <c r="R2092" s="109"/>
      <c r="S2092" s="216"/>
      <c r="T2092" s="216"/>
      <c r="U2092" s="109"/>
      <c r="V2092" s="109"/>
      <c r="W2092" s="109"/>
      <c r="X2092" s="109" t="s">
        <v>3</v>
      </c>
      <c r="Y2092" s="109"/>
      <c r="Z2092" s="76"/>
      <c r="AA2092" s="76"/>
      <c r="AB2092" s="76"/>
      <c r="AC2092" s="109" t="s">
        <v>1</v>
      </c>
      <c r="AD2092" s="76"/>
      <c r="AE2092" s="76"/>
      <c r="AF2092" s="76"/>
      <c r="AG2092" s="76"/>
      <c r="AH2092" s="76"/>
      <c r="AI2092" s="76"/>
      <c r="AJ2092" s="76"/>
      <c r="AK2092" s="76"/>
      <c r="AL2092" s="76"/>
      <c r="AM2092" s="76"/>
      <c r="AN2092" s="76"/>
      <c r="AO2092" s="76"/>
      <c r="AP2092" s="76"/>
      <c r="AQ2092" s="76"/>
      <c r="AR2092" s="76"/>
      <c r="AS2092" s="109"/>
      <c r="AT2092" s="109"/>
      <c r="AU2092" s="109"/>
      <c r="AV2092" s="109"/>
      <c r="AW2092" s="109"/>
      <c r="AX2092" s="109"/>
      <c r="AY2092" s="109"/>
      <c r="AZ2092" s="109"/>
      <c r="BA2092" s="109"/>
      <c r="BB2092" s="109"/>
      <c r="BC2092" s="109"/>
      <c r="BD2092" s="109"/>
      <c r="BE2092" s="109"/>
      <c r="BF2092" s="109"/>
      <c r="BG2092" s="109"/>
      <c r="BH2092" s="109"/>
      <c r="BI2092" s="109"/>
      <c r="BJ2092" s="109"/>
      <c r="BK2092" s="76"/>
      <c r="BL2092" s="109"/>
      <c r="BM2092" s="76"/>
      <c r="BN2092" s="109"/>
      <c r="BR2092" s="76"/>
      <c r="BS2092" s="76"/>
      <c r="BT2092" s="76"/>
      <c r="BU2092" s="76"/>
      <c r="BV2092" s="76"/>
      <c r="BW2092" s="76"/>
      <c r="BX2092" s="76"/>
      <c r="BZ2092" s="76"/>
    </row>
    <row r="2093" spans="3:78" ht="27">
      <c r="C2093" s="136" t="s">
        <v>2289</v>
      </c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Q2093" s="109"/>
      <c r="R2093" s="109"/>
      <c r="S2093" s="216"/>
      <c r="T2093" s="216"/>
      <c r="U2093" s="109"/>
      <c r="V2093" s="109"/>
      <c r="W2093" s="109"/>
      <c r="X2093" s="109" t="s">
        <v>3</v>
      </c>
      <c r="Y2093" s="109"/>
      <c r="Z2093" s="76"/>
      <c r="AA2093" s="76"/>
      <c r="AB2093" s="76"/>
      <c r="AC2093" s="109" t="s">
        <v>1</v>
      </c>
      <c r="AD2093" s="76"/>
      <c r="AE2093" s="76"/>
      <c r="AF2093" s="76"/>
      <c r="AG2093" s="76"/>
      <c r="AH2093" s="76"/>
      <c r="AI2093" s="76"/>
      <c r="AJ2093" s="76"/>
      <c r="AK2093" s="76"/>
      <c r="AL2093" s="76"/>
      <c r="AM2093" s="76"/>
      <c r="AN2093" s="76"/>
      <c r="AO2093" s="76"/>
      <c r="AP2093" s="76"/>
      <c r="AQ2093" s="76"/>
      <c r="AR2093" s="76"/>
      <c r="AS2093" s="109"/>
      <c r="AT2093" s="109"/>
      <c r="AU2093" s="109"/>
      <c r="AV2093" s="109"/>
      <c r="AW2093" s="109"/>
      <c r="AX2093" s="109"/>
      <c r="AY2093" s="109"/>
      <c r="AZ2093" s="109"/>
      <c r="BA2093" s="109"/>
      <c r="BB2093" s="109"/>
      <c r="BC2093" s="109"/>
      <c r="BD2093" s="109"/>
      <c r="BE2093" s="109"/>
      <c r="BF2093" s="109"/>
      <c r="BG2093" s="109"/>
      <c r="BH2093" s="109"/>
      <c r="BI2093" s="109"/>
      <c r="BJ2093" s="109"/>
      <c r="BK2093" s="76"/>
      <c r="BL2093" s="109"/>
      <c r="BM2093" s="76"/>
      <c r="BN2093" s="109"/>
      <c r="BR2093" s="76"/>
      <c r="BS2093" s="76"/>
      <c r="BT2093" s="76"/>
      <c r="BU2093" s="76"/>
      <c r="BV2093" s="76"/>
      <c r="BW2093" s="76"/>
      <c r="BX2093" s="76"/>
      <c r="BZ2093" s="76"/>
    </row>
    <row r="2094" spans="3:78">
      <c r="C2094" s="136" t="s">
        <v>2290</v>
      </c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Q2094" s="109"/>
      <c r="R2094" s="109"/>
      <c r="S2094" s="216"/>
      <c r="T2094" s="216"/>
      <c r="U2094" s="109"/>
      <c r="V2094" s="109"/>
      <c r="W2094" s="109"/>
      <c r="X2094" s="109" t="s">
        <v>3</v>
      </c>
      <c r="Y2094" s="109"/>
      <c r="Z2094" s="76"/>
      <c r="AA2094" s="76"/>
      <c r="AB2094" s="76"/>
      <c r="AC2094" s="109" t="s">
        <v>1</v>
      </c>
      <c r="AD2094" s="76"/>
      <c r="AE2094" s="76"/>
      <c r="AF2094" s="76"/>
      <c r="AG2094" s="76"/>
      <c r="AH2094" s="76"/>
      <c r="AI2094" s="76"/>
      <c r="AJ2094" s="76"/>
      <c r="AK2094" s="76"/>
      <c r="AL2094" s="76"/>
      <c r="AM2094" s="76"/>
      <c r="AN2094" s="76"/>
      <c r="AO2094" s="76"/>
      <c r="AP2094" s="76"/>
      <c r="AQ2094" s="76"/>
      <c r="AR2094" s="76"/>
      <c r="AS2094" s="109"/>
      <c r="AT2094" s="109"/>
      <c r="AU2094" s="109"/>
      <c r="AV2094" s="109"/>
      <c r="AW2094" s="109"/>
      <c r="AX2094" s="109"/>
      <c r="AY2094" s="109"/>
      <c r="AZ2094" s="109"/>
      <c r="BA2094" s="109"/>
      <c r="BB2094" s="109"/>
      <c r="BC2094" s="109"/>
      <c r="BD2094" s="109"/>
      <c r="BE2094" s="109"/>
      <c r="BF2094" s="109"/>
      <c r="BG2094" s="109"/>
      <c r="BH2094" s="109"/>
      <c r="BI2094" s="109"/>
      <c r="BJ2094" s="109"/>
      <c r="BK2094" s="76"/>
      <c r="BL2094" s="109"/>
      <c r="BM2094" s="76"/>
      <c r="BN2094" s="109"/>
      <c r="BR2094" s="76"/>
      <c r="BS2094" s="76"/>
      <c r="BT2094" s="76"/>
      <c r="BU2094" s="76"/>
      <c r="BV2094" s="76"/>
      <c r="BW2094" s="76"/>
      <c r="BX2094" s="76"/>
      <c r="BZ2094" s="76"/>
    </row>
    <row r="2095" spans="3:78">
      <c r="C2095" s="136" t="s">
        <v>2291</v>
      </c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Q2095" s="109"/>
      <c r="R2095" s="109"/>
      <c r="S2095" s="216"/>
      <c r="T2095" s="216"/>
      <c r="U2095" s="109"/>
      <c r="V2095" s="109"/>
      <c r="W2095" s="109"/>
      <c r="X2095" s="109" t="s">
        <v>3</v>
      </c>
      <c r="Y2095" s="109"/>
      <c r="Z2095" s="76"/>
      <c r="AA2095" s="76"/>
      <c r="AB2095" s="76"/>
      <c r="AC2095" s="109" t="s">
        <v>1</v>
      </c>
      <c r="AD2095" s="76"/>
      <c r="AE2095" s="76"/>
      <c r="AF2095" s="76"/>
      <c r="AG2095" s="76"/>
      <c r="AH2095" s="76"/>
      <c r="AI2095" s="76"/>
      <c r="AJ2095" s="76"/>
      <c r="AK2095" s="76"/>
      <c r="AL2095" s="76"/>
      <c r="AM2095" s="76"/>
      <c r="AN2095" s="76"/>
      <c r="AO2095" s="76"/>
      <c r="AP2095" s="76"/>
      <c r="AQ2095" s="76"/>
      <c r="AR2095" s="76"/>
      <c r="AS2095" s="109"/>
      <c r="AT2095" s="109"/>
      <c r="AU2095" s="109"/>
      <c r="AV2095" s="109"/>
      <c r="AW2095" s="109"/>
      <c r="AX2095" s="109"/>
      <c r="AY2095" s="109"/>
      <c r="AZ2095" s="109"/>
      <c r="BA2095" s="109"/>
      <c r="BB2095" s="109"/>
      <c r="BC2095" s="109"/>
      <c r="BD2095" s="109"/>
      <c r="BE2095" s="109"/>
      <c r="BF2095" s="109"/>
      <c r="BG2095" s="109"/>
      <c r="BH2095" s="109"/>
      <c r="BI2095" s="109"/>
      <c r="BJ2095" s="109"/>
      <c r="BK2095" s="76"/>
      <c r="BL2095" s="109"/>
      <c r="BM2095" s="76"/>
      <c r="BN2095" s="109"/>
      <c r="BR2095" s="76"/>
      <c r="BS2095" s="76"/>
      <c r="BT2095" s="76"/>
      <c r="BU2095" s="76"/>
      <c r="BV2095" s="76"/>
      <c r="BW2095" s="76"/>
      <c r="BX2095" s="76"/>
      <c r="BZ2095" s="76"/>
    </row>
    <row r="2096" spans="3:78" ht="27">
      <c r="C2096" s="136" t="s">
        <v>2292</v>
      </c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Q2096" s="109"/>
      <c r="R2096" s="109"/>
      <c r="S2096" s="216"/>
      <c r="T2096" s="216"/>
      <c r="U2096" s="109"/>
      <c r="V2096" s="109"/>
      <c r="W2096" s="109"/>
      <c r="X2096" s="109" t="s">
        <v>3</v>
      </c>
      <c r="Y2096" s="109"/>
      <c r="Z2096" s="76"/>
      <c r="AA2096" s="76"/>
      <c r="AB2096" s="76"/>
      <c r="AC2096" s="109" t="s">
        <v>1</v>
      </c>
      <c r="AD2096" s="76"/>
      <c r="AE2096" s="76"/>
      <c r="AF2096" s="76"/>
      <c r="AG2096" s="76"/>
      <c r="AH2096" s="76"/>
      <c r="AI2096" s="76"/>
      <c r="AJ2096" s="76"/>
      <c r="AK2096" s="76"/>
      <c r="AL2096" s="76"/>
      <c r="AM2096" s="76"/>
      <c r="AN2096" s="76"/>
      <c r="AO2096" s="76"/>
      <c r="AP2096" s="76"/>
      <c r="AQ2096" s="76"/>
      <c r="AR2096" s="76"/>
      <c r="AS2096" s="109"/>
      <c r="AT2096" s="109"/>
      <c r="AU2096" s="109"/>
      <c r="AV2096" s="109"/>
      <c r="AW2096" s="109"/>
      <c r="AX2096" s="109"/>
      <c r="AY2096" s="109"/>
      <c r="AZ2096" s="109"/>
      <c r="BA2096" s="109"/>
      <c r="BB2096" s="109"/>
      <c r="BC2096" s="109"/>
      <c r="BD2096" s="109"/>
      <c r="BE2096" s="109"/>
      <c r="BF2096" s="109"/>
      <c r="BG2096" s="109"/>
      <c r="BH2096" s="109"/>
      <c r="BI2096" s="109"/>
      <c r="BJ2096" s="109"/>
      <c r="BK2096" s="76"/>
      <c r="BL2096" s="109"/>
      <c r="BM2096" s="76"/>
      <c r="BN2096" s="109"/>
      <c r="BR2096" s="76"/>
      <c r="BS2096" s="76"/>
      <c r="BT2096" s="76"/>
      <c r="BU2096" s="76"/>
      <c r="BV2096" s="76"/>
      <c r="BW2096" s="76"/>
      <c r="BX2096" s="76"/>
      <c r="BZ2096" s="76"/>
    </row>
    <row r="2097" spans="3:78" ht="27">
      <c r="C2097" s="136" t="s">
        <v>2293</v>
      </c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Q2097" s="109"/>
      <c r="R2097" s="109"/>
      <c r="S2097" s="216"/>
      <c r="T2097" s="216"/>
      <c r="U2097" s="109"/>
      <c r="V2097" s="109"/>
      <c r="W2097" s="109"/>
      <c r="X2097" s="109" t="s">
        <v>3</v>
      </c>
      <c r="Y2097" s="109"/>
      <c r="Z2097" s="76"/>
      <c r="AA2097" s="76"/>
      <c r="AB2097" s="76"/>
      <c r="AC2097" s="109" t="s">
        <v>1</v>
      </c>
      <c r="AD2097" s="76"/>
      <c r="AE2097" s="76"/>
      <c r="AF2097" s="76"/>
      <c r="AG2097" s="76"/>
      <c r="AH2097" s="76"/>
      <c r="AI2097" s="76"/>
      <c r="AJ2097" s="76"/>
      <c r="AK2097" s="76"/>
      <c r="AL2097" s="76"/>
      <c r="AM2097" s="76"/>
      <c r="AN2097" s="76"/>
      <c r="AO2097" s="76"/>
      <c r="AP2097" s="76"/>
      <c r="AQ2097" s="76"/>
      <c r="AR2097" s="76"/>
      <c r="AS2097" s="109"/>
      <c r="AT2097" s="109"/>
      <c r="AU2097" s="109"/>
      <c r="AV2097" s="109"/>
      <c r="AW2097" s="109"/>
      <c r="AX2097" s="109"/>
      <c r="AY2097" s="109"/>
      <c r="AZ2097" s="109"/>
      <c r="BA2097" s="109"/>
      <c r="BB2097" s="109"/>
      <c r="BC2097" s="109"/>
      <c r="BD2097" s="109"/>
      <c r="BE2097" s="109"/>
      <c r="BF2097" s="109"/>
      <c r="BG2097" s="109"/>
      <c r="BH2097" s="109"/>
      <c r="BI2097" s="109"/>
      <c r="BJ2097" s="109"/>
      <c r="BK2097" s="76"/>
      <c r="BL2097" s="109"/>
      <c r="BM2097" s="76"/>
      <c r="BN2097" s="109"/>
      <c r="BR2097" s="76"/>
      <c r="BS2097" s="76"/>
      <c r="BT2097" s="76"/>
      <c r="BU2097" s="76"/>
      <c r="BV2097" s="76"/>
      <c r="BW2097" s="76"/>
      <c r="BX2097" s="76"/>
      <c r="BZ2097" s="76"/>
    </row>
    <row r="2098" spans="3:78">
      <c r="C2098" s="136" t="s">
        <v>2294</v>
      </c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Q2098" s="109"/>
      <c r="R2098" s="109"/>
      <c r="S2098" s="216"/>
      <c r="T2098" s="216"/>
      <c r="U2098" s="109"/>
      <c r="V2098" s="109"/>
      <c r="W2098" s="109"/>
      <c r="X2098" s="109" t="s">
        <v>3</v>
      </c>
      <c r="Y2098" s="109"/>
      <c r="Z2098" s="76"/>
      <c r="AA2098" s="76"/>
      <c r="AB2098" s="76"/>
      <c r="AC2098" s="109" t="s">
        <v>1</v>
      </c>
      <c r="AD2098" s="76"/>
      <c r="AE2098" s="76"/>
      <c r="AF2098" s="76"/>
      <c r="AG2098" s="76"/>
      <c r="AH2098" s="76"/>
      <c r="AI2098" s="76"/>
      <c r="AJ2098" s="76"/>
      <c r="AK2098" s="76"/>
      <c r="AL2098" s="76"/>
      <c r="AM2098" s="76"/>
      <c r="AN2098" s="76"/>
      <c r="AO2098" s="76"/>
      <c r="AP2098" s="76"/>
      <c r="AQ2098" s="76"/>
      <c r="AR2098" s="76"/>
      <c r="AS2098" s="109"/>
      <c r="AT2098" s="109"/>
      <c r="AU2098" s="109"/>
      <c r="AV2098" s="109"/>
      <c r="AW2098" s="109"/>
      <c r="AX2098" s="109"/>
      <c r="AY2098" s="109"/>
      <c r="AZ2098" s="109"/>
      <c r="BA2098" s="109"/>
      <c r="BB2098" s="109"/>
      <c r="BC2098" s="109"/>
      <c r="BD2098" s="109"/>
      <c r="BE2098" s="109"/>
      <c r="BF2098" s="109"/>
      <c r="BG2098" s="109"/>
      <c r="BH2098" s="109"/>
      <c r="BI2098" s="109"/>
      <c r="BJ2098" s="109"/>
      <c r="BK2098" s="76"/>
      <c r="BL2098" s="109"/>
      <c r="BM2098" s="76"/>
      <c r="BN2098" s="109"/>
      <c r="BR2098" s="76"/>
      <c r="BS2098" s="76"/>
      <c r="BT2098" s="76"/>
      <c r="BU2098" s="76"/>
      <c r="BV2098" s="76"/>
      <c r="BW2098" s="76"/>
      <c r="BX2098" s="76"/>
      <c r="BZ2098" s="76"/>
    </row>
    <row r="2099" spans="3:78" ht="27">
      <c r="C2099" s="136" t="s">
        <v>2295</v>
      </c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Q2099" s="109"/>
      <c r="R2099" s="109"/>
      <c r="S2099" s="216"/>
      <c r="T2099" s="216"/>
      <c r="U2099" s="109"/>
      <c r="V2099" s="109"/>
      <c r="W2099" s="109"/>
      <c r="X2099" s="109" t="s">
        <v>3</v>
      </c>
      <c r="Y2099" s="109"/>
      <c r="Z2099" s="76"/>
      <c r="AA2099" s="76"/>
      <c r="AB2099" s="76"/>
      <c r="AC2099" s="109" t="s">
        <v>1</v>
      </c>
      <c r="AD2099" s="76"/>
      <c r="AE2099" s="76"/>
      <c r="AF2099" s="76"/>
      <c r="AG2099" s="76"/>
      <c r="AH2099" s="76"/>
      <c r="AI2099" s="76"/>
      <c r="AJ2099" s="76"/>
      <c r="AK2099" s="76"/>
      <c r="AL2099" s="76"/>
      <c r="AM2099" s="76"/>
      <c r="AN2099" s="76"/>
      <c r="AO2099" s="76"/>
      <c r="AP2099" s="76"/>
      <c r="AQ2099" s="76"/>
      <c r="AR2099" s="76"/>
      <c r="AS2099" s="109"/>
      <c r="AT2099" s="109"/>
      <c r="AU2099" s="109"/>
      <c r="AV2099" s="109"/>
      <c r="AW2099" s="109"/>
      <c r="AX2099" s="109"/>
      <c r="AY2099" s="109"/>
      <c r="AZ2099" s="109"/>
      <c r="BA2099" s="109"/>
      <c r="BB2099" s="109"/>
      <c r="BC2099" s="109"/>
      <c r="BD2099" s="109"/>
      <c r="BE2099" s="109"/>
      <c r="BF2099" s="109"/>
      <c r="BG2099" s="109"/>
      <c r="BH2099" s="109"/>
      <c r="BI2099" s="109"/>
      <c r="BJ2099" s="109"/>
      <c r="BK2099" s="76"/>
      <c r="BL2099" s="109"/>
      <c r="BM2099" s="76"/>
      <c r="BN2099" s="109"/>
      <c r="BR2099" s="76"/>
      <c r="BS2099" s="76"/>
      <c r="BT2099" s="76"/>
      <c r="BU2099" s="76"/>
      <c r="BV2099" s="76"/>
      <c r="BW2099" s="76"/>
      <c r="BX2099" s="76"/>
      <c r="BZ2099" s="76"/>
    </row>
    <row r="2100" spans="3:78">
      <c r="C2100" s="136" t="s">
        <v>2296</v>
      </c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Q2100" s="109"/>
      <c r="R2100" s="109"/>
      <c r="S2100" s="216"/>
      <c r="T2100" s="216"/>
      <c r="U2100" s="109"/>
      <c r="V2100" s="109"/>
      <c r="W2100" s="109"/>
      <c r="X2100" s="109" t="s">
        <v>3</v>
      </c>
      <c r="Y2100" s="109"/>
      <c r="Z2100" s="76"/>
      <c r="AA2100" s="76"/>
      <c r="AB2100" s="76"/>
      <c r="AC2100" s="109" t="s">
        <v>1</v>
      </c>
      <c r="AD2100" s="76"/>
      <c r="AE2100" s="76"/>
      <c r="AF2100" s="76"/>
      <c r="AG2100" s="76"/>
      <c r="AH2100" s="76"/>
      <c r="AI2100" s="76"/>
      <c r="AJ2100" s="76"/>
      <c r="AK2100" s="76"/>
      <c r="AL2100" s="76"/>
      <c r="AM2100" s="76"/>
      <c r="AN2100" s="76"/>
      <c r="AO2100" s="76"/>
      <c r="AP2100" s="76"/>
      <c r="AQ2100" s="76"/>
      <c r="AR2100" s="76"/>
      <c r="AS2100" s="109"/>
      <c r="AT2100" s="109"/>
      <c r="AU2100" s="109"/>
      <c r="AV2100" s="109"/>
      <c r="AW2100" s="109"/>
      <c r="AX2100" s="109"/>
      <c r="AY2100" s="109"/>
      <c r="AZ2100" s="109"/>
      <c r="BA2100" s="109"/>
      <c r="BB2100" s="109"/>
      <c r="BC2100" s="109"/>
      <c r="BD2100" s="109"/>
      <c r="BE2100" s="109"/>
      <c r="BF2100" s="109"/>
      <c r="BG2100" s="109"/>
      <c r="BH2100" s="109"/>
      <c r="BI2100" s="109"/>
      <c r="BJ2100" s="109"/>
      <c r="BK2100" s="76"/>
      <c r="BL2100" s="109"/>
      <c r="BM2100" s="76"/>
      <c r="BN2100" s="109"/>
      <c r="BR2100" s="76"/>
      <c r="BS2100" s="76"/>
      <c r="BT2100" s="76"/>
      <c r="BU2100" s="76"/>
      <c r="BV2100" s="76"/>
      <c r="BW2100" s="76"/>
      <c r="BX2100" s="76"/>
      <c r="BZ2100" s="76"/>
    </row>
    <row r="2101" spans="3:78" ht="27">
      <c r="C2101" s="136" t="s">
        <v>2297</v>
      </c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Q2101" s="109"/>
      <c r="R2101" s="109"/>
      <c r="S2101" s="216"/>
      <c r="T2101" s="216"/>
      <c r="U2101" s="109"/>
      <c r="V2101" s="109"/>
      <c r="W2101" s="109"/>
      <c r="X2101" s="109" t="s">
        <v>3</v>
      </c>
      <c r="Y2101" s="109"/>
      <c r="Z2101" s="76"/>
      <c r="AA2101" s="76"/>
      <c r="AB2101" s="76"/>
      <c r="AC2101" s="109" t="s">
        <v>1</v>
      </c>
      <c r="AD2101" s="76"/>
      <c r="AE2101" s="76"/>
      <c r="AF2101" s="76"/>
      <c r="AG2101" s="76"/>
      <c r="AH2101" s="76"/>
      <c r="AI2101" s="76"/>
      <c r="AJ2101" s="76"/>
      <c r="AK2101" s="76"/>
      <c r="AL2101" s="76"/>
      <c r="AM2101" s="76"/>
      <c r="AN2101" s="76"/>
      <c r="AO2101" s="76"/>
      <c r="AP2101" s="76"/>
      <c r="AQ2101" s="76"/>
      <c r="AR2101" s="76"/>
      <c r="AS2101" s="109"/>
      <c r="AT2101" s="109"/>
      <c r="AU2101" s="109"/>
      <c r="AV2101" s="109"/>
      <c r="AW2101" s="109"/>
      <c r="AX2101" s="109"/>
      <c r="AY2101" s="109"/>
      <c r="AZ2101" s="109"/>
      <c r="BA2101" s="109"/>
      <c r="BB2101" s="109"/>
      <c r="BC2101" s="109"/>
      <c r="BD2101" s="109"/>
      <c r="BE2101" s="109"/>
      <c r="BF2101" s="109"/>
      <c r="BG2101" s="109"/>
      <c r="BH2101" s="109"/>
      <c r="BI2101" s="109"/>
      <c r="BJ2101" s="109"/>
      <c r="BK2101" s="76"/>
      <c r="BL2101" s="109"/>
      <c r="BM2101" s="76"/>
      <c r="BN2101" s="109"/>
      <c r="BR2101" s="76"/>
      <c r="BS2101" s="76"/>
      <c r="BT2101" s="76"/>
      <c r="BU2101" s="76"/>
      <c r="BV2101" s="76"/>
      <c r="BW2101" s="76"/>
      <c r="BX2101" s="76"/>
      <c r="BZ2101" s="76"/>
    </row>
    <row r="2102" spans="3:78">
      <c r="C2102" s="136" t="s">
        <v>2298</v>
      </c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Q2102" s="109"/>
      <c r="R2102" s="109"/>
      <c r="S2102" s="216"/>
      <c r="T2102" s="216"/>
      <c r="U2102" s="109"/>
      <c r="V2102" s="109"/>
      <c r="W2102" s="109"/>
      <c r="X2102" s="109" t="s">
        <v>3</v>
      </c>
      <c r="Y2102" s="109"/>
      <c r="Z2102" s="76"/>
      <c r="AA2102" s="76"/>
      <c r="AB2102" s="76"/>
      <c r="AC2102" s="109" t="s">
        <v>1</v>
      </c>
      <c r="AD2102" s="76"/>
      <c r="AE2102" s="76"/>
      <c r="AF2102" s="76"/>
      <c r="AG2102" s="76"/>
      <c r="AH2102" s="76"/>
      <c r="AI2102" s="76"/>
      <c r="AJ2102" s="76"/>
      <c r="AK2102" s="76"/>
      <c r="AL2102" s="76"/>
      <c r="AM2102" s="76"/>
      <c r="AN2102" s="76"/>
      <c r="AO2102" s="76"/>
      <c r="AP2102" s="76"/>
      <c r="AQ2102" s="76"/>
      <c r="AR2102" s="76"/>
      <c r="AS2102" s="109"/>
      <c r="AT2102" s="109"/>
      <c r="AU2102" s="109"/>
      <c r="AV2102" s="109"/>
      <c r="AW2102" s="109"/>
      <c r="AX2102" s="109"/>
      <c r="AY2102" s="109"/>
      <c r="AZ2102" s="109"/>
      <c r="BA2102" s="109"/>
      <c r="BB2102" s="109"/>
      <c r="BC2102" s="109"/>
      <c r="BD2102" s="109"/>
      <c r="BE2102" s="109"/>
      <c r="BF2102" s="109"/>
      <c r="BG2102" s="109"/>
      <c r="BH2102" s="109"/>
      <c r="BI2102" s="109"/>
      <c r="BJ2102" s="109"/>
      <c r="BK2102" s="76"/>
      <c r="BL2102" s="109"/>
      <c r="BM2102" s="76"/>
      <c r="BN2102" s="109"/>
      <c r="BR2102" s="76"/>
      <c r="BS2102" s="76"/>
      <c r="BT2102" s="76"/>
      <c r="BU2102" s="76"/>
      <c r="BV2102" s="76"/>
      <c r="BW2102" s="76"/>
      <c r="BX2102" s="76"/>
      <c r="BZ2102" s="76"/>
    </row>
    <row r="2103" spans="3:78" ht="27">
      <c r="C2103" s="136" t="s">
        <v>2299</v>
      </c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Q2103" s="109"/>
      <c r="R2103" s="109"/>
      <c r="S2103" s="216"/>
      <c r="T2103" s="216"/>
      <c r="U2103" s="109"/>
      <c r="V2103" s="109"/>
      <c r="W2103" s="109"/>
      <c r="X2103" s="109" t="s">
        <v>3</v>
      </c>
      <c r="Y2103" s="109"/>
      <c r="Z2103" s="76"/>
      <c r="AA2103" s="76"/>
      <c r="AB2103" s="76"/>
      <c r="AC2103" s="109" t="s">
        <v>1</v>
      </c>
      <c r="AD2103" s="76"/>
      <c r="AE2103" s="76"/>
      <c r="AF2103" s="76"/>
      <c r="AG2103" s="76"/>
      <c r="AH2103" s="76"/>
      <c r="AI2103" s="76"/>
      <c r="AJ2103" s="76"/>
      <c r="AK2103" s="76"/>
      <c r="AL2103" s="76"/>
      <c r="AM2103" s="76"/>
      <c r="AN2103" s="76"/>
      <c r="AO2103" s="76"/>
      <c r="AP2103" s="76"/>
      <c r="AQ2103" s="76"/>
      <c r="AR2103" s="76"/>
      <c r="AS2103" s="109"/>
      <c r="AT2103" s="109"/>
      <c r="AU2103" s="109"/>
      <c r="AV2103" s="109"/>
      <c r="AW2103" s="109"/>
      <c r="AX2103" s="109"/>
      <c r="AY2103" s="109"/>
      <c r="AZ2103" s="109"/>
      <c r="BA2103" s="109"/>
      <c r="BB2103" s="109"/>
      <c r="BC2103" s="109"/>
      <c r="BD2103" s="109"/>
      <c r="BE2103" s="109"/>
      <c r="BF2103" s="109"/>
      <c r="BG2103" s="109"/>
      <c r="BH2103" s="109"/>
      <c r="BI2103" s="109"/>
      <c r="BJ2103" s="109"/>
      <c r="BK2103" s="76"/>
      <c r="BL2103" s="109"/>
      <c r="BM2103" s="76"/>
      <c r="BN2103" s="109"/>
      <c r="BR2103" s="76"/>
      <c r="BS2103" s="76"/>
      <c r="BT2103" s="76"/>
      <c r="BU2103" s="76"/>
      <c r="BV2103" s="76"/>
      <c r="BW2103" s="76"/>
      <c r="BX2103" s="76"/>
      <c r="BZ2103" s="76"/>
    </row>
    <row r="2104" spans="3:78" ht="27">
      <c r="C2104" s="136" t="s">
        <v>2300</v>
      </c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Q2104" s="109"/>
      <c r="R2104" s="109"/>
      <c r="S2104" s="216"/>
      <c r="T2104" s="216"/>
      <c r="U2104" s="109"/>
      <c r="V2104" s="109"/>
      <c r="W2104" s="109"/>
      <c r="X2104" s="109" t="s">
        <v>3</v>
      </c>
      <c r="Y2104" s="109"/>
      <c r="Z2104" s="76"/>
      <c r="AA2104" s="76"/>
      <c r="AB2104" s="76"/>
      <c r="AC2104" s="109" t="s">
        <v>1</v>
      </c>
      <c r="AD2104" s="76"/>
      <c r="AE2104" s="76"/>
      <c r="AF2104" s="76"/>
      <c r="AG2104" s="76"/>
      <c r="AH2104" s="76"/>
      <c r="AI2104" s="76"/>
      <c r="AJ2104" s="76"/>
      <c r="AK2104" s="76"/>
      <c r="AL2104" s="76"/>
      <c r="AM2104" s="76"/>
      <c r="AN2104" s="76"/>
      <c r="AO2104" s="76"/>
      <c r="AP2104" s="76"/>
      <c r="AQ2104" s="76"/>
      <c r="AR2104" s="76"/>
      <c r="AS2104" s="109"/>
      <c r="AT2104" s="109"/>
      <c r="AU2104" s="109"/>
      <c r="AV2104" s="109"/>
      <c r="AW2104" s="109"/>
      <c r="AX2104" s="109"/>
      <c r="AY2104" s="109"/>
      <c r="AZ2104" s="109"/>
      <c r="BA2104" s="109"/>
      <c r="BB2104" s="109"/>
      <c r="BC2104" s="109"/>
      <c r="BD2104" s="109"/>
      <c r="BE2104" s="109"/>
      <c r="BF2104" s="109"/>
      <c r="BG2104" s="109"/>
      <c r="BH2104" s="109"/>
      <c r="BI2104" s="109"/>
      <c r="BJ2104" s="109"/>
      <c r="BK2104" s="76"/>
      <c r="BL2104" s="109"/>
      <c r="BM2104" s="76"/>
      <c r="BN2104" s="109"/>
      <c r="BR2104" s="76"/>
      <c r="BS2104" s="76"/>
      <c r="BT2104" s="76"/>
      <c r="BU2104" s="76"/>
      <c r="BV2104" s="76"/>
      <c r="BW2104" s="76"/>
      <c r="BX2104" s="76"/>
      <c r="BZ2104" s="76"/>
    </row>
    <row r="2105" spans="3:78" ht="27">
      <c r="C2105" s="136" t="s">
        <v>2301</v>
      </c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Q2105" s="109"/>
      <c r="R2105" s="109"/>
      <c r="S2105" s="216"/>
      <c r="T2105" s="216"/>
      <c r="U2105" s="109"/>
      <c r="V2105" s="109"/>
      <c r="W2105" s="109"/>
      <c r="X2105" s="109" t="s">
        <v>3</v>
      </c>
      <c r="Y2105" s="109"/>
      <c r="Z2105" s="76"/>
      <c r="AA2105" s="76"/>
      <c r="AB2105" s="76"/>
      <c r="AC2105" s="109" t="s">
        <v>1</v>
      </c>
      <c r="AD2105" s="76"/>
      <c r="AE2105" s="76"/>
      <c r="AF2105" s="76"/>
      <c r="AG2105" s="76"/>
      <c r="AH2105" s="76"/>
      <c r="AI2105" s="76"/>
      <c r="AJ2105" s="76"/>
      <c r="AK2105" s="76"/>
      <c r="AL2105" s="76"/>
      <c r="AM2105" s="76"/>
      <c r="AN2105" s="76"/>
      <c r="AO2105" s="76"/>
      <c r="AP2105" s="76"/>
      <c r="AQ2105" s="76"/>
      <c r="AR2105" s="76"/>
      <c r="AS2105" s="109"/>
      <c r="AT2105" s="109"/>
      <c r="AU2105" s="109"/>
      <c r="AV2105" s="109"/>
      <c r="AW2105" s="109"/>
      <c r="AX2105" s="109"/>
      <c r="AY2105" s="109"/>
      <c r="AZ2105" s="109"/>
      <c r="BA2105" s="109"/>
      <c r="BB2105" s="109"/>
      <c r="BC2105" s="109"/>
      <c r="BD2105" s="109"/>
      <c r="BE2105" s="109"/>
      <c r="BF2105" s="109"/>
      <c r="BG2105" s="109"/>
      <c r="BH2105" s="109"/>
      <c r="BI2105" s="109"/>
      <c r="BJ2105" s="109"/>
      <c r="BK2105" s="76"/>
      <c r="BL2105" s="109"/>
      <c r="BM2105" s="76"/>
      <c r="BN2105" s="109"/>
      <c r="BR2105" s="76"/>
      <c r="BS2105" s="76"/>
      <c r="BT2105" s="76"/>
      <c r="BU2105" s="76"/>
      <c r="BV2105" s="76"/>
      <c r="BW2105" s="76"/>
      <c r="BX2105" s="76"/>
      <c r="BZ2105" s="76"/>
    </row>
    <row r="2106" spans="3:78">
      <c r="C2106" s="136" t="s">
        <v>2302</v>
      </c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Q2106" s="109"/>
      <c r="R2106" s="109"/>
      <c r="S2106" s="216"/>
      <c r="T2106" s="216"/>
      <c r="U2106" s="109"/>
      <c r="V2106" s="109"/>
      <c r="W2106" s="109"/>
      <c r="X2106" s="109" t="s">
        <v>3</v>
      </c>
      <c r="Y2106" s="109"/>
      <c r="Z2106" s="76"/>
      <c r="AA2106" s="76"/>
      <c r="AB2106" s="76"/>
      <c r="AC2106" s="109" t="s">
        <v>1</v>
      </c>
      <c r="AD2106" s="76"/>
      <c r="AE2106" s="76"/>
      <c r="AF2106" s="76"/>
      <c r="AG2106" s="76"/>
      <c r="AH2106" s="76"/>
      <c r="AI2106" s="76"/>
      <c r="AJ2106" s="76"/>
      <c r="AK2106" s="76"/>
      <c r="AL2106" s="76"/>
      <c r="AM2106" s="76"/>
      <c r="AN2106" s="76"/>
      <c r="AO2106" s="76"/>
      <c r="AP2106" s="76"/>
      <c r="AQ2106" s="76"/>
      <c r="AR2106" s="76"/>
      <c r="AS2106" s="109"/>
      <c r="AT2106" s="109"/>
      <c r="AU2106" s="109"/>
      <c r="AV2106" s="109"/>
      <c r="AW2106" s="109"/>
      <c r="AX2106" s="109"/>
      <c r="AY2106" s="109"/>
      <c r="AZ2106" s="109"/>
      <c r="BA2106" s="109"/>
      <c r="BB2106" s="109"/>
      <c r="BC2106" s="109"/>
      <c r="BD2106" s="109"/>
      <c r="BE2106" s="109"/>
      <c r="BF2106" s="109"/>
      <c r="BG2106" s="109"/>
      <c r="BH2106" s="109"/>
      <c r="BI2106" s="109"/>
      <c r="BJ2106" s="109"/>
      <c r="BK2106" s="76"/>
      <c r="BL2106" s="109"/>
      <c r="BM2106" s="76"/>
      <c r="BN2106" s="109"/>
      <c r="BR2106" s="76"/>
      <c r="BS2106" s="76"/>
      <c r="BT2106" s="76"/>
      <c r="BU2106" s="76"/>
      <c r="BV2106" s="76"/>
      <c r="BW2106" s="76"/>
      <c r="BX2106" s="76"/>
      <c r="BZ2106" s="76"/>
    </row>
    <row r="2107" spans="3:78" ht="27">
      <c r="C2107" s="136" t="s">
        <v>2303</v>
      </c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Q2107" s="109"/>
      <c r="R2107" s="109"/>
      <c r="S2107" s="216"/>
      <c r="T2107" s="216"/>
      <c r="U2107" s="109"/>
      <c r="V2107" s="109"/>
      <c r="W2107" s="109"/>
      <c r="X2107" s="109" t="s">
        <v>3</v>
      </c>
      <c r="Y2107" s="109"/>
      <c r="Z2107" s="76"/>
      <c r="AA2107" s="76"/>
      <c r="AB2107" s="76"/>
      <c r="AC2107" s="109" t="s">
        <v>1</v>
      </c>
      <c r="AD2107" s="76"/>
      <c r="AE2107" s="76"/>
      <c r="AF2107" s="76"/>
      <c r="AG2107" s="76"/>
      <c r="AH2107" s="76"/>
      <c r="AI2107" s="76"/>
      <c r="AJ2107" s="76"/>
      <c r="AK2107" s="76"/>
      <c r="AL2107" s="76"/>
      <c r="AM2107" s="76"/>
      <c r="AN2107" s="76"/>
      <c r="AO2107" s="76"/>
      <c r="AP2107" s="76"/>
      <c r="AQ2107" s="76"/>
      <c r="AR2107" s="76"/>
      <c r="AS2107" s="109"/>
      <c r="AT2107" s="109"/>
      <c r="AU2107" s="109"/>
      <c r="AV2107" s="109"/>
      <c r="AW2107" s="109"/>
      <c r="AX2107" s="109"/>
      <c r="AY2107" s="109"/>
      <c r="AZ2107" s="109"/>
      <c r="BA2107" s="109"/>
      <c r="BB2107" s="109"/>
      <c r="BC2107" s="109"/>
      <c r="BD2107" s="109"/>
      <c r="BE2107" s="109"/>
      <c r="BF2107" s="109"/>
      <c r="BG2107" s="109"/>
      <c r="BH2107" s="109"/>
      <c r="BI2107" s="109"/>
      <c r="BJ2107" s="109"/>
      <c r="BK2107" s="76"/>
      <c r="BL2107" s="109"/>
      <c r="BM2107" s="76"/>
      <c r="BN2107" s="109"/>
      <c r="BR2107" s="76"/>
      <c r="BS2107" s="76"/>
      <c r="BT2107" s="76"/>
      <c r="BU2107" s="76"/>
      <c r="BV2107" s="76"/>
      <c r="BW2107" s="76"/>
      <c r="BX2107" s="76"/>
      <c r="BZ2107" s="76"/>
    </row>
    <row r="2108" spans="3:78">
      <c r="C2108" s="136" t="s">
        <v>2304</v>
      </c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Q2108" s="109"/>
      <c r="R2108" s="109"/>
      <c r="S2108" s="216"/>
      <c r="T2108" s="216"/>
      <c r="U2108" s="109"/>
      <c r="V2108" s="109"/>
      <c r="W2108" s="109"/>
      <c r="X2108" s="109" t="s">
        <v>3</v>
      </c>
      <c r="Y2108" s="109"/>
      <c r="Z2108" s="76"/>
      <c r="AA2108" s="76"/>
      <c r="AB2108" s="76"/>
      <c r="AC2108" s="109" t="s">
        <v>1</v>
      </c>
      <c r="AD2108" s="76"/>
      <c r="AE2108" s="76"/>
      <c r="AF2108" s="76"/>
      <c r="AG2108" s="76"/>
      <c r="AH2108" s="76"/>
      <c r="AI2108" s="76"/>
      <c r="AJ2108" s="76"/>
      <c r="AK2108" s="76"/>
      <c r="AL2108" s="76"/>
      <c r="AM2108" s="76"/>
      <c r="AN2108" s="76"/>
      <c r="AO2108" s="76"/>
      <c r="AP2108" s="76"/>
      <c r="AQ2108" s="76"/>
      <c r="AR2108" s="76"/>
      <c r="AS2108" s="109"/>
      <c r="AT2108" s="109"/>
      <c r="AU2108" s="109"/>
      <c r="AV2108" s="109"/>
      <c r="AW2108" s="109"/>
      <c r="AX2108" s="109"/>
      <c r="AY2108" s="109"/>
      <c r="AZ2108" s="109"/>
      <c r="BA2108" s="109"/>
      <c r="BB2108" s="109"/>
      <c r="BC2108" s="109"/>
      <c r="BD2108" s="109"/>
      <c r="BE2108" s="109"/>
      <c r="BF2108" s="109"/>
      <c r="BG2108" s="109"/>
      <c r="BH2108" s="109"/>
      <c r="BI2108" s="109"/>
      <c r="BJ2108" s="109"/>
      <c r="BK2108" s="76"/>
      <c r="BL2108" s="109"/>
      <c r="BM2108" s="76"/>
      <c r="BN2108" s="109"/>
      <c r="BR2108" s="76"/>
      <c r="BS2108" s="76"/>
      <c r="BT2108" s="76"/>
      <c r="BU2108" s="76"/>
      <c r="BV2108" s="76"/>
      <c r="BW2108" s="76"/>
      <c r="BX2108" s="76"/>
      <c r="BZ2108" s="76"/>
    </row>
    <row r="2109" spans="3:78" ht="27">
      <c r="C2109" s="136" t="s">
        <v>2305</v>
      </c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Q2109" s="109"/>
      <c r="R2109" s="109"/>
      <c r="S2109" s="216"/>
      <c r="T2109" s="216"/>
      <c r="U2109" s="109"/>
      <c r="V2109" s="109"/>
      <c r="W2109" s="109"/>
      <c r="X2109" s="109" t="s">
        <v>3</v>
      </c>
      <c r="Y2109" s="109"/>
      <c r="Z2109" s="76"/>
      <c r="AA2109" s="76"/>
      <c r="AB2109" s="76"/>
      <c r="AC2109" s="109" t="s">
        <v>1</v>
      </c>
      <c r="AD2109" s="76"/>
      <c r="AE2109" s="76"/>
      <c r="AF2109" s="76"/>
      <c r="AG2109" s="76"/>
      <c r="AH2109" s="76"/>
      <c r="AI2109" s="76"/>
      <c r="AJ2109" s="76"/>
      <c r="AK2109" s="76"/>
      <c r="AL2109" s="76"/>
      <c r="AM2109" s="76"/>
      <c r="AN2109" s="76"/>
      <c r="AO2109" s="76"/>
      <c r="AP2109" s="76"/>
      <c r="AQ2109" s="76"/>
      <c r="AR2109" s="76"/>
      <c r="AS2109" s="109"/>
      <c r="AT2109" s="109"/>
      <c r="AU2109" s="109"/>
      <c r="AV2109" s="109"/>
      <c r="AW2109" s="109"/>
      <c r="AX2109" s="109"/>
      <c r="AY2109" s="109"/>
      <c r="AZ2109" s="109"/>
      <c r="BA2109" s="109"/>
      <c r="BB2109" s="109"/>
      <c r="BC2109" s="109"/>
      <c r="BD2109" s="109"/>
      <c r="BE2109" s="109"/>
      <c r="BF2109" s="109"/>
      <c r="BG2109" s="109"/>
      <c r="BH2109" s="109"/>
      <c r="BI2109" s="109"/>
      <c r="BJ2109" s="109"/>
      <c r="BK2109" s="76"/>
      <c r="BL2109" s="109"/>
      <c r="BM2109" s="76"/>
      <c r="BN2109" s="109"/>
      <c r="BR2109" s="76"/>
      <c r="BS2109" s="76"/>
      <c r="BT2109" s="76"/>
      <c r="BU2109" s="76"/>
      <c r="BV2109" s="76"/>
      <c r="BW2109" s="76"/>
      <c r="BX2109" s="76"/>
      <c r="BZ2109" s="76"/>
    </row>
    <row r="2110" spans="3:78">
      <c r="C2110" s="136" t="s">
        <v>2306</v>
      </c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Q2110" s="109"/>
      <c r="R2110" s="109"/>
      <c r="S2110" s="216"/>
      <c r="T2110" s="216"/>
      <c r="U2110" s="109"/>
      <c r="V2110" s="109"/>
      <c r="W2110" s="109"/>
      <c r="X2110" s="109" t="s">
        <v>3</v>
      </c>
      <c r="Y2110" s="109"/>
      <c r="Z2110" s="76"/>
      <c r="AA2110" s="76"/>
      <c r="AB2110" s="76"/>
      <c r="AC2110" s="109" t="s">
        <v>1</v>
      </c>
      <c r="AD2110" s="76"/>
      <c r="AE2110" s="76"/>
      <c r="AF2110" s="76"/>
      <c r="AG2110" s="76"/>
      <c r="AH2110" s="76"/>
      <c r="AI2110" s="76"/>
      <c r="AJ2110" s="76"/>
      <c r="AK2110" s="76"/>
      <c r="AL2110" s="76"/>
      <c r="AM2110" s="76"/>
      <c r="AN2110" s="76"/>
      <c r="AO2110" s="76"/>
      <c r="AP2110" s="76"/>
      <c r="AQ2110" s="76"/>
      <c r="AR2110" s="76"/>
      <c r="AS2110" s="109"/>
      <c r="AT2110" s="109"/>
      <c r="AU2110" s="109"/>
      <c r="AV2110" s="109"/>
      <c r="AW2110" s="109"/>
      <c r="AX2110" s="109"/>
      <c r="AY2110" s="109"/>
      <c r="AZ2110" s="109"/>
      <c r="BA2110" s="109"/>
      <c r="BB2110" s="109"/>
      <c r="BC2110" s="109"/>
      <c r="BD2110" s="109"/>
      <c r="BE2110" s="109"/>
      <c r="BF2110" s="109"/>
      <c r="BG2110" s="109"/>
      <c r="BH2110" s="109"/>
      <c r="BI2110" s="109"/>
      <c r="BJ2110" s="109"/>
      <c r="BK2110" s="76"/>
      <c r="BL2110" s="109"/>
      <c r="BM2110" s="76"/>
      <c r="BN2110" s="109"/>
      <c r="BR2110" s="76"/>
      <c r="BS2110" s="76"/>
      <c r="BT2110" s="76"/>
      <c r="BU2110" s="76"/>
      <c r="BV2110" s="76"/>
      <c r="BW2110" s="76"/>
      <c r="BX2110" s="76"/>
      <c r="BZ2110" s="76"/>
    </row>
    <row r="2111" spans="3:78">
      <c r="C2111" s="136" t="s">
        <v>2307</v>
      </c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Q2111" s="109"/>
      <c r="R2111" s="109"/>
      <c r="S2111" s="216"/>
      <c r="T2111" s="216"/>
      <c r="U2111" s="109"/>
      <c r="V2111" s="109"/>
      <c r="W2111" s="109"/>
      <c r="X2111" s="109" t="s">
        <v>3</v>
      </c>
      <c r="Y2111" s="109"/>
      <c r="Z2111" s="76"/>
      <c r="AA2111" s="76"/>
      <c r="AB2111" s="76"/>
      <c r="AC2111" s="109" t="s">
        <v>1</v>
      </c>
      <c r="AD2111" s="76"/>
      <c r="AE2111" s="76"/>
      <c r="AF2111" s="76"/>
      <c r="AG2111" s="76"/>
      <c r="AH2111" s="76"/>
      <c r="AI2111" s="76"/>
      <c r="AJ2111" s="76"/>
      <c r="AK2111" s="76"/>
      <c r="AL2111" s="76"/>
      <c r="AM2111" s="76"/>
      <c r="AN2111" s="76"/>
      <c r="AO2111" s="76"/>
      <c r="AP2111" s="76"/>
      <c r="AQ2111" s="76"/>
      <c r="AR2111" s="76"/>
      <c r="AS2111" s="109"/>
      <c r="AT2111" s="109"/>
      <c r="AU2111" s="109"/>
      <c r="AV2111" s="109"/>
      <c r="AW2111" s="109"/>
      <c r="AX2111" s="109"/>
      <c r="AY2111" s="109"/>
      <c r="AZ2111" s="109"/>
      <c r="BA2111" s="109"/>
      <c r="BB2111" s="109"/>
      <c r="BC2111" s="109"/>
      <c r="BD2111" s="109"/>
      <c r="BE2111" s="109"/>
      <c r="BF2111" s="109"/>
      <c r="BG2111" s="109"/>
      <c r="BH2111" s="109"/>
      <c r="BI2111" s="109"/>
      <c r="BJ2111" s="109"/>
      <c r="BK2111" s="76"/>
      <c r="BL2111" s="109"/>
      <c r="BM2111" s="76"/>
      <c r="BN2111" s="109"/>
      <c r="BR2111" s="76"/>
      <c r="BS2111" s="76"/>
      <c r="BT2111" s="76"/>
      <c r="BU2111" s="76"/>
      <c r="BV2111" s="76"/>
      <c r="BW2111" s="76"/>
      <c r="BX2111" s="76"/>
      <c r="BZ2111" s="76"/>
    </row>
    <row r="2112" spans="3:78">
      <c r="C2112" s="136" t="s">
        <v>2308</v>
      </c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Q2112" s="109"/>
      <c r="R2112" s="109"/>
      <c r="S2112" s="216"/>
      <c r="T2112" s="216"/>
      <c r="U2112" s="109"/>
      <c r="V2112" s="109"/>
      <c r="W2112" s="109"/>
      <c r="X2112" s="109" t="s">
        <v>3</v>
      </c>
      <c r="Y2112" s="109"/>
      <c r="Z2112" s="76"/>
      <c r="AA2112" s="76"/>
      <c r="AB2112" s="76"/>
      <c r="AC2112" s="109" t="s">
        <v>1</v>
      </c>
      <c r="AD2112" s="76"/>
      <c r="AE2112" s="76"/>
      <c r="AF2112" s="76"/>
      <c r="AG2112" s="76"/>
      <c r="AH2112" s="76"/>
      <c r="AI2112" s="76"/>
      <c r="AJ2112" s="76"/>
      <c r="AK2112" s="76"/>
      <c r="AL2112" s="76"/>
      <c r="AM2112" s="76"/>
      <c r="AN2112" s="76"/>
      <c r="AO2112" s="76"/>
      <c r="AP2112" s="76"/>
      <c r="AQ2112" s="76"/>
      <c r="AR2112" s="76"/>
      <c r="AS2112" s="109"/>
      <c r="AT2112" s="109"/>
      <c r="AU2112" s="109"/>
      <c r="AV2112" s="109"/>
      <c r="AW2112" s="109"/>
      <c r="AX2112" s="109"/>
      <c r="AY2112" s="109"/>
      <c r="AZ2112" s="109"/>
      <c r="BA2112" s="109"/>
      <c r="BB2112" s="109"/>
      <c r="BC2112" s="109"/>
      <c r="BD2112" s="109"/>
      <c r="BE2112" s="109"/>
      <c r="BF2112" s="109"/>
      <c r="BG2112" s="109"/>
      <c r="BH2112" s="109"/>
      <c r="BI2112" s="109"/>
      <c r="BJ2112" s="109"/>
      <c r="BK2112" s="76"/>
      <c r="BL2112" s="109"/>
      <c r="BM2112" s="76"/>
      <c r="BN2112" s="109"/>
      <c r="BR2112" s="76"/>
      <c r="BS2112" s="76"/>
      <c r="BT2112" s="76"/>
      <c r="BU2112" s="76"/>
      <c r="BV2112" s="76"/>
      <c r="BW2112" s="76"/>
      <c r="BX2112" s="76"/>
      <c r="BZ2112" s="76"/>
    </row>
    <row r="2113" spans="3:78">
      <c r="D2113" s="101"/>
      <c r="E2113" s="101"/>
      <c r="F2113" s="101" t="s">
        <v>1</v>
      </c>
      <c r="G2113" s="101"/>
      <c r="H2113" s="101"/>
      <c r="I2113" s="101"/>
      <c r="J2113" s="101"/>
      <c r="K2113" s="101"/>
      <c r="L2113" s="101"/>
      <c r="M2113" s="101"/>
      <c r="N2113" s="101"/>
      <c r="O2113" s="101"/>
      <c r="Q2113" s="101"/>
      <c r="R2113" s="101"/>
      <c r="S2113" s="217"/>
      <c r="T2113" s="217"/>
      <c r="U2113" s="101"/>
      <c r="V2113" s="101"/>
      <c r="W2113" s="101"/>
      <c r="X2113" s="101" t="s">
        <v>2</v>
      </c>
      <c r="Y2113" s="101"/>
      <c r="Z2113" s="76"/>
      <c r="AA2113" s="76"/>
      <c r="AB2113" s="76"/>
      <c r="AD2113" s="76"/>
      <c r="AE2113" s="76"/>
      <c r="AF2113" s="76"/>
      <c r="AG2113" s="76"/>
      <c r="AH2113" s="76"/>
      <c r="AI2113" s="76"/>
      <c r="AJ2113" s="76"/>
      <c r="AK2113" s="76"/>
      <c r="AL2113" s="76"/>
      <c r="AM2113" s="76"/>
      <c r="AN2113" s="76"/>
      <c r="AO2113" s="76"/>
      <c r="AP2113" s="76"/>
      <c r="AQ2113" s="76"/>
      <c r="AR2113" s="76"/>
      <c r="AS2113" s="101"/>
      <c r="AT2113" s="101"/>
      <c r="AU2113" s="101"/>
      <c r="AV2113" s="101"/>
      <c r="AW2113" s="101"/>
      <c r="AX2113" s="101"/>
      <c r="AY2113" s="101"/>
      <c r="AZ2113" s="101"/>
      <c r="BA2113" s="101"/>
      <c r="BB2113" s="101"/>
      <c r="BC2113" s="101"/>
      <c r="BD2113" s="101"/>
      <c r="BE2113" s="101"/>
      <c r="BF2113" s="101"/>
      <c r="BG2113" s="101"/>
      <c r="BH2113" s="101"/>
      <c r="BI2113" s="101"/>
      <c r="BJ2113" s="76"/>
      <c r="BK2113" s="76"/>
      <c r="BL2113" s="76"/>
      <c r="BM2113" s="76"/>
      <c r="BN2113" s="76"/>
      <c r="BR2113" s="76"/>
      <c r="BS2113" s="76"/>
      <c r="BT2113" s="76"/>
      <c r="BU2113" s="76"/>
      <c r="BV2113" s="76"/>
      <c r="BW2113" s="76"/>
      <c r="BX2113" s="76"/>
      <c r="BZ2113" s="76"/>
    </row>
    <row r="2114" spans="3:78">
      <c r="C2114" s="136" t="s">
        <v>2309</v>
      </c>
      <c r="D2114" s="101"/>
      <c r="E2114" s="101"/>
      <c r="F2114" s="101"/>
      <c r="G2114" s="101"/>
      <c r="H2114" s="101"/>
      <c r="I2114" s="101"/>
      <c r="J2114" s="101"/>
      <c r="K2114" s="101"/>
      <c r="L2114" s="101"/>
      <c r="M2114" s="101"/>
      <c r="N2114" s="101"/>
      <c r="O2114" s="101"/>
      <c r="Q2114" s="101"/>
      <c r="R2114" s="101"/>
      <c r="S2114" s="217"/>
      <c r="T2114" s="217"/>
      <c r="U2114" s="101"/>
      <c r="V2114" s="101"/>
      <c r="W2114" s="101"/>
      <c r="X2114" s="110" t="s">
        <v>0</v>
      </c>
      <c r="Y2114" s="101"/>
      <c r="Z2114" s="76"/>
      <c r="AA2114" s="76"/>
      <c r="AB2114" s="76"/>
      <c r="AD2114" s="76"/>
      <c r="AE2114" s="76"/>
      <c r="AF2114" s="76"/>
      <c r="AG2114" s="76"/>
      <c r="AH2114" s="76"/>
      <c r="AI2114" s="76"/>
      <c r="AJ2114" s="76"/>
      <c r="AK2114" s="76"/>
      <c r="AL2114" s="76"/>
      <c r="AM2114" s="76"/>
      <c r="AN2114" s="76"/>
      <c r="AO2114" s="76"/>
      <c r="AP2114" s="76"/>
      <c r="AQ2114" s="76"/>
      <c r="AR2114" s="76"/>
      <c r="AS2114" s="101"/>
      <c r="AT2114" s="101"/>
      <c r="AU2114" s="101"/>
      <c r="AV2114" s="101"/>
      <c r="AW2114" s="101"/>
      <c r="AX2114" s="101"/>
      <c r="AY2114" s="101"/>
      <c r="AZ2114" s="101"/>
      <c r="BA2114" s="101"/>
      <c r="BB2114" s="101"/>
      <c r="BC2114" s="101"/>
      <c r="BD2114" s="101"/>
      <c r="BE2114" s="101"/>
      <c r="BF2114" s="101"/>
      <c r="BG2114" s="101"/>
      <c r="BH2114" s="101"/>
      <c r="BI2114" s="101"/>
      <c r="BJ2114" s="76"/>
      <c r="BK2114" s="76"/>
      <c r="BL2114" s="76"/>
      <c r="BM2114" s="76"/>
      <c r="BN2114" s="76"/>
      <c r="BR2114" s="76"/>
      <c r="BS2114" s="76"/>
      <c r="BT2114" s="76"/>
      <c r="BU2114" s="76"/>
      <c r="BV2114" s="76"/>
      <c r="BW2114" s="76"/>
      <c r="BX2114" s="76"/>
      <c r="BZ2114" s="76"/>
    </row>
    <row r="2115" spans="3:78">
      <c r="C2115" s="136" t="s">
        <v>2310</v>
      </c>
      <c r="D2115" s="101"/>
      <c r="E2115" s="101"/>
      <c r="F2115" s="110" t="s">
        <v>0</v>
      </c>
      <c r="G2115" s="101"/>
      <c r="H2115" s="101"/>
      <c r="I2115" s="101"/>
      <c r="J2115" s="101"/>
      <c r="K2115" s="101"/>
      <c r="L2115" s="101"/>
      <c r="M2115" s="101"/>
      <c r="N2115" s="101"/>
      <c r="O2115" s="101"/>
      <c r="Q2115" s="101"/>
      <c r="R2115" s="101"/>
      <c r="S2115" s="217"/>
      <c r="T2115" s="217"/>
      <c r="U2115" s="110"/>
      <c r="V2115" s="110"/>
      <c r="W2115" s="110"/>
      <c r="X2115" s="101"/>
      <c r="Y2115" s="110"/>
      <c r="Z2115" s="76"/>
      <c r="AA2115" s="76"/>
      <c r="AB2115" s="76"/>
      <c r="AD2115" s="76"/>
      <c r="AE2115" s="76"/>
      <c r="AF2115" s="76"/>
      <c r="AG2115" s="76"/>
      <c r="AH2115" s="76"/>
      <c r="AI2115" s="76"/>
      <c r="AJ2115" s="76"/>
      <c r="AK2115" s="76"/>
      <c r="AL2115" s="76"/>
      <c r="AM2115" s="76"/>
      <c r="AN2115" s="76"/>
      <c r="AO2115" s="76"/>
      <c r="AP2115" s="76"/>
      <c r="AQ2115" s="76"/>
      <c r="AR2115" s="76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76"/>
      <c r="BK2115" s="76"/>
      <c r="BL2115" s="76"/>
      <c r="BM2115" s="76"/>
      <c r="BN2115" s="76"/>
      <c r="BR2115" s="76"/>
      <c r="BS2115" s="76"/>
      <c r="BT2115" s="76"/>
      <c r="BU2115" s="76"/>
      <c r="BV2115" s="76"/>
      <c r="BW2115" s="76"/>
      <c r="BX2115" s="76"/>
      <c r="BZ2115" s="76"/>
    </row>
    <row r="2116" spans="3:78">
      <c r="C2116" s="136" t="s">
        <v>2311</v>
      </c>
      <c r="D2116" s="101"/>
      <c r="E2116" s="101"/>
      <c r="F2116" s="110" t="s">
        <v>0</v>
      </c>
      <c r="G2116" s="101"/>
      <c r="H2116" s="101"/>
      <c r="I2116" s="101"/>
      <c r="J2116" s="101"/>
      <c r="K2116" s="101"/>
      <c r="L2116" s="101"/>
      <c r="M2116" s="101"/>
      <c r="N2116" s="101"/>
      <c r="O2116" s="101"/>
      <c r="Q2116" s="101"/>
      <c r="R2116" s="101"/>
      <c r="S2116" s="217"/>
      <c r="T2116" s="217"/>
      <c r="U2116" s="110"/>
      <c r="V2116" s="110"/>
      <c r="W2116" s="110"/>
      <c r="X2116" s="101"/>
      <c r="Y2116" s="110"/>
      <c r="Z2116" s="76"/>
      <c r="AA2116" s="76"/>
      <c r="AB2116" s="76"/>
      <c r="AD2116" s="76"/>
      <c r="AE2116" s="76"/>
      <c r="AF2116" s="76"/>
      <c r="AG2116" s="76"/>
      <c r="AH2116" s="76"/>
      <c r="AI2116" s="76"/>
      <c r="AJ2116" s="76"/>
      <c r="AK2116" s="76"/>
      <c r="AL2116" s="76"/>
      <c r="AM2116" s="76"/>
      <c r="AN2116" s="76"/>
      <c r="AO2116" s="76"/>
      <c r="AP2116" s="76"/>
      <c r="AQ2116" s="76"/>
      <c r="AR2116" s="76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76"/>
      <c r="BK2116" s="76"/>
      <c r="BL2116" s="76"/>
      <c r="BM2116" s="76"/>
      <c r="BN2116" s="76"/>
      <c r="BR2116" s="76"/>
      <c r="BS2116" s="76"/>
      <c r="BT2116" s="76"/>
      <c r="BU2116" s="76"/>
      <c r="BV2116" s="76"/>
      <c r="BW2116" s="76"/>
      <c r="BX2116" s="76"/>
      <c r="BZ2116" s="76"/>
    </row>
    <row r="2117" spans="3:78">
      <c r="C2117" s="136" t="s">
        <v>2312</v>
      </c>
      <c r="D2117" s="101"/>
      <c r="E2117" s="101"/>
      <c r="F2117" s="110" t="s">
        <v>0</v>
      </c>
      <c r="G2117" s="101"/>
      <c r="H2117" s="101"/>
      <c r="I2117" s="101"/>
      <c r="J2117" s="101"/>
      <c r="K2117" s="101"/>
      <c r="L2117" s="101"/>
      <c r="M2117" s="101"/>
      <c r="N2117" s="101"/>
      <c r="O2117" s="101"/>
      <c r="Q2117" s="101"/>
      <c r="R2117" s="101"/>
      <c r="S2117" s="217"/>
      <c r="T2117" s="217"/>
      <c r="U2117" s="110"/>
      <c r="V2117" s="110"/>
      <c r="W2117" s="110"/>
      <c r="X2117" s="101"/>
      <c r="Y2117" s="110"/>
      <c r="Z2117" s="76"/>
      <c r="AA2117" s="76"/>
      <c r="AB2117" s="76"/>
      <c r="AD2117" s="76"/>
      <c r="AE2117" s="76"/>
      <c r="AF2117" s="76"/>
      <c r="AG2117" s="76"/>
      <c r="AH2117" s="76"/>
      <c r="AI2117" s="76"/>
      <c r="AJ2117" s="76"/>
      <c r="AK2117" s="76"/>
      <c r="AL2117" s="76"/>
      <c r="AM2117" s="76"/>
      <c r="AN2117" s="76"/>
      <c r="AO2117" s="76"/>
      <c r="AP2117" s="76"/>
      <c r="AQ2117" s="76"/>
      <c r="AR2117" s="76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76"/>
      <c r="BK2117" s="76"/>
      <c r="BL2117" s="76"/>
      <c r="BM2117" s="76"/>
      <c r="BN2117" s="76"/>
      <c r="BR2117" s="76"/>
      <c r="BS2117" s="76"/>
      <c r="BT2117" s="76"/>
      <c r="BU2117" s="76"/>
      <c r="BV2117" s="76"/>
      <c r="BW2117" s="76"/>
      <c r="BX2117" s="76"/>
      <c r="BZ2117" s="76"/>
    </row>
    <row r="2118" spans="3:78">
      <c r="C2118" s="136" t="s">
        <v>2313</v>
      </c>
      <c r="D2118" s="101"/>
      <c r="E2118" s="101"/>
      <c r="F2118" s="101"/>
      <c r="G2118" s="101"/>
      <c r="H2118" s="101"/>
      <c r="I2118" s="101"/>
      <c r="J2118" s="101"/>
      <c r="K2118" s="101"/>
      <c r="L2118" s="101"/>
      <c r="M2118" s="101"/>
      <c r="N2118" s="101"/>
      <c r="O2118" s="101"/>
      <c r="Q2118" s="101"/>
      <c r="R2118" s="101"/>
      <c r="S2118" s="217"/>
      <c r="T2118" s="217"/>
      <c r="U2118" s="101"/>
      <c r="V2118" s="101"/>
      <c r="W2118" s="101"/>
      <c r="X2118" s="110" t="s">
        <v>0</v>
      </c>
      <c r="Y2118" s="101"/>
      <c r="Z2118" s="76"/>
      <c r="AA2118" s="76"/>
      <c r="AB2118" s="76"/>
      <c r="AD2118" s="76"/>
      <c r="AE2118" s="76"/>
      <c r="AF2118" s="76"/>
      <c r="AG2118" s="76"/>
      <c r="AH2118" s="76"/>
      <c r="AI2118" s="76"/>
      <c r="AJ2118" s="76"/>
      <c r="AK2118" s="76"/>
      <c r="AL2118" s="76"/>
      <c r="AM2118" s="76"/>
      <c r="AN2118" s="76"/>
      <c r="AO2118" s="76"/>
      <c r="AP2118" s="76"/>
      <c r="AQ2118" s="76"/>
      <c r="AR2118" s="76"/>
      <c r="AS2118" s="101"/>
      <c r="AT2118" s="101"/>
      <c r="AU2118" s="101"/>
      <c r="AV2118" s="101"/>
      <c r="AW2118" s="101"/>
      <c r="AX2118" s="101"/>
      <c r="AY2118" s="101"/>
      <c r="AZ2118" s="101"/>
      <c r="BA2118" s="101"/>
      <c r="BB2118" s="101"/>
      <c r="BC2118" s="101"/>
      <c r="BD2118" s="101"/>
      <c r="BE2118" s="101"/>
      <c r="BF2118" s="101"/>
      <c r="BG2118" s="101"/>
      <c r="BH2118" s="101"/>
      <c r="BI2118" s="101"/>
      <c r="BJ2118" s="76"/>
      <c r="BK2118" s="76"/>
      <c r="BL2118" s="76"/>
      <c r="BM2118" s="76"/>
      <c r="BN2118" s="76"/>
      <c r="BR2118" s="76"/>
      <c r="BS2118" s="76"/>
      <c r="BT2118" s="76"/>
      <c r="BU2118" s="76"/>
      <c r="BV2118" s="76"/>
      <c r="BW2118" s="76"/>
      <c r="BX2118" s="76"/>
      <c r="BZ2118" s="76"/>
    </row>
    <row r="2119" spans="3:78">
      <c r="C2119" s="136" t="s">
        <v>2314</v>
      </c>
      <c r="D2119" s="101"/>
      <c r="E2119" s="101"/>
      <c r="F2119" s="101"/>
      <c r="G2119" s="101"/>
      <c r="H2119" s="101"/>
      <c r="I2119" s="101"/>
      <c r="J2119" s="101"/>
      <c r="K2119" s="101"/>
      <c r="L2119" s="101"/>
      <c r="M2119" s="101"/>
      <c r="N2119" s="101"/>
      <c r="O2119" s="101"/>
      <c r="Q2119" s="101"/>
      <c r="R2119" s="101"/>
      <c r="S2119" s="217"/>
      <c r="T2119" s="217"/>
      <c r="U2119" s="101"/>
      <c r="V2119" s="101"/>
      <c r="W2119" s="101"/>
      <c r="X2119" s="110" t="s">
        <v>0</v>
      </c>
      <c r="Y2119" s="101"/>
      <c r="Z2119" s="76"/>
      <c r="AA2119" s="76"/>
      <c r="AB2119" s="76"/>
      <c r="AD2119" s="76"/>
      <c r="AE2119" s="76"/>
      <c r="AF2119" s="76"/>
      <c r="AG2119" s="76"/>
      <c r="AH2119" s="76"/>
      <c r="AI2119" s="76"/>
      <c r="AJ2119" s="76"/>
      <c r="AK2119" s="76"/>
      <c r="AL2119" s="76"/>
      <c r="AM2119" s="76"/>
      <c r="AN2119" s="76"/>
      <c r="AO2119" s="76"/>
      <c r="AP2119" s="76"/>
      <c r="AQ2119" s="76"/>
      <c r="AR2119" s="76"/>
      <c r="AS2119" s="101"/>
      <c r="AT2119" s="101"/>
      <c r="AU2119" s="101"/>
      <c r="AV2119" s="101"/>
      <c r="AW2119" s="101"/>
      <c r="AX2119" s="101"/>
      <c r="AY2119" s="101"/>
      <c r="AZ2119" s="101"/>
      <c r="BA2119" s="101"/>
      <c r="BB2119" s="101"/>
      <c r="BC2119" s="101"/>
      <c r="BD2119" s="101"/>
      <c r="BE2119" s="101"/>
      <c r="BF2119" s="101"/>
      <c r="BG2119" s="101"/>
      <c r="BH2119" s="101"/>
      <c r="BI2119" s="101"/>
      <c r="BJ2119" s="76"/>
      <c r="BK2119" s="76"/>
      <c r="BL2119" s="76"/>
      <c r="BM2119" s="76"/>
      <c r="BN2119" s="76"/>
      <c r="BR2119" s="76"/>
      <c r="BS2119" s="76"/>
      <c r="BT2119" s="76"/>
      <c r="BU2119" s="76"/>
      <c r="BV2119" s="76"/>
      <c r="BW2119" s="76"/>
      <c r="BX2119" s="76"/>
      <c r="BZ2119" s="76"/>
    </row>
    <row r="2120" spans="3:78">
      <c r="C2120" s="136" t="s">
        <v>2315</v>
      </c>
      <c r="D2120" s="101"/>
      <c r="E2120" s="101"/>
      <c r="F2120" s="101"/>
      <c r="G2120" s="101"/>
      <c r="H2120" s="101"/>
      <c r="I2120" s="101"/>
      <c r="J2120" s="101"/>
      <c r="K2120" s="101"/>
      <c r="L2120" s="101"/>
      <c r="M2120" s="101"/>
      <c r="N2120" s="101"/>
      <c r="O2120" s="101"/>
      <c r="Q2120" s="101"/>
      <c r="R2120" s="101"/>
      <c r="S2120" s="217"/>
      <c r="T2120" s="217"/>
      <c r="U2120" s="101"/>
      <c r="V2120" s="101"/>
      <c r="W2120" s="101"/>
      <c r="X2120" s="110" t="s">
        <v>0</v>
      </c>
      <c r="Y2120" s="101"/>
      <c r="Z2120" s="76"/>
      <c r="AA2120" s="76"/>
      <c r="AB2120" s="76"/>
      <c r="AD2120" s="76"/>
      <c r="AE2120" s="76"/>
      <c r="AF2120" s="76"/>
      <c r="AG2120" s="76"/>
      <c r="AH2120" s="76"/>
      <c r="AI2120" s="76"/>
      <c r="AJ2120" s="76"/>
      <c r="AK2120" s="76"/>
      <c r="AL2120" s="76"/>
      <c r="AM2120" s="76"/>
      <c r="AN2120" s="76"/>
      <c r="AO2120" s="76"/>
      <c r="AP2120" s="76"/>
      <c r="AQ2120" s="76"/>
      <c r="AR2120" s="76"/>
      <c r="AS2120" s="101"/>
      <c r="AT2120" s="101"/>
      <c r="AU2120" s="101"/>
      <c r="AV2120" s="101"/>
      <c r="AW2120" s="101"/>
      <c r="AX2120" s="101"/>
      <c r="AY2120" s="101"/>
      <c r="AZ2120" s="101"/>
      <c r="BA2120" s="101"/>
      <c r="BB2120" s="101"/>
      <c r="BC2120" s="101"/>
      <c r="BD2120" s="101"/>
      <c r="BE2120" s="101"/>
      <c r="BF2120" s="101"/>
      <c r="BG2120" s="101"/>
      <c r="BH2120" s="101"/>
      <c r="BI2120" s="101"/>
      <c r="BJ2120" s="76"/>
      <c r="BK2120" s="76"/>
      <c r="BL2120" s="76"/>
      <c r="BM2120" s="76"/>
      <c r="BN2120" s="76"/>
      <c r="BR2120" s="76"/>
      <c r="BS2120" s="76"/>
      <c r="BT2120" s="76"/>
      <c r="BU2120" s="76"/>
      <c r="BV2120" s="76"/>
      <c r="BW2120" s="76"/>
      <c r="BX2120" s="76"/>
      <c r="BZ2120" s="76"/>
    </row>
    <row r="2121" spans="3:78">
      <c r="C2121" s="136" t="s">
        <v>2316</v>
      </c>
      <c r="D2121" s="101"/>
      <c r="E2121" s="101"/>
      <c r="F2121" s="101"/>
      <c r="G2121" s="101"/>
      <c r="H2121" s="101"/>
      <c r="I2121" s="101"/>
      <c r="J2121" s="101"/>
      <c r="K2121" s="101"/>
      <c r="L2121" s="101"/>
      <c r="M2121" s="101"/>
      <c r="N2121" s="101"/>
      <c r="O2121" s="101"/>
      <c r="Q2121" s="101"/>
      <c r="R2121" s="101"/>
      <c r="S2121" s="217"/>
      <c r="T2121" s="217"/>
      <c r="U2121" s="101"/>
      <c r="V2121" s="101"/>
      <c r="W2121" s="101"/>
      <c r="X2121" s="110" t="s">
        <v>0</v>
      </c>
      <c r="Y2121" s="101"/>
      <c r="Z2121" s="76"/>
      <c r="AA2121" s="76"/>
      <c r="AB2121" s="76"/>
      <c r="AD2121" s="76"/>
      <c r="AE2121" s="76"/>
      <c r="AF2121" s="76"/>
      <c r="AG2121" s="76"/>
      <c r="AH2121" s="76"/>
      <c r="AI2121" s="76"/>
      <c r="AJ2121" s="76"/>
      <c r="AK2121" s="76"/>
      <c r="AL2121" s="76"/>
      <c r="AM2121" s="76"/>
      <c r="AN2121" s="76"/>
      <c r="AO2121" s="76"/>
      <c r="AP2121" s="76"/>
      <c r="AQ2121" s="76"/>
      <c r="AR2121" s="76"/>
      <c r="AS2121" s="101"/>
      <c r="AT2121" s="101"/>
      <c r="AU2121" s="101"/>
      <c r="AV2121" s="101"/>
      <c r="AW2121" s="101"/>
      <c r="AX2121" s="101"/>
      <c r="AY2121" s="101"/>
      <c r="AZ2121" s="101"/>
      <c r="BA2121" s="101"/>
      <c r="BB2121" s="101"/>
      <c r="BC2121" s="101"/>
      <c r="BD2121" s="101"/>
      <c r="BE2121" s="101"/>
      <c r="BF2121" s="101"/>
      <c r="BG2121" s="101"/>
      <c r="BH2121" s="101"/>
      <c r="BI2121" s="101"/>
      <c r="BJ2121" s="76"/>
      <c r="BK2121" s="76"/>
      <c r="BL2121" s="76"/>
      <c r="BM2121" s="76"/>
      <c r="BN2121" s="76"/>
      <c r="BR2121" s="76"/>
      <c r="BS2121" s="76"/>
      <c r="BT2121" s="76"/>
      <c r="BU2121" s="76"/>
      <c r="BV2121" s="76"/>
      <c r="BW2121" s="76"/>
      <c r="BX2121" s="76"/>
      <c r="BZ2121" s="76"/>
    </row>
    <row r="2122" spans="3:78">
      <c r="C2122" s="136" t="s">
        <v>2317</v>
      </c>
      <c r="D2122" s="101"/>
      <c r="E2122" s="101"/>
      <c r="F2122" s="110" t="s">
        <v>0</v>
      </c>
      <c r="G2122" s="101"/>
      <c r="H2122" s="101"/>
      <c r="I2122" s="101"/>
      <c r="J2122" s="101"/>
      <c r="K2122" s="101"/>
      <c r="L2122" s="101"/>
      <c r="M2122" s="101"/>
      <c r="N2122" s="101"/>
      <c r="O2122" s="101"/>
      <c r="Q2122" s="101"/>
      <c r="R2122" s="101"/>
      <c r="S2122" s="217"/>
      <c r="T2122" s="217"/>
      <c r="U2122" s="110"/>
      <c r="V2122" s="110"/>
      <c r="W2122" s="110"/>
      <c r="X2122" s="110" t="s">
        <v>0</v>
      </c>
      <c r="Y2122" s="110"/>
      <c r="Z2122" s="76"/>
      <c r="AA2122" s="76"/>
      <c r="AB2122" s="76"/>
      <c r="AD2122" s="76"/>
      <c r="AE2122" s="76"/>
      <c r="AF2122" s="76"/>
      <c r="AG2122" s="76"/>
      <c r="AH2122" s="76"/>
      <c r="AI2122" s="76"/>
      <c r="AJ2122" s="76"/>
      <c r="AK2122" s="76"/>
      <c r="AL2122" s="76"/>
      <c r="AM2122" s="76"/>
      <c r="AN2122" s="76"/>
      <c r="AO2122" s="76"/>
      <c r="AP2122" s="76"/>
      <c r="AQ2122" s="76"/>
      <c r="AR2122" s="76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76"/>
      <c r="BK2122" s="76"/>
      <c r="BL2122" s="76"/>
      <c r="BM2122" s="76"/>
      <c r="BN2122" s="76"/>
      <c r="BR2122" s="76"/>
      <c r="BS2122" s="76"/>
      <c r="BT2122" s="76"/>
      <c r="BU2122" s="76"/>
      <c r="BV2122" s="76"/>
      <c r="BW2122" s="76"/>
      <c r="BX2122" s="76"/>
      <c r="BZ2122" s="76"/>
    </row>
    <row r="2123" spans="3:78">
      <c r="C2123" s="136" t="s">
        <v>2318</v>
      </c>
      <c r="D2123" s="101"/>
      <c r="E2123" s="101"/>
      <c r="F2123" s="101"/>
      <c r="G2123" s="101"/>
      <c r="H2123" s="101"/>
      <c r="I2123" s="101"/>
      <c r="J2123" s="101"/>
      <c r="K2123" s="101"/>
      <c r="L2123" s="101"/>
      <c r="M2123" s="101"/>
      <c r="N2123" s="101"/>
      <c r="O2123" s="101"/>
      <c r="Q2123" s="101"/>
      <c r="R2123" s="101"/>
      <c r="S2123" s="217"/>
      <c r="T2123" s="217"/>
      <c r="U2123" s="101"/>
      <c r="V2123" s="101"/>
      <c r="W2123" s="101"/>
      <c r="X2123" s="110" t="s">
        <v>0</v>
      </c>
      <c r="Y2123" s="101"/>
      <c r="Z2123" s="76"/>
      <c r="AA2123" s="76"/>
      <c r="AB2123" s="76"/>
      <c r="AD2123" s="76"/>
      <c r="AE2123" s="76"/>
      <c r="AF2123" s="76"/>
      <c r="AG2123" s="76"/>
      <c r="AH2123" s="76"/>
      <c r="AI2123" s="76"/>
      <c r="AJ2123" s="76"/>
      <c r="AK2123" s="76"/>
      <c r="AL2123" s="76"/>
      <c r="AM2123" s="76"/>
      <c r="AN2123" s="76"/>
      <c r="AO2123" s="76"/>
      <c r="AP2123" s="76"/>
      <c r="AQ2123" s="76"/>
      <c r="AR2123" s="76"/>
      <c r="AS2123" s="101"/>
      <c r="AT2123" s="101"/>
      <c r="AU2123" s="101"/>
      <c r="AV2123" s="101"/>
      <c r="AW2123" s="101"/>
      <c r="AX2123" s="101"/>
      <c r="AY2123" s="101"/>
      <c r="AZ2123" s="101"/>
      <c r="BA2123" s="101"/>
      <c r="BB2123" s="101"/>
      <c r="BC2123" s="101"/>
      <c r="BD2123" s="101"/>
      <c r="BE2123" s="101"/>
      <c r="BF2123" s="101"/>
      <c r="BG2123" s="101"/>
      <c r="BH2123" s="101"/>
      <c r="BI2123" s="101"/>
      <c r="BJ2123" s="76"/>
      <c r="BK2123" s="76"/>
      <c r="BL2123" s="76"/>
      <c r="BM2123" s="76"/>
      <c r="BN2123" s="76"/>
      <c r="BR2123" s="76"/>
      <c r="BS2123" s="76"/>
      <c r="BT2123" s="76"/>
      <c r="BU2123" s="76"/>
      <c r="BV2123" s="76"/>
      <c r="BW2123" s="76"/>
      <c r="BX2123" s="76"/>
      <c r="BZ2123" s="76"/>
    </row>
    <row r="2124" spans="3:78">
      <c r="C2124" s="136" t="s">
        <v>2319</v>
      </c>
      <c r="D2124" s="101"/>
      <c r="E2124" s="101"/>
      <c r="F2124" s="101"/>
      <c r="G2124" s="101"/>
      <c r="H2124" s="101"/>
      <c r="I2124" s="101"/>
      <c r="J2124" s="101"/>
      <c r="K2124" s="101"/>
      <c r="L2124" s="101"/>
      <c r="M2124" s="101"/>
      <c r="N2124" s="101"/>
      <c r="O2124" s="101"/>
      <c r="Q2124" s="101"/>
      <c r="R2124" s="101"/>
      <c r="S2124" s="217"/>
      <c r="T2124" s="217"/>
      <c r="U2124" s="101"/>
      <c r="V2124" s="101"/>
      <c r="W2124" s="101"/>
      <c r="X2124" s="110" t="s">
        <v>0</v>
      </c>
      <c r="Y2124" s="101"/>
      <c r="Z2124" s="76"/>
      <c r="AA2124" s="76"/>
      <c r="AB2124" s="76"/>
      <c r="AD2124" s="76"/>
      <c r="AE2124" s="76"/>
      <c r="AF2124" s="76"/>
      <c r="AG2124" s="76"/>
      <c r="AH2124" s="76"/>
      <c r="AI2124" s="76"/>
      <c r="AJ2124" s="76"/>
      <c r="AK2124" s="76"/>
      <c r="AL2124" s="76"/>
      <c r="AM2124" s="76"/>
      <c r="AN2124" s="76"/>
      <c r="AO2124" s="76"/>
      <c r="AP2124" s="76"/>
      <c r="AQ2124" s="76"/>
      <c r="AR2124" s="76"/>
      <c r="AS2124" s="101"/>
      <c r="AT2124" s="101"/>
      <c r="AU2124" s="101"/>
      <c r="AV2124" s="101"/>
      <c r="AW2124" s="101"/>
      <c r="AX2124" s="101"/>
      <c r="AY2124" s="101"/>
      <c r="AZ2124" s="101"/>
      <c r="BA2124" s="101"/>
      <c r="BB2124" s="101"/>
      <c r="BC2124" s="101"/>
      <c r="BD2124" s="101"/>
      <c r="BE2124" s="101"/>
      <c r="BF2124" s="101"/>
      <c r="BG2124" s="101"/>
      <c r="BH2124" s="101"/>
      <c r="BI2124" s="101"/>
      <c r="BJ2124" s="76"/>
      <c r="BK2124" s="76"/>
      <c r="BL2124" s="76"/>
      <c r="BM2124" s="76"/>
      <c r="BN2124" s="76"/>
      <c r="BR2124" s="76"/>
      <c r="BS2124" s="76"/>
      <c r="BT2124" s="76"/>
      <c r="BU2124" s="76"/>
      <c r="BV2124" s="76"/>
      <c r="BW2124" s="76"/>
      <c r="BX2124" s="76"/>
      <c r="BZ2124" s="76"/>
    </row>
    <row r="2125" spans="3:78">
      <c r="C2125" s="136" t="s">
        <v>2320</v>
      </c>
      <c r="D2125" s="101"/>
      <c r="E2125" s="101"/>
      <c r="F2125" s="101"/>
      <c r="G2125" s="101"/>
      <c r="H2125" s="101"/>
      <c r="I2125" s="101"/>
      <c r="J2125" s="101"/>
      <c r="K2125" s="101"/>
      <c r="L2125" s="101"/>
      <c r="M2125" s="101"/>
      <c r="N2125" s="101"/>
      <c r="O2125" s="101"/>
      <c r="Q2125" s="101"/>
      <c r="R2125" s="101"/>
      <c r="S2125" s="217"/>
      <c r="T2125" s="217"/>
      <c r="U2125" s="101"/>
      <c r="V2125" s="101"/>
      <c r="W2125" s="101"/>
      <c r="X2125" s="110" t="s">
        <v>0</v>
      </c>
      <c r="Y2125" s="101"/>
      <c r="Z2125" s="76"/>
      <c r="AA2125" s="76"/>
      <c r="AB2125" s="76"/>
      <c r="AD2125" s="76"/>
      <c r="AE2125" s="76"/>
      <c r="AF2125" s="76"/>
      <c r="AG2125" s="76"/>
      <c r="AH2125" s="76"/>
      <c r="AI2125" s="76"/>
      <c r="AJ2125" s="76"/>
      <c r="AK2125" s="76"/>
      <c r="AL2125" s="76"/>
      <c r="AM2125" s="76"/>
      <c r="AN2125" s="76"/>
      <c r="AO2125" s="76"/>
      <c r="AP2125" s="76"/>
      <c r="AQ2125" s="76"/>
      <c r="AR2125" s="76"/>
      <c r="AS2125" s="101"/>
      <c r="AT2125" s="101"/>
      <c r="AU2125" s="101"/>
      <c r="AV2125" s="101"/>
      <c r="AW2125" s="101"/>
      <c r="AX2125" s="101"/>
      <c r="AY2125" s="101"/>
      <c r="AZ2125" s="101"/>
      <c r="BA2125" s="101"/>
      <c r="BB2125" s="101"/>
      <c r="BC2125" s="101"/>
      <c r="BD2125" s="101"/>
      <c r="BE2125" s="101"/>
      <c r="BF2125" s="101"/>
      <c r="BG2125" s="101"/>
      <c r="BH2125" s="101"/>
      <c r="BI2125" s="101"/>
      <c r="BJ2125" s="76"/>
      <c r="BK2125" s="76"/>
      <c r="BL2125" s="76"/>
      <c r="BM2125" s="76"/>
      <c r="BN2125" s="76"/>
      <c r="BR2125" s="76"/>
      <c r="BS2125" s="76"/>
      <c r="BT2125" s="76"/>
      <c r="BU2125" s="76"/>
      <c r="BV2125" s="76"/>
      <c r="BW2125" s="76"/>
      <c r="BX2125" s="76"/>
      <c r="BZ2125" s="76"/>
    </row>
    <row r="2126" spans="3:78">
      <c r="C2126" s="136" t="s">
        <v>2321</v>
      </c>
      <c r="D2126" s="101"/>
      <c r="E2126" s="101"/>
      <c r="F2126" s="101"/>
      <c r="G2126" s="101"/>
      <c r="H2126" s="101"/>
      <c r="I2126" s="101"/>
      <c r="J2126" s="101"/>
      <c r="K2126" s="101"/>
      <c r="L2126" s="101"/>
      <c r="M2126" s="101"/>
      <c r="N2126" s="101"/>
      <c r="O2126" s="101"/>
      <c r="Q2126" s="101"/>
      <c r="R2126" s="101"/>
      <c r="S2126" s="217"/>
      <c r="T2126" s="217"/>
      <c r="U2126" s="101"/>
      <c r="V2126" s="101"/>
      <c r="W2126" s="101"/>
      <c r="X2126" s="101"/>
      <c r="Y2126" s="101"/>
      <c r="Z2126" s="76"/>
      <c r="AA2126" s="76"/>
      <c r="AB2126" s="76"/>
      <c r="AD2126" s="76"/>
      <c r="AE2126" s="76"/>
      <c r="AF2126" s="76"/>
      <c r="AG2126" s="76"/>
      <c r="AH2126" s="76"/>
      <c r="AI2126" s="76"/>
      <c r="AJ2126" s="76"/>
      <c r="AK2126" s="76"/>
      <c r="AL2126" s="76"/>
      <c r="AM2126" s="76"/>
      <c r="AN2126" s="76"/>
      <c r="AO2126" s="76"/>
      <c r="AP2126" s="76"/>
      <c r="AQ2126" s="76"/>
      <c r="AR2126" s="76"/>
      <c r="AS2126" s="101"/>
      <c r="AT2126" s="101"/>
      <c r="AU2126" s="101"/>
      <c r="AV2126" s="101"/>
      <c r="AW2126" s="101"/>
      <c r="AX2126" s="101"/>
      <c r="AY2126" s="101"/>
      <c r="AZ2126" s="101"/>
      <c r="BA2126" s="101"/>
      <c r="BB2126" s="101"/>
      <c r="BC2126" s="101"/>
      <c r="BD2126" s="101"/>
      <c r="BE2126" s="101"/>
      <c r="BF2126" s="101"/>
      <c r="BG2126" s="101"/>
      <c r="BH2126" s="101"/>
      <c r="BI2126" s="101"/>
      <c r="BJ2126" s="76"/>
      <c r="BK2126" s="76"/>
      <c r="BL2126" s="76"/>
      <c r="BM2126" s="76"/>
      <c r="BN2126" s="76"/>
      <c r="BR2126" s="76"/>
      <c r="BS2126" s="76"/>
      <c r="BT2126" s="76"/>
      <c r="BU2126" s="76"/>
      <c r="BV2126" s="76"/>
      <c r="BW2126" s="76"/>
      <c r="BX2126" s="76"/>
      <c r="BZ2126" s="76"/>
    </row>
    <row r="2127" spans="3:78">
      <c r="C2127" s="136" t="s">
        <v>2322</v>
      </c>
      <c r="D2127" s="101"/>
      <c r="E2127" s="101"/>
      <c r="F2127" s="110" t="s">
        <v>0</v>
      </c>
      <c r="G2127" s="101"/>
      <c r="H2127" s="101"/>
      <c r="I2127" s="101"/>
      <c r="J2127" s="101"/>
      <c r="K2127" s="101"/>
      <c r="L2127" s="101"/>
      <c r="M2127" s="101"/>
      <c r="N2127" s="101"/>
      <c r="O2127" s="101"/>
      <c r="Q2127" s="101"/>
      <c r="R2127" s="101"/>
      <c r="S2127" s="217"/>
      <c r="T2127" s="217"/>
      <c r="U2127" s="110"/>
      <c r="V2127" s="110"/>
      <c r="W2127" s="110"/>
      <c r="X2127" s="110" t="s">
        <v>0</v>
      </c>
      <c r="Y2127" s="110"/>
      <c r="Z2127" s="76"/>
      <c r="AA2127" s="76"/>
      <c r="AB2127" s="76"/>
      <c r="AD2127" s="76"/>
      <c r="AE2127" s="76"/>
      <c r="AF2127" s="76"/>
      <c r="AG2127" s="76"/>
      <c r="AH2127" s="76"/>
      <c r="AI2127" s="76"/>
      <c r="AJ2127" s="76"/>
      <c r="AK2127" s="76"/>
      <c r="AL2127" s="76"/>
      <c r="AM2127" s="76"/>
      <c r="AN2127" s="76"/>
      <c r="AO2127" s="76"/>
      <c r="AP2127" s="76"/>
      <c r="AQ2127" s="76"/>
      <c r="AR2127" s="76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76"/>
      <c r="BK2127" s="76"/>
      <c r="BL2127" s="76"/>
      <c r="BM2127" s="76"/>
      <c r="BN2127" s="76"/>
      <c r="BR2127" s="76"/>
      <c r="BS2127" s="76"/>
      <c r="BT2127" s="76"/>
      <c r="BU2127" s="76"/>
      <c r="BV2127" s="76"/>
      <c r="BW2127" s="76"/>
      <c r="BX2127" s="76"/>
      <c r="BZ2127" s="76"/>
    </row>
    <row r="2128" spans="3:78">
      <c r="C2128" s="136" t="s">
        <v>2323</v>
      </c>
      <c r="D2128" s="101"/>
      <c r="E2128" s="101"/>
      <c r="F2128" s="110" t="s">
        <v>0</v>
      </c>
      <c r="G2128" s="101"/>
      <c r="H2128" s="101"/>
      <c r="I2128" s="101"/>
      <c r="J2128" s="101"/>
      <c r="K2128" s="101"/>
      <c r="L2128" s="101"/>
      <c r="M2128" s="101"/>
      <c r="N2128" s="101"/>
      <c r="O2128" s="101"/>
      <c r="Q2128" s="101"/>
      <c r="R2128" s="101"/>
      <c r="S2128" s="217"/>
      <c r="T2128" s="217"/>
      <c r="U2128" s="110"/>
      <c r="V2128" s="110"/>
      <c r="W2128" s="110"/>
      <c r="X2128" s="101"/>
      <c r="Y2128" s="110"/>
      <c r="Z2128" s="76"/>
      <c r="AA2128" s="76"/>
      <c r="AB2128" s="76"/>
      <c r="AD2128" s="76"/>
      <c r="AE2128" s="76"/>
      <c r="AF2128" s="76"/>
      <c r="AG2128" s="76"/>
      <c r="AH2128" s="76"/>
      <c r="AI2128" s="76"/>
      <c r="AJ2128" s="76"/>
      <c r="AK2128" s="76"/>
      <c r="AL2128" s="76"/>
      <c r="AM2128" s="76"/>
      <c r="AN2128" s="76"/>
      <c r="AO2128" s="76"/>
      <c r="AP2128" s="76"/>
      <c r="AQ2128" s="76"/>
      <c r="AR2128" s="76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76"/>
      <c r="BK2128" s="76"/>
      <c r="BL2128" s="76"/>
      <c r="BM2128" s="76"/>
      <c r="BN2128" s="76"/>
      <c r="BR2128" s="76"/>
      <c r="BS2128" s="76"/>
      <c r="BT2128" s="76"/>
      <c r="BU2128" s="76"/>
      <c r="BV2128" s="76"/>
      <c r="BW2128" s="76"/>
      <c r="BX2128" s="76"/>
      <c r="BZ2128" s="76"/>
    </row>
    <row r="2129" spans="3:78">
      <c r="C2129" s="136" t="s">
        <v>2324</v>
      </c>
      <c r="D2129" s="101"/>
      <c r="E2129" s="101"/>
      <c r="F2129" s="101"/>
      <c r="G2129" s="101"/>
      <c r="H2129" s="101"/>
      <c r="I2129" s="101"/>
      <c r="J2129" s="101"/>
      <c r="K2129" s="101"/>
      <c r="L2129" s="101"/>
      <c r="M2129" s="101"/>
      <c r="N2129" s="101"/>
      <c r="O2129" s="101"/>
      <c r="Q2129" s="101"/>
      <c r="R2129" s="101"/>
      <c r="S2129" s="217"/>
      <c r="T2129" s="217"/>
      <c r="U2129" s="101"/>
      <c r="V2129" s="101"/>
      <c r="W2129" s="101"/>
      <c r="X2129" s="110" t="s">
        <v>0</v>
      </c>
      <c r="Y2129" s="101"/>
      <c r="Z2129" s="76"/>
      <c r="AA2129" s="76"/>
      <c r="AB2129" s="76"/>
      <c r="AD2129" s="76"/>
      <c r="AE2129" s="76"/>
      <c r="AF2129" s="76"/>
      <c r="AG2129" s="76"/>
      <c r="AH2129" s="76"/>
      <c r="AI2129" s="76"/>
      <c r="AJ2129" s="76"/>
      <c r="AK2129" s="76"/>
      <c r="AL2129" s="76"/>
      <c r="AM2129" s="76"/>
      <c r="AN2129" s="76"/>
      <c r="AO2129" s="76"/>
      <c r="AP2129" s="76"/>
      <c r="AQ2129" s="76"/>
      <c r="AR2129" s="76"/>
      <c r="AS2129" s="101"/>
      <c r="AT2129" s="101"/>
      <c r="AU2129" s="101"/>
      <c r="AV2129" s="101"/>
      <c r="AW2129" s="101"/>
      <c r="AX2129" s="101"/>
      <c r="AY2129" s="101"/>
      <c r="AZ2129" s="101"/>
      <c r="BA2129" s="101"/>
      <c r="BB2129" s="101"/>
      <c r="BC2129" s="101"/>
      <c r="BD2129" s="101"/>
      <c r="BE2129" s="101"/>
      <c r="BF2129" s="101"/>
      <c r="BG2129" s="101"/>
      <c r="BH2129" s="101"/>
      <c r="BI2129" s="101"/>
      <c r="BJ2129" s="76"/>
      <c r="BK2129" s="76"/>
      <c r="BL2129" s="76"/>
      <c r="BM2129" s="76"/>
      <c r="BN2129" s="76"/>
      <c r="BR2129" s="76"/>
      <c r="BS2129" s="76"/>
      <c r="BT2129" s="76"/>
      <c r="BU2129" s="76"/>
      <c r="BV2129" s="76"/>
      <c r="BW2129" s="76"/>
      <c r="BX2129" s="76"/>
      <c r="BZ2129" s="76"/>
    </row>
    <row r="2130" spans="3:78">
      <c r="C2130" s="136" t="s">
        <v>2325</v>
      </c>
      <c r="D2130" s="101"/>
      <c r="E2130" s="101"/>
      <c r="F2130" s="110" t="s">
        <v>0</v>
      </c>
      <c r="G2130" s="101"/>
      <c r="H2130" s="101"/>
      <c r="I2130" s="101"/>
      <c r="J2130" s="101"/>
      <c r="K2130" s="101"/>
      <c r="L2130" s="101"/>
      <c r="M2130" s="101"/>
      <c r="N2130" s="101"/>
      <c r="O2130" s="101"/>
      <c r="Q2130" s="101"/>
      <c r="R2130" s="101"/>
      <c r="S2130" s="217"/>
      <c r="T2130" s="217"/>
      <c r="U2130" s="110"/>
      <c r="V2130" s="110"/>
      <c r="W2130" s="110"/>
      <c r="X2130" s="110" t="s">
        <v>0</v>
      </c>
      <c r="Y2130" s="110"/>
      <c r="Z2130" s="76"/>
      <c r="AA2130" s="76"/>
      <c r="AB2130" s="76"/>
      <c r="AD2130" s="76"/>
      <c r="AE2130" s="76"/>
      <c r="AF2130" s="76"/>
      <c r="AG2130" s="76"/>
      <c r="AH2130" s="76"/>
      <c r="AI2130" s="76"/>
      <c r="AJ2130" s="76"/>
      <c r="AK2130" s="76"/>
      <c r="AL2130" s="76"/>
      <c r="AM2130" s="76"/>
      <c r="AN2130" s="76"/>
      <c r="AO2130" s="76"/>
      <c r="AP2130" s="76"/>
      <c r="AQ2130" s="76"/>
      <c r="AR2130" s="76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76"/>
      <c r="BK2130" s="76"/>
      <c r="BL2130" s="76"/>
      <c r="BM2130" s="76"/>
      <c r="BN2130" s="76"/>
      <c r="BR2130" s="76"/>
      <c r="BS2130" s="76"/>
      <c r="BT2130" s="76"/>
      <c r="BU2130" s="76"/>
      <c r="BV2130" s="76"/>
      <c r="BW2130" s="76"/>
      <c r="BX2130" s="76"/>
      <c r="BZ2130" s="76"/>
    </row>
    <row r="2131" spans="3:78">
      <c r="D2131" s="101"/>
      <c r="E2131" s="101"/>
      <c r="F2131" s="101"/>
      <c r="G2131" s="101"/>
      <c r="H2131" s="101"/>
      <c r="I2131" s="101"/>
      <c r="J2131" s="101"/>
      <c r="K2131" s="101"/>
      <c r="L2131" s="101"/>
      <c r="M2131" s="101"/>
      <c r="N2131" s="101"/>
      <c r="O2131" s="101"/>
      <c r="Q2131" s="101"/>
      <c r="R2131" s="101"/>
      <c r="S2131" s="217"/>
      <c r="T2131" s="217"/>
      <c r="U2131" s="101"/>
      <c r="V2131" s="101"/>
      <c r="W2131" s="101"/>
      <c r="X2131" s="101"/>
      <c r="Y2131" s="101"/>
      <c r="Z2131" s="76"/>
      <c r="AA2131" s="76"/>
      <c r="AB2131" s="76"/>
      <c r="AD2131" s="76"/>
      <c r="AE2131" s="76"/>
      <c r="AF2131" s="76"/>
      <c r="AG2131" s="76"/>
      <c r="AH2131" s="76"/>
      <c r="AI2131" s="76"/>
      <c r="AJ2131" s="76"/>
      <c r="AK2131" s="76"/>
      <c r="AL2131" s="76"/>
      <c r="AM2131" s="76"/>
      <c r="AN2131" s="76"/>
      <c r="AO2131" s="76"/>
      <c r="AP2131" s="76"/>
      <c r="AQ2131" s="76"/>
      <c r="AR2131" s="76"/>
      <c r="AS2131" s="101"/>
      <c r="AT2131" s="101"/>
      <c r="AU2131" s="101"/>
      <c r="AV2131" s="101"/>
      <c r="AW2131" s="101"/>
      <c r="AX2131" s="101"/>
      <c r="AY2131" s="101"/>
      <c r="AZ2131" s="101"/>
      <c r="BA2131" s="101"/>
      <c r="BB2131" s="101"/>
      <c r="BC2131" s="101"/>
      <c r="BD2131" s="101"/>
      <c r="BE2131" s="101"/>
      <c r="BF2131" s="101"/>
      <c r="BG2131" s="101"/>
      <c r="BH2131" s="101"/>
      <c r="BI2131" s="101"/>
      <c r="BJ2131" s="76"/>
      <c r="BK2131" s="76"/>
      <c r="BL2131" s="76"/>
      <c r="BM2131" s="76"/>
      <c r="BN2131" s="76"/>
      <c r="BR2131" s="76"/>
      <c r="BS2131" s="76"/>
      <c r="BT2131" s="76"/>
      <c r="BU2131" s="76"/>
      <c r="BV2131" s="76"/>
      <c r="BW2131" s="76"/>
      <c r="BX2131" s="76"/>
      <c r="BZ2131" s="76"/>
    </row>
    <row r="2132" spans="3:78">
      <c r="C2132" s="136" t="s">
        <v>2248</v>
      </c>
      <c r="D2132" s="106"/>
      <c r="E2132" s="106"/>
      <c r="F2132" s="76"/>
      <c r="G2132" s="106"/>
      <c r="H2132" s="106"/>
      <c r="I2132" s="106"/>
      <c r="J2132" s="106"/>
      <c r="K2132" s="106"/>
      <c r="L2132" s="106"/>
      <c r="M2132" s="106"/>
      <c r="N2132" s="106"/>
      <c r="O2132" s="106"/>
      <c r="Q2132" s="106"/>
      <c r="R2132" s="106"/>
      <c r="S2132" s="218"/>
      <c r="T2132" s="218"/>
      <c r="U2132" s="76"/>
      <c r="V2132" s="76"/>
      <c r="W2132" s="76"/>
      <c r="X2132" s="76"/>
      <c r="Y2132" s="76"/>
      <c r="Z2132" s="76"/>
      <c r="AA2132" s="76"/>
      <c r="AB2132" s="76"/>
      <c r="AD2132" s="76"/>
      <c r="AE2132" s="76"/>
      <c r="AF2132" s="76"/>
      <c r="AG2132" s="76"/>
      <c r="AH2132" s="76"/>
      <c r="AI2132" s="76"/>
      <c r="AJ2132" s="76"/>
      <c r="AK2132" s="76"/>
      <c r="AL2132" s="76"/>
      <c r="AM2132" s="76"/>
      <c r="AN2132" s="76"/>
      <c r="AO2132" s="76"/>
      <c r="AP2132" s="76"/>
      <c r="AQ2132" s="76"/>
      <c r="AR2132" s="76"/>
      <c r="AS2132" s="76"/>
      <c r="AT2132" s="76"/>
      <c r="AU2132" s="76"/>
      <c r="AV2132" s="76"/>
      <c r="AW2132" s="76"/>
      <c r="AX2132" s="76"/>
      <c r="AY2132" s="76"/>
      <c r="AZ2132" s="76"/>
      <c r="BA2132" s="76"/>
      <c r="BB2132" s="76"/>
      <c r="BC2132" s="76"/>
      <c r="BD2132" s="76"/>
      <c r="BE2132" s="76"/>
      <c r="BF2132" s="76"/>
      <c r="BG2132" s="76"/>
      <c r="BH2132" s="76"/>
      <c r="BI2132" s="76"/>
      <c r="BJ2132" s="76"/>
      <c r="BK2132" s="76"/>
      <c r="BL2132" s="76"/>
      <c r="BM2132" s="76"/>
      <c r="BN2132" s="76"/>
      <c r="BR2132" s="76"/>
      <c r="BS2132" s="76"/>
      <c r="BT2132" s="76"/>
      <c r="BU2132" s="76"/>
      <c r="BV2132" s="76"/>
      <c r="BW2132" s="76"/>
      <c r="BX2132" s="76"/>
      <c r="BZ2132" s="76"/>
    </row>
    <row r="2133" spans="3:78">
      <c r="C2133" s="136" t="s">
        <v>2262</v>
      </c>
      <c r="D2133" s="106"/>
      <c r="E2133" s="106"/>
      <c r="F2133" s="76"/>
      <c r="G2133" s="106"/>
      <c r="H2133" s="106"/>
      <c r="I2133" s="106"/>
      <c r="J2133" s="106"/>
      <c r="K2133" s="106"/>
      <c r="L2133" s="106"/>
      <c r="M2133" s="106"/>
      <c r="N2133" s="106"/>
      <c r="O2133" s="106"/>
      <c r="Q2133" s="106"/>
      <c r="R2133" s="106"/>
      <c r="S2133" s="218"/>
      <c r="T2133" s="218"/>
      <c r="U2133" s="76"/>
      <c r="V2133" s="76"/>
      <c r="W2133" s="76"/>
      <c r="X2133" s="76"/>
      <c r="Y2133" s="76"/>
      <c r="Z2133" s="76"/>
      <c r="AA2133" s="76"/>
      <c r="AB2133" s="76"/>
      <c r="AD2133" s="76"/>
      <c r="AE2133" s="76"/>
      <c r="AF2133" s="76"/>
      <c r="AG2133" s="76"/>
      <c r="AH2133" s="76"/>
      <c r="AI2133" s="76"/>
      <c r="AJ2133" s="76"/>
      <c r="AK2133" s="76"/>
      <c r="AL2133" s="76"/>
      <c r="AM2133" s="76"/>
      <c r="AN2133" s="76"/>
      <c r="AO2133" s="76"/>
      <c r="AP2133" s="76"/>
      <c r="AQ2133" s="76"/>
      <c r="AR2133" s="76"/>
      <c r="AS2133" s="76"/>
      <c r="AT2133" s="76"/>
      <c r="AU2133" s="76"/>
      <c r="AV2133" s="76"/>
      <c r="AW2133" s="76"/>
      <c r="AX2133" s="76"/>
      <c r="AY2133" s="76"/>
      <c r="AZ2133" s="76"/>
      <c r="BA2133" s="76"/>
      <c r="BB2133" s="76"/>
      <c r="BC2133" s="76"/>
      <c r="BD2133" s="76"/>
      <c r="BE2133" s="76"/>
      <c r="BF2133" s="76"/>
      <c r="BG2133" s="76"/>
      <c r="BH2133" s="76"/>
      <c r="BI2133" s="76"/>
      <c r="BJ2133" s="76"/>
      <c r="BK2133" s="76"/>
      <c r="BL2133" s="76"/>
      <c r="BM2133" s="76"/>
      <c r="BN2133" s="76"/>
      <c r="BR2133" s="76"/>
      <c r="BS2133" s="76"/>
      <c r="BT2133" s="76"/>
      <c r="BU2133" s="76"/>
      <c r="BV2133" s="76"/>
      <c r="BW2133" s="76"/>
      <c r="BX2133" s="76"/>
      <c r="BZ2133" s="76"/>
    </row>
    <row r="2134" spans="3:78">
      <c r="C2134" s="136" t="s">
        <v>2251</v>
      </c>
      <c r="D2134" s="106"/>
      <c r="E2134" s="106"/>
      <c r="F2134" s="76"/>
      <c r="G2134" s="106"/>
      <c r="H2134" s="106"/>
      <c r="I2134" s="106"/>
      <c r="J2134" s="106"/>
      <c r="K2134" s="106"/>
      <c r="L2134" s="106"/>
      <c r="M2134" s="106"/>
      <c r="N2134" s="106"/>
      <c r="O2134" s="106"/>
      <c r="Q2134" s="106"/>
      <c r="R2134" s="106"/>
      <c r="S2134" s="218"/>
      <c r="T2134" s="218"/>
      <c r="U2134" s="76"/>
      <c r="V2134" s="76"/>
      <c r="W2134" s="76"/>
      <c r="X2134" s="76"/>
      <c r="Y2134" s="76"/>
      <c r="Z2134" s="76"/>
      <c r="AA2134" s="76"/>
      <c r="AB2134" s="76"/>
      <c r="AD2134" s="76"/>
      <c r="AE2134" s="76"/>
      <c r="AF2134" s="76"/>
      <c r="AG2134" s="76"/>
      <c r="AH2134" s="76"/>
      <c r="AI2134" s="76"/>
      <c r="AJ2134" s="76"/>
      <c r="AK2134" s="76"/>
      <c r="AL2134" s="76"/>
      <c r="AM2134" s="76"/>
      <c r="AN2134" s="76"/>
      <c r="AO2134" s="76"/>
      <c r="AP2134" s="76"/>
      <c r="AQ2134" s="76"/>
      <c r="AR2134" s="76"/>
      <c r="AS2134" s="76"/>
      <c r="AT2134" s="76"/>
      <c r="AU2134" s="76"/>
      <c r="AV2134" s="76"/>
      <c r="AW2134" s="76"/>
      <c r="AX2134" s="76"/>
      <c r="AY2134" s="76"/>
      <c r="AZ2134" s="76"/>
      <c r="BA2134" s="76"/>
      <c r="BB2134" s="76"/>
      <c r="BC2134" s="76"/>
      <c r="BD2134" s="76"/>
      <c r="BE2134" s="76"/>
      <c r="BF2134" s="76"/>
      <c r="BG2134" s="76"/>
      <c r="BH2134" s="76"/>
      <c r="BI2134" s="76"/>
      <c r="BJ2134" s="76"/>
      <c r="BK2134" s="76"/>
      <c r="BL2134" s="76"/>
      <c r="BM2134" s="76"/>
      <c r="BN2134" s="76"/>
      <c r="BR2134" s="76"/>
      <c r="BS2134" s="76"/>
      <c r="BT2134" s="76"/>
      <c r="BU2134" s="76"/>
      <c r="BV2134" s="76"/>
      <c r="BW2134" s="76"/>
      <c r="BX2134" s="76"/>
      <c r="BZ2134" s="76"/>
    </row>
    <row r="2135" spans="3:78">
      <c r="C2135" s="136" t="s">
        <v>2255</v>
      </c>
      <c r="D2135" s="106"/>
      <c r="E2135" s="106"/>
      <c r="F2135" s="76"/>
      <c r="G2135" s="106"/>
      <c r="H2135" s="106"/>
      <c r="I2135" s="106"/>
      <c r="J2135" s="106"/>
      <c r="K2135" s="106"/>
      <c r="L2135" s="106"/>
      <c r="M2135" s="106"/>
      <c r="N2135" s="106"/>
      <c r="O2135" s="106"/>
      <c r="Q2135" s="106"/>
      <c r="R2135" s="106"/>
      <c r="S2135" s="218"/>
      <c r="T2135" s="218"/>
      <c r="U2135" s="76"/>
      <c r="V2135" s="76"/>
      <c r="W2135" s="76"/>
      <c r="X2135" s="76"/>
      <c r="Y2135" s="76"/>
      <c r="Z2135" s="76"/>
      <c r="AA2135" s="76"/>
      <c r="AB2135" s="76"/>
      <c r="AD2135" s="76"/>
      <c r="AE2135" s="76"/>
      <c r="AF2135" s="76"/>
      <c r="AG2135" s="76"/>
      <c r="AH2135" s="76"/>
      <c r="AI2135" s="76"/>
      <c r="AJ2135" s="76"/>
      <c r="AK2135" s="76"/>
      <c r="AL2135" s="76"/>
      <c r="AM2135" s="76"/>
      <c r="AN2135" s="76"/>
      <c r="AO2135" s="76"/>
      <c r="AP2135" s="76"/>
      <c r="AQ2135" s="76"/>
      <c r="AR2135" s="76"/>
      <c r="AS2135" s="76"/>
      <c r="AT2135" s="76"/>
      <c r="AU2135" s="76"/>
      <c r="AV2135" s="76"/>
      <c r="AW2135" s="76"/>
      <c r="AX2135" s="76"/>
      <c r="AY2135" s="76"/>
      <c r="AZ2135" s="76"/>
      <c r="BA2135" s="76"/>
      <c r="BB2135" s="76"/>
      <c r="BC2135" s="76"/>
      <c r="BD2135" s="76"/>
      <c r="BE2135" s="76"/>
      <c r="BF2135" s="76"/>
      <c r="BG2135" s="76"/>
      <c r="BH2135" s="76"/>
      <c r="BI2135" s="76"/>
      <c r="BJ2135" s="76"/>
      <c r="BK2135" s="76"/>
      <c r="BL2135" s="76"/>
      <c r="BM2135" s="76"/>
      <c r="BN2135" s="76"/>
      <c r="BR2135" s="76"/>
      <c r="BS2135" s="76"/>
      <c r="BT2135" s="76"/>
      <c r="BU2135" s="76"/>
      <c r="BV2135" s="76"/>
      <c r="BW2135" s="76"/>
      <c r="BX2135" s="76"/>
      <c r="BZ2135" s="76"/>
    </row>
    <row r="2136" spans="3:78">
      <c r="C2136" s="136" t="s">
        <v>2254</v>
      </c>
      <c r="D2136" s="106"/>
      <c r="E2136" s="106"/>
      <c r="F2136" s="76"/>
      <c r="G2136" s="106"/>
      <c r="H2136" s="106"/>
      <c r="I2136" s="106"/>
      <c r="J2136" s="106"/>
      <c r="K2136" s="106"/>
      <c r="L2136" s="106"/>
      <c r="M2136" s="106"/>
      <c r="N2136" s="106"/>
      <c r="O2136" s="106"/>
      <c r="Q2136" s="106"/>
      <c r="R2136" s="106"/>
      <c r="S2136" s="218"/>
      <c r="T2136" s="218"/>
      <c r="U2136" s="76"/>
      <c r="V2136" s="76"/>
      <c r="W2136" s="76"/>
      <c r="X2136" s="76"/>
      <c r="Y2136" s="76"/>
      <c r="Z2136" s="76"/>
      <c r="AA2136" s="76"/>
      <c r="AB2136" s="76"/>
      <c r="AD2136" s="76"/>
      <c r="AE2136" s="76"/>
      <c r="AF2136" s="76"/>
      <c r="AG2136" s="76"/>
      <c r="AH2136" s="76"/>
      <c r="AI2136" s="76"/>
      <c r="AJ2136" s="76"/>
      <c r="AK2136" s="76"/>
      <c r="AL2136" s="76"/>
      <c r="AM2136" s="76"/>
      <c r="AN2136" s="76"/>
      <c r="AO2136" s="76"/>
      <c r="AP2136" s="76"/>
      <c r="AQ2136" s="76"/>
      <c r="AR2136" s="76"/>
      <c r="AS2136" s="76"/>
      <c r="AT2136" s="76"/>
      <c r="AU2136" s="76"/>
      <c r="AV2136" s="76"/>
      <c r="AW2136" s="76"/>
      <c r="AX2136" s="76"/>
      <c r="AY2136" s="76"/>
      <c r="AZ2136" s="76"/>
      <c r="BA2136" s="76"/>
      <c r="BB2136" s="76"/>
      <c r="BC2136" s="76"/>
      <c r="BD2136" s="76"/>
      <c r="BE2136" s="76"/>
      <c r="BF2136" s="76"/>
      <c r="BG2136" s="76"/>
      <c r="BH2136" s="76"/>
      <c r="BI2136" s="76"/>
      <c r="BJ2136" s="76"/>
      <c r="BK2136" s="76"/>
      <c r="BL2136" s="76"/>
      <c r="BM2136" s="76"/>
      <c r="BN2136" s="76"/>
      <c r="BR2136" s="76"/>
      <c r="BS2136" s="76"/>
      <c r="BT2136" s="76"/>
      <c r="BU2136" s="76"/>
      <c r="BV2136" s="76"/>
      <c r="BW2136" s="76"/>
      <c r="BX2136" s="76"/>
      <c r="BZ2136" s="76"/>
    </row>
    <row r="2137" spans="3:78">
      <c r="C2137" s="136" t="s">
        <v>2252</v>
      </c>
      <c r="D2137" s="106"/>
      <c r="E2137" s="106"/>
      <c r="F2137" s="76"/>
      <c r="G2137" s="106"/>
      <c r="H2137" s="106"/>
      <c r="I2137" s="106"/>
      <c r="J2137" s="106"/>
      <c r="K2137" s="106"/>
      <c r="L2137" s="106"/>
      <c r="M2137" s="106"/>
      <c r="N2137" s="106"/>
      <c r="O2137" s="106"/>
      <c r="Q2137" s="106"/>
      <c r="R2137" s="106"/>
      <c r="S2137" s="218"/>
      <c r="T2137" s="218"/>
      <c r="U2137" s="76"/>
      <c r="V2137" s="76"/>
      <c r="W2137" s="76"/>
      <c r="X2137" s="76"/>
      <c r="Y2137" s="76"/>
      <c r="Z2137" s="76"/>
      <c r="AA2137" s="76"/>
      <c r="AB2137" s="76"/>
      <c r="AD2137" s="76"/>
      <c r="AE2137" s="76"/>
      <c r="AF2137" s="76"/>
      <c r="AG2137" s="76"/>
      <c r="AH2137" s="76"/>
      <c r="AI2137" s="76"/>
      <c r="AJ2137" s="76"/>
      <c r="AK2137" s="76"/>
      <c r="AL2137" s="76"/>
      <c r="AM2137" s="76"/>
      <c r="AN2137" s="76"/>
      <c r="AO2137" s="76"/>
      <c r="AP2137" s="76"/>
      <c r="AQ2137" s="76"/>
      <c r="AR2137" s="76"/>
      <c r="AS2137" s="76"/>
      <c r="AT2137" s="76"/>
      <c r="AU2137" s="76"/>
      <c r="AV2137" s="76"/>
      <c r="AW2137" s="76"/>
      <c r="AX2137" s="76"/>
      <c r="AY2137" s="76"/>
      <c r="AZ2137" s="76"/>
      <c r="BA2137" s="76"/>
      <c r="BB2137" s="76"/>
      <c r="BC2137" s="76"/>
      <c r="BD2137" s="76"/>
      <c r="BE2137" s="76"/>
      <c r="BF2137" s="76"/>
      <c r="BG2137" s="76"/>
      <c r="BH2137" s="76"/>
      <c r="BI2137" s="76"/>
      <c r="BJ2137" s="76"/>
      <c r="BK2137" s="76"/>
      <c r="BL2137" s="76"/>
      <c r="BM2137" s="76"/>
      <c r="BN2137" s="76"/>
      <c r="BR2137" s="76"/>
      <c r="BS2137" s="76"/>
      <c r="BT2137" s="76"/>
      <c r="BU2137" s="76"/>
      <c r="BV2137" s="76"/>
      <c r="BW2137" s="76"/>
      <c r="BX2137" s="76"/>
      <c r="BZ2137" s="76"/>
    </row>
    <row r="2138" spans="3:78">
      <c r="C2138" s="136" t="s">
        <v>2259</v>
      </c>
      <c r="D2138" s="106"/>
      <c r="E2138" s="106"/>
      <c r="F2138" s="76"/>
      <c r="G2138" s="106"/>
      <c r="H2138" s="106"/>
      <c r="I2138" s="106"/>
      <c r="J2138" s="106"/>
      <c r="K2138" s="106"/>
      <c r="L2138" s="106"/>
      <c r="M2138" s="106"/>
      <c r="N2138" s="106"/>
      <c r="O2138" s="106"/>
      <c r="Q2138" s="106"/>
      <c r="R2138" s="106"/>
      <c r="S2138" s="218"/>
      <c r="T2138" s="218"/>
      <c r="U2138" s="76"/>
      <c r="V2138" s="76"/>
      <c r="W2138" s="76"/>
      <c r="X2138" s="76"/>
      <c r="Y2138" s="76"/>
      <c r="Z2138" s="76"/>
      <c r="AA2138" s="76"/>
      <c r="AB2138" s="76"/>
      <c r="AD2138" s="76"/>
      <c r="AE2138" s="76"/>
      <c r="AF2138" s="76"/>
      <c r="AG2138" s="76"/>
      <c r="AH2138" s="76"/>
      <c r="AI2138" s="76"/>
      <c r="AJ2138" s="76"/>
      <c r="AK2138" s="76"/>
      <c r="AL2138" s="76"/>
      <c r="AM2138" s="76"/>
      <c r="AN2138" s="76"/>
      <c r="AO2138" s="76"/>
      <c r="AP2138" s="76"/>
      <c r="AQ2138" s="76"/>
      <c r="AR2138" s="76"/>
      <c r="AS2138" s="76"/>
      <c r="AT2138" s="76"/>
      <c r="AU2138" s="76"/>
      <c r="AV2138" s="76"/>
      <c r="AW2138" s="76"/>
      <c r="AX2138" s="76"/>
      <c r="AY2138" s="76"/>
      <c r="AZ2138" s="76"/>
      <c r="BA2138" s="76"/>
      <c r="BB2138" s="76"/>
      <c r="BC2138" s="76"/>
      <c r="BD2138" s="76"/>
      <c r="BE2138" s="76"/>
      <c r="BF2138" s="76"/>
      <c r="BG2138" s="76"/>
      <c r="BH2138" s="76"/>
      <c r="BI2138" s="76"/>
      <c r="BJ2138" s="76"/>
      <c r="BK2138" s="76"/>
      <c r="BL2138" s="76"/>
      <c r="BM2138" s="76"/>
      <c r="BN2138" s="76"/>
      <c r="BR2138" s="76"/>
      <c r="BS2138" s="76"/>
      <c r="BT2138" s="76"/>
      <c r="BU2138" s="76"/>
      <c r="BV2138" s="76"/>
      <c r="BW2138" s="76"/>
      <c r="BX2138" s="76"/>
      <c r="BZ2138" s="76"/>
    </row>
    <row r="2139" spans="3:78">
      <c r="C2139" s="136" t="s">
        <v>2250</v>
      </c>
      <c r="D2139" s="106"/>
      <c r="E2139" s="106"/>
      <c r="F2139" s="76"/>
      <c r="G2139" s="106"/>
      <c r="H2139" s="106"/>
      <c r="I2139" s="106"/>
      <c r="J2139" s="106"/>
      <c r="K2139" s="106"/>
      <c r="L2139" s="106"/>
      <c r="M2139" s="106"/>
      <c r="N2139" s="106"/>
      <c r="O2139" s="106"/>
      <c r="Q2139" s="106"/>
      <c r="R2139" s="106"/>
      <c r="S2139" s="218"/>
      <c r="T2139" s="218"/>
      <c r="U2139" s="76"/>
      <c r="V2139" s="76"/>
      <c r="W2139" s="76"/>
      <c r="X2139" s="76"/>
      <c r="Y2139" s="76"/>
      <c r="Z2139" s="76"/>
      <c r="AA2139" s="76"/>
      <c r="AB2139" s="76"/>
      <c r="AD2139" s="76"/>
      <c r="AE2139" s="76"/>
      <c r="AF2139" s="76"/>
      <c r="AG2139" s="76"/>
      <c r="AH2139" s="76"/>
      <c r="AI2139" s="76"/>
      <c r="AJ2139" s="76"/>
      <c r="AK2139" s="76"/>
      <c r="AL2139" s="76"/>
      <c r="AM2139" s="76"/>
      <c r="AN2139" s="76"/>
      <c r="AO2139" s="76"/>
      <c r="AP2139" s="76"/>
      <c r="AQ2139" s="76"/>
      <c r="AR2139" s="76"/>
      <c r="AS2139" s="76"/>
      <c r="AT2139" s="76"/>
      <c r="AU2139" s="76"/>
      <c r="AV2139" s="76"/>
      <c r="AW2139" s="76"/>
      <c r="AX2139" s="76"/>
      <c r="AY2139" s="76"/>
      <c r="AZ2139" s="76"/>
      <c r="BA2139" s="76"/>
      <c r="BB2139" s="76"/>
      <c r="BC2139" s="76"/>
      <c r="BD2139" s="76"/>
      <c r="BE2139" s="76"/>
      <c r="BF2139" s="76"/>
      <c r="BG2139" s="76"/>
      <c r="BH2139" s="76"/>
      <c r="BI2139" s="76"/>
      <c r="BJ2139" s="76"/>
      <c r="BK2139" s="76"/>
      <c r="BL2139" s="76"/>
      <c r="BM2139" s="76"/>
      <c r="BN2139" s="76"/>
      <c r="BR2139" s="76"/>
      <c r="BS2139" s="76"/>
      <c r="BT2139" s="76"/>
      <c r="BU2139" s="76"/>
      <c r="BV2139" s="76"/>
      <c r="BW2139" s="76"/>
      <c r="BX2139" s="76"/>
      <c r="BZ2139" s="76"/>
    </row>
    <row r="2140" spans="3:78">
      <c r="C2140" s="136" t="s">
        <v>2263</v>
      </c>
      <c r="D2140" s="106"/>
      <c r="E2140" s="106"/>
      <c r="F2140" s="76"/>
      <c r="G2140" s="106"/>
      <c r="H2140" s="106"/>
      <c r="I2140" s="106"/>
      <c r="J2140" s="106"/>
      <c r="K2140" s="106"/>
      <c r="L2140" s="106"/>
      <c r="M2140" s="106"/>
      <c r="N2140" s="106"/>
      <c r="O2140" s="106"/>
      <c r="Q2140" s="106"/>
      <c r="R2140" s="106"/>
      <c r="S2140" s="218"/>
      <c r="T2140" s="218"/>
      <c r="U2140" s="76"/>
      <c r="V2140" s="76"/>
      <c r="W2140" s="76"/>
      <c r="X2140" s="76"/>
      <c r="Y2140" s="76"/>
      <c r="Z2140" s="76"/>
      <c r="AA2140" s="76"/>
      <c r="AB2140" s="76"/>
      <c r="AD2140" s="76"/>
      <c r="AE2140" s="76"/>
      <c r="AF2140" s="76"/>
      <c r="AG2140" s="76"/>
      <c r="AH2140" s="76"/>
      <c r="AI2140" s="76"/>
      <c r="AJ2140" s="76"/>
      <c r="AK2140" s="76"/>
      <c r="AL2140" s="76"/>
      <c r="AM2140" s="76"/>
      <c r="AN2140" s="76"/>
      <c r="AO2140" s="76"/>
      <c r="AP2140" s="76"/>
      <c r="AQ2140" s="76"/>
      <c r="AR2140" s="76"/>
      <c r="AS2140" s="76"/>
      <c r="AT2140" s="76"/>
      <c r="AU2140" s="76"/>
      <c r="AV2140" s="76"/>
      <c r="AW2140" s="76"/>
      <c r="AX2140" s="76"/>
      <c r="AY2140" s="76"/>
      <c r="AZ2140" s="76"/>
      <c r="BA2140" s="76"/>
      <c r="BB2140" s="76"/>
      <c r="BC2140" s="76"/>
      <c r="BD2140" s="76"/>
      <c r="BE2140" s="76"/>
      <c r="BF2140" s="76"/>
      <c r="BG2140" s="76"/>
      <c r="BH2140" s="76"/>
      <c r="BI2140" s="76"/>
      <c r="BJ2140" s="76"/>
      <c r="BK2140" s="76"/>
      <c r="BL2140" s="76"/>
      <c r="BM2140" s="76"/>
      <c r="BN2140" s="76"/>
      <c r="BR2140" s="76"/>
      <c r="BS2140" s="76"/>
      <c r="BT2140" s="76"/>
      <c r="BU2140" s="76"/>
      <c r="BV2140" s="76"/>
      <c r="BW2140" s="76"/>
      <c r="BX2140" s="76"/>
      <c r="BZ2140" s="76"/>
    </row>
    <row r="2141" spans="3:78">
      <c r="C2141" s="136" t="s">
        <v>2258</v>
      </c>
      <c r="D2141" s="106"/>
      <c r="E2141" s="106"/>
      <c r="F2141" s="76"/>
      <c r="G2141" s="106"/>
      <c r="H2141" s="106"/>
      <c r="I2141" s="106"/>
      <c r="J2141" s="106"/>
      <c r="K2141" s="106"/>
      <c r="L2141" s="106"/>
      <c r="M2141" s="106"/>
      <c r="N2141" s="106"/>
      <c r="O2141" s="106"/>
      <c r="Q2141" s="106"/>
      <c r="R2141" s="106"/>
      <c r="S2141" s="218"/>
      <c r="T2141" s="218"/>
      <c r="U2141" s="76"/>
      <c r="V2141" s="76"/>
      <c r="W2141" s="76"/>
      <c r="X2141" s="76"/>
      <c r="Y2141" s="76"/>
      <c r="Z2141" s="76"/>
      <c r="AA2141" s="76"/>
      <c r="AB2141" s="76"/>
      <c r="AD2141" s="76"/>
      <c r="AE2141" s="76"/>
      <c r="AF2141" s="76"/>
      <c r="AG2141" s="76"/>
      <c r="AH2141" s="76"/>
      <c r="AI2141" s="76"/>
      <c r="AJ2141" s="76"/>
      <c r="AK2141" s="76"/>
      <c r="AL2141" s="76"/>
      <c r="AM2141" s="76"/>
      <c r="AN2141" s="76"/>
      <c r="AO2141" s="76"/>
      <c r="AP2141" s="76"/>
      <c r="AQ2141" s="76"/>
      <c r="AR2141" s="76"/>
      <c r="AS2141" s="76"/>
      <c r="AT2141" s="76"/>
      <c r="AU2141" s="76"/>
      <c r="AV2141" s="76"/>
      <c r="AW2141" s="76"/>
      <c r="AX2141" s="76"/>
      <c r="AY2141" s="76"/>
      <c r="AZ2141" s="76"/>
      <c r="BA2141" s="76"/>
      <c r="BB2141" s="76"/>
      <c r="BC2141" s="76"/>
      <c r="BD2141" s="76"/>
      <c r="BE2141" s="76"/>
      <c r="BF2141" s="76"/>
      <c r="BG2141" s="76"/>
      <c r="BH2141" s="76"/>
      <c r="BI2141" s="76"/>
      <c r="BJ2141" s="76"/>
      <c r="BK2141" s="76"/>
      <c r="BL2141" s="76"/>
      <c r="BM2141" s="76"/>
      <c r="BN2141" s="76"/>
      <c r="BR2141" s="76"/>
      <c r="BS2141" s="76"/>
      <c r="BT2141" s="76"/>
      <c r="BU2141" s="76"/>
      <c r="BV2141" s="76"/>
      <c r="BW2141" s="76"/>
      <c r="BX2141" s="76"/>
      <c r="BZ2141" s="76"/>
    </row>
    <row r="2142" spans="3:78">
      <c r="C2142" s="136" t="s">
        <v>2253</v>
      </c>
      <c r="D2142" s="106"/>
      <c r="E2142" s="106"/>
      <c r="F2142" s="76"/>
      <c r="G2142" s="106"/>
      <c r="H2142" s="106"/>
      <c r="I2142" s="106"/>
      <c r="J2142" s="106"/>
      <c r="K2142" s="106"/>
      <c r="L2142" s="106"/>
      <c r="M2142" s="106"/>
      <c r="N2142" s="106"/>
      <c r="O2142" s="106"/>
      <c r="Q2142" s="106"/>
      <c r="R2142" s="106"/>
      <c r="S2142" s="218"/>
      <c r="T2142" s="218"/>
      <c r="U2142" s="76"/>
      <c r="V2142" s="76"/>
      <c r="W2142" s="76"/>
      <c r="X2142" s="76"/>
      <c r="Y2142" s="76"/>
      <c r="Z2142" s="76"/>
      <c r="AA2142" s="76"/>
      <c r="AB2142" s="76"/>
      <c r="AD2142" s="76"/>
      <c r="AE2142" s="76"/>
      <c r="AF2142" s="76"/>
      <c r="AG2142" s="76"/>
      <c r="AH2142" s="76"/>
      <c r="AI2142" s="76"/>
      <c r="AJ2142" s="76"/>
      <c r="AK2142" s="76"/>
      <c r="AL2142" s="76"/>
      <c r="AM2142" s="76"/>
      <c r="AN2142" s="76"/>
      <c r="AO2142" s="76"/>
      <c r="AP2142" s="76"/>
      <c r="AQ2142" s="76"/>
      <c r="AR2142" s="76"/>
      <c r="AS2142" s="76"/>
      <c r="AT2142" s="76"/>
      <c r="AU2142" s="76"/>
      <c r="AV2142" s="76"/>
      <c r="AW2142" s="76"/>
      <c r="AX2142" s="76"/>
      <c r="AY2142" s="76"/>
      <c r="AZ2142" s="76"/>
      <c r="BA2142" s="76"/>
      <c r="BB2142" s="76"/>
      <c r="BC2142" s="76"/>
      <c r="BD2142" s="76"/>
      <c r="BE2142" s="76"/>
      <c r="BF2142" s="76"/>
      <c r="BG2142" s="76"/>
      <c r="BH2142" s="76"/>
      <c r="BI2142" s="76"/>
      <c r="BJ2142" s="76"/>
      <c r="BK2142" s="76"/>
      <c r="BL2142" s="76"/>
      <c r="BM2142" s="76"/>
      <c r="BN2142" s="76"/>
      <c r="BR2142" s="76"/>
      <c r="BS2142" s="76"/>
      <c r="BT2142" s="76"/>
      <c r="BU2142" s="76"/>
      <c r="BV2142" s="76"/>
      <c r="BW2142" s="76"/>
      <c r="BX2142" s="76"/>
      <c r="BZ2142" s="76"/>
    </row>
    <row r="2143" spans="3:78">
      <c r="C2143" s="136" t="s">
        <v>2326</v>
      </c>
      <c r="D2143" s="106"/>
      <c r="E2143" s="106"/>
      <c r="F2143" s="76"/>
      <c r="G2143" s="106"/>
      <c r="H2143" s="106"/>
      <c r="I2143" s="106"/>
      <c r="J2143" s="106"/>
      <c r="K2143" s="106"/>
      <c r="L2143" s="106"/>
      <c r="M2143" s="106"/>
      <c r="N2143" s="106"/>
      <c r="O2143" s="106"/>
      <c r="Q2143" s="106"/>
      <c r="R2143" s="106"/>
      <c r="S2143" s="218"/>
      <c r="T2143" s="218"/>
      <c r="U2143" s="76"/>
      <c r="V2143" s="76"/>
      <c r="W2143" s="76"/>
      <c r="X2143" s="76"/>
      <c r="Y2143" s="76"/>
      <c r="Z2143" s="76"/>
      <c r="AA2143" s="76"/>
      <c r="AB2143" s="76"/>
      <c r="AD2143" s="76"/>
      <c r="AE2143" s="76"/>
      <c r="AF2143" s="76"/>
      <c r="AG2143" s="76"/>
      <c r="AH2143" s="76"/>
      <c r="AI2143" s="76"/>
      <c r="AJ2143" s="76"/>
      <c r="AK2143" s="76"/>
      <c r="AL2143" s="76"/>
      <c r="AM2143" s="76"/>
      <c r="AN2143" s="76"/>
      <c r="AO2143" s="76"/>
      <c r="AP2143" s="76"/>
      <c r="AQ2143" s="76"/>
      <c r="AR2143" s="76"/>
      <c r="AS2143" s="76"/>
      <c r="AT2143" s="76"/>
      <c r="AU2143" s="76"/>
      <c r="AV2143" s="76"/>
      <c r="AW2143" s="76"/>
      <c r="AX2143" s="76"/>
      <c r="AY2143" s="76"/>
      <c r="AZ2143" s="76"/>
      <c r="BA2143" s="76"/>
      <c r="BB2143" s="76"/>
      <c r="BC2143" s="76"/>
      <c r="BD2143" s="76"/>
      <c r="BE2143" s="76"/>
      <c r="BF2143" s="76"/>
      <c r="BG2143" s="76"/>
      <c r="BH2143" s="76"/>
      <c r="BI2143" s="76"/>
      <c r="BJ2143" s="76"/>
      <c r="BK2143" s="76"/>
      <c r="BL2143" s="76"/>
      <c r="BM2143" s="76"/>
      <c r="BN2143" s="76"/>
      <c r="BR2143" s="76"/>
      <c r="BS2143" s="76"/>
      <c r="BT2143" s="76"/>
      <c r="BU2143" s="76"/>
      <c r="BV2143" s="76"/>
      <c r="BW2143" s="76"/>
      <c r="BX2143" s="76"/>
      <c r="BZ2143" s="76"/>
    </row>
    <row r="2144" spans="3:78">
      <c r="C2144" s="136" t="s">
        <v>2249</v>
      </c>
      <c r="D2144" s="106"/>
      <c r="E2144" s="106"/>
      <c r="F2144" s="76"/>
      <c r="G2144" s="106"/>
      <c r="H2144" s="106"/>
      <c r="I2144" s="106"/>
      <c r="J2144" s="106"/>
      <c r="K2144" s="106"/>
      <c r="L2144" s="106"/>
      <c r="M2144" s="106"/>
      <c r="N2144" s="106"/>
      <c r="O2144" s="106"/>
      <c r="Q2144" s="106"/>
      <c r="R2144" s="106"/>
      <c r="S2144" s="218"/>
      <c r="T2144" s="218"/>
      <c r="U2144" s="76"/>
      <c r="V2144" s="76"/>
      <c r="W2144" s="76"/>
      <c r="X2144" s="76"/>
      <c r="Y2144" s="76"/>
      <c r="Z2144" s="76"/>
      <c r="AA2144" s="76"/>
      <c r="AB2144" s="76"/>
      <c r="AD2144" s="76"/>
      <c r="AE2144" s="76"/>
      <c r="AF2144" s="76"/>
      <c r="AG2144" s="76"/>
      <c r="AH2144" s="76"/>
      <c r="AI2144" s="76"/>
      <c r="AJ2144" s="76"/>
      <c r="AK2144" s="76"/>
      <c r="AL2144" s="76"/>
      <c r="AM2144" s="76"/>
      <c r="AN2144" s="76"/>
      <c r="AO2144" s="76"/>
      <c r="AP2144" s="76"/>
      <c r="AQ2144" s="76"/>
      <c r="AR2144" s="76"/>
      <c r="AS2144" s="76"/>
      <c r="AT2144" s="76"/>
      <c r="AU2144" s="76"/>
      <c r="AV2144" s="76"/>
      <c r="AW2144" s="76"/>
      <c r="AX2144" s="76"/>
      <c r="AY2144" s="76"/>
      <c r="AZ2144" s="76"/>
      <c r="BA2144" s="76"/>
      <c r="BB2144" s="76"/>
      <c r="BC2144" s="76"/>
      <c r="BD2144" s="76"/>
      <c r="BE2144" s="76"/>
      <c r="BF2144" s="76"/>
      <c r="BG2144" s="76"/>
      <c r="BH2144" s="76"/>
      <c r="BI2144" s="76"/>
      <c r="BJ2144" s="76"/>
      <c r="BK2144" s="76"/>
      <c r="BL2144" s="76"/>
      <c r="BM2144" s="76"/>
      <c r="BN2144" s="76"/>
      <c r="BR2144" s="76"/>
      <c r="BS2144" s="76"/>
      <c r="BT2144" s="76"/>
      <c r="BU2144" s="76"/>
      <c r="BV2144" s="76"/>
      <c r="BW2144" s="76"/>
      <c r="BX2144" s="76"/>
      <c r="BZ2144" s="76"/>
    </row>
    <row r="2145" spans="3:78">
      <c r="C2145" s="136" t="s">
        <v>2265</v>
      </c>
      <c r="D2145" s="106"/>
      <c r="E2145" s="106"/>
      <c r="F2145" s="76"/>
      <c r="G2145" s="106"/>
      <c r="H2145" s="106"/>
      <c r="I2145" s="106"/>
      <c r="J2145" s="106"/>
      <c r="K2145" s="106"/>
      <c r="L2145" s="106"/>
      <c r="M2145" s="106"/>
      <c r="N2145" s="106"/>
      <c r="O2145" s="106"/>
      <c r="Q2145" s="106"/>
      <c r="R2145" s="106"/>
      <c r="S2145" s="218"/>
      <c r="T2145" s="218"/>
      <c r="U2145" s="76"/>
      <c r="V2145" s="76"/>
      <c r="W2145" s="76"/>
      <c r="X2145" s="76"/>
      <c r="Y2145" s="76"/>
      <c r="Z2145" s="76"/>
      <c r="AA2145" s="76"/>
      <c r="AB2145" s="76"/>
      <c r="AD2145" s="76"/>
      <c r="AE2145" s="76"/>
      <c r="AF2145" s="76"/>
      <c r="AG2145" s="76"/>
      <c r="AH2145" s="76"/>
      <c r="AI2145" s="76"/>
      <c r="AJ2145" s="76"/>
      <c r="AK2145" s="76"/>
      <c r="AL2145" s="76"/>
      <c r="AM2145" s="76"/>
      <c r="AN2145" s="76"/>
      <c r="AO2145" s="76"/>
      <c r="AP2145" s="76"/>
      <c r="AQ2145" s="76"/>
      <c r="AR2145" s="76"/>
      <c r="AS2145" s="76"/>
      <c r="AT2145" s="76"/>
      <c r="AU2145" s="76"/>
      <c r="AV2145" s="76"/>
      <c r="AW2145" s="76"/>
      <c r="AX2145" s="76"/>
      <c r="AY2145" s="76"/>
      <c r="AZ2145" s="76"/>
      <c r="BA2145" s="76"/>
      <c r="BB2145" s="76"/>
      <c r="BC2145" s="76"/>
      <c r="BD2145" s="76"/>
      <c r="BE2145" s="76"/>
      <c r="BF2145" s="76"/>
      <c r="BG2145" s="76"/>
      <c r="BH2145" s="76"/>
      <c r="BI2145" s="76"/>
      <c r="BJ2145" s="76"/>
      <c r="BK2145" s="76"/>
      <c r="BL2145" s="76"/>
      <c r="BM2145" s="76"/>
      <c r="BN2145" s="76"/>
      <c r="BR2145" s="76"/>
      <c r="BS2145" s="76"/>
      <c r="BT2145" s="76"/>
      <c r="BU2145" s="76"/>
      <c r="BV2145" s="76"/>
      <c r="BW2145" s="76"/>
      <c r="BX2145" s="76"/>
      <c r="BZ2145" s="76"/>
    </row>
    <row r="2146" spans="3:78">
      <c r="C2146" s="136" t="s">
        <v>2264</v>
      </c>
      <c r="D2146" s="106"/>
      <c r="E2146" s="106"/>
      <c r="F2146" s="76"/>
      <c r="G2146" s="106"/>
      <c r="H2146" s="106"/>
      <c r="I2146" s="106"/>
      <c r="J2146" s="106"/>
      <c r="K2146" s="106"/>
      <c r="L2146" s="106"/>
      <c r="M2146" s="106"/>
      <c r="N2146" s="106"/>
      <c r="O2146" s="106"/>
      <c r="Q2146" s="106"/>
      <c r="R2146" s="106"/>
      <c r="S2146" s="218"/>
      <c r="T2146" s="218"/>
      <c r="U2146" s="76"/>
      <c r="V2146" s="76"/>
      <c r="W2146" s="76"/>
      <c r="X2146" s="76"/>
      <c r="Y2146" s="76"/>
      <c r="Z2146" s="76"/>
      <c r="AA2146" s="76"/>
      <c r="AB2146" s="76"/>
      <c r="AD2146" s="76"/>
      <c r="AE2146" s="76"/>
      <c r="AF2146" s="76"/>
      <c r="AG2146" s="76"/>
      <c r="AH2146" s="76"/>
      <c r="AI2146" s="76"/>
      <c r="AJ2146" s="76"/>
      <c r="AK2146" s="76"/>
      <c r="AL2146" s="76"/>
      <c r="AM2146" s="76"/>
      <c r="AN2146" s="76"/>
      <c r="AO2146" s="76"/>
      <c r="AP2146" s="76"/>
      <c r="AQ2146" s="76"/>
      <c r="AR2146" s="76"/>
      <c r="AS2146" s="76"/>
      <c r="AT2146" s="76"/>
      <c r="AU2146" s="76"/>
      <c r="AV2146" s="76"/>
      <c r="AW2146" s="76"/>
      <c r="AX2146" s="76"/>
      <c r="AY2146" s="76"/>
      <c r="AZ2146" s="76"/>
      <c r="BA2146" s="76"/>
      <c r="BB2146" s="76"/>
      <c r="BC2146" s="76"/>
      <c r="BD2146" s="76"/>
      <c r="BE2146" s="76"/>
      <c r="BF2146" s="76"/>
      <c r="BG2146" s="76"/>
      <c r="BH2146" s="76"/>
      <c r="BI2146" s="76"/>
      <c r="BJ2146" s="76"/>
      <c r="BK2146" s="76"/>
      <c r="BL2146" s="76"/>
      <c r="BM2146" s="76"/>
      <c r="BN2146" s="76"/>
      <c r="BR2146" s="76"/>
      <c r="BS2146" s="76"/>
      <c r="BT2146" s="76"/>
      <c r="BU2146" s="76"/>
      <c r="BV2146" s="76"/>
      <c r="BW2146" s="76"/>
      <c r="BX2146" s="76"/>
      <c r="BZ2146" s="76"/>
    </row>
    <row r="2147" spans="3:78">
      <c r="C2147" s="136" t="s">
        <v>2327</v>
      </c>
      <c r="D2147" s="106"/>
      <c r="E2147" s="106"/>
      <c r="F2147" s="76"/>
      <c r="G2147" s="106"/>
      <c r="H2147" s="106"/>
      <c r="I2147" s="106"/>
      <c r="J2147" s="106"/>
      <c r="K2147" s="106"/>
      <c r="L2147" s="106"/>
      <c r="M2147" s="106"/>
      <c r="N2147" s="106"/>
      <c r="O2147" s="106"/>
      <c r="Q2147" s="106"/>
      <c r="R2147" s="106"/>
      <c r="S2147" s="218"/>
      <c r="T2147" s="218"/>
      <c r="U2147" s="76"/>
      <c r="V2147" s="76"/>
      <c r="W2147" s="76"/>
      <c r="X2147" s="76"/>
      <c r="Y2147" s="76"/>
      <c r="Z2147" s="76"/>
      <c r="AA2147" s="76"/>
      <c r="AB2147" s="76"/>
      <c r="AD2147" s="76"/>
      <c r="AE2147" s="76"/>
      <c r="AF2147" s="76"/>
      <c r="AG2147" s="76"/>
      <c r="AH2147" s="76"/>
      <c r="AI2147" s="76"/>
      <c r="AJ2147" s="76"/>
      <c r="AK2147" s="76"/>
      <c r="AL2147" s="76"/>
      <c r="AM2147" s="76"/>
      <c r="AN2147" s="76"/>
      <c r="AO2147" s="76"/>
      <c r="AP2147" s="76"/>
      <c r="AQ2147" s="76"/>
      <c r="AR2147" s="76"/>
      <c r="AS2147" s="76"/>
      <c r="AT2147" s="76"/>
      <c r="AU2147" s="76"/>
      <c r="AV2147" s="76"/>
      <c r="AW2147" s="76"/>
      <c r="AX2147" s="76"/>
      <c r="AY2147" s="76"/>
      <c r="AZ2147" s="76"/>
      <c r="BA2147" s="76"/>
      <c r="BB2147" s="76"/>
      <c r="BC2147" s="76"/>
      <c r="BD2147" s="76"/>
      <c r="BE2147" s="76"/>
      <c r="BF2147" s="76"/>
      <c r="BG2147" s="76"/>
      <c r="BH2147" s="76"/>
      <c r="BI2147" s="76"/>
      <c r="BJ2147" s="76"/>
      <c r="BK2147" s="76"/>
      <c r="BL2147" s="76"/>
      <c r="BM2147" s="76"/>
      <c r="BN2147" s="76"/>
      <c r="BR2147" s="76"/>
      <c r="BS2147" s="76"/>
      <c r="BT2147" s="76"/>
      <c r="BU2147" s="76"/>
      <c r="BV2147" s="76"/>
      <c r="BW2147" s="76"/>
      <c r="BX2147" s="76"/>
      <c r="BZ2147" s="76"/>
    </row>
    <row r="2148" spans="3:78">
      <c r="C2148" s="136" t="s">
        <v>2274</v>
      </c>
      <c r="D2148" s="106"/>
      <c r="E2148" s="106"/>
      <c r="F2148" s="76"/>
      <c r="G2148" s="106"/>
      <c r="H2148" s="106"/>
      <c r="I2148" s="106"/>
      <c r="J2148" s="106"/>
      <c r="K2148" s="106"/>
      <c r="L2148" s="106"/>
      <c r="M2148" s="106"/>
      <c r="N2148" s="106"/>
      <c r="O2148" s="106"/>
      <c r="Q2148" s="106"/>
      <c r="R2148" s="106"/>
      <c r="S2148" s="218"/>
      <c r="T2148" s="218"/>
      <c r="U2148" s="76"/>
      <c r="V2148" s="76"/>
      <c r="W2148" s="76"/>
      <c r="X2148" s="76"/>
      <c r="Y2148" s="76"/>
      <c r="Z2148" s="76"/>
      <c r="AA2148" s="76"/>
      <c r="AB2148" s="76"/>
      <c r="AD2148" s="76"/>
      <c r="AE2148" s="76"/>
      <c r="AF2148" s="76"/>
      <c r="AG2148" s="76"/>
      <c r="AH2148" s="76"/>
      <c r="AI2148" s="76"/>
      <c r="AJ2148" s="76"/>
      <c r="AK2148" s="76"/>
      <c r="AL2148" s="76"/>
      <c r="AM2148" s="76"/>
      <c r="AN2148" s="76"/>
      <c r="AO2148" s="76"/>
      <c r="AP2148" s="76"/>
      <c r="AQ2148" s="76"/>
      <c r="AR2148" s="76"/>
      <c r="AS2148" s="76"/>
      <c r="AT2148" s="76"/>
      <c r="AU2148" s="76"/>
      <c r="AV2148" s="76"/>
      <c r="AW2148" s="76"/>
      <c r="AX2148" s="76"/>
      <c r="AY2148" s="76"/>
      <c r="AZ2148" s="76"/>
      <c r="BA2148" s="76"/>
      <c r="BB2148" s="76"/>
      <c r="BC2148" s="76"/>
      <c r="BD2148" s="76"/>
      <c r="BE2148" s="76"/>
      <c r="BF2148" s="76"/>
      <c r="BG2148" s="76"/>
      <c r="BH2148" s="76"/>
      <c r="BI2148" s="76"/>
      <c r="BJ2148" s="76"/>
      <c r="BK2148" s="76"/>
      <c r="BL2148" s="76"/>
      <c r="BM2148" s="76"/>
      <c r="BN2148" s="76"/>
      <c r="BR2148" s="76"/>
      <c r="BS2148" s="76"/>
      <c r="BT2148" s="76"/>
      <c r="BU2148" s="76"/>
      <c r="BV2148" s="76"/>
      <c r="BW2148" s="76"/>
      <c r="BX2148" s="76"/>
      <c r="BZ2148" s="76"/>
    </row>
    <row r="2149" spans="3:78">
      <c r="C2149" s="136" t="s">
        <v>2260</v>
      </c>
      <c r="D2149" s="106"/>
      <c r="E2149" s="106"/>
      <c r="F2149" s="76"/>
      <c r="G2149" s="106"/>
      <c r="H2149" s="106"/>
      <c r="I2149" s="106"/>
      <c r="J2149" s="106"/>
      <c r="K2149" s="106"/>
      <c r="L2149" s="106"/>
      <c r="M2149" s="106"/>
      <c r="N2149" s="106"/>
      <c r="O2149" s="106"/>
      <c r="Q2149" s="106"/>
      <c r="R2149" s="106"/>
      <c r="S2149" s="218"/>
      <c r="T2149" s="218"/>
      <c r="U2149" s="76"/>
      <c r="V2149" s="76"/>
      <c r="W2149" s="76"/>
      <c r="X2149" s="76"/>
      <c r="Y2149" s="76"/>
      <c r="Z2149" s="76"/>
      <c r="AA2149" s="76"/>
      <c r="AB2149" s="76"/>
      <c r="AD2149" s="76"/>
      <c r="AE2149" s="76"/>
      <c r="AF2149" s="76"/>
      <c r="AG2149" s="76"/>
      <c r="AH2149" s="76"/>
      <c r="AI2149" s="76"/>
      <c r="AJ2149" s="76"/>
      <c r="AK2149" s="76"/>
      <c r="AL2149" s="76"/>
      <c r="AM2149" s="76"/>
      <c r="AN2149" s="76"/>
      <c r="AO2149" s="76"/>
      <c r="AP2149" s="76"/>
      <c r="AQ2149" s="76"/>
      <c r="AR2149" s="76"/>
      <c r="AS2149" s="76"/>
      <c r="AT2149" s="76"/>
      <c r="AU2149" s="76"/>
      <c r="AV2149" s="76"/>
      <c r="AW2149" s="76"/>
      <c r="AX2149" s="76"/>
      <c r="AY2149" s="76"/>
      <c r="AZ2149" s="76"/>
      <c r="BA2149" s="76"/>
      <c r="BB2149" s="76"/>
      <c r="BC2149" s="76"/>
      <c r="BD2149" s="76"/>
      <c r="BE2149" s="76"/>
      <c r="BF2149" s="76"/>
      <c r="BG2149" s="76"/>
      <c r="BH2149" s="76"/>
      <c r="BI2149" s="76"/>
      <c r="BJ2149" s="76"/>
      <c r="BK2149" s="76"/>
      <c r="BL2149" s="76"/>
      <c r="BM2149" s="76"/>
      <c r="BN2149" s="76"/>
      <c r="BR2149" s="76"/>
      <c r="BS2149" s="76"/>
      <c r="BT2149" s="76"/>
      <c r="BU2149" s="76"/>
      <c r="BV2149" s="76"/>
      <c r="BW2149" s="76"/>
      <c r="BX2149" s="76"/>
      <c r="BZ2149" s="76"/>
    </row>
    <row r="2150" spans="3:78">
      <c r="C2150" s="136" t="s">
        <v>2257</v>
      </c>
      <c r="D2150" s="106"/>
      <c r="E2150" s="106"/>
      <c r="F2150" s="76"/>
      <c r="G2150" s="106"/>
      <c r="H2150" s="106"/>
      <c r="I2150" s="106"/>
      <c r="J2150" s="106"/>
      <c r="K2150" s="106"/>
      <c r="L2150" s="106"/>
      <c r="M2150" s="106"/>
      <c r="N2150" s="106"/>
      <c r="O2150" s="106"/>
      <c r="Q2150" s="106"/>
      <c r="R2150" s="106"/>
      <c r="S2150" s="218"/>
      <c r="T2150" s="218"/>
      <c r="U2150" s="76"/>
      <c r="V2150" s="76"/>
      <c r="W2150" s="76"/>
      <c r="X2150" s="76"/>
      <c r="Y2150" s="76"/>
      <c r="Z2150" s="76"/>
      <c r="AA2150" s="76"/>
      <c r="AB2150" s="76"/>
      <c r="AD2150" s="76"/>
      <c r="AE2150" s="76"/>
      <c r="AF2150" s="76"/>
      <c r="AG2150" s="76"/>
      <c r="AH2150" s="76"/>
      <c r="AI2150" s="76"/>
      <c r="AJ2150" s="76"/>
      <c r="AK2150" s="76"/>
      <c r="AL2150" s="76"/>
      <c r="AM2150" s="76"/>
      <c r="AN2150" s="76"/>
      <c r="AO2150" s="76"/>
      <c r="AP2150" s="76"/>
      <c r="AQ2150" s="76"/>
      <c r="AR2150" s="76"/>
      <c r="AS2150" s="76"/>
      <c r="AT2150" s="76"/>
      <c r="AU2150" s="76"/>
      <c r="AV2150" s="76"/>
      <c r="AW2150" s="76"/>
      <c r="AX2150" s="76"/>
      <c r="AY2150" s="76"/>
      <c r="AZ2150" s="76"/>
      <c r="BA2150" s="76"/>
      <c r="BB2150" s="76"/>
      <c r="BC2150" s="76"/>
      <c r="BD2150" s="76"/>
      <c r="BE2150" s="76"/>
      <c r="BF2150" s="76"/>
      <c r="BG2150" s="76"/>
      <c r="BH2150" s="76"/>
      <c r="BI2150" s="76"/>
      <c r="BJ2150" s="76"/>
      <c r="BK2150" s="76"/>
      <c r="BL2150" s="76"/>
      <c r="BM2150" s="76"/>
      <c r="BN2150" s="76"/>
      <c r="BR2150" s="76"/>
      <c r="BS2150" s="76"/>
      <c r="BT2150" s="76"/>
      <c r="BU2150" s="76"/>
      <c r="BV2150" s="76"/>
      <c r="BW2150" s="76"/>
      <c r="BX2150" s="76"/>
      <c r="BZ2150" s="76"/>
    </row>
    <row r="2151" spans="3:78">
      <c r="C2151" s="136" t="s">
        <v>2275</v>
      </c>
      <c r="D2151" s="106"/>
      <c r="E2151" s="106"/>
      <c r="F2151" s="76"/>
      <c r="G2151" s="106"/>
      <c r="H2151" s="106"/>
      <c r="I2151" s="106"/>
      <c r="J2151" s="106"/>
      <c r="K2151" s="106"/>
      <c r="L2151" s="106"/>
      <c r="M2151" s="106"/>
      <c r="N2151" s="106"/>
      <c r="O2151" s="106"/>
      <c r="Q2151" s="106"/>
      <c r="R2151" s="106"/>
      <c r="S2151" s="218"/>
      <c r="T2151" s="218"/>
      <c r="U2151" s="76"/>
      <c r="V2151" s="76"/>
      <c r="W2151" s="76"/>
      <c r="X2151" s="76"/>
      <c r="Y2151" s="76"/>
      <c r="Z2151" s="76"/>
      <c r="AA2151" s="76"/>
      <c r="AB2151" s="76"/>
      <c r="AD2151" s="76"/>
      <c r="AE2151" s="76"/>
      <c r="AF2151" s="76"/>
      <c r="AG2151" s="76"/>
      <c r="AH2151" s="76"/>
      <c r="AI2151" s="76"/>
      <c r="AJ2151" s="76"/>
      <c r="AK2151" s="76"/>
      <c r="AL2151" s="76"/>
      <c r="AM2151" s="76"/>
      <c r="AN2151" s="76"/>
      <c r="AO2151" s="76"/>
      <c r="AP2151" s="76"/>
      <c r="AQ2151" s="76"/>
      <c r="AR2151" s="76"/>
      <c r="AS2151" s="76"/>
      <c r="AT2151" s="76"/>
      <c r="AU2151" s="76"/>
      <c r="AV2151" s="76"/>
      <c r="AW2151" s="76"/>
      <c r="AX2151" s="76"/>
      <c r="AY2151" s="76"/>
      <c r="AZ2151" s="76"/>
      <c r="BA2151" s="76"/>
      <c r="BB2151" s="76"/>
      <c r="BC2151" s="76"/>
      <c r="BD2151" s="76"/>
      <c r="BE2151" s="76"/>
      <c r="BF2151" s="76"/>
      <c r="BG2151" s="76"/>
      <c r="BH2151" s="76"/>
      <c r="BI2151" s="76"/>
      <c r="BJ2151" s="76"/>
      <c r="BK2151" s="76"/>
      <c r="BL2151" s="76"/>
      <c r="BM2151" s="76"/>
      <c r="BN2151" s="76"/>
      <c r="BR2151" s="76"/>
      <c r="BS2151" s="76"/>
      <c r="BT2151" s="76"/>
      <c r="BU2151" s="76"/>
      <c r="BV2151" s="76"/>
      <c r="BW2151" s="76"/>
      <c r="BX2151" s="76"/>
      <c r="BZ2151" s="76"/>
    </row>
    <row r="2152" spans="3:78">
      <c r="D2152" s="106"/>
      <c r="E2152" s="106"/>
      <c r="F2152" s="76"/>
      <c r="G2152" s="106"/>
      <c r="H2152" s="106"/>
      <c r="I2152" s="106"/>
      <c r="J2152" s="106"/>
      <c r="K2152" s="106"/>
      <c r="L2152" s="106"/>
      <c r="M2152" s="106"/>
      <c r="N2152" s="106"/>
      <c r="O2152" s="106"/>
      <c r="Q2152" s="106"/>
      <c r="R2152" s="106"/>
      <c r="S2152" s="218"/>
      <c r="T2152" s="218"/>
      <c r="U2152" s="76"/>
      <c r="V2152" s="76"/>
      <c r="W2152" s="76"/>
      <c r="X2152" s="76"/>
      <c r="Y2152" s="76"/>
      <c r="Z2152" s="76"/>
      <c r="AA2152" s="76"/>
      <c r="AB2152" s="76"/>
      <c r="AD2152" s="76"/>
      <c r="AE2152" s="76"/>
      <c r="AF2152" s="76"/>
      <c r="AG2152" s="76"/>
      <c r="AH2152" s="76"/>
      <c r="AI2152" s="76"/>
      <c r="AJ2152" s="76"/>
      <c r="AK2152" s="76"/>
      <c r="AL2152" s="76"/>
      <c r="AM2152" s="76"/>
      <c r="AN2152" s="76"/>
      <c r="AO2152" s="76"/>
      <c r="AP2152" s="76"/>
      <c r="AQ2152" s="76"/>
      <c r="AR2152" s="76"/>
      <c r="AS2152" s="76"/>
      <c r="AT2152" s="76"/>
      <c r="AU2152" s="76"/>
      <c r="AV2152" s="76"/>
      <c r="AW2152" s="76"/>
      <c r="AX2152" s="76"/>
      <c r="AY2152" s="76"/>
      <c r="AZ2152" s="76"/>
      <c r="BA2152" s="76"/>
      <c r="BB2152" s="76"/>
      <c r="BC2152" s="76"/>
      <c r="BD2152" s="76"/>
      <c r="BE2152" s="76"/>
      <c r="BF2152" s="76"/>
      <c r="BG2152" s="76"/>
      <c r="BH2152" s="76"/>
      <c r="BI2152" s="76"/>
      <c r="BJ2152" s="76"/>
      <c r="BK2152" s="76"/>
      <c r="BL2152" s="76"/>
      <c r="BM2152" s="76"/>
      <c r="BN2152" s="76"/>
      <c r="BR2152" s="76"/>
      <c r="BS2152" s="76"/>
      <c r="BT2152" s="76"/>
      <c r="BU2152" s="76"/>
      <c r="BV2152" s="76"/>
      <c r="BW2152" s="76"/>
      <c r="BX2152" s="76"/>
      <c r="BZ2152" s="76"/>
    </row>
    <row r="2153" spans="3:78">
      <c r="C2153" s="136" t="s">
        <v>2261</v>
      </c>
      <c r="D2153" s="106"/>
      <c r="E2153" s="106"/>
      <c r="F2153" s="76"/>
      <c r="G2153" s="106"/>
      <c r="H2153" s="106"/>
      <c r="I2153" s="106"/>
      <c r="J2153" s="106"/>
      <c r="K2153" s="106"/>
      <c r="L2153" s="106"/>
      <c r="M2153" s="106"/>
      <c r="N2153" s="106"/>
      <c r="O2153" s="106"/>
      <c r="Q2153" s="106"/>
      <c r="R2153" s="106"/>
      <c r="S2153" s="218"/>
      <c r="T2153" s="218"/>
      <c r="U2153" s="76"/>
      <c r="V2153" s="76"/>
      <c r="W2153" s="76"/>
      <c r="X2153" s="76"/>
      <c r="Y2153" s="76"/>
      <c r="Z2153" s="76"/>
      <c r="AA2153" s="76"/>
      <c r="AB2153" s="76"/>
      <c r="AD2153" s="76"/>
      <c r="AE2153" s="76"/>
      <c r="AF2153" s="76"/>
      <c r="AG2153" s="76"/>
      <c r="AH2153" s="76"/>
      <c r="AI2153" s="76"/>
      <c r="AJ2153" s="76"/>
      <c r="AK2153" s="76"/>
      <c r="AL2153" s="76"/>
      <c r="AM2153" s="76"/>
      <c r="AN2153" s="76"/>
      <c r="AO2153" s="76"/>
      <c r="AP2153" s="76"/>
      <c r="AQ2153" s="76"/>
      <c r="AR2153" s="76"/>
      <c r="AS2153" s="76"/>
      <c r="AT2153" s="76"/>
      <c r="AU2153" s="76"/>
      <c r="AV2153" s="76"/>
      <c r="AW2153" s="76"/>
      <c r="AX2153" s="76"/>
      <c r="AY2153" s="76"/>
      <c r="AZ2153" s="76"/>
      <c r="BA2153" s="76"/>
      <c r="BB2153" s="76"/>
      <c r="BC2153" s="76"/>
      <c r="BD2153" s="76"/>
      <c r="BE2153" s="76"/>
      <c r="BF2153" s="76"/>
      <c r="BG2153" s="76"/>
      <c r="BH2153" s="76"/>
      <c r="BI2153" s="76"/>
      <c r="BJ2153" s="76"/>
      <c r="BK2153" s="76"/>
      <c r="BL2153" s="76"/>
      <c r="BM2153" s="76"/>
      <c r="BN2153" s="76"/>
      <c r="BR2153" s="76"/>
      <c r="BS2153" s="76"/>
      <c r="BT2153" s="76"/>
      <c r="BU2153" s="76"/>
      <c r="BV2153" s="76"/>
      <c r="BW2153" s="76"/>
      <c r="BX2153" s="76"/>
      <c r="BZ2153" s="76"/>
    </row>
    <row r="2154" spans="3:78">
      <c r="C2154" s="136" t="s">
        <v>2268</v>
      </c>
      <c r="D2154" s="106"/>
      <c r="E2154" s="106"/>
      <c r="F2154" s="76"/>
      <c r="G2154" s="106"/>
      <c r="H2154" s="106"/>
      <c r="I2154" s="106"/>
      <c r="J2154" s="106"/>
      <c r="K2154" s="106"/>
      <c r="L2154" s="106"/>
      <c r="M2154" s="106"/>
      <c r="N2154" s="106"/>
      <c r="O2154" s="106"/>
      <c r="Q2154" s="106"/>
      <c r="R2154" s="106"/>
      <c r="S2154" s="218"/>
      <c r="T2154" s="218"/>
      <c r="U2154" s="76"/>
      <c r="V2154" s="76"/>
      <c r="W2154" s="76"/>
      <c r="X2154" s="76"/>
      <c r="Y2154" s="76"/>
      <c r="Z2154" s="76"/>
      <c r="AA2154" s="76"/>
      <c r="AB2154" s="76"/>
      <c r="AD2154" s="76"/>
      <c r="AE2154" s="76"/>
      <c r="AF2154" s="76"/>
      <c r="AG2154" s="76"/>
      <c r="AH2154" s="76"/>
      <c r="AI2154" s="76"/>
      <c r="AJ2154" s="76"/>
      <c r="AK2154" s="76"/>
      <c r="AL2154" s="76"/>
      <c r="AM2154" s="76"/>
      <c r="AN2154" s="76"/>
      <c r="AO2154" s="76"/>
      <c r="AP2154" s="76"/>
      <c r="AQ2154" s="76"/>
      <c r="AR2154" s="76"/>
      <c r="AS2154" s="76"/>
      <c r="AT2154" s="76"/>
      <c r="AU2154" s="76"/>
      <c r="AV2154" s="76"/>
      <c r="AW2154" s="76"/>
      <c r="AX2154" s="76"/>
      <c r="AY2154" s="76"/>
      <c r="AZ2154" s="76"/>
      <c r="BA2154" s="76"/>
      <c r="BB2154" s="76"/>
      <c r="BC2154" s="76"/>
      <c r="BD2154" s="76"/>
      <c r="BE2154" s="76"/>
      <c r="BF2154" s="76"/>
      <c r="BG2154" s="76"/>
      <c r="BH2154" s="76"/>
      <c r="BI2154" s="76"/>
      <c r="BJ2154" s="76"/>
      <c r="BK2154" s="76"/>
      <c r="BL2154" s="76"/>
      <c r="BM2154" s="76"/>
      <c r="BN2154" s="76"/>
      <c r="BR2154" s="76"/>
      <c r="BS2154" s="76"/>
      <c r="BT2154" s="76"/>
      <c r="BU2154" s="76"/>
      <c r="BV2154" s="76"/>
      <c r="BW2154" s="76"/>
      <c r="BX2154" s="76"/>
      <c r="BZ2154" s="76"/>
    </row>
    <row r="2155" spans="3:78" ht="27">
      <c r="C2155" s="136" t="s">
        <v>2267</v>
      </c>
      <c r="D2155" s="106"/>
      <c r="E2155" s="106"/>
      <c r="F2155" s="76"/>
      <c r="G2155" s="106"/>
      <c r="H2155" s="106"/>
      <c r="I2155" s="106"/>
      <c r="J2155" s="106"/>
      <c r="K2155" s="106"/>
      <c r="L2155" s="106"/>
      <c r="M2155" s="106"/>
      <c r="N2155" s="106"/>
      <c r="O2155" s="106"/>
      <c r="Q2155" s="106"/>
      <c r="R2155" s="106"/>
      <c r="S2155" s="218"/>
      <c r="T2155" s="218"/>
      <c r="U2155" s="76"/>
      <c r="V2155" s="76"/>
      <c r="W2155" s="76"/>
      <c r="X2155" s="76"/>
      <c r="Y2155" s="76"/>
      <c r="Z2155" s="76"/>
      <c r="AA2155" s="76"/>
      <c r="AB2155" s="76"/>
      <c r="AD2155" s="76"/>
      <c r="AE2155" s="76"/>
      <c r="AF2155" s="76"/>
      <c r="AG2155" s="76"/>
      <c r="AH2155" s="76"/>
      <c r="AI2155" s="76"/>
      <c r="AJ2155" s="76"/>
      <c r="AK2155" s="76"/>
      <c r="AL2155" s="76"/>
      <c r="AM2155" s="76"/>
      <c r="AN2155" s="76"/>
      <c r="AO2155" s="76"/>
      <c r="AP2155" s="76"/>
      <c r="AQ2155" s="76"/>
      <c r="AR2155" s="76"/>
      <c r="AS2155" s="76"/>
      <c r="AT2155" s="76"/>
      <c r="AU2155" s="76"/>
      <c r="AV2155" s="76"/>
      <c r="AW2155" s="76"/>
      <c r="AX2155" s="76"/>
      <c r="AY2155" s="76"/>
      <c r="AZ2155" s="76"/>
      <c r="BA2155" s="76"/>
      <c r="BB2155" s="76"/>
      <c r="BC2155" s="76"/>
      <c r="BD2155" s="76"/>
      <c r="BE2155" s="76"/>
      <c r="BF2155" s="76"/>
      <c r="BG2155" s="76"/>
      <c r="BH2155" s="76"/>
      <c r="BI2155" s="76"/>
      <c r="BJ2155" s="76"/>
      <c r="BK2155" s="76"/>
      <c r="BL2155" s="76"/>
      <c r="BM2155" s="76"/>
      <c r="BN2155" s="76"/>
      <c r="BR2155" s="76"/>
      <c r="BS2155" s="76"/>
      <c r="BT2155" s="76"/>
      <c r="BU2155" s="76"/>
      <c r="BV2155" s="76"/>
      <c r="BW2155" s="76"/>
      <c r="BX2155" s="76"/>
      <c r="BZ2155" s="76"/>
    </row>
    <row r="2156" spans="3:78">
      <c r="C2156" s="136" t="s">
        <v>2269</v>
      </c>
      <c r="D2156" s="106"/>
      <c r="E2156" s="106"/>
      <c r="F2156" s="76"/>
      <c r="G2156" s="106"/>
      <c r="H2156" s="106"/>
      <c r="I2156" s="106"/>
      <c r="J2156" s="106"/>
      <c r="K2156" s="106"/>
      <c r="L2156" s="106"/>
      <c r="M2156" s="106"/>
      <c r="N2156" s="106"/>
      <c r="O2156" s="106"/>
      <c r="Q2156" s="106"/>
      <c r="R2156" s="106"/>
      <c r="S2156" s="218"/>
      <c r="T2156" s="218"/>
      <c r="U2156" s="76"/>
      <c r="V2156" s="76"/>
      <c r="W2156" s="76"/>
      <c r="X2156" s="76"/>
      <c r="Y2156" s="76"/>
      <c r="Z2156" s="76"/>
      <c r="AA2156" s="76"/>
      <c r="AB2156" s="76"/>
      <c r="AD2156" s="76"/>
      <c r="AE2156" s="76"/>
      <c r="AF2156" s="76"/>
      <c r="AG2156" s="76"/>
      <c r="AH2156" s="76"/>
      <c r="AI2156" s="76"/>
      <c r="AJ2156" s="76"/>
      <c r="AK2156" s="76"/>
      <c r="AL2156" s="76"/>
      <c r="AM2156" s="76"/>
      <c r="AN2156" s="76"/>
      <c r="AO2156" s="76"/>
      <c r="AP2156" s="76"/>
      <c r="AQ2156" s="76"/>
      <c r="AR2156" s="76"/>
      <c r="AS2156" s="76"/>
      <c r="AT2156" s="76"/>
      <c r="AU2156" s="76"/>
      <c r="AV2156" s="76"/>
      <c r="AW2156" s="76"/>
      <c r="AX2156" s="76"/>
      <c r="AY2156" s="76"/>
      <c r="AZ2156" s="76"/>
      <c r="BA2156" s="76"/>
      <c r="BB2156" s="76"/>
      <c r="BC2156" s="76"/>
      <c r="BD2156" s="76"/>
      <c r="BE2156" s="76"/>
      <c r="BF2156" s="76"/>
      <c r="BG2156" s="76"/>
      <c r="BH2156" s="76"/>
      <c r="BI2156" s="76"/>
      <c r="BJ2156" s="76"/>
      <c r="BK2156" s="76"/>
      <c r="BL2156" s="76"/>
      <c r="BM2156" s="76"/>
      <c r="BN2156" s="76"/>
      <c r="BR2156" s="76"/>
      <c r="BS2156" s="76"/>
      <c r="BT2156" s="76"/>
      <c r="BU2156" s="76"/>
      <c r="BV2156" s="76"/>
      <c r="BW2156" s="76"/>
      <c r="BX2156" s="76"/>
      <c r="BZ2156" s="76"/>
    </row>
    <row r="2157" spans="3:78">
      <c r="C2157" s="136" t="s">
        <v>2273</v>
      </c>
      <c r="D2157" s="106"/>
      <c r="E2157" s="106"/>
      <c r="F2157" s="76"/>
      <c r="G2157" s="106"/>
      <c r="H2157" s="106"/>
      <c r="I2157" s="106"/>
      <c r="J2157" s="106"/>
      <c r="K2157" s="106"/>
      <c r="L2157" s="106"/>
      <c r="M2157" s="106"/>
      <c r="N2157" s="106"/>
      <c r="O2157" s="106"/>
      <c r="Q2157" s="106"/>
      <c r="R2157" s="106"/>
      <c r="S2157" s="218"/>
      <c r="T2157" s="218"/>
      <c r="U2157" s="76"/>
      <c r="V2157" s="76"/>
      <c r="W2157" s="76"/>
      <c r="X2157" s="76"/>
      <c r="Y2157" s="76"/>
      <c r="Z2157" s="76"/>
      <c r="AA2157" s="76"/>
      <c r="AB2157" s="76"/>
      <c r="AD2157" s="76"/>
      <c r="AE2157" s="76"/>
      <c r="AF2157" s="76"/>
      <c r="AG2157" s="76"/>
      <c r="AH2157" s="76"/>
      <c r="AI2157" s="76"/>
      <c r="AJ2157" s="76"/>
      <c r="AK2157" s="76"/>
      <c r="AL2157" s="76"/>
      <c r="AM2157" s="76"/>
      <c r="AN2157" s="76"/>
      <c r="AO2157" s="76"/>
      <c r="AP2157" s="76"/>
      <c r="AQ2157" s="76"/>
      <c r="AR2157" s="76"/>
      <c r="AS2157" s="76"/>
      <c r="AT2157" s="76"/>
      <c r="AU2157" s="76"/>
      <c r="AV2157" s="76"/>
      <c r="AW2157" s="76"/>
      <c r="AX2157" s="76"/>
      <c r="AY2157" s="76"/>
      <c r="AZ2157" s="76"/>
      <c r="BA2157" s="76"/>
      <c r="BB2157" s="76"/>
      <c r="BC2157" s="76"/>
      <c r="BD2157" s="76"/>
      <c r="BE2157" s="76"/>
      <c r="BF2157" s="76"/>
      <c r="BG2157" s="76"/>
      <c r="BH2157" s="76"/>
      <c r="BI2157" s="76"/>
      <c r="BJ2157" s="76"/>
      <c r="BK2157" s="76"/>
      <c r="BL2157" s="76"/>
      <c r="BM2157" s="76"/>
      <c r="BN2157" s="76"/>
      <c r="BR2157" s="76"/>
      <c r="BS2157" s="76"/>
      <c r="BT2157" s="76"/>
      <c r="BU2157" s="76"/>
      <c r="BV2157" s="76"/>
      <c r="BW2157" s="76"/>
      <c r="BX2157" s="76"/>
      <c r="BZ2157" s="76"/>
    </row>
    <row r="2158" spans="3:78">
      <c r="C2158" s="136" t="s">
        <v>2270</v>
      </c>
      <c r="D2158" s="106"/>
      <c r="E2158" s="106"/>
      <c r="F2158" s="76"/>
      <c r="G2158" s="106"/>
      <c r="H2158" s="106"/>
      <c r="I2158" s="106"/>
      <c r="J2158" s="106"/>
      <c r="K2158" s="106"/>
      <c r="L2158" s="106"/>
      <c r="M2158" s="106"/>
      <c r="N2158" s="106"/>
      <c r="O2158" s="106"/>
      <c r="Q2158" s="106"/>
      <c r="R2158" s="106"/>
      <c r="S2158" s="218"/>
      <c r="T2158" s="218"/>
      <c r="U2158" s="76"/>
      <c r="V2158" s="76"/>
      <c r="W2158" s="76"/>
      <c r="X2158" s="76"/>
      <c r="Y2158" s="76"/>
      <c r="Z2158" s="76"/>
      <c r="AA2158" s="76"/>
      <c r="AB2158" s="76"/>
      <c r="AD2158" s="76"/>
      <c r="AE2158" s="76"/>
      <c r="AF2158" s="76"/>
      <c r="AG2158" s="76"/>
      <c r="AH2158" s="76"/>
      <c r="AI2158" s="76"/>
      <c r="AJ2158" s="76"/>
      <c r="AK2158" s="76"/>
      <c r="AL2158" s="76"/>
      <c r="AM2158" s="76"/>
      <c r="AN2158" s="76"/>
      <c r="AO2158" s="76"/>
      <c r="AP2158" s="76"/>
      <c r="AQ2158" s="76"/>
      <c r="AR2158" s="76"/>
      <c r="AS2158" s="76"/>
      <c r="AT2158" s="76"/>
      <c r="AU2158" s="76"/>
      <c r="AV2158" s="76"/>
      <c r="AW2158" s="76"/>
      <c r="AX2158" s="76"/>
      <c r="AY2158" s="76"/>
      <c r="AZ2158" s="76"/>
      <c r="BA2158" s="76"/>
      <c r="BB2158" s="76"/>
      <c r="BC2158" s="76"/>
      <c r="BD2158" s="76"/>
      <c r="BE2158" s="76"/>
      <c r="BF2158" s="76"/>
      <c r="BG2158" s="76"/>
      <c r="BH2158" s="76"/>
      <c r="BI2158" s="76"/>
      <c r="BJ2158" s="76"/>
      <c r="BK2158" s="76"/>
      <c r="BL2158" s="76"/>
      <c r="BM2158" s="76"/>
      <c r="BN2158" s="76"/>
      <c r="BR2158" s="76"/>
      <c r="BS2158" s="76"/>
      <c r="BT2158" s="76"/>
      <c r="BU2158" s="76"/>
      <c r="BV2158" s="76"/>
      <c r="BW2158" s="76"/>
      <c r="BX2158" s="76"/>
      <c r="BZ2158" s="76"/>
    </row>
    <row r="2159" spans="3:78" ht="40.5">
      <c r="C2159" s="136" t="s">
        <v>2328</v>
      </c>
      <c r="D2159" s="106"/>
      <c r="E2159" s="106"/>
      <c r="F2159" s="76"/>
      <c r="G2159" s="106"/>
      <c r="H2159" s="106"/>
      <c r="I2159" s="106"/>
      <c r="J2159" s="106"/>
      <c r="K2159" s="106"/>
      <c r="L2159" s="106"/>
      <c r="M2159" s="106"/>
      <c r="N2159" s="106"/>
      <c r="O2159" s="106"/>
      <c r="Q2159" s="106"/>
      <c r="R2159" s="106"/>
      <c r="S2159" s="218"/>
      <c r="T2159" s="218"/>
      <c r="U2159" s="76"/>
      <c r="V2159" s="76"/>
      <c r="W2159" s="76"/>
      <c r="X2159" s="76"/>
      <c r="Y2159" s="76"/>
      <c r="Z2159" s="76"/>
      <c r="AA2159" s="76"/>
      <c r="AB2159" s="76"/>
      <c r="AD2159" s="76"/>
      <c r="AE2159" s="76"/>
      <c r="AF2159" s="76"/>
      <c r="AG2159" s="76"/>
      <c r="AH2159" s="76"/>
      <c r="AI2159" s="76"/>
      <c r="AJ2159" s="76"/>
      <c r="AK2159" s="76"/>
      <c r="AL2159" s="76"/>
      <c r="AM2159" s="76"/>
      <c r="AN2159" s="76"/>
      <c r="AO2159" s="76"/>
      <c r="AP2159" s="76"/>
      <c r="AQ2159" s="76"/>
      <c r="AR2159" s="76"/>
      <c r="AS2159" s="76"/>
      <c r="AT2159" s="76"/>
      <c r="AU2159" s="76"/>
      <c r="AV2159" s="76"/>
      <c r="AW2159" s="76"/>
      <c r="AX2159" s="76"/>
      <c r="AY2159" s="76"/>
      <c r="AZ2159" s="76"/>
      <c r="BA2159" s="76"/>
      <c r="BB2159" s="76"/>
      <c r="BC2159" s="76"/>
      <c r="BD2159" s="76"/>
      <c r="BE2159" s="76"/>
      <c r="BF2159" s="76"/>
      <c r="BG2159" s="76"/>
      <c r="BH2159" s="76"/>
      <c r="BI2159" s="76"/>
      <c r="BJ2159" s="76"/>
      <c r="BK2159" s="76"/>
      <c r="BL2159" s="76"/>
      <c r="BM2159" s="76"/>
      <c r="BN2159" s="76"/>
      <c r="BR2159" s="76"/>
      <c r="BS2159" s="76"/>
      <c r="BT2159" s="76"/>
      <c r="BU2159" s="76"/>
      <c r="BV2159" s="76"/>
      <c r="BW2159" s="76"/>
      <c r="BX2159" s="76"/>
      <c r="BZ2159" s="76"/>
    </row>
    <row r="2160" spans="3:78"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Q2160" s="76"/>
      <c r="R2160" s="76"/>
      <c r="S2160" s="219"/>
      <c r="T2160" s="219"/>
      <c r="U2160" s="76"/>
      <c r="V2160" s="76"/>
      <c r="W2160" s="76"/>
      <c r="X2160" s="76"/>
      <c r="Y2160" s="76"/>
      <c r="Z2160" s="76"/>
      <c r="AA2160" s="76"/>
      <c r="AB2160" s="76"/>
      <c r="AD2160" s="76"/>
      <c r="AE2160" s="76"/>
      <c r="AF2160" s="76"/>
      <c r="AG2160" s="76"/>
      <c r="AH2160" s="76"/>
      <c r="AI2160" s="76"/>
      <c r="AJ2160" s="76"/>
      <c r="AK2160" s="76"/>
      <c r="AL2160" s="76"/>
      <c r="AM2160" s="76"/>
      <c r="AN2160" s="76"/>
      <c r="AO2160" s="76"/>
      <c r="AP2160" s="76"/>
      <c r="AQ2160" s="76"/>
      <c r="AR2160" s="76"/>
      <c r="AS2160" s="76"/>
      <c r="AT2160" s="76"/>
      <c r="AU2160" s="76"/>
      <c r="AV2160" s="76"/>
      <c r="AW2160" s="76"/>
      <c r="AX2160" s="76"/>
      <c r="AY2160" s="76"/>
      <c r="AZ2160" s="76"/>
      <c r="BA2160" s="76"/>
      <c r="BB2160" s="76"/>
      <c r="BC2160" s="76"/>
      <c r="BD2160" s="76"/>
      <c r="BE2160" s="76"/>
      <c r="BF2160" s="76"/>
      <c r="BG2160" s="76"/>
      <c r="BH2160" s="76"/>
      <c r="BI2160" s="76"/>
      <c r="BJ2160" s="76"/>
      <c r="BK2160" s="76"/>
      <c r="BL2160" s="76"/>
      <c r="BM2160" s="76"/>
      <c r="BN2160" s="76"/>
      <c r="BR2160" s="76"/>
      <c r="BS2160" s="76"/>
      <c r="BT2160" s="76"/>
      <c r="BU2160" s="76"/>
      <c r="BV2160" s="76"/>
      <c r="BW2160" s="76"/>
      <c r="BX2160" s="76"/>
      <c r="BZ2160" s="76"/>
    </row>
    <row r="2161" spans="4:78"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Q2161" s="76"/>
      <c r="R2161" s="76"/>
      <c r="S2161" s="219"/>
      <c r="T2161" s="219"/>
      <c r="U2161" s="76"/>
      <c r="V2161" s="76"/>
      <c r="W2161" s="76"/>
      <c r="X2161" s="76"/>
      <c r="Y2161" s="76"/>
      <c r="Z2161" s="76"/>
      <c r="AA2161" s="76"/>
      <c r="AB2161" s="76"/>
      <c r="AD2161" s="76"/>
      <c r="AE2161" s="76"/>
      <c r="AF2161" s="76"/>
      <c r="AG2161" s="76"/>
      <c r="AH2161" s="76"/>
      <c r="AI2161" s="76"/>
      <c r="AJ2161" s="76"/>
      <c r="AK2161" s="76"/>
      <c r="AL2161" s="76"/>
      <c r="AM2161" s="76"/>
      <c r="AN2161" s="76"/>
      <c r="AO2161" s="76"/>
      <c r="AP2161" s="76"/>
      <c r="AQ2161" s="76"/>
      <c r="AR2161" s="76"/>
      <c r="AS2161" s="76"/>
      <c r="AT2161" s="76"/>
      <c r="AU2161" s="76"/>
      <c r="AV2161" s="76"/>
      <c r="AW2161" s="76"/>
      <c r="AX2161" s="76"/>
      <c r="AY2161" s="76"/>
      <c r="AZ2161" s="76"/>
      <c r="BA2161" s="76"/>
      <c r="BB2161" s="76"/>
      <c r="BC2161" s="76"/>
      <c r="BD2161" s="76"/>
      <c r="BE2161" s="76"/>
      <c r="BF2161" s="76"/>
      <c r="BG2161" s="76"/>
      <c r="BH2161" s="76"/>
      <c r="BI2161" s="76"/>
      <c r="BJ2161" s="76"/>
      <c r="BK2161" s="76"/>
      <c r="BL2161" s="76"/>
      <c r="BM2161" s="76"/>
      <c r="BN2161" s="76"/>
      <c r="BR2161" s="76"/>
      <c r="BS2161" s="76"/>
      <c r="BT2161" s="76"/>
      <c r="BU2161" s="76"/>
      <c r="BV2161" s="76"/>
      <c r="BW2161" s="76"/>
      <c r="BX2161" s="76"/>
      <c r="BZ2161" s="76"/>
    </row>
    <row r="2162" spans="4:78"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76"/>
      <c r="Q2162" s="76"/>
      <c r="R2162" s="76"/>
      <c r="S2162" s="219"/>
      <c r="T2162" s="219"/>
      <c r="U2162" s="76"/>
      <c r="V2162" s="76"/>
      <c r="W2162" s="76"/>
      <c r="X2162" s="76"/>
      <c r="Y2162" s="76"/>
      <c r="Z2162" s="76"/>
      <c r="AA2162" s="76"/>
      <c r="AB2162" s="76"/>
      <c r="AD2162" s="76"/>
      <c r="AE2162" s="76"/>
      <c r="AF2162" s="76"/>
      <c r="AG2162" s="76"/>
      <c r="AH2162" s="76"/>
      <c r="AI2162" s="76"/>
      <c r="AJ2162" s="76"/>
      <c r="AK2162" s="76"/>
      <c r="AL2162" s="76"/>
      <c r="AM2162" s="76"/>
      <c r="AN2162" s="76"/>
      <c r="AO2162" s="76"/>
      <c r="AP2162" s="76"/>
      <c r="AQ2162" s="76"/>
      <c r="AR2162" s="76"/>
      <c r="AS2162" s="76"/>
      <c r="AT2162" s="76"/>
      <c r="AU2162" s="76"/>
      <c r="AV2162" s="76"/>
      <c r="AW2162" s="76"/>
      <c r="AX2162" s="76"/>
      <c r="AY2162" s="76"/>
      <c r="AZ2162" s="76"/>
      <c r="BA2162" s="76"/>
      <c r="BB2162" s="76"/>
      <c r="BC2162" s="76"/>
      <c r="BD2162" s="76"/>
      <c r="BE2162" s="76"/>
      <c r="BF2162" s="76"/>
      <c r="BG2162" s="76"/>
      <c r="BH2162" s="76"/>
      <c r="BI2162" s="76"/>
      <c r="BJ2162" s="76"/>
      <c r="BK2162" s="76"/>
      <c r="BL2162" s="76"/>
      <c r="BM2162" s="76"/>
      <c r="BN2162" s="76"/>
      <c r="BR2162" s="76"/>
      <c r="BS2162" s="76"/>
      <c r="BT2162" s="76"/>
      <c r="BU2162" s="76"/>
      <c r="BV2162" s="76"/>
      <c r="BW2162" s="76"/>
      <c r="BX2162" s="76"/>
      <c r="BZ2162" s="76"/>
    </row>
    <row r="2163" spans="4:78"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76"/>
      <c r="Q2163" s="76"/>
      <c r="R2163" s="76"/>
      <c r="S2163" s="219"/>
      <c r="T2163" s="219"/>
      <c r="U2163" s="76"/>
      <c r="V2163" s="76"/>
      <c r="W2163" s="76"/>
      <c r="X2163" s="76"/>
      <c r="Y2163" s="76"/>
      <c r="Z2163" s="76"/>
      <c r="AA2163" s="76"/>
      <c r="AB2163" s="76"/>
      <c r="AD2163" s="76"/>
      <c r="AE2163" s="76"/>
      <c r="AF2163" s="76"/>
      <c r="AG2163" s="76"/>
      <c r="AH2163" s="76"/>
      <c r="AI2163" s="76"/>
      <c r="AJ2163" s="76"/>
      <c r="AK2163" s="76"/>
      <c r="AL2163" s="76"/>
      <c r="AM2163" s="76"/>
      <c r="AN2163" s="76"/>
      <c r="AO2163" s="76"/>
      <c r="AP2163" s="76"/>
      <c r="AQ2163" s="76"/>
      <c r="AR2163" s="76"/>
      <c r="AS2163" s="76"/>
      <c r="AT2163" s="76"/>
      <c r="AU2163" s="76"/>
      <c r="AV2163" s="76"/>
      <c r="AW2163" s="76"/>
      <c r="AX2163" s="76"/>
      <c r="AY2163" s="76"/>
      <c r="AZ2163" s="76"/>
      <c r="BA2163" s="76"/>
      <c r="BB2163" s="76"/>
      <c r="BC2163" s="76"/>
      <c r="BD2163" s="76"/>
      <c r="BE2163" s="76"/>
      <c r="BF2163" s="76"/>
      <c r="BG2163" s="76"/>
      <c r="BH2163" s="76"/>
      <c r="BI2163" s="76"/>
      <c r="BJ2163" s="76"/>
      <c r="BK2163" s="76"/>
      <c r="BL2163" s="76"/>
      <c r="BM2163" s="76"/>
      <c r="BN2163" s="76"/>
      <c r="BR2163" s="76"/>
      <c r="BS2163" s="76"/>
      <c r="BT2163" s="76"/>
      <c r="BU2163" s="76"/>
      <c r="BV2163" s="76"/>
      <c r="BW2163" s="76"/>
      <c r="BX2163" s="76"/>
      <c r="BZ2163" s="76"/>
    </row>
    <row r="2164" spans="4:78"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76"/>
      <c r="Q2164" s="76"/>
      <c r="R2164" s="76"/>
      <c r="S2164" s="219"/>
      <c r="T2164" s="219"/>
      <c r="U2164" s="76"/>
      <c r="V2164" s="76"/>
      <c r="W2164" s="76"/>
      <c r="X2164" s="76"/>
      <c r="Y2164" s="76"/>
      <c r="Z2164" s="76"/>
      <c r="AA2164" s="76"/>
      <c r="AB2164" s="76"/>
      <c r="AD2164" s="76"/>
      <c r="AE2164" s="76"/>
      <c r="AF2164" s="76"/>
      <c r="AG2164" s="76"/>
      <c r="AH2164" s="76"/>
      <c r="AI2164" s="76"/>
      <c r="AJ2164" s="76"/>
      <c r="AK2164" s="76"/>
      <c r="AL2164" s="76"/>
      <c r="AM2164" s="76"/>
      <c r="AN2164" s="76"/>
      <c r="AO2164" s="76"/>
      <c r="AP2164" s="76"/>
      <c r="AQ2164" s="76"/>
      <c r="AR2164" s="76"/>
      <c r="AS2164" s="76"/>
      <c r="AT2164" s="76"/>
      <c r="AU2164" s="76"/>
      <c r="AV2164" s="76"/>
      <c r="AW2164" s="76"/>
      <c r="AX2164" s="76"/>
      <c r="AY2164" s="76"/>
      <c r="AZ2164" s="76"/>
      <c r="BA2164" s="76"/>
      <c r="BB2164" s="76"/>
      <c r="BC2164" s="76"/>
      <c r="BD2164" s="76"/>
      <c r="BE2164" s="76"/>
      <c r="BF2164" s="76"/>
      <c r="BG2164" s="76"/>
      <c r="BH2164" s="76"/>
      <c r="BI2164" s="76"/>
      <c r="BJ2164" s="76"/>
      <c r="BK2164" s="76"/>
      <c r="BL2164" s="76"/>
      <c r="BM2164" s="76"/>
      <c r="BN2164" s="76"/>
      <c r="BR2164" s="76"/>
      <c r="BS2164" s="76"/>
      <c r="BT2164" s="76"/>
      <c r="BU2164" s="76"/>
      <c r="BV2164" s="76"/>
      <c r="BW2164" s="76"/>
      <c r="BX2164" s="76"/>
      <c r="BZ2164" s="76"/>
    </row>
    <row r="2165" spans="4:78"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76"/>
      <c r="Q2165" s="76"/>
      <c r="R2165" s="76"/>
      <c r="S2165" s="219"/>
      <c r="T2165" s="219"/>
      <c r="U2165" s="76"/>
      <c r="V2165" s="76"/>
      <c r="W2165" s="76"/>
      <c r="X2165" s="76"/>
      <c r="Y2165" s="76"/>
      <c r="Z2165" s="76"/>
      <c r="AA2165" s="76"/>
      <c r="AB2165" s="76"/>
      <c r="AD2165" s="76"/>
      <c r="AE2165" s="76"/>
      <c r="AF2165" s="76"/>
      <c r="AG2165" s="76"/>
      <c r="AH2165" s="76"/>
      <c r="AI2165" s="76"/>
      <c r="AJ2165" s="76"/>
      <c r="AK2165" s="76"/>
      <c r="AL2165" s="76"/>
      <c r="AM2165" s="76"/>
      <c r="AN2165" s="76"/>
      <c r="AO2165" s="76"/>
      <c r="AP2165" s="76"/>
      <c r="AQ2165" s="76"/>
      <c r="AR2165" s="76"/>
      <c r="AS2165" s="76"/>
      <c r="AT2165" s="76"/>
      <c r="AU2165" s="76"/>
      <c r="AV2165" s="76"/>
      <c r="AW2165" s="76"/>
      <c r="AX2165" s="76"/>
      <c r="AY2165" s="76"/>
      <c r="AZ2165" s="76"/>
      <c r="BA2165" s="76"/>
      <c r="BB2165" s="76"/>
      <c r="BC2165" s="76"/>
      <c r="BD2165" s="76"/>
      <c r="BE2165" s="76"/>
      <c r="BF2165" s="76"/>
      <c r="BG2165" s="76"/>
      <c r="BH2165" s="76"/>
      <c r="BI2165" s="76"/>
      <c r="BJ2165" s="76"/>
      <c r="BK2165" s="76"/>
      <c r="BL2165" s="76"/>
      <c r="BM2165" s="76"/>
      <c r="BN2165" s="76"/>
      <c r="BR2165" s="76"/>
      <c r="BS2165" s="76"/>
      <c r="BT2165" s="76"/>
      <c r="BU2165" s="76"/>
      <c r="BV2165" s="76"/>
      <c r="BW2165" s="76"/>
      <c r="BX2165" s="76"/>
      <c r="BZ2165" s="76"/>
    </row>
    <row r="2166" spans="4:78"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76"/>
      <c r="Q2166" s="76"/>
      <c r="R2166" s="76"/>
      <c r="S2166" s="219"/>
      <c r="T2166" s="219"/>
      <c r="U2166" s="76"/>
      <c r="V2166" s="76"/>
      <c r="W2166" s="76"/>
      <c r="X2166" s="76"/>
      <c r="Y2166" s="76"/>
      <c r="Z2166" s="76"/>
      <c r="AA2166" s="76"/>
      <c r="AB2166" s="76"/>
      <c r="AD2166" s="76"/>
      <c r="AE2166" s="76"/>
      <c r="AF2166" s="76"/>
      <c r="AG2166" s="76"/>
      <c r="AH2166" s="76"/>
      <c r="AI2166" s="76"/>
      <c r="AJ2166" s="76"/>
      <c r="AK2166" s="76"/>
      <c r="AL2166" s="76"/>
      <c r="AM2166" s="76"/>
      <c r="AN2166" s="76"/>
      <c r="AO2166" s="76"/>
      <c r="AP2166" s="76"/>
      <c r="AQ2166" s="76"/>
      <c r="AR2166" s="76"/>
      <c r="AS2166" s="76"/>
      <c r="AT2166" s="76"/>
      <c r="AU2166" s="76"/>
      <c r="AV2166" s="76"/>
      <c r="AW2166" s="76"/>
      <c r="AX2166" s="76"/>
      <c r="AY2166" s="76"/>
      <c r="AZ2166" s="76"/>
      <c r="BA2166" s="76"/>
      <c r="BB2166" s="76"/>
      <c r="BC2166" s="76"/>
      <c r="BD2166" s="76"/>
      <c r="BE2166" s="76"/>
      <c r="BF2166" s="76"/>
      <c r="BG2166" s="76"/>
      <c r="BH2166" s="76"/>
      <c r="BI2166" s="76"/>
      <c r="BJ2166" s="76"/>
      <c r="BK2166" s="76"/>
      <c r="BL2166" s="76"/>
      <c r="BM2166" s="76"/>
      <c r="BN2166" s="76"/>
      <c r="BR2166" s="76"/>
      <c r="BS2166" s="76"/>
      <c r="BT2166" s="76"/>
      <c r="BU2166" s="76"/>
      <c r="BV2166" s="76"/>
      <c r="BW2166" s="76"/>
      <c r="BX2166" s="76"/>
      <c r="BZ2166" s="76"/>
    </row>
    <row r="2167" spans="4:78"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76"/>
      <c r="Q2167" s="76"/>
      <c r="R2167" s="76"/>
      <c r="S2167" s="219"/>
      <c r="T2167" s="219"/>
      <c r="U2167" s="76"/>
      <c r="V2167" s="76"/>
      <c r="W2167" s="76"/>
      <c r="X2167" s="76"/>
      <c r="Y2167" s="76"/>
      <c r="Z2167" s="76"/>
      <c r="AA2167" s="76"/>
      <c r="AB2167" s="76"/>
      <c r="AD2167" s="76"/>
      <c r="AE2167" s="76"/>
      <c r="AF2167" s="76"/>
      <c r="AG2167" s="76"/>
      <c r="AH2167" s="76"/>
      <c r="AI2167" s="76"/>
      <c r="AJ2167" s="76"/>
      <c r="AK2167" s="76"/>
      <c r="AL2167" s="76"/>
      <c r="AM2167" s="76"/>
      <c r="AN2167" s="76"/>
      <c r="AO2167" s="76"/>
      <c r="AP2167" s="76"/>
      <c r="AQ2167" s="76"/>
      <c r="AR2167" s="76"/>
      <c r="AS2167" s="76"/>
      <c r="AT2167" s="76"/>
      <c r="AU2167" s="76"/>
      <c r="AV2167" s="76"/>
      <c r="AW2167" s="76"/>
      <c r="AX2167" s="76"/>
      <c r="AY2167" s="76"/>
      <c r="AZ2167" s="76"/>
      <c r="BA2167" s="76"/>
      <c r="BB2167" s="76"/>
      <c r="BC2167" s="76"/>
      <c r="BD2167" s="76"/>
      <c r="BE2167" s="76"/>
      <c r="BF2167" s="76"/>
      <c r="BG2167" s="76"/>
      <c r="BH2167" s="76"/>
      <c r="BI2167" s="76"/>
      <c r="BJ2167" s="76"/>
      <c r="BK2167" s="76"/>
      <c r="BL2167" s="76"/>
      <c r="BM2167" s="76"/>
      <c r="BN2167" s="76"/>
      <c r="BR2167" s="76"/>
      <c r="BS2167" s="76"/>
      <c r="BT2167" s="76"/>
      <c r="BU2167" s="76"/>
      <c r="BV2167" s="76"/>
      <c r="BW2167" s="76"/>
      <c r="BX2167" s="76"/>
      <c r="BZ2167" s="76"/>
    </row>
    <row r="2168" spans="4:78"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76"/>
      <c r="Q2168" s="76"/>
      <c r="R2168" s="76"/>
      <c r="S2168" s="219"/>
      <c r="T2168" s="219"/>
      <c r="U2168" s="76"/>
      <c r="V2168" s="76"/>
      <c r="W2168" s="76"/>
      <c r="X2168" s="76"/>
      <c r="Y2168" s="76"/>
      <c r="Z2168" s="76"/>
      <c r="AA2168" s="76"/>
      <c r="AB2168" s="76"/>
      <c r="AD2168" s="76"/>
      <c r="AE2168" s="76"/>
      <c r="AF2168" s="76"/>
      <c r="AG2168" s="76"/>
      <c r="AH2168" s="76"/>
      <c r="AI2168" s="76"/>
      <c r="AJ2168" s="76"/>
      <c r="AK2168" s="76"/>
      <c r="AL2168" s="76"/>
      <c r="AM2168" s="76"/>
      <c r="AN2168" s="76"/>
      <c r="AO2168" s="76"/>
      <c r="AP2168" s="76"/>
      <c r="AQ2168" s="76"/>
      <c r="AR2168" s="76"/>
      <c r="AS2168" s="76"/>
      <c r="AT2168" s="76"/>
      <c r="AU2168" s="76"/>
      <c r="AV2168" s="76"/>
      <c r="AW2168" s="76"/>
      <c r="AX2168" s="76"/>
      <c r="AY2168" s="76"/>
      <c r="AZ2168" s="76"/>
      <c r="BA2168" s="76"/>
      <c r="BB2168" s="76"/>
      <c r="BC2168" s="76"/>
      <c r="BD2168" s="76"/>
      <c r="BE2168" s="76"/>
      <c r="BF2168" s="76"/>
      <c r="BG2168" s="76"/>
      <c r="BH2168" s="76"/>
      <c r="BI2168" s="76"/>
      <c r="BJ2168" s="76"/>
      <c r="BK2168" s="76"/>
      <c r="BL2168" s="76"/>
      <c r="BM2168" s="76"/>
      <c r="BN2168" s="76"/>
      <c r="BR2168" s="76"/>
      <c r="BS2168" s="76"/>
      <c r="BT2168" s="76"/>
      <c r="BU2168" s="76"/>
      <c r="BV2168" s="76"/>
      <c r="BW2168" s="76"/>
      <c r="BX2168" s="76"/>
      <c r="BZ2168" s="76"/>
    </row>
    <row r="2169" spans="4:78"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76"/>
      <c r="Q2169" s="76"/>
      <c r="R2169" s="76"/>
      <c r="S2169" s="219"/>
      <c r="T2169" s="219"/>
      <c r="U2169" s="76"/>
      <c r="V2169" s="76"/>
      <c r="W2169" s="76"/>
      <c r="X2169" s="76"/>
      <c r="Y2169" s="76"/>
      <c r="Z2169" s="76"/>
      <c r="AA2169" s="76"/>
      <c r="AB2169" s="76"/>
      <c r="AD2169" s="76"/>
      <c r="AE2169" s="76"/>
      <c r="AF2169" s="76"/>
      <c r="AG2169" s="76"/>
      <c r="AH2169" s="76"/>
      <c r="AI2169" s="76"/>
      <c r="AJ2169" s="76"/>
      <c r="AK2169" s="76"/>
      <c r="AL2169" s="76"/>
      <c r="AM2169" s="76"/>
      <c r="AN2169" s="76"/>
      <c r="AO2169" s="76"/>
      <c r="AP2169" s="76"/>
      <c r="AQ2169" s="76"/>
      <c r="AR2169" s="76"/>
      <c r="AS2169" s="76"/>
      <c r="AT2169" s="76"/>
      <c r="AU2169" s="76"/>
      <c r="AV2169" s="76"/>
      <c r="AW2169" s="76"/>
      <c r="AX2169" s="76"/>
      <c r="AY2169" s="76"/>
      <c r="AZ2169" s="76"/>
      <c r="BA2169" s="76"/>
      <c r="BB2169" s="76"/>
      <c r="BC2169" s="76"/>
      <c r="BD2169" s="76"/>
      <c r="BE2169" s="76"/>
      <c r="BF2169" s="76"/>
      <c r="BG2169" s="76"/>
      <c r="BH2169" s="76"/>
      <c r="BI2169" s="76"/>
      <c r="BJ2169" s="76"/>
      <c r="BK2169" s="76"/>
      <c r="BL2169" s="76"/>
      <c r="BM2169" s="76"/>
      <c r="BN2169" s="76"/>
      <c r="BR2169" s="76"/>
      <c r="BS2169" s="76"/>
      <c r="BT2169" s="76"/>
      <c r="BU2169" s="76"/>
      <c r="BV2169" s="76"/>
      <c r="BW2169" s="76"/>
      <c r="BX2169" s="76"/>
      <c r="BZ2169" s="76"/>
    </row>
    <row r="2197" spans="1:80">
      <c r="A2197" s="137" t="s">
        <v>2353</v>
      </c>
      <c r="B2197" s="137"/>
      <c r="C2197" s="137" t="s">
        <v>2353</v>
      </c>
      <c r="D2197" s="112"/>
      <c r="E2197" s="137" t="s">
        <v>2353</v>
      </c>
      <c r="F2197" s="111"/>
      <c r="G2197" s="111"/>
      <c r="H2197" s="112"/>
      <c r="I2197" s="112"/>
      <c r="J2197" s="112"/>
      <c r="K2197" s="112"/>
      <c r="L2197" s="112"/>
      <c r="M2197" s="112"/>
      <c r="N2197" s="112"/>
      <c r="O2197" s="112"/>
      <c r="P2197" s="185"/>
      <c r="U2197" s="111"/>
      <c r="V2197" s="111"/>
      <c r="W2197" s="111"/>
      <c r="X2197" s="111"/>
      <c r="Y2197" s="111"/>
      <c r="Z2197" s="54"/>
      <c r="AA2197" s="54"/>
      <c r="AB2197" s="54"/>
      <c r="AC2197" s="112"/>
      <c r="AD2197" s="54" t="s">
        <v>2443</v>
      </c>
      <c r="AE2197" s="54"/>
      <c r="AF2197" s="54"/>
      <c r="AG2197" s="54"/>
      <c r="AH2197" s="54"/>
      <c r="AI2197" s="54"/>
      <c r="AJ2197" s="54">
        <f t="shared" ref="AJ2197:BD2197" si="16">COUNTA(AJ2:AJ2196)</f>
        <v>0</v>
      </c>
      <c r="AK2197" s="54">
        <f t="shared" si="16"/>
        <v>2</v>
      </c>
      <c r="AL2197" s="54">
        <f t="shared" si="16"/>
        <v>12</v>
      </c>
      <c r="AM2197" s="54">
        <f t="shared" si="16"/>
        <v>51</v>
      </c>
      <c r="AN2197" s="54">
        <f t="shared" si="16"/>
        <v>12</v>
      </c>
      <c r="AO2197" s="54">
        <f t="shared" si="16"/>
        <v>30</v>
      </c>
      <c r="AP2197" s="54">
        <f t="shared" si="16"/>
        <v>49</v>
      </c>
      <c r="AQ2197" s="54">
        <f t="shared" si="16"/>
        <v>41</v>
      </c>
      <c r="AR2197" s="54">
        <f t="shared" si="16"/>
        <v>27</v>
      </c>
      <c r="AS2197" s="54">
        <f t="shared" si="16"/>
        <v>530</v>
      </c>
      <c r="AT2197" s="54">
        <f t="shared" si="16"/>
        <v>49</v>
      </c>
      <c r="AU2197" s="54">
        <f t="shared" si="16"/>
        <v>52</v>
      </c>
      <c r="AV2197" s="54">
        <f t="shared" si="16"/>
        <v>50</v>
      </c>
      <c r="AW2197" s="54">
        <f t="shared" si="16"/>
        <v>37</v>
      </c>
      <c r="AX2197" s="54">
        <f t="shared" si="16"/>
        <v>0</v>
      </c>
      <c r="AY2197" s="54">
        <f t="shared" si="16"/>
        <v>432</v>
      </c>
      <c r="AZ2197" s="54">
        <f t="shared" si="16"/>
        <v>0</v>
      </c>
      <c r="BA2197" s="54">
        <f t="shared" si="16"/>
        <v>0</v>
      </c>
      <c r="BB2197" s="54">
        <f t="shared" si="16"/>
        <v>0</v>
      </c>
      <c r="BC2197" s="54">
        <f t="shared" si="16"/>
        <v>0</v>
      </c>
      <c r="BD2197" s="54">
        <f t="shared" si="16"/>
        <v>0</v>
      </c>
      <c r="BE2197" s="111"/>
      <c r="BF2197" s="111"/>
      <c r="BG2197" s="111"/>
      <c r="BH2197" s="111"/>
      <c r="BI2197" s="111"/>
      <c r="BJ2197" s="111"/>
      <c r="BK2197" s="54"/>
      <c r="BL2197" s="111"/>
      <c r="BM2197" s="54"/>
      <c r="BN2197" s="111"/>
      <c r="BO2197" s="112"/>
      <c r="BP2197" s="112"/>
      <c r="BQ2197" s="112"/>
      <c r="BR2197" s="54"/>
      <c r="BS2197" s="54"/>
      <c r="BT2197" s="54"/>
      <c r="BU2197" s="54"/>
      <c r="BV2197" s="54"/>
      <c r="BW2197" s="54"/>
      <c r="BX2197" s="54"/>
      <c r="BY2197" s="112"/>
      <c r="BZ2197" s="54"/>
      <c r="CA2197" s="157">
        <v>44596.634675925925</v>
      </c>
      <c r="CB2197" s="188">
        <v>44604.561192129629</v>
      </c>
    </row>
    <row r="2198" spans="1:80" s="134" customFormat="1">
      <c r="C2198" s="136"/>
      <c r="F2198" s="135"/>
      <c r="G2198" s="135"/>
      <c r="L2198" s="135"/>
      <c r="M2198" s="135"/>
      <c r="N2198" s="135"/>
      <c r="P2198" s="186"/>
      <c r="Q2198" s="135"/>
      <c r="R2198" s="135"/>
      <c r="S2198" s="220"/>
      <c r="T2198" s="220"/>
      <c r="U2198" s="135"/>
      <c r="V2198" s="135"/>
      <c r="W2198" s="135"/>
      <c r="X2198" s="135"/>
      <c r="Y2198" s="135"/>
      <c r="Z2198" s="118"/>
      <c r="AA2198" s="118"/>
      <c r="AB2198" s="118"/>
      <c r="AD2198" s="118"/>
      <c r="AE2198" s="118"/>
      <c r="AF2198" s="118"/>
      <c r="AG2198" s="118"/>
      <c r="AH2198" s="118"/>
      <c r="AI2198" s="118"/>
      <c r="AJ2198" s="118"/>
      <c r="AK2198" s="118"/>
      <c r="AL2198" s="118"/>
      <c r="AM2198" s="118"/>
      <c r="AN2198" s="118"/>
      <c r="AO2198" s="128"/>
      <c r="AP2198" s="129"/>
      <c r="AQ2198" s="128"/>
      <c r="AR2198" s="129"/>
      <c r="AS2198" s="128"/>
      <c r="AT2198" s="128"/>
      <c r="AU2198" s="128"/>
      <c r="AV2198" s="128"/>
      <c r="AW2198" s="128"/>
      <c r="AX2198" s="135"/>
      <c r="AY2198" s="135"/>
      <c r="AZ2198" s="135"/>
      <c r="BA2198" s="135"/>
      <c r="BB2198" s="135"/>
      <c r="BC2198" s="135"/>
      <c r="BD2198" s="135"/>
      <c r="BE2198" s="135"/>
      <c r="BF2198" s="135"/>
      <c r="BG2198" s="135"/>
      <c r="BH2198" s="135"/>
      <c r="BI2198" s="135"/>
      <c r="BJ2198" s="135"/>
      <c r="BK2198" s="118"/>
      <c r="BL2198" s="135"/>
      <c r="BM2198" s="118"/>
      <c r="BN2198" s="135"/>
      <c r="BR2198" s="118"/>
      <c r="BS2198" s="118"/>
      <c r="BT2198" s="118"/>
      <c r="BU2198" s="118"/>
      <c r="BV2198" s="118"/>
      <c r="BW2198" s="118"/>
      <c r="BX2198" s="118"/>
      <c r="BZ2198" s="118"/>
      <c r="CA2198" s="145">
        <v>44596.638831018521</v>
      </c>
      <c r="CB2198" s="187">
        <v>44604.561122685183</v>
      </c>
    </row>
    <row r="2199" spans="1:80" s="134" customFormat="1">
      <c r="C2199" s="136"/>
      <c r="F2199" s="135"/>
      <c r="G2199" s="135"/>
      <c r="L2199" s="135"/>
      <c r="M2199" s="135"/>
      <c r="N2199" s="135"/>
      <c r="P2199" s="186"/>
      <c r="Q2199" s="135"/>
      <c r="R2199" s="135"/>
      <c r="S2199" s="220"/>
      <c r="T2199" s="220"/>
      <c r="U2199" s="135"/>
      <c r="V2199" s="135"/>
      <c r="W2199" s="135"/>
      <c r="X2199" s="135"/>
      <c r="Y2199" s="135"/>
      <c r="Z2199" s="118"/>
      <c r="AA2199" s="118"/>
      <c r="AB2199" s="118"/>
      <c r="AD2199" s="118"/>
      <c r="AE2199" s="118"/>
      <c r="AF2199" s="118"/>
      <c r="AG2199" s="118"/>
      <c r="AH2199" s="118"/>
      <c r="AI2199" s="118"/>
      <c r="AJ2199" s="118"/>
      <c r="AK2199" s="118"/>
      <c r="AL2199" s="118"/>
      <c r="AM2199" s="118"/>
      <c r="AN2199" s="118"/>
      <c r="AO2199" s="128"/>
      <c r="AP2199" s="129"/>
      <c r="AQ2199" s="128"/>
      <c r="AR2199" s="129"/>
      <c r="AS2199" s="128"/>
      <c r="AT2199" s="128"/>
      <c r="AU2199" s="128"/>
      <c r="AV2199" s="128"/>
      <c r="AW2199" s="128"/>
      <c r="AX2199" s="135"/>
      <c r="AY2199" s="135"/>
      <c r="AZ2199" s="135"/>
      <c r="BA2199" s="135"/>
      <c r="BB2199" s="135"/>
      <c r="BC2199" s="135"/>
      <c r="BD2199" s="135"/>
      <c r="BE2199" s="135"/>
      <c r="BF2199" s="135"/>
      <c r="BG2199" s="135"/>
      <c r="BH2199" s="135"/>
      <c r="BI2199" s="135"/>
      <c r="BJ2199" s="135"/>
      <c r="BK2199" s="118"/>
      <c r="BL2199" s="135"/>
      <c r="BM2199" s="118"/>
      <c r="BN2199" s="135"/>
      <c r="BR2199" s="118"/>
      <c r="BS2199" s="118"/>
      <c r="BT2199" s="118"/>
      <c r="BU2199" s="118"/>
      <c r="BV2199" s="118"/>
      <c r="BW2199" s="118"/>
      <c r="BX2199" s="118"/>
      <c r="BZ2199" s="118"/>
      <c r="CA2199" s="145"/>
      <c r="CB2199" s="187"/>
    </row>
    <row r="2200" spans="1:80" s="134" customFormat="1">
      <c r="C2200" s="136"/>
      <c r="F2200" s="135"/>
      <c r="G2200" s="135"/>
      <c r="L2200" s="135"/>
      <c r="M2200" s="135"/>
      <c r="N2200" s="135"/>
      <c r="P2200" s="186"/>
      <c r="Q2200" s="135"/>
      <c r="R2200" s="135"/>
      <c r="S2200" s="220"/>
      <c r="T2200" s="220"/>
      <c r="U2200" s="135"/>
      <c r="V2200" s="135"/>
      <c r="W2200" s="135"/>
      <c r="X2200" s="135"/>
      <c r="Y2200" s="135"/>
      <c r="Z2200" s="118"/>
      <c r="AA2200" s="118"/>
      <c r="AB2200" s="118"/>
      <c r="AD2200" s="118"/>
      <c r="AE2200" s="118"/>
      <c r="AF2200" s="118"/>
      <c r="AG2200" s="118"/>
      <c r="AH2200" s="118"/>
      <c r="AI2200" s="118"/>
      <c r="AJ2200" s="118"/>
      <c r="AK2200" s="118"/>
      <c r="AL2200" s="118"/>
      <c r="AM2200" s="118"/>
      <c r="AN2200" s="118"/>
      <c r="AO2200" s="128"/>
      <c r="AP2200" s="129"/>
      <c r="AQ2200" s="128"/>
      <c r="AR2200" s="129"/>
      <c r="AS2200" s="128"/>
      <c r="AT2200" s="128"/>
      <c r="AU2200" s="128"/>
      <c r="AV2200" s="128"/>
      <c r="AW2200" s="128"/>
      <c r="AX2200" s="135"/>
      <c r="AY2200" s="135"/>
      <c r="AZ2200" s="135"/>
      <c r="BA2200" s="135"/>
      <c r="BB2200" s="135"/>
      <c r="BC2200" s="135"/>
      <c r="BD2200" s="135"/>
      <c r="BE2200" s="135"/>
      <c r="BF2200" s="135"/>
      <c r="BG2200" s="135"/>
      <c r="BH2200" s="135"/>
      <c r="BI2200" s="135"/>
      <c r="BJ2200" s="135"/>
      <c r="BK2200" s="118"/>
      <c r="BL2200" s="135"/>
      <c r="BM2200" s="118"/>
      <c r="BN2200" s="135"/>
      <c r="BR2200" s="118"/>
      <c r="BS2200" s="118"/>
      <c r="BT2200" s="118"/>
      <c r="BU2200" s="118"/>
      <c r="BV2200" s="118"/>
      <c r="BW2200" s="118"/>
      <c r="BX2200" s="118"/>
      <c r="BZ2200" s="118"/>
      <c r="CA2200" s="145"/>
      <c r="CB2200" s="187"/>
    </row>
    <row r="2201" spans="1:80" s="134" customFormat="1">
      <c r="C2201" s="136"/>
      <c r="F2201" s="135"/>
      <c r="G2201" s="135"/>
      <c r="L2201" s="135"/>
      <c r="M2201" s="135"/>
      <c r="N2201" s="135"/>
      <c r="P2201" s="186"/>
      <c r="Q2201" s="135"/>
      <c r="R2201" s="135"/>
      <c r="S2201" s="220"/>
      <c r="T2201" s="220"/>
      <c r="U2201" s="135"/>
      <c r="V2201" s="135"/>
      <c r="W2201" s="135"/>
      <c r="X2201" s="135"/>
      <c r="Y2201" s="135"/>
      <c r="Z2201" s="118"/>
      <c r="AA2201" s="118"/>
      <c r="AB2201" s="118"/>
      <c r="AD2201" s="118"/>
      <c r="AE2201" s="118"/>
      <c r="AF2201" s="118"/>
      <c r="AG2201" s="118"/>
      <c r="AH2201" s="118"/>
      <c r="AI2201" s="118"/>
      <c r="AJ2201" s="118"/>
      <c r="AK2201" s="118"/>
      <c r="AL2201" s="118"/>
      <c r="AM2201" s="118"/>
      <c r="AN2201" s="127">
        <v>44605</v>
      </c>
      <c r="AO2201" s="128">
        <v>38.700000000000003</v>
      </c>
      <c r="AP2201" s="129">
        <v>37.700000000000003</v>
      </c>
      <c r="AQ2201" s="128">
        <v>48.7</v>
      </c>
      <c r="AR2201" s="129"/>
      <c r="AS2201" s="128">
        <v>27.96</v>
      </c>
      <c r="AT2201" s="128">
        <v>2.97</v>
      </c>
      <c r="AU2201" s="128">
        <v>11.44</v>
      </c>
      <c r="AV2201" s="128"/>
      <c r="AW2201" s="128"/>
      <c r="AX2201" s="135"/>
      <c r="AY2201" s="135"/>
      <c r="AZ2201" s="135"/>
      <c r="BA2201" s="135"/>
      <c r="BB2201" s="135"/>
      <c r="BC2201" s="135"/>
      <c r="BD2201" s="135"/>
      <c r="BE2201" s="135"/>
      <c r="BF2201" s="135"/>
      <c r="BG2201" s="135"/>
      <c r="BH2201" s="135"/>
      <c r="BI2201" s="135"/>
      <c r="BJ2201" s="135"/>
      <c r="BK2201" s="118"/>
      <c r="BL2201" s="135"/>
      <c r="BM2201" s="118"/>
      <c r="BN2201" s="135"/>
      <c r="BR2201" s="118"/>
      <c r="BS2201" s="118"/>
      <c r="BT2201" s="118"/>
      <c r="BU2201" s="118"/>
      <c r="BV2201" s="118"/>
      <c r="BW2201" s="118"/>
      <c r="BX2201" s="118"/>
      <c r="BZ2201" s="118"/>
      <c r="CA2201" s="145"/>
      <c r="CB2201" s="187"/>
    </row>
    <row r="2202" spans="1:80" s="134" customFormat="1">
      <c r="C2202" s="136"/>
      <c r="F2202" s="135"/>
      <c r="G2202" s="135"/>
      <c r="L2202" s="135"/>
      <c r="M2202" s="135"/>
      <c r="N2202" s="135"/>
      <c r="P2202" s="186"/>
      <c r="Q2202" s="135"/>
      <c r="R2202" s="135"/>
      <c r="S2202" s="220"/>
      <c r="T2202" s="220"/>
      <c r="U2202" s="135"/>
      <c r="V2202" s="135"/>
      <c r="W2202" s="135"/>
      <c r="X2202" s="135"/>
      <c r="Y2202" s="135"/>
      <c r="Z2202" s="118"/>
      <c r="AA2202" s="118"/>
      <c r="AB2202" s="118"/>
      <c r="AD2202" s="118"/>
      <c r="AE2202" s="118"/>
      <c r="AF2202" s="118"/>
      <c r="AG2202" s="118"/>
      <c r="AH2202" s="118"/>
      <c r="AI2202" s="118"/>
      <c r="AJ2202" s="118"/>
      <c r="AK2202" s="118"/>
      <c r="AL2202" s="118"/>
      <c r="AN2202" s="127">
        <v>44604</v>
      </c>
      <c r="AO2202" s="128">
        <v>102</v>
      </c>
      <c r="AP2202" s="129">
        <v>94</v>
      </c>
      <c r="AQ2202" s="128">
        <v>112</v>
      </c>
      <c r="AR2202" s="129">
        <v>32.85</v>
      </c>
      <c r="AS2202" s="128">
        <v>58</v>
      </c>
      <c r="AT2202" s="128">
        <v>41.43</v>
      </c>
      <c r="AU2202" s="128">
        <v>81.739999999999995</v>
      </c>
      <c r="AV2202" s="128">
        <v>16.23</v>
      </c>
      <c r="AW2202" s="128">
        <v>11.09</v>
      </c>
      <c r="AX2202" s="135"/>
      <c r="AY2202" s="135"/>
      <c r="AZ2202" s="135"/>
      <c r="BA2202" s="135"/>
      <c r="BB2202" s="135"/>
      <c r="BC2202" s="135"/>
      <c r="BD2202" s="135"/>
      <c r="BE2202" s="135"/>
      <c r="BF2202" s="135"/>
      <c r="BG2202" s="135"/>
      <c r="BH2202" s="135"/>
      <c r="BI2202" s="135"/>
      <c r="BJ2202" s="135"/>
      <c r="BK2202" s="118"/>
      <c r="BL2202" s="135"/>
      <c r="BM2202" s="118"/>
      <c r="BN2202" s="135"/>
      <c r="BR2202" s="118"/>
      <c r="BS2202" s="118"/>
      <c r="BT2202" s="118"/>
      <c r="BU2202" s="118"/>
      <c r="BV2202" s="118"/>
      <c r="BW2202" s="118"/>
      <c r="BX2202" s="118"/>
      <c r="BZ2202" s="118"/>
      <c r="CA2202" s="145">
        <v>44604.580300925925</v>
      </c>
      <c r="CB2202" s="187"/>
    </row>
    <row r="2203" spans="1:80" s="134" customFormat="1">
      <c r="C2203" s="136"/>
      <c r="F2203" s="135"/>
      <c r="G2203" s="135"/>
      <c r="L2203" s="135"/>
      <c r="M2203" s="135"/>
      <c r="N2203" s="135"/>
      <c r="P2203" s="186"/>
      <c r="Q2203" s="135"/>
      <c r="R2203" s="135"/>
      <c r="S2203" s="220"/>
      <c r="T2203" s="220"/>
      <c r="U2203" s="135"/>
      <c r="V2203" s="135"/>
      <c r="W2203" s="135"/>
      <c r="X2203" s="135"/>
      <c r="Y2203" s="135"/>
      <c r="Z2203" s="118"/>
      <c r="AA2203" s="118"/>
      <c r="AB2203" s="118"/>
      <c r="AD2203" s="118"/>
      <c r="AE2203" s="118"/>
      <c r="AF2203" s="118"/>
      <c r="AG2203" s="118"/>
      <c r="AH2203" s="118"/>
      <c r="AI2203" s="118"/>
      <c r="AJ2203" s="118"/>
      <c r="AK2203" s="118"/>
      <c r="AL2203" s="118"/>
      <c r="AN2203" s="127">
        <v>44596</v>
      </c>
      <c r="AO2203" s="128">
        <v>92</v>
      </c>
      <c r="AP2203" s="129">
        <v>79</v>
      </c>
      <c r="AQ2203" s="128">
        <v>102</v>
      </c>
      <c r="AR2203" s="129">
        <v>51.83</v>
      </c>
      <c r="AS2203" s="128">
        <v>43</v>
      </c>
      <c r="AT2203" s="128">
        <v>23.43</v>
      </c>
      <c r="AU2203" s="128">
        <v>66.739999999999995</v>
      </c>
      <c r="AV2203" s="128">
        <v>67.53</v>
      </c>
      <c r="AW2203" s="135">
        <v>56.09</v>
      </c>
      <c r="AX2203" s="135"/>
      <c r="AY2203" s="135"/>
      <c r="AZ2203" s="135"/>
      <c r="BA2203" s="135"/>
      <c r="BB2203" s="135"/>
      <c r="BC2203" s="135"/>
      <c r="BD2203" s="135"/>
      <c r="BE2203" s="135"/>
      <c r="BF2203" s="135"/>
      <c r="BG2203" s="135"/>
      <c r="BH2203" s="135"/>
      <c r="BI2203" s="135"/>
      <c r="BJ2203" s="135"/>
      <c r="BK2203" s="118"/>
      <c r="BL2203" s="135"/>
      <c r="BM2203" s="118"/>
      <c r="BN2203" s="135"/>
      <c r="BR2203" s="118"/>
      <c r="BS2203" s="118"/>
      <c r="BT2203" s="118"/>
      <c r="BU2203" s="118"/>
      <c r="BV2203" s="118"/>
      <c r="BW2203" s="118"/>
      <c r="BX2203" s="118"/>
      <c r="BZ2203" s="118"/>
      <c r="CA2203" s="145">
        <v>44596.593773148146</v>
      </c>
      <c r="CB2203" s="187">
        <v>44604.651863425926</v>
      </c>
    </row>
    <row r="2204" spans="1:80">
      <c r="AJ2204" s="76"/>
      <c r="AN2204" s="127">
        <v>44584</v>
      </c>
      <c r="AO2204" s="128">
        <v>73</v>
      </c>
      <c r="AP2204" s="129">
        <v>65</v>
      </c>
      <c r="AQ2204" s="128">
        <v>73</v>
      </c>
      <c r="AR2204" s="129">
        <v>32.83</v>
      </c>
      <c r="AS2204" s="128">
        <v>30</v>
      </c>
      <c r="AT2204" s="128">
        <v>9.43</v>
      </c>
      <c r="AU2204" s="128">
        <v>61.36</v>
      </c>
      <c r="AV2204" s="128">
        <v>53.53</v>
      </c>
      <c r="AW2204" s="128">
        <v>42.09</v>
      </c>
      <c r="CA2204" s="157">
        <v>44596.593923611108</v>
      </c>
    </row>
  </sheetData>
  <autoFilter ref="A1:BY2196" xr:uid="{526E78F3-4246-45A6-860F-A98121D63766}"/>
  <phoneticPr fontId="30" type="noConversion"/>
  <dataValidations disablePrompts="1" count="11">
    <dataValidation type="list" allowBlank="1" showInputMessage="1" showErrorMessage="1" sqref="P1998:P2002 AB1776:AB1830 AD1776:AD1830 AD1710:AD1755 P1756:P1775" xr:uid="{7E9F3924-3A42-46D8-BEA3-AB2E5F7CD364}">
      <formula1>$P$1563:$P$1580</formula1>
    </dataValidation>
    <dataValidation type="list" allowBlank="1" showInputMessage="1" showErrorMessage="1" sqref="X1710:Y1775 AB1776:AB1830 F1745:F1772 U1745:U1772 AW1710:AW1744 AB1710:AS1744" xr:uid="{72A1E3C8-30F4-40FD-B679-984BA503D544}">
      <formula1>$X$1563:$X$1580</formula1>
    </dataValidation>
    <dataValidation type="list" allowBlank="1" showInputMessage="1" showErrorMessage="1" sqref="AC1934:AC1935 AD1832:AD1887 AB1832:AB1887 AOM1993:AOM1997 AYI1993:AYI1997 BIE1993:BIE1997 BSA1993:BSA1997 CBW1993:CBW1997 CLS1993:CLS1997 CVO1993:CVO1997 DFK1993:DFK1997 DPG1993:DPG1997 DZC1993:DZC1997 EIY1993:EIY1997 ESU1993:ESU1997 FCQ1993:FCQ1997 FMM1993:FMM1997 FWI1993:FWI1997 GGE1993:GGE1997 GQA1993:GQA1997 GZW1993:GZW1997 HJS1993:HJS1997 HTO1993:HTO1997 IDK1993:IDK1997 ING1993:ING1997 IXC1993:IXC1997 JGY1993:JGY1997 JQU1993:JQU1997 KAQ1993:KAQ1997 KKM1993:KKM1997 KUI1993:KUI1997 LEE1993:LEE1997 LOA1993:LOA1997 LXW1993:LXW1997 MHS1993:MHS1997 MRO1993:MRO1997 NBK1993:NBK1997 NLG1993:NLG1997 NVC1993:NVC1997 OEY1993:OEY1997 OOU1993:OOU1997 OYQ1993:OYQ1997 PIM1993:PIM1997 PSI1993:PSI1997 QCE1993:QCE1997 QMA1993:QMA1997 QVW1993:QVW1997 RFS1993:RFS1997 RPO1993:RPO1997 RZK1993:RZK1997 SJG1993:SJG1997 STC1993:STC1997 TCY1993:TCY1997 TMU1993:TMU1997 TWQ1993:TWQ1997 UGM1993:UGM1997 UQI1993:UQI1997 VAE1993:VAE1997 VKA1993:VKA1997 VTW1993:VTW1997 WDS1993:WDS1997 WNO1993:WNO1997 WXK1993:WXK1997 AC1993:AC1997 WXK1891:WXK1907 WNO1891:WNO1907 WDS1891:WDS1907 VTW1891:VTW1907 VKA1891:VKA1907 VAE1891:VAE1907 UQI1891:UQI1907 UGM1891:UGM1907 TWQ1891:TWQ1907 TMU1891:TMU1907 TCY1891:TCY1907 STC1891:STC1907 SJG1891:SJG1907 RZK1891:RZK1907 RPO1891:RPO1907 RFS1891:RFS1907 QVW1891:QVW1907 QMA1891:QMA1907 QCE1891:QCE1907 PSI1891:PSI1907 PIM1891:PIM1907 OYQ1891:OYQ1907 OOU1891:OOU1907 OEY1891:OEY1907 NVC1891:NVC1907 NLG1891:NLG1907 NBK1891:NBK1907 MRO1891:MRO1907 MHS1891:MHS1907 LXW1891:LXW1907 LOA1891:LOA1907 LEE1891:LEE1907 KUI1891:KUI1907 KKM1891:KKM1907 KAQ1891:KAQ1907 JQU1891:JQU1907 JGY1891:JGY1907 IXC1891:IXC1907 ING1891:ING1907 IDK1891:IDK1907 HTO1891:HTO1907 HJS1891:HJS1907 GZW1891:GZW1907 GQA1891:GQA1907 GGE1891:GGE1907 FWI1891:FWI1907 FMM1891:FMM1907 FCQ1891:FCQ1907 ESU1891:ESU1907 EIY1891:EIY1907 DZC1891:DZC1907 DPG1891:DPG1907 DFK1891:DFK1907 CVO1891:CVO1907 CLS1891:CLS1907 CBW1891:CBW1907 BSA1891:BSA1907 BIE1891:BIE1907 AYI1891:AYI1907 AOM1891:AOM1907 AEQ1891:AEQ1907 UU1891:UU1907 KY1891:KY1907 AC1891:AC1907 KY1993:KY1997 WXN1832:WXN1887 WXM1888:WXM1890 WNR1832:WNR1887 WNQ1888:WNQ1890 WDV1832:WDV1887 WDU1888:WDU1890 VTZ1832:VTZ1887 VTY1888:VTY1890 VKD1832:VKD1887 VKC1888:VKC1890 VAH1832:VAH1887 VAG1888:VAG1890 UQL1832:UQL1887 UQK1888:UQK1890 UGP1832:UGP1887 UGO1888:UGO1890 TWT1832:TWT1887 TWS1888:TWS1890 TMX1832:TMX1887 TMW1888:TMW1890 TDB1832:TDB1887 TDA1888:TDA1890 STF1832:STF1887 STE1888:STE1890 SJJ1832:SJJ1887 SJI1888:SJI1890 RZN1832:RZN1887 RZM1888:RZM1890 RPR1832:RPR1887 RPQ1888:RPQ1890 RFV1832:RFV1887 RFU1888:RFU1890 QVZ1832:QVZ1887 QVY1888:QVY1890 QMD1832:QMD1887 QMC1888:QMC1890 QCH1832:QCH1887 QCG1888:QCG1890 PSL1832:PSL1887 PSK1888:PSK1890 PIP1832:PIP1887 PIO1888:PIO1890 OYT1832:OYT1887 OYS1888:OYS1890 OOX1832:OOX1887 OOW1888:OOW1890 OFB1832:OFB1887 OFA1888:OFA1890 NVF1832:NVF1887 NVE1888:NVE1890 NLJ1832:NLJ1887 NLI1888:NLI1890 NBN1832:NBN1887 NBM1888:NBM1890 MRR1832:MRR1887 MRQ1888:MRQ1890 MHV1832:MHV1887 MHU1888:MHU1890 LXZ1832:LXZ1887 LXY1888:LXY1890 LOD1832:LOD1887 LOC1888:LOC1890 LEH1832:LEH1887 LEG1888:LEG1890 KUL1832:KUL1887 KUK1888:KUK1890 KKP1832:KKP1887 KKO1888:KKO1890 KAT1832:KAT1887 KAS1888:KAS1890 JQX1832:JQX1887 JQW1888:JQW1890 JHB1832:JHB1887 JHA1888:JHA1890 IXF1832:IXF1887 IXE1888:IXE1890 INJ1832:INJ1887 INI1888:INI1890 IDN1832:IDN1887 IDM1888:IDM1890 HTR1832:HTR1887 HTQ1888:HTQ1890 HJV1832:HJV1887 HJU1888:HJU1890 GZZ1832:GZZ1887 GZY1888:GZY1890 GQD1832:GQD1887 GQC1888:GQC1890 GGH1832:GGH1887 GGG1888:GGG1890 FWL1832:FWL1887 FWK1888:FWK1890 FMP1832:FMP1887 FMO1888:FMO1890 FCT1832:FCT1887 FCS1888:FCS1890 ESX1832:ESX1887 ESW1888:ESW1890 EJB1832:EJB1887 EJA1888:EJA1890 DZF1832:DZF1887 DZE1888:DZE1890 DPJ1832:DPJ1887 DPI1888:DPI1890 DFN1832:DFN1887 DFM1888:DFM1890 CVR1832:CVR1887 CVQ1888:CVQ1890 CLV1832:CLV1887 CLU1888:CLU1890 CBZ1832:CBZ1887 CBY1888:CBY1890 BSD1832:BSD1887 BSC1888:BSC1890 BIH1832:BIH1887 BIG1888:BIG1890 AYL1832:AYL1887 AYK1888:AYK1890 AOP1832:AOP1887 AOO1888:AOO1890 AET1832:AET1887 AES1888:AES1890 UX1832:UX1887 UW1888:UW1890 LB1832:LB1887 LA1888:LA1890 KY1934:KY1935 WXK1934:WXK1935 WNO1934:WNO1935 WDS1934:WDS1935 VTW1934:VTW1935 VKA1934:VKA1935 VAE1934:VAE1935 UQI1934:UQI1935 UGM1934:UGM1935 TWQ1934:TWQ1935 TMU1934:TMU1935 TCY1934:TCY1935 STC1934:STC1935 SJG1934:SJG1935 RZK1934:RZK1935 RPO1934:RPO1935 RFS1934:RFS1935 QVW1934:QVW1935 QMA1934:QMA1935 QCE1934:QCE1935 PSI1934:PSI1935 PIM1934:PIM1935 OYQ1934:OYQ1935 OOU1934:OOU1935 OEY1934:OEY1935 NVC1934:NVC1935 NLG1934:NLG1935 NBK1934:NBK1935 MRO1934:MRO1935 MHS1934:MHS1935 LXW1934:LXW1935 LOA1934:LOA1935 LEE1934:LEE1935 KUI1934:KUI1935 KKM1934:KKM1935 KAQ1934:KAQ1935 JQU1934:JQU1935 JGY1934:JGY1935 IXC1934:IXC1935 ING1934:ING1935 IDK1934:IDK1935 HTO1934:HTO1935 HJS1934:HJS1935 GZW1934:GZW1935 GQA1934:GQA1935 GGE1934:GGE1935 FWI1934:FWI1935 FMM1934:FMM1935 FCQ1934:FCQ1935 ESU1934:ESU1935 EIY1934:EIY1935 DZC1934:DZC1935 DPG1934:DPG1935 DFK1934:DFK1935 CVO1934:CVO1935 CLS1934:CLS1935 CBW1934:CBW1935 BSA1934:BSA1935 BIE1934:BIE1935 AYI1934:AYI1935 AOM1934:AOM1935 AEQ1934:AEQ1935 UU1934:UU1935 UU1993:UU1997 AEQ1993:AEQ1997" xr:uid="{67DD9F04-7CE9-47F8-AFD6-1BC9FAD71065}">
      <formula1>$AC$1391:$AC$1399</formula1>
    </dataValidation>
    <dataValidation type="list" allowBlank="1" showInputMessage="1" showErrorMessage="1" sqref="UO1993:UO1997 D1993:G1997 D1832:G1907 D1934:G1935 AB1934:AB1935 AB1832:AB1907 KS1993:KS1997 KS1934:KS1935 UO1934:UO1935 AEK1934:AEK1935 AOG1934:AOG1935 AYC1934:AYC1935 BHY1934:BHY1935 BRU1934:BRU1935 CBQ1934:CBQ1935 CLM1934:CLM1935 CVI1934:CVI1935 DFE1934:DFE1935 DPA1934:DPA1935 DYW1934:DYW1935 EIS1934:EIS1935 ESO1934:ESO1935 FCK1934:FCK1935 FMG1934:FMG1935 FWC1934:FWC1935 GFY1934:GFY1935 GPU1934:GPU1935 GZQ1934:GZQ1935 HJM1934:HJM1935 HTI1934:HTI1935 IDE1934:IDE1935 INA1934:INA1935 IWW1934:IWW1935 JGS1934:JGS1935 JQO1934:JQO1935 KAK1934:KAK1935 KKG1934:KKG1935 KUC1934:KUC1935 LDY1934:LDY1935 LNU1934:LNU1935 LXQ1934:LXQ1935 MHM1934:MHM1935 MRI1934:MRI1935 NBE1934:NBE1935 NLA1934:NLA1935 NUW1934:NUW1935 OES1934:OES1935 OOO1934:OOO1935 OYK1934:OYK1935 PIG1934:PIG1935 PSC1934:PSC1935 QBY1934:QBY1935 QLU1934:QLU1935 QVQ1934:QVQ1935 RFM1934:RFM1935 RPI1934:RPI1935 RZE1934:RZE1935 SJA1934:SJA1935 SSW1934:SSW1935 TCS1934:TCS1935 TMO1934:TMO1935 TWK1934:TWK1935 UGG1934:UGG1935 UQC1934:UQC1935 UZY1934:UZY1935 VJU1934:VJU1935 VTQ1934:VTQ1935 WDM1934:WDM1935 WNI1934:WNI1935 WXE1934:WXE1935 KV1832:KV1887 UQ1888:UQ1890 UR1832:UR1887 AEM1888:AEM1890 AEN1832:AEN1887 AOI1888:AOI1890 AOJ1832:AOJ1887 AYE1888:AYE1890 AYF1832:AYF1887 BIA1888:BIA1890 BIB1832:BIB1887 BRW1888:BRW1890 BRX1832:BRX1887 CBS1888:CBS1890 CBT1832:CBT1887 CLO1888:CLO1890 CLP1832:CLP1887 CVK1888:CVK1890 CVL1832:CVL1887 DFG1888:DFG1890 DFH1832:DFH1887 DPC1888:DPC1890 DPD1832:DPD1887 DYY1888:DYY1890 DYZ1832:DYZ1887 EIU1888:EIU1890 EIV1832:EIV1887 ESQ1888:ESQ1890 ESR1832:ESR1887 FCM1888:FCM1890 FCN1832:FCN1887 FMI1888:FMI1890 FMJ1832:FMJ1887 FWE1888:FWE1890 FWF1832:FWF1887 GGA1888:GGA1890 GGB1832:GGB1887 GPW1888:GPW1890 GPX1832:GPX1887 GZS1888:GZS1890 GZT1832:GZT1887 HJO1888:HJO1890 HJP1832:HJP1887 HTK1888:HTK1890 HTL1832:HTL1887 IDG1888:IDG1890 IDH1832:IDH1887 INC1888:INC1890 IND1832:IND1887 IWY1888:IWY1890 IWZ1832:IWZ1887 JGU1888:JGU1890 JGV1832:JGV1887 JQQ1888:JQQ1890 JQR1832:JQR1887 KAM1888:KAM1890 KAN1832:KAN1887 KKI1888:KKI1890 KKJ1832:KKJ1887 KUE1888:KUE1890 KUF1832:KUF1887 LEA1888:LEA1890 LEB1832:LEB1887 LNW1888:LNW1890 LNX1832:LNX1887 LXS1888:LXS1890 LXT1832:LXT1887 MHO1888:MHO1890 MHP1832:MHP1887 MRK1888:MRK1890 MRL1832:MRL1887 NBG1888:NBG1890 NBH1832:NBH1887 NLC1888:NLC1890 NLD1832:NLD1887 NUY1888:NUY1890 NUZ1832:NUZ1887 OEU1888:OEU1890 OEV1832:OEV1887 OOQ1888:OOQ1890 OOR1832:OOR1887 OYM1888:OYM1890 OYN1832:OYN1887 PII1888:PII1890 PIJ1832:PIJ1887 PSE1888:PSE1890 PSF1832:PSF1887 QCA1888:QCA1890 QCB1832:QCB1887 QLW1888:QLW1890 QLX1832:QLX1887 QVS1888:QVS1890 QVT1832:QVT1887 RFO1888:RFO1890 RFP1832:RFP1887 RPK1888:RPK1890 RPL1832:RPL1887 RZG1888:RZG1890 RZH1832:RZH1887 SJC1888:SJC1890 SJD1832:SJD1887 SSY1888:SSY1890 SSZ1832:SSZ1887 TCU1888:TCU1890 TCV1832:TCV1887 TMQ1888:TMQ1890 TMR1832:TMR1887 TWM1888:TWM1890 TWN1832:TWN1887 UGI1888:UGI1890 UGJ1832:UGJ1887 UQE1888:UQE1890 UQF1832:UQF1887 VAA1888:VAA1890 VAB1832:VAB1887 VJW1888:VJW1890 VJX1832:VJX1887 VTS1888:VTS1890 VTT1832:VTT1887 WDO1888:WDO1890 WDP1832:WDP1887 WNK1888:WNK1890 WNL1832:WNL1887 WXG1888:WXG1890 WXH1832:WXH1887 WXE1891:WXE1907 WNI1891:WNI1907 WDM1891:WDM1907 VTQ1891:VTQ1907 VJU1891:VJU1907 UZY1891:UZY1907 UQC1891:UQC1907 UGG1891:UGG1907 TWK1891:TWK1907 TMO1891:TMO1907 TCS1891:TCS1907 SSW1891:SSW1907 SJA1891:SJA1907 RZE1891:RZE1907 RPI1891:RPI1907 RFM1891:RFM1907 QVQ1891:QVQ1907 QLU1891:QLU1907 QBY1891:QBY1907 PSC1891:PSC1907 PIG1891:PIG1907 OYK1891:OYK1907 OOO1891:OOO1907 OES1891:OES1907 NUW1891:NUW1907 NLA1891:NLA1907 NBE1891:NBE1907 MRI1891:MRI1907 MHM1891:MHM1907 LXQ1891:LXQ1907 LNU1891:LNU1907 LDY1891:LDY1907 KUC1891:KUC1907 KKG1891:KKG1907 KAK1891:KAK1907 JQO1891:JQO1907 JGS1891:JGS1907 IWW1891:IWW1907 INA1891:INA1907 IDE1891:IDE1907 HTI1891:HTI1907 HJM1891:HJM1907 GZQ1891:GZQ1907 GPU1891:GPU1907 GFY1891:GFY1907 FWC1891:FWC1907 FMG1891:FMG1907 FCK1891:FCK1907 ESO1891:ESO1907 EIS1891:EIS1907 DYW1891:DYW1907 DPA1891:DPA1907 DFE1891:DFE1907 CVI1891:CVI1907 CLM1891:CLM1907 CBQ1891:CBQ1907 BRU1891:BRU1907 BHY1891:BHY1907 AYC1891:AYC1907 AOG1891:AOG1907 AEK1891:AEK1907 UO1891:UO1907 KS1891:KS1907 KU1888:KU1890 WXE1993:WXE1997 WNI1993:WNI1997 WDM1993:WDM1997 VTQ1993:VTQ1997 VJU1993:VJU1997 UZY1993:UZY1997 UQC1993:UQC1997 UGG1993:UGG1997 TWK1993:TWK1997 TMO1993:TMO1997 TCS1993:TCS1997 SSW1993:SSW1997 SJA1993:SJA1997 RZE1993:RZE1997 RPI1993:RPI1997 RFM1993:RFM1997 QVQ1993:QVQ1997 QLU1993:QLU1997 QBY1993:QBY1997 PSC1993:PSC1997 PIG1993:PIG1997 OYK1993:OYK1997 OOO1993:OOO1997 OES1993:OES1997 NUW1993:NUW1997 NLA1993:NLA1997 NBE1993:NBE1997 MRI1993:MRI1997 MHM1993:MHM1997 LXQ1993:LXQ1997 LNU1993:LNU1997 LDY1993:LDY1997 KUC1993:KUC1997 KKG1993:KKG1997 KAK1993:KAK1997 JQO1993:JQO1997 JGS1993:JGS1997 IWW1993:IWW1997 INA1993:INA1997 IDE1993:IDE1997 HTI1993:HTI1997 HJM1993:HJM1997 GZQ1993:GZQ1997 GPU1993:GPU1997 GFY1993:GFY1997 FWC1993:FWC1997 FMG1993:FMG1997 FCK1993:FCK1997 ESO1993:ESO1997 EIS1993:EIS1997 DYW1993:DYW1997 DPA1993:DPA1997 DFE1993:DFE1997 CVI1993:CVI1997 CLM1993:CLM1997 CBQ1993:CBQ1997 BRU1993:BRU1997 BHY1993:BHY1997 AYC1993:AYC1997 AOG1993:AOG1997 AEK1993:AEK1997 O1934:O1935 O1832:O1907 O1993:O1997 X1832:Y1907 Q1832:U1907 X1934:Y1935 Q1934:U1935 X1993:Y1997 Q1993:U1997" xr:uid="{989D9F7C-1F19-49DF-96FC-E691DDB3AE02}">
      <formula1>$C$1391:$C$1399</formula1>
    </dataValidation>
    <dataValidation type="list" allowBlank="1" showInputMessage="1" showErrorMessage="1" sqref="WXE1985:WXE1992 C1908:G1933 D1937:G1992 AB1937:AB1973 WXH1937:WXH1984 WNI1985:WNI1992 WNL1937:WNL1984 WDM1985:WDM1992 WDP1937:WDP1984 VTQ1985:VTQ1992 VTT1937:VTT1984 VJU1985:VJU1992 VJX1937:VJX1984 UZY1985:UZY1992 VAB1937:VAB1984 UQC1985:UQC1992 UQF1937:UQF1984 UGG1985:UGG1992 UGJ1937:UGJ1984 TWK1985:TWK1992 TWN1937:TWN1984 TMO1985:TMO1992 TMR1937:TMR1984 TCS1985:TCS1992 TCV1937:TCV1984 SSW1985:SSW1992 SSZ1937:SSZ1984 SJA1985:SJA1992 SJD1937:SJD1984 RZE1985:RZE1992 RZH1937:RZH1984 RPI1985:RPI1992 RPL1937:RPL1984 RFM1985:RFM1992 RFP1937:RFP1984 QVQ1985:QVQ1992 QVT1937:QVT1984 QLU1985:QLU1992 QLX1937:QLX1984 QBY1985:QBY1992 QCB1937:QCB1984 PSC1985:PSC1992 PSF1937:PSF1984 PIG1985:PIG1992 PIJ1937:PIJ1984 OYK1985:OYK1992 OYN1937:OYN1984 OOO1985:OOO1992 OOR1937:OOR1984 OES1985:OES1992 OEV1937:OEV1984 NUW1985:NUW1992 NUZ1937:NUZ1984 NLA1985:NLA1992 NLD1937:NLD1984 NBE1985:NBE1992 NBH1937:NBH1984 MRI1985:MRI1992 MRL1937:MRL1984 MHM1985:MHM1992 MHP1937:MHP1984 LXQ1985:LXQ1992 LXT1937:LXT1984 LNU1985:LNU1992 LNX1937:LNX1984 LDY1985:LDY1992 LEB1937:LEB1984 KUC1985:KUC1992 KUF1937:KUF1984 KKG1985:KKG1992 KKJ1937:KKJ1984 KAK1985:KAK1992 KAN1937:KAN1984 JQO1985:JQO1992 JQR1937:JQR1984 JGS1985:JGS1992 JGV1937:JGV1984 IWW1985:IWW1992 IWZ1937:IWZ1984 INA1985:INA1992 IND1937:IND1984 IDE1985:IDE1992 IDH1937:IDH1984 HTI1985:HTI1992 HTL1937:HTL1984 HJM1985:HJM1992 HJP1937:HJP1984 GZQ1985:GZQ1992 GZT1937:GZT1984 GPU1985:GPU1992 GPX1937:GPX1984 GFY1985:GFY1992 GGB1937:GGB1984 FWC1985:FWC1992 FWF1937:FWF1984 FMG1985:FMG1992 FMJ1937:FMJ1984 FCK1985:FCK1992 FCN1937:FCN1984 ESO1985:ESO1992 ESR1937:ESR1984 EIS1985:EIS1992 EIV1937:EIV1984 DYW1985:DYW1992 DYZ1937:DYZ1984 DPA1985:DPA1992 DPD1937:DPD1984 DFE1985:DFE1992 DFH1937:DFH1984 CVI1985:CVI1992 CVL1937:CVL1984 CLM1985:CLM1992 CLP1937:CLP1984 CBQ1985:CBQ1992 CBT1937:CBT1984 BRU1985:BRU1992 BRX1937:BRX1984 BHY1985:BHY1992 BIB1937:BIB1984 AYC1985:AYC1992 AYF1937:AYF1984 AOG1985:AOG1992 AOJ1937:AOJ1984 AEK1985:AEK1992 AEN1937:AEN1984 UO1985:UO1992 UR1937:UR1984 KS1985:KS1992 KV1937:KV1984 KS1908:KS1933 UO1908:UO1933 AEK1908:AEK1933 AOG1908:AOG1933 AYC1908:AYC1933 BHY1908:BHY1933 BRU1908:BRU1933 CBQ1908:CBQ1933 CLM1908:CLM1933 CVI1908:CVI1933 DFE1908:DFE1933 DPA1908:DPA1933 DYW1908:DYW1933 EIS1908:EIS1933 ESO1908:ESO1933 FCK1908:FCK1933 FMG1908:FMG1933 FWC1908:FWC1933 GFY1908:GFY1933 GPU1908:GPU1933 GZQ1908:GZQ1933 HJM1908:HJM1933 HTI1908:HTI1933 IDE1908:IDE1933 INA1908:INA1933 IWW1908:IWW1933 JGS1908:JGS1933 JQO1908:JQO1933 KAK1908:KAK1933 KKG1908:KKG1933 KUC1908:KUC1933 LDY1908:LDY1933 LNU1908:LNU1933 LXQ1908:LXQ1933 MHM1908:MHM1933 MRI1908:MRI1933 NBE1908:NBE1933 NLA1908:NLA1933 NUW1908:NUW1933 OES1908:OES1933 OOO1908:OOO1933 OYK1908:OYK1933 PIG1908:PIG1933 PSC1908:PSC1933 QBY1908:QBY1933 QLU1908:QLU1933 QVQ1908:QVQ1933 RFM1908:RFM1933 RPI1908:RPI1933 RZE1908:RZE1933 SJA1908:SJA1933 SSW1908:SSW1933 TCS1908:TCS1933 TMO1908:TMO1933 TWK1908:TWK1933 UGG1908:UGG1933 UQC1908:UQC1933 UZY1908:UZY1933 VJU1908:VJU1933 VTQ1908:VTQ1933 WDM1908:WDM1933 WNI1908:WNI1933 WXE1908:WXE1933 O1908:O1933 O1937:O1992 X1937:Y1992 Q1937:U1992 Q1908:BI1933" xr:uid="{20305C8B-4113-46E7-9D8A-96DFADDFFB44}">
      <formula1>$C$1371:$C$1379</formula1>
    </dataValidation>
    <dataValidation type="list" allowBlank="1" showInputMessage="1" showErrorMessage="1" sqref="BJ1908:BK1933 AB1937:AB1973 WXH1908:WXH1933 WNL1908:WNL1933 WDP1908:WDP1933 VTT1908:VTT1933 VJX1908:VJX1933 VAB1908:VAB1933 UQF1908:UQF1933 UGJ1908:UGJ1933 TWN1908:TWN1933 TMR1908:TMR1933 TCV1908:TCV1933 SSZ1908:SSZ1933 SJD1908:SJD1933 RZH1908:RZH1933 RPL1908:RPL1933 RFP1908:RFP1933 QVT1908:QVT1933 QLX1908:QLX1933 QCB1908:QCB1933 PSF1908:PSF1933 PIJ1908:PIJ1933 OYN1908:OYN1933 OOR1908:OOR1933 OEV1908:OEV1933 NUZ1908:NUZ1933 NLD1908:NLD1933 NBH1908:NBH1933 MRL1908:MRL1933 MHP1908:MHP1933 LXT1908:LXT1933 LNX1908:LNX1933 LEB1908:LEB1933 KUF1908:KUF1933 KKJ1908:KKJ1933 KAN1908:KAN1933 JQR1908:JQR1933 JGV1908:JGV1933 IWZ1908:IWZ1933 IND1908:IND1933 IDH1908:IDH1933 HTL1908:HTL1933 HJP1908:HJP1933 GZT1908:GZT1933 GPX1908:GPX1933 GGB1908:GGB1933 FWF1908:FWF1933 FMJ1908:FMJ1933 FCN1908:FCN1933 ESR1908:ESR1933 EIV1908:EIV1933 DYZ1908:DYZ1933 DPD1908:DPD1933 DFH1908:DFH1933 CVL1908:CVL1933 CLP1908:CLP1933 CBT1908:CBT1933 BRX1908:BRX1933 BIB1908:BIB1933 AYF1908:AYF1933 AOJ1908:AOJ1933 AEN1908:AEN1933 UR1908:UR1933 KV1908:KV1933 BJ1986:BK1992 KY1937:KY1984 KV1985:KV1992 UU1937:UU1984 UR1985:UR1992 AEQ1937:AEQ1984 AEN1985:AEN1992 AOM1937:AOM1984 AOJ1985:AOJ1992 AYI1937:AYI1984 AYF1985:AYF1992 BIE1937:BIE1984 BIB1985:BIB1992 BSA1937:BSA1984 BRX1985:BRX1992 CBW1937:CBW1984 CBT1985:CBT1992 CLS1937:CLS1984 CLP1985:CLP1992 CVO1937:CVO1984 CVL1985:CVL1992 DFK1937:DFK1984 DFH1985:DFH1992 DPG1937:DPG1984 DPD1985:DPD1992 DZC1937:DZC1984 DYZ1985:DYZ1992 EIY1937:EIY1984 EIV1985:EIV1992 ESU1937:ESU1984 ESR1985:ESR1992 FCQ1937:FCQ1984 FCN1985:FCN1992 FMM1937:FMM1984 FMJ1985:FMJ1992 FWI1937:FWI1984 FWF1985:FWF1992 GGE1937:GGE1984 GGB1985:GGB1992 GQA1937:GQA1984 GPX1985:GPX1992 GZW1937:GZW1984 GZT1985:GZT1992 HJS1937:HJS1984 HJP1985:HJP1992 HTO1937:HTO1984 HTL1985:HTL1992 IDK1937:IDK1984 IDH1985:IDH1992 ING1937:ING1984 IND1985:IND1992 IXC1937:IXC1984 IWZ1985:IWZ1992 JGY1937:JGY1984 JGV1985:JGV1992 JQU1937:JQU1984 JQR1985:JQR1992 KAQ1937:KAQ1984 KAN1985:KAN1992 KKM1937:KKM1984 KKJ1985:KKJ1992 KUI1937:KUI1984 KUF1985:KUF1992 LEE1937:LEE1984 LEB1985:LEB1992 LOA1937:LOA1984 LNX1985:LNX1992 LXW1937:LXW1984 LXT1985:LXT1992 MHS1937:MHS1984 MHP1985:MHP1992 MRO1937:MRO1984 MRL1985:MRL1992 NBK1937:NBK1984 NBH1985:NBH1992 NLG1937:NLG1984 NLD1985:NLD1992 NVC1937:NVC1984 NUZ1985:NUZ1992 OEY1937:OEY1984 OEV1985:OEV1992 OOU1937:OOU1984 OOR1985:OOR1992 OYQ1937:OYQ1984 OYN1985:OYN1992 PIM1937:PIM1984 PIJ1985:PIJ1992 PSI1937:PSI1984 PSF1985:PSF1992 QCE1937:QCE1984 QCB1985:QCB1992 QMA1937:QMA1984 QLX1985:QLX1992 QVW1937:QVW1984 QVT1985:QVT1992 RFS1937:RFS1984 RFP1985:RFP1992 RPO1937:RPO1984 RPL1985:RPL1992 RZK1937:RZK1984 RZH1985:RZH1992 SJG1937:SJG1984 SJD1985:SJD1992 STC1937:STC1984 SSZ1985:SSZ1992 TCY1937:TCY1984 TCV1985:TCV1992 TMU1937:TMU1984 TMR1985:TMR1992 TWQ1937:TWQ1984 TWN1985:TWN1992 UGM1937:UGM1984 UGJ1985:UGJ1992 UQI1937:UQI1984 UQF1985:UQF1992 VAE1937:VAE1984 VAB1985:VAB1992 VKA1937:VKA1984 VJX1985:VJX1992 VTW1937:VTW1984 VTT1985:VTT1992 WDS1937:WDS1984 WDP1985:WDP1992 WNO1937:WNO1984 WNL1985:WNL1992 WXK1937:WXK1984 WXH1985:WXH1992" xr:uid="{060D76EF-B75D-4A91-94FF-0ABFCC1E8081}">
      <formula1>$BJ$1371:$BJ$1379</formula1>
    </dataValidation>
    <dataValidation type="list" allowBlank="1" showInputMessage="1" showErrorMessage="1" sqref="WXL1985:WXL1992 WXL1908:WXL1933 WNP1908:WNP1933 WDT1908:WDT1933 VTX1908:VTX1933 VKB1908:VKB1933 VAF1908:VAF1933 UQJ1908:UQJ1933 UGN1908:UGN1933 TWR1908:TWR1933 TMV1908:TMV1933 TCZ1908:TCZ1933 STD1908:STD1933 SJH1908:SJH1933 RZL1908:RZL1933 RPP1908:RPP1933 RFT1908:RFT1933 QVX1908:QVX1933 QMB1908:QMB1933 QCF1908:QCF1933 PSJ1908:PSJ1933 PIN1908:PIN1933 OYR1908:OYR1933 OOV1908:OOV1933 OEZ1908:OEZ1933 NVD1908:NVD1933 NLH1908:NLH1933 NBL1908:NBL1933 MRP1908:MRP1933 MHT1908:MHT1933 LXX1908:LXX1933 LOB1908:LOB1933 LEF1908:LEF1933 KUJ1908:KUJ1933 KKN1908:KKN1933 KAR1908:KAR1933 JQV1908:JQV1933 JGZ1908:JGZ1933 IXD1908:IXD1933 INH1908:INH1933 IDL1908:IDL1933 HTP1908:HTP1933 HJT1908:HJT1933 GZX1908:GZX1933 GQB1908:GQB1933 GGF1908:GGF1933 FWJ1908:FWJ1933 FMN1908:FMN1933 FCR1908:FCR1933 ESV1908:ESV1933 EIZ1908:EIZ1933 DZD1908:DZD1933 DPH1908:DPH1933 DFL1908:DFL1933 CVP1908:CVP1933 CLT1908:CLT1933 CBX1908:CBX1933 BSB1908:BSB1933 BIF1908:BIF1933 AYJ1908:AYJ1933 AON1908:AON1933 AER1908:AER1933 UV1908:UV1933 KZ1908:KZ1933 O1986:O1992 AC1985 LC1937:LC1984 KZ1985:KZ1992 UY1937:UY1984 UV1985:UV1992 AEU1937:AEU1984 AER1985:AER1992 AOQ1937:AOQ1984 AON1985:AON1992 AYM1937:AYM1984 AYJ1985:AYJ1992 BII1937:BII1984 BIF1985:BIF1992 BSE1937:BSE1984 BSB1985:BSB1992 CCA1937:CCA1984 CBX1985:CBX1992 CLW1937:CLW1984 CLT1985:CLT1992 CVS1937:CVS1984 CVP1985:CVP1992 DFO1937:DFO1984 DFL1985:DFL1992 DPK1937:DPK1984 DPH1985:DPH1992 DZG1937:DZG1984 DZD1985:DZD1992 EJC1937:EJC1984 EIZ1985:EIZ1992 ESY1937:ESY1984 ESV1985:ESV1992 FCU1937:FCU1984 FCR1985:FCR1992 FMQ1937:FMQ1984 FMN1985:FMN1992 FWM1937:FWM1984 FWJ1985:FWJ1992 GGI1937:GGI1984 GGF1985:GGF1992 GQE1937:GQE1984 GQB1985:GQB1992 HAA1937:HAA1984 GZX1985:GZX1992 HJW1937:HJW1984 HJT1985:HJT1992 HTS1937:HTS1984 HTP1985:HTP1992 IDO1937:IDO1984 IDL1985:IDL1992 INK1937:INK1984 INH1985:INH1992 IXG1937:IXG1984 IXD1985:IXD1992 JHC1937:JHC1984 JGZ1985:JGZ1992 JQY1937:JQY1984 JQV1985:JQV1992 KAU1937:KAU1984 KAR1985:KAR1992 KKQ1937:KKQ1984 KKN1985:KKN1992 KUM1937:KUM1984 KUJ1985:KUJ1992 LEI1937:LEI1984 LEF1985:LEF1992 LOE1937:LOE1984 LOB1985:LOB1992 LYA1937:LYA1984 LXX1985:LXX1992 MHW1937:MHW1984 MHT1985:MHT1992 MRS1937:MRS1984 MRP1985:MRP1992 NBO1937:NBO1984 NBL1985:NBL1992 NLK1937:NLK1984 NLH1985:NLH1992 NVG1937:NVG1984 NVD1985:NVD1992 OFC1937:OFC1984 OEZ1985:OEZ1992 OOY1937:OOY1984 OOV1985:OOV1992 OYU1937:OYU1984 OYR1985:OYR1992 PIQ1937:PIQ1984 PIN1985:PIN1992 PSM1937:PSM1984 PSJ1985:PSJ1992 QCI1937:QCI1984 QCF1985:QCF1992 QME1937:QME1984 QMB1985:QMB1992 QWA1937:QWA1984 QVX1985:QVX1992 RFW1937:RFW1984 RFT1985:RFT1992 RPS1937:RPS1984 RPP1985:RPP1992 RZO1937:RZO1984 RZL1985:RZL1992 SJK1937:SJK1984 SJH1985:SJH1992 STG1937:STG1984 STD1985:STD1992 TDC1937:TDC1984 TCZ1985:TCZ1992 TMY1937:TMY1984 TMV1985:TMV1992 TWU1937:TWU1984 TWR1985:TWR1992 UGQ1937:UGQ1984 UGN1985:UGN1992 UQM1937:UQM1984 UQJ1985:UQJ1992 VAI1937:VAI1984 VAF1985:VAF1992 VKE1937:VKE1984 VKB1985:VKB1992 VUA1937:VUA1984 VTX1985:VTX1992 WDW1937:WDW1984 WDT1985:WDT1992 WNS1937:WNS1984 WNP1985:WNP1992 WXO1937:WXO1984 O1908:O1933 AB1937:AB1973 AD1937:AD1984" xr:uid="{6BF03AC6-EF61-4D95-A258-71FE424D0241}">
      <formula1>#REF!</formula1>
    </dataValidation>
    <dataValidation type="list" allowBlank="1" showInputMessage="1" showErrorMessage="1" sqref="AW1710:AW1744 Q1710:T1755 X1710:Y1830 Q1998:U2002 X1998:Y2002 Q1776:U1830 E1710:F1744 O1998:O2002 O1776:O1830 U1710:U1772 F1710:F1772 AC1710:AC1775 AB1776:AB1830 AD1710:AD1755 L1756:T1775 L1710:O1755 C1710:D1775 G1710:K1775 D1998:G2002 D1745:G1830 AB1710:AS1744" xr:uid="{3B53A3CC-9F2C-473F-B497-75FF53678521}">
      <formula1>$C$1563:$C$1580</formula1>
    </dataValidation>
    <dataValidation type="list" allowBlank="1" showInputMessage="1" showErrorMessage="1" sqref="WXF1985:WXF1992 C1986:G1992 BP1937:BP1984 P1985 KW1937:KW1984 KT1985:KT1992 US1937:US1984 UP1985:UP1992 AEO1937:AEO1984 AEL1985:AEL1992 AOK1937:AOK1984 AOH1985:AOH1992 AYG1937:AYG1984 AYD1985:AYD1992 BIC1937:BIC1984 BHZ1985:BHZ1992 BRY1937:BRY1984 BRV1985:BRV1992 CBU1937:CBU1984 CBR1985:CBR1992 CLQ1937:CLQ1984 CLN1985:CLN1992 CVM1937:CVM1984 CVJ1985:CVJ1992 DFI1937:DFI1984 DFF1985:DFF1992 DPE1937:DPE1984 DPB1985:DPB1992 DZA1937:DZA1984 DYX1985:DYX1992 EIW1937:EIW1984 EIT1985:EIT1992 ESS1937:ESS1984 ESP1985:ESP1992 FCO1937:FCO1984 FCL1985:FCL1992 FMK1937:FMK1984 FMH1985:FMH1992 FWG1937:FWG1984 FWD1985:FWD1992 GGC1937:GGC1984 GFZ1985:GFZ1992 GPY1937:GPY1984 GPV1985:GPV1992 GZU1937:GZU1984 GZR1985:GZR1992 HJQ1937:HJQ1984 HJN1985:HJN1992 HTM1937:HTM1984 HTJ1985:HTJ1992 IDI1937:IDI1984 IDF1985:IDF1992 INE1937:INE1984 INB1985:INB1992 IXA1937:IXA1984 IWX1985:IWX1992 JGW1937:JGW1984 JGT1985:JGT1992 JQS1937:JQS1984 JQP1985:JQP1992 KAO1937:KAO1984 KAL1985:KAL1992 KKK1937:KKK1984 KKH1985:KKH1992 KUG1937:KUG1984 KUD1985:KUD1992 LEC1937:LEC1984 LDZ1985:LDZ1992 LNY1937:LNY1984 LNV1985:LNV1992 LXU1937:LXU1984 LXR1985:LXR1992 MHQ1937:MHQ1984 MHN1985:MHN1992 MRM1937:MRM1984 MRJ1985:MRJ1992 NBI1937:NBI1984 NBF1985:NBF1992 NLE1937:NLE1984 NLB1985:NLB1992 NVA1937:NVA1984 NUX1985:NUX1992 OEW1937:OEW1984 OET1985:OET1992 OOS1937:OOS1984 OOP1985:OOP1992 OYO1937:OYO1984 OYL1985:OYL1992 PIK1937:PIK1984 PIH1985:PIH1992 PSG1937:PSG1984 PSD1985:PSD1992 QCC1937:QCC1984 QBZ1985:QBZ1992 QLY1937:QLY1984 QLV1985:QLV1992 QVU1937:QVU1984 QVR1985:QVR1992 RFQ1937:RFQ1984 RFN1985:RFN1992 RPM1937:RPM1984 RPJ1985:RPJ1992 RZI1937:RZI1984 RZF1985:RZF1992 SJE1937:SJE1984 SJB1985:SJB1992 STA1937:STA1984 SSX1985:SSX1992 TCW1937:TCW1984 TCT1985:TCT1992 TMS1937:TMS1984 TMP1985:TMP1992 TWO1937:TWO1984 TWL1985:TWL1992 UGK1937:UGK1984 UGH1985:UGH1992 UQG1937:UQG1984 UQD1985:UQD1992 VAC1937:VAC1984 UZZ1985:UZZ1992 VJY1937:VJY1984 VJV1985:VJV1992 VTU1937:VTU1984 VTR1985:VTR1992 WDQ1937:WDQ1984 WDN1985:WDN1992 WNM1937:WNM1984 WNJ1985:WNJ1992 WXI1937:WXI1984 U1986:BI1992" xr:uid="{2A043878-5112-4285-8156-5BAA1F3CD9B3}">
      <formula1>$F$1371:$F$1379</formula1>
    </dataValidation>
    <dataValidation type="list" allowBlank="1" showInputMessage="1" showErrorMessage="1" sqref="WXF1908:WXF1933 KT1908:KT1933 UP1908:UP1933 AEL1908:AEL1933 AOH1908:AOH1933 AYD1908:AYD1933 BHZ1908:BHZ1933 BRV1908:BRV1933 CBR1908:CBR1933 CLN1908:CLN1933 CVJ1908:CVJ1933 DFF1908:DFF1933 DPB1908:DPB1933 DYX1908:DYX1933 EIT1908:EIT1933 ESP1908:ESP1933 FCL1908:FCL1933 FMH1908:FMH1933 FWD1908:FWD1933 GFZ1908:GFZ1933 GPV1908:GPV1933 GZR1908:GZR1933 HJN1908:HJN1933 HTJ1908:HTJ1933 IDF1908:IDF1933 INB1908:INB1933 IWX1908:IWX1933 JGT1908:JGT1933 JQP1908:JQP1933 KAL1908:KAL1933 KKH1908:KKH1933 KUD1908:KUD1933 LDZ1908:LDZ1933 LNV1908:LNV1933 LXR1908:LXR1933 MHN1908:MHN1933 MRJ1908:MRJ1933 NBF1908:NBF1933 NLB1908:NLB1933 NUX1908:NUX1933 OET1908:OET1933 OOP1908:OOP1933 OYL1908:OYL1933 PIH1908:PIH1933 PSD1908:PSD1933 QBZ1908:QBZ1933 QLV1908:QLV1933 QVR1908:QVR1933 RFN1908:RFN1933 RPJ1908:RPJ1933 RZF1908:RZF1933 SJB1908:SJB1933 SSX1908:SSX1933 TCT1908:TCT1933 TMP1908:TMP1933 TWL1908:TWL1933 UGH1908:UGH1933 UQD1908:UQD1933 UZZ1908:UZZ1933 VJV1908:VJV1933 VTR1908:VTR1933 WDN1908:WDN1933 WNJ1908:WNJ1933" xr:uid="{847D06FC-6C23-4BC8-AD93-A9155DD3BAC7}">
      <formula1>$F$1378:$F$1379</formula1>
    </dataValidation>
    <dataValidation type="list" allowBlank="1" showInputMessage="1" showErrorMessage="1" sqref="KW1888:KW1890 AB1832:AB1907 AB1934:AB1935 KU1993:KU1997 KU1934:KU1935 WXG1934:WXG1935 WNK1934:WNK1935 WDO1934:WDO1935 VTS1934:VTS1935 VJW1934:VJW1935 VAA1934:VAA1935 UQE1934:UQE1935 UGI1934:UGI1935 TWM1934:TWM1935 TMQ1934:TMQ1935 TCU1934:TCU1935 SSY1934:SSY1935 SJC1934:SJC1935 RZG1934:RZG1935 RPK1934:RPK1935 RFO1934:RFO1935 QVS1934:QVS1935 QLW1934:QLW1935 QCA1934:QCA1935 PSE1934:PSE1935 PII1934:PII1935 OYM1934:OYM1935 OOQ1934:OOQ1935 OEU1934:OEU1935 NUY1934:NUY1935 NLC1934:NLC1935 NBG1934:NBG1935 MRK1934:MRK1935 MHO1934:MHO1935 LXS1934:LXS1935 LNW1934:LNW1935 LEA1934:LEA1935 KUE1934:KUE1935 KKI1934:KKI1935 KAM1934:KAM1935 JQQ1934:JQQ1935 JGU1934:JGU1935 IWY1934:IWY1935 INC1934:INC1935 IDG1934:IDG1935 HTK1934:HTK1935 HJO1934:HJO1935 GZS1934:GZS1935 GPW1934:GPW1935 GGA1934:GGA1935 FWE1934:FWE1935 FMI1934:FMI1935 FCM1934:FCM1935 ESQ1934:ESQ1935 EIU1934:EIU1935 DYY1934:DYY1935 DPC1934:DPC1935 DFG1934:DFG1935 CVK1934:CVK1935 CLO1934:CLO1935 CBS1934:CBS1935 BRW1934:BRW1935 BIA1934:BIA1935 AYE1934:AYE1935 AOI1934:AOI1935 AEM1934:AEM1935 UQ1934:UQ1935 UQ1993:UQ1997 AEM1993:AEM1997 AOI1993:AOI1997 AYE1993:AYE1997 BIA1993:BIA1997 BRW1993:BRW1997 CBS1993:CBS1997 CLO1993:CLO1997 CVK1993:CVK1997 DFG1993:DFG1997 DPC1993:DPC1997 DYY1993:DYY1997 EIU1993:EIU1997 ESQ1993:ESQ1997 FCM1993:FCM1997 FMI1993:FMI1997 FWE1993:FWE1997 GGA1993:GGA1997 GPW1993:GPW1997 GZS1993:GZS1997 HJO1993:HJO1997 HTK1993:HTK1997 IDG1993:IDG1997 INC1993:INC1997 IWY1993:IWY1997 JGU1993:JGU1997 JQQ1993:JQQ1997 KAM1993:KAM1997 KKI1993:KKI1997 KUE1993:KUE1997 LEA1993:LEA1997 LNW1993:LNW1997 LXS1993:LXS1997 MHO1993:MHO1997 MRK1993:MRK1997 NBG1993:NBG1997 NLC1993:NLC1997 NUY1993:NUY1997 OEU1993:OEU1997 OOQ1993:OOQ1997 OYM1993:OYM1997 PII1993:PII1997 PSE1993:PSE1997 QCA1993:QCA1997 QLW1993:QLW1997 QVS1993:QVS1997 RFO1993:RFO1997 RPK1993:RPK1997 RZG1993:RZG1997 SJC1993:SJC1997 SSY1993:SSY1997 TCU1993:TCU1997 TMQ1993:TMQ1997 TWM1993:TWM1997 UGI1993:UGI1997 UQE1993:UQE1997 VAA1993:VAA1997 VJW1993:VJW1997 VTS1993:VTS1997 WDO1993:WDO1997 WNK1993:WNK1997 WXG1993:WXG1997 KU1891:KU1907 UQ1891:UQ1907 AEM1891:AEM1907 AOI1891:AOI1907 AYE1891:AYE1907 BIA1891:BIA1907 BRW1891:BRW1907 CBS1891:CBS1907 CLO1891:CLO1907 CVK1891:CVK1907 DFG1891:DFG1907 DPC1891:DPC1907 DYY1891:DYY1907 EIU1891:EIU1907 ESQ1891:ESQ1907 FCM1891:FCM1907 FMI1891:FMI1907 FWE1891:FWE1907 GGA1891:GGA1907 GPW1891:GPW1907 GZS1891:GZS1907 HJO1891:HJO1907 HTK1891:HTK1907 IDG1891:IDG1907 INC1891:INC1907 IWY1891:IWY1907 JGU1891:JGU1907 JQQ1891:JQQ1907 KAM1891:KAM1907 KKI1891:KKI1907 KUE1891:KUE1907 LEA1891:LEA1907 LNW1891:LNW1907 LXS1891:LXS1907 MHO1891:MHO1907 MRK1891:MRK1907 NBG1891:NBG1907 NLC1891:NLC1907 NUY1891:NUY1907 OEU1891:OEU1907 OOQ1891:OOQ1907 OYM1891:OYM1907 PII1891:PII1907 PSE1891:PSE1907 QCA1891:QCA1907 QLW1891:QLW1907 QVS1891:QVS1907 RFO1891:RFO1907 RPK1891:RPK1907 RZG1891:RZG1907 SJC1891:SJC1907 SSY1891:SSY1907 TCU1891:TCU1907 TMQ1891:TMQ1907 TWM1891:TWM1907 UGI1891:UGI1907 UQE1891:UQE1907 VAA1891:VAA1907 VJW1891:VJW1907 VTS1891:VTS1907 WDO1891:WDO1907 WNK1891:WNK1907 WXG1891:WXG1907 WXJ1832:WXJ1887 WXI1888:WXI1890 WNN1832:WNN1887 WNM1888:WNM1890 WDR1832:WDR1887 WDQ1888:WDQ1890 VTV1832:VTV1887 VTU1888:VTU1890 VJZ1832:VJZ1887 VJY1888:VJY1890 VAD1832:VAD1887 VAC1888:VAC1890 UQH1832:UQH1887 UQG1888:UQG1890 UGL1832:UGL1887 UGK1888:UGK1890 TWP1832:TWP1887 TWO1888:TWO1890 TMT1832:TMT1887 TMS1888:TMS1890 TCX1832:TCX1887 TCW1888:TCW1890 STB1832:STB1887 STA1888:STA1890 SJF1832:SJF1887 SJE1888:SJE1890 RZJ1832:RZJ1887 RZI1888:RZI1890 RPN1832:RPN1887 RPM1888:RPM1890 RFR1832:RFR1887 RFQ1888:RFQ1890 QVV1832:QVV1887 QVU1888:QVU1890 QLZ1832:QLZ1887 QLY1888:QLY1890 QCD1832:QCD1887 QCC1888:QCC1890 PSH1832:PSH1887 PSG1888:PSG1890 PIL1832:PIL1887 PIK1888:PIK1890 OYP1832:OYP1887 OYO1888:OYO1890 OOT1832:OOT1887 OOS1888:OOS1890 OEX1832:OEX1887 OEW1888:OEW1890 NVB1832:NVB1887 NVA1888:NVA1890 NLF1832:NLF1887 NLE1888:NLE1890 NBJ1832:NBJ1887 NBI1888:NBI1890 MRN1832:MRN1887 MRM1888:MRM1890 MHR1832:MHR1887 MHQ1888:MHQ1890 LXV1832:LXV1887 LXU1888:LXU1890 LNZ1832:LNZ1887 LNY1888:LNY1890 LED1832:LED1887 LEC1888:LEC1890 KUH1832:KUH1887 KUG1888:KUG1890 KKL1832:KKL1887 KKK1888:KKK1890 KAP1832:KAP1887 KAO1888:KAO1890 JQT1832:JQT1887 JQS1888:JQS1890 JGX1832:JGX1887 JGW1888:JGW1890 IXB1832:IXB1887 IXA1888:IXA1890 INF1832:INF1887 INE1888:INE1890 IDJ1832:IDJ1887 IDI1888:IDI1890 HTN1832:HTN1887 HTM1888:HTM1890 HJR1832:HJR1887 HJQ1888:HJQ1890 GZV1832:GZV1887 GZU1888:GZU1890 GPZ1832:GPZ1887 GPY1888:GPY1890 GGD1832:GGD1887 GGC1888:GGC1890 FWH1832:FWH1887 FWG1888:FWG1890 FML1832:FML1887 FMK1888:FMK1890 FCP1832:FCP1887 FCO1888:FCO1890 EST1832:EST1887 ESS1888:ESS1890 EIX1832:EIX1887 EIW1888:EIW1890 DZB1832:DZB1887 DZA1888:DZA1890 DPF1832:DPF1887 DPE1888:DPE1890 DFJ1832:DFJ1887 DFI1888:DFI1890 CVN1832:CVN1887 CVM1888:CVM1890 CLR1832:CLR1887 CLQ1888:CLQ1890 CBV1832:CBV1887 CBU1888:CBU1890 BRZ1832:BRZ1887 BRY1888:BRY1890 BID1832:BID1887 BIC1888:BIC1890 AYH1832:AYH1887 AYG1888:AYG1890 AOL1832:AOL1887 AOK1888:AOK1890 AEP1832:AEP1887 AEO1888:AEO1890 UT1832:UT1887 US1888:US1890 KX1832:KX1887" xr:uid="{2300FDF4-18C6-4062-93EF-09D99795B06A}">
      <formula1>$X$1391:$X$1399</formula1>
    </dataValidation>
  </dataValidations>
  <hyperlinks>
    <hyperlink ref="AC1680" r:id="rId1" location="catalog" xr:uid="{95BAE8EE-FF6A-4D3A-BDB9-65772BE447EF}"/>
    <hyperlink ref="AC1671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485"/>
  <sheetViews>
    <sheetView tabSelected="1" zoomScale="80" zoomScaleNormal="8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XFD2"/>
    </sheetView>
  </sheetViews>
  <sheetFormatPr defaultColWidth="9" defaultRowHeight="26.25" customHeight="1"/>
  <cols>
    <col min="1" max="1" width="52.375" style="9" customWidth="1"/>
    <col min="2" max="2" width="35.25" style="2" customWidth="1"/>
    <col min="3" max="3" width="16.25" style="49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939</v>
      </c>
      <c r="B1" s="1" t="s">
        <v>940</v>
      </c>
      <c r="C1" s="122" t="s">
        <v>941</v>
      </c>
      <c r="D1" s="7" t="s">
        <v>943</v>
      </c>
      <c r="E1" s="124" t="s">
        <v>942</v>
      </c>
      <c r="F1" s="6" t="s">
        <v>946</v>
      </c>
      <c r="G1" s="139" t="s">
        <v>947</v>
      </c>
      <c r="H1" s="6"/>
      <c r="I1" s="6"/>
    </row>
    <row r="2" spans="1:9" s="13" customFormat="1" ht="26.25" customHeight="1">
      <c r="A2" s="13" t="s">
        <v>618</v>
      </c>
      <c r="B2" s="15"/>
      <c r="C2" s="42"/>
      <c r="D2" s="14">
        <v>401768</v>
      </c>
      <c r="E2" s="125"/>
      <c r="F2" s="17"/>
      <c r="G2" s="17"/>
      <c r="H2" s="17"/>
      <c r="I2" s="17"/>
    </row>
    <row r="3" spans="1:9" s="13" customFormat="1" ht="26.25" customHeight="1">
      <c r="A3" s="13" t="s">
        <v>1119</v>
      </c>
      <c r="B3" s="15"/>
      <c r="C3" s="42"/>
      <c r="D3" s="14"/>
      <c r="E3" s="125" t="s">
        <v>948</v>
      </c>
      <c r="F3" s="17"/>
      <c r="G3" s="17"/>
      <c r="H3" s="17"/>
      <c r="I3" s="17"/>
    </row>
    <row r="4" spans="1:9" s="13" customFormat="1" ht="26.25" customHeight="1">
      <c r="A4" s="13" t="s">
        <v>634</v>
      </c>
      <c r="B4" s="15"/>
      <c r="C4" s="42"/>
      <c r="D4" s="14">
        <v>44573</v>
      </c>
      <c r="E4" s="125" t="s">
        <v>948</v>
      </c>
      <c r="F4" s="17"/>
      <c r="G4" s="17"/>
      <c r="H4" s="17"/>
      <c r="I4" s="17"/>
    </row>
    <row r="5" spans="1:9" s="13" customFormat="1" ht="26.25" customHeight="1">
      <c r="A5" s="13" t="s">
        <v>945</v>
      </c>
      <c r="B5" s="15"/>
      <c r="C5" s="42"/>
      <c r="D5" s="14">
        <v>44572</v>
      </c>
      <c r="E5" s="123" t="s">
        <v>949</v>
      </c>
      <c r="F5" s="17"/>
      <c r="G5" s="17"/>
      <c r="H5" s="17"/>
      <c r="I5" s="17"/>
    </row>
    <row r="6" spans="1:9" s="13" customFormat="1" ht="26.25" customHeight="1">
      <c r="A6" s="13" t="s">
        <v>1060</v>
      </c>
      <c r="B6" s="15"/>
      <c r="C6" s="42"/>
      <c r="D6" s="14">
        <v>44571</v>
      </c>
      <c r="E6" s="123" t="s">
        <v>949</v>
      </c>
      <c r="F6" s="17"/>
      <c r="G6" s="17"/>
      <c r="H6" s="17"/>
      <c r="I6" s="17"/>
    </row>
    <row r="7" spans="1:9" s="13" customFormat="1" ht="26.25" customHeight="1">
      <c r="A7" s="13" t="s">
        <v>746</v>
      </c>
      <c r="B7" s="15"/>
      <c r="C7" s="42"/>
      <c r="D7" s="14">
        <v>44532</v>
      </c>
      <c r="E7" s="125" t="s">
        <v>948</v>
      </c>
      <c r="F7" s="17"/>
      <c r="G7" s="17"/>
      <c r="H7" s="17"/>
      <c r="I7" s="17"/>
    </row>
    <row r="8" spans="1:9" s="13" customFormat="1" ht="26.25" customHeight="1">
      <c r="A8" s="13" t="s">
        <v>734</v>
      </c>
      <c r="B8" s="15"/>
      <c r="C8" s="42"/>
      <c r="D8" s="14">
        <v>44530</v>
      </c>
      <c r="E8" s="125" t="s">
        <v>948</v>
      </c>
      <c r="F8" s="17"/>
      <c r="G8" s="17"/>
      <c r="H8" s="17"/>
      <c r="I8" s="17"/>
    </row>
    <row r="9" spans="1:9" s="13" customFormat="1" ht="26.25" customHeight="1">
      <c r="A9" s="13" t="s">
        <v>807</v>
      </c>
      <c r="B9" s="15"/>
      <c r="C9" s="42"/>
      <c r="D9" s="14">
        <v>44530</v>
      </c>
      <c r="E9" s="125" t="s">
        <v>948</v>
      </c>
      <c r="F9" s="17"/>
      <c r="G9" s="17"/>
      <c r="H9" s="17"/>
      <c r="I9" s="17"/>
    </row>
    <row r="10" spans="1:9" s="13" customFormat="1" ht="26.25" customHeight="1">
      <c r="A10" s="13" t="s">
        <v>743</v>
      </c>
      <c r="B10" s="15"/>
      <c r="C10" s="42"/>
      <c r="D10" s="14">
        <v>44530</v>
      </c>
      <c r="E10" s="125" t="s">
        <v>948</v>
      </c>
      <c r="F10" s="17"/>
      <c r="G10" s="17"/>
      <c r="H10" s="17"/>
      <c r="I10" s="17"/>
    </row>
    <row r="11" spans="1:9" s="13" customFormat="1" ht="26.25" customHeight="1">
      <c r="A11" s="13" t="s">
        <v>626</v>
      </c>
      <c r="B11" s="15"/>
      <c r="C11" s="42"/>
      <c r="D11" s="14">
        <v>44530</v>
      </c>
      <c r="E11" s="125" t="s">
        <v>948</v>
      </c>
      <c r="F11" s="17"/>
      <c r="G11" s="17"/>
      <c r="H11" s="17"/>
      <c r="I11" s="17"/>
    </row>
    <row r="12" spans="1:9" s="13" customFormat="1" ht="26.25" customHeight="1">
      <c r="A12" s="13" t="s">
        <v>830</v>
      </c>
      <c r="B12" s="15"/>
      <c r="C12" s="42"/>
      <c r="D12" s="14"/>
      <c r="E12" s="125" t="s">
        <v>948</v>
      </c>
      <c r="F12" s="17"/>
      <c r="G12" s="17"/>
      <c r="H12" s="17"/>
      <c r="I12" s="17"/>
    </row>
    <row r="13" spans="1:9" s="13" customFormat="1" ht="26.25" customHeight="1">
      <c r="A13" s="13" t="s">
        <v>832</v>
      </c>
      <c r="B13" s="15"/>
      <c r="C13" s="42"/>
      <c r="D13" s="14"/>
      <c r="E13" s="125" t="s">
        <v>948</v>
      </c>
      <c r="F13" s="17"/>
      <c r="G13" s="17"/>
      <c r="H13" s="17"/>
      <c r="I13" s="17"/>
    </row>
    <row r="14" spans="1:9" s="13" customFormat="1" ht="26.25" customHeight="1">
      <c r="A14" s="121" t="s">
        <v>833</v>
      </c>
      <c r="B14" s="15"/>
      <c r="C14" s="42"/>
      <c r="D14" s="14"/>
      <c r="E14" s="125" t="s">
        <v>948</v>
      </c>
      <c r="F14" s="17"/>
      <c r="G14" s="17"/>
      <c r="H14" s="17"/>
      <c r="I14" s="17"/>
    </row>
    <row r="15" spans="1:9" s="13" customFormat="1" ht="26.25" customHeight="1">
      <c r="A15" s="13" t="s">
        <v>747</v>
      </c>
      <c r="B15" s="15"/>
      <c r="C15" s="42"/>
      <c r="D15" s="14"/>
      <c r="E15" s="125" t="s">
        <v>948</v>
      </c>
      <c r="F15" s="17"/>
      <c r="G15" s="17"/>
      <c r="H15" s="17"/>
      <c r="I15" s="17"/>
    </row>
    <row r="16" spans="1:9" s="13" customFormat="1" ht="26.25" customHeight="1">
      <c r="A16" s="13" t="s">
        <v>740</v>
      </c>
      <c r="B16" s="15"/>
      <c r="C16" s="42"/>
      <c r="D16" s="14"/>
      <c r="E16" s="125" t="s">
        <v>948</v>
      </c>
      <c r="F16" s="17"/>
      <c r="G16" s="17"/>
      <c r="H16" s="17"/>
      <c r="I16" s="17"/>
    </row>
    <row r="17" spans="1:9" s="13" customFormat="1" ht="26.25" customHeight="1">
      <c r="A17" s="13" t="s">
        <v>808</v>
      </c>
      <c r="B17" s="15"/>
      <c r="C17" s="42"/>
      <c r="D17" s="14">
        <v>44530</v>
      </c>
      <c r="E17" s="125" t="s">
        <v>948</v>
      </c>
      <c r="F17" s="17"/>
      <c r="G17" s="17"/>
      <c r="H17" s="17"/>
      <c r="I17" s="17"/>
    </row>
    <row r="18" spans="1:9" s="13" customFormat="1" ht="26.25" customHeight="1">
      <c r="A18" s="13" t="s">
        <v>809</v>
      </c>
      <c r="B18" s="15"/>
      <c r="C18" s="42"/>
      <c r="D18" s="14">
        <v>44530</v>
      </c>
      <c r="E18" s="125" t="s">
        <v>948</v>
      </c>
      <c r="F18" s="17"/>
      <c r="G18" s="17"/>
      <c r="H18" s="17"/>
      <c r="I18" s="17"/>
    </row>
    <row r="19" spans="1:9" s="13" customFormat="1" ht="26.25" customHeight="1">
      <c r="A19" s="13" t="s">
        <v>810</v>
      </c>
      <c r="B19" s="15"/>
      <c r="C19" s="42"/>
      <c r="D19" s="14">
        <v>44530</v>
      </c>
      <c r="E19" s="125" t="s">
        <v>948</v>
      </c>
      <c r="F19" s="17"/>
      <c r="G19" s="17"/>
      <c r="H19" s="17"/>
      <c r="I19" s="17"/>
    </row>
    <row r="20" spans="1:9" s="13" customFormat="1" ht="26.25" customHeight="1">
      <c r="A20" s="13" t="s">
        <v>811</v>
      </c>
      <c r="B20" s="15"/>
      <c r="C20" s="42"/>
      <c r="D20" s="14">
        <v>44530</v>
      </c>
      <c r="E20" s="125" t="s">
        <v>948</v>
      </c>
      <c r="F20" s="17"/>
      <c r="G20" s="17"/>
      <c r="H20" s="17"/>
      <c r="I20" s="17"/>
    </row>
    <row r="21" spans="1:9" s="13" customFormat="1" ht="26.25" customHeight="1">
      <c r="A21" s="13" t="s">
        <v>745</v>
      </c>
      <c r="B21" s="15"/>
      <c r="C21" s="42"/>
      <c r="D21" s="14">
        <v>44520</v>
      </c>
      <c r="E21" s="125" t="s">
        <v>948</v>
      </c>
      <c r="F21" s="17"/>
      <c r="G21" s="17"/>
      <c r="H21" s="17"/>
      <c r="I21" s="17"/>
    </row>
    <row r="22" spans="1:9" s="13" customFormat="1" ht="26.25" customHeight="1">
      <c r="A22" s="13" t="s">
        <v>744</v>
      </c>
      <c r="B22" s="15"/>
      <c r="C22" s="42"/>
      <c r="D22" s="14">
        <v>44519</v>
      </c>
      <c r="E22" s="125" t="s">
        <v>948</v>
      </c>
      <c r="F22" s="17"/>
      <c r="G22" s="17"/>
      <c r="H22" s="17"/>
      <c r="I22" s="17"/>
    </row>
    <row r="23" spans="1:9" s="13" customFormat="1" ht="26.25" customHeight="1">
      <c r="A23" s="13" t="s">
        <v>741</v>
      </c>
      <c r="B23" s="15"/>
      <c r="C23" s="42"/>
      <c r="D23" s="14">
        <v>44516</v>
      </c>
      <c r="E23" s="125" t="s">
        <v>948</v>
      </c>
      <c r="F23" s="17"/>
      <c r="G23" s="17"/>
      <c r="H23" s="17"/>
      <c r="I23" s="17"/>
    </row>
    <row r="24" spans="1:9" s="13" customFormat="1" ht="26.25" customHeight="1">
      <c r="A24" s="13" t="s">
        <v>736</v>
      </c>
      <c r="B24" s="15"/>
      <c r="C24" s="42"/>
      <c r="D24" s="14">
        <v>44515</v>
      </c>
      <c r="E24" s="125" t="s">
        <v>948</v>
      </c>
      <c r="F24" s="17"/>
      <c r="G24" s="17"/>
      <c r="H24" s="17"/>
      <c r="I24" s="17"/>
    </row>
    <row r="25" spans="1:9" s="13" customFormat="1" ht="26.25" customHeight="1">
      <c r="A25" s="13" t="s">
        <v>770</v>
      </c>
      <c r="B25" s="15"/>
      <c r="C25" s="42"/>
      <c r="D25" s="14">
        <v>44515</v>
      </c>
      <c r="E25" s="125" t="s">
        <v>948</v>
      </c>
      <c r="F25" s="17"/>
      <c r="G25" s="17"/>
      <c r="H25" s="17"/>
      <c r="I25" s="17"/>
    </row>
    <row r="26" spans="1:9" s="13" customFormat="1" ht="26.25" customHeight="1">
      <c r="A26" s="13" t="s">
        <v>771</v>
      </c>
      <c r="B26" s="15"/>
      <c r="C26" s="42"/>
      <c r="D26" s="14">
        <v>44514</v>
      </c>
      <c r="E26" s="125" t="s">
        <v>948</v>
      </c>
      <c r="F26" s="17"/>
      <c r="G26" s="17"/>
      <c r="H26" s="17"/>
      <c r="I26" s="17"/>
    </row>
    <row r="27" spans="1:9" s="13" customFormat="1" ht="26.25" customHeight="1">
      <c r="A27" s="13" t="s">
        <v>728</v>
      </c>
      <c r="B27" s="15"/>
      <c r="C27" s="42"/>
      <c r="D27" s="14">
        <v>44514</v>
      </c>
      <c r="E27" s="125" t="s">
        <v>948</v>
      </c>
      <c r="F27" s="17"/>
      <c r="G27" s="17"/>
      <c r="H27" s="17"/>
      <c r="I27" s="17"/>
    </row>
    <row r="28" spans="1:9" s="13" customFormat="1" ht="26.25" customHeight="1">
      <c r="A28" s="13" t="s">
        <v>737</v>
      </c>
      <c r="B28" s="15"/>
      <c r="C28" s="42"/>
      <c r="D28" s="14">
        <v>44513</v>
      </c>
      <c r="E28" s="125" t="s">
        <v>948</v>
      </c>
      <c r="F28" s="17"/>
      <c r="G28" s="17"/>
      <c r="H28" s="17"/>
      <c r="I28" s="17"/>
    </row>
    <row r="29" spans="1:9" s="13" customFormat="1" ht="26.25" customHeight="1">
      <c r="A29" s="13" t="s">
        <v>623</v>
      </c>
      <c r="B29" s="15"/>
      <c r="C29" s="42"/>
      <c r="D29" s="14">
        <v>44513</v>
      </c>
      <c r="E29" s="125" t="s">
        <v>948</v>
      </c>
      <c r="F29" s="17"/>
      <c r="G29" s="17"/>
      <c r="H29" s="17"/>
      <c r="I29" s="17"/>
    </row>
    <row r="30" spans="1:9" s="13" customFormat="1" ht="26.25" customHeight="1">
      <c r="A30" s="13" t="s">
        <v>731</v>
      </c>
      <c r="B30" s="15"/>
      <c r="C30" s="42"/>
      <c r="D30" s="14">
        <v>44512</v>
      </c>
      <c r="E30" s="125" t="s">
        <v>948</v>
      </c>
      <c r="F30" s="17"/>
      <c r="G30" s="17"/>
      <c r="H30" s="17"/>
      <c r="I30" s="17"/>
    </row>
    <row r="31" spans="1:9" s="13" customFormat="1" ht="26.25" customHeight="1">
      <c r="A31" s="13" t="s">
        <v>732</v>
      </c>
      <c r="B31" s="15"/>
      <c r="C31" s="42"/>
      <c r="D31" s="14">
        <v>44512</v>
      </c>
      <c r="E31" s="125" t="s">
        <v>948</v>
      </c>
      <c r="F31" s="17"/>
      <c r="G31" s="17"/>
      <c r="H31" s="17"/>
      <c r="I31" s="17"/>
    </row>
    <row r="32" spans="1:9" s="13" customFormat="1" ht="26.25" customHeight="1">
      <c r="A32" s="13" t="s">
        <v>730</v>
      </c>
      <c r="B32" s="15"/>
      <c r="C32" s="42"/>
      <c r="D32" s="14">
        <v>44511</v>
      </c>
      <c r="E32" s="125" t="s">
        <v>948</v>
      </c>
      <c r="F32" s="17"/>
      <c r="G32" s="17"/>
      <c r="H32" s="17"/>
      <c r="I32" s="17"/>
    </row>
    <row r="33" spans="1:9" s="13" customFormat="1" ht="26.25" customHeight="1">
      <c r="A33" s="13" t="s">
        <v>729</v>
      </c>
      <c r="B33" s="15"/>
      <c r="C33" s="42"/>
      <c r="D33" s="14">
        <v>44511</v>
      </c>
      <c r="E33" s="125" t="s">
        <v>948</v>
      </c>
      <c r="F33" s="17"/>
      <c r="G33" s="17"/>
      <c r="H33" s="17"/>
      <c r="I33" s="17"/>
    </row>
    <row r="34" spans="1:9" s="13" customFormat="1" ht="26.25" customHeight="1">
      <c r="A34" s="13" t="s">
        <v>624</v>
      </c>
      <c r="B34" s="15"/>
      <c r="C34" s="42"/>
      <c r="D34" s="14">
        <v>44510</v>
      </c>
      <c r="E34" s="125" t="s">
        <v>948</v>
      </c>
      <c r="F34" s="17"/>
      <c r="G34" s="17"/>
      <c r="H34" s="17"/>
      <c r="I34" s="17"/>
    </row>
    <row r="35" spans="1:9" s="13" customFormat="1" ht="26.25" customHeight="1">
      <c r="A35" s="13" t="s">
        <v>742</v>
      </c>
      <c r="B35" s="15"/>
      <c r="C35" s="42"/>
      <c r="D35" s="14">
        <v>44510</v>
      </c>
      <c r="E35" s="125" t="s">
        <v>948</v>
      </c>
      <c r="F35" s="17"/>
      <c r="G35" s="17"/>
      <c r="H35" s="17"/>
      <c r="I35" s="17"/>
    </row>
    <row r="36" spans="1:9" s="13" customFormat="1" ht="26.25" customHeight="1">
      <c r="A36" s="13" t="s">
        <v>627</v>
      </c>
      <c r="B36" s="15"/>
      <c r="C36" s="42"/>
      <c r="D36" s="14">
        <v>44509</v>
      </c>
      <c r="E36" s="125" t="s">
        <v>948</v>
      </c>
      <c r="F36" s="17"/>
      <c r="G36" s="17"/>
      <c r="H36" s="17"/>
      <c r="I36" s="17"/>
    </row>
    <row r="37" spans="1:9" s="13" customFormat="1" ht="26.25" customHeight="1">
      <c r="A37" s="13" t="s">
        <v>714</v>
      </c>
      <c r="B37" s="15"/>
      <c r="C37" s="42"/>
      <c r="D37" s="14">
        <v>44507</v>
      </c>
      <c r="E37" s="125" t="s">
        <v>948</v>
      </c>
      <c r="F37" s="17"/>
      <c r="G37" s="17"/>
      <c r="H37" s="17"/>
      <c r="I37" s="17"/>
    </row>
    <row r="38" spans="1:9" s="13" customFormat="1" ht="26.25" customHeight="1">
      <c r="A38" s="13" t="s">
        <v>715</v>
      </c>
      <c r="B38" s="15"/>
      <c r="C38" s="42"/>
      <c r="D38" s="14">
        <v>44505</v>
      </c>
      <c r="E38" s="125" t="s">
        <v>948</v>
      </c>
      <c r="F38" s="17"/>
      <c r="G38" s="17"/>
      <c r="H38" s="17"/>
      <c r="I38" s="17"/>
    </row>
    <row r="39" spans="1:9" s="13" customFormat="1" ht="26.25" customHeight="1">
      <c r="A39" s="13" t="s">
        <v>716</v>
      </c>
      <c r="B39" s="15"/>
      <c r="C39" s="42"/>
      <c r="D39" s="14">
        <v>44503</v>
      </c>
      <c r="E39" s="125" t="s">
        <v>948</v>
      </c>
      <c r="F39" s="17"/>
      <c r="G39" s="17"/>
      <c r="H39" s="17"/>
      <c r="I39" s="17"/>
    </row>
    <row r="40" spans="1:9" s="13" customFormat="1" ht="26.25" customHeight="1">
      <c r="A40" s="13" t="s">
        <v>717</v>
      </c>
      <c r="B40" s="15"/>
      <c r="C40" s="42"/>
      <c r="D40" s="14">
        <v>44502</v>
      </c>
      <c r="E40" s="125" t="s">
        <v>948</v>
      </c>
      <c r="F40" s="17"/>
      <c r="G40" s="17"/>
      <c r="H40" s="17"/>
      <c r="I40" s="17"/>
    </row>
    <row r="41" spans="1:9" s="13" customFormat="1" ht="26.25" customHeight="1">
      <c r="A41" s="13" t="s">
        <v>718</v>
      </c>
      <c r="B41" s="15"/>
      <c r="C41" s="42"/>
      <c r="D41" s="14">
        <v>44500</v>
      </c>
      <c r="E41" s="125" t="s">
        <v>948</v>
      </c>
      <c r="F41" s="17"/>
      <c r="G41" s="17"/>
      <c r="H41" s="17"/>
      <c r="I41" s="17"/>
    </row>
    <row r="42" spans="1:9" s="13" customFormat="1" ht="26.25" customHeight="1">
      <c r="A42" s="13" t="s">
        <v>719</v>
      </c>
      <c r="B42" s="15"/>
      <c r="C42" s="42"/>
      <c r="D42" s="14">
        <v>44499</v>
      </c>
      <c r="E42" s="125" t="s">
        <v>948</v>
      </c>
      <c r="F42" s="17"/>
      <c r="G42" s="17"/>
      <c r="H42" s="17"/>
      <c r="I42" s="17"/>
    </row>
    <row r="43" spans="1:9" s="13" customFormat="1" ht="26.25" customHeight="1">
      <c r="A43" s="13" t="s">
        <v>720</v>
      </c>
      <c r="B43" s="15"/>
      <c r="C43" s="42"/>
      <c r="D43" s="14">
        <v>44497</v>
      </c>
      <c r="E43" s="125" t="s">
        <v>948</v>
      </c>
      <c r="F43" s="17"/>
      <c r="G43" s="17"/>
      <c r="H43" s="17"/>
      <c r="I43" s="17"/>
    </row>
    <row r="44" spans="1:9" s="13" customFormat="1" ht="26.25" customHeight="1">
      <c r="A44" s="13" t="s">
        <v>723</v>
      </c>
      <c r="B44" s="15"/>
      <c r="C44" s="42"/>
      <c r="D44" s="14">
        <v>44495</v>
      </c>
      <c r="E44" s="125" t="s">
        <v>948</v>
      </c>
      <c r="F44" s="17"/>
      <c r="G44" s="17"/>
      <c r="H44" s="17"/>
      <c r="I44" s="17"/>
    </row>
    <row r="45" spans="1:9" s="13" customFormat="1" ht="26.25" customHeight="1">
      <c r="A45" s="13" t="s">
        <v>725</v>
      </c>
      <c r="B45" s="15"/>
      <c r="C45" s="42"/>
      <c r="D45" s="14">
        <v>44493</v>
      </c>
      <c r="E45" s="125" t="s">
        <v>948</v>
      </c>
      <c r="F45" s="17"/>
      <c r="G45" s="17"/>
      <c r="H45" s="17"/>
      <c r="I45" s="17"/>
    </row>
    <row r="46" spans="1:9" s="13" customFormat="1" ht="26.25" customHeight="1">
      <c r="A46" s="13" t="s">
        <v>726</v>
      </c>
      <c r="B46" s="15"/>
      <c r="C46" s="42"/>
      <c r="D46" s="14">
        <v>44491</v>
      </c>
      <c r="E46" s="125" t="s">
        <v>948</v>
      </c>
      <c r="F46" s="17"/>
      <c r="G46" s="17"/>
      <c r="H46" s="17"/>
      <c r="I46" s="17"/>
    </row>
    <row r="47" spans="1:9" s="13" customFormat="1" ht="26.25" customHeight="1">
      <c r="A47" s="13" t="s">
        <v>727</v>
      </c>
      <c r="B47" s="15"/>
      <c r="C47" s="42"/>
      <c r="D47" s="14">
        <v>44490</v>
      </c>
      <c r="E47" s="125" t="s">
        <v>948</v>
      </c>
      <c r="F47" s="17"/>
      <c r="G47" s="17"/>
      <c r="H47" s="17"/>
      <c r="I47" s="17"/>
    </row>
    <row r="48" spans="1:9" s="13" customFormat="1" ht="26.25" customHeight="1">
      <c r="A48" s="13" t="s">
        <v>620</v>
      </c>
      <c r="B48" s="15"/>
      <c r="C48" s="42"/>
      <c r="D48" s="14">
        <v>44489</v>
      </c>
      <c r="E48" s="125" t="s">
        <v>948</v>
      </c>
      <c r="F48" s="17"/>
      <c r="G48" s="17"/>
      <c r="H48" s="17"/>
      <c r="I48" s="17"/>
    </row>
    <row r="49" spans="1:9" s="13" customFormat="1" ht="26.25" customHeight="1">
      <c r="A49" s="13" t="s">
        <v>619</v>
      </c>
      <c r="B49" s="15"/>
      <c r="C49" s="42"/>
      <c r="D49" s="14">
        <v>44488</v>
      </c>
      <c r="E49" s="125" t="s">
        <v>948</v>
      </c>
      <c r="F49" s="17"/>
      <c r="G49" s="17"/>
      <c r="H49" s="17"/>
      <c r="I49" s="17"/>
    </row>
    <row r="50" spans="1:9" s="13" customFormat="1" ht="26.25" customHeight="1">
      <c r="A50" s="13" t="s">
        <v>733</v>
      </c>
      <c r="B50" s="15"/>
      <c r="C50" s="42"/>
      <c r="D50" s="14">
        <v>44487</v>
      </c>
      <c r="E50" s="125" t="s">
        <v>948</v>
      </c>
      <c r="F50" s="17"/>
      <c r="G50" s="17"/>
      <c r="H50" s="17"/>
      <c r="I50" s="17"/>
    </row>
    <row r="51" spans="1:9" s="13" customFormat="1" ht="26.25" customHeight="1">
      <c r="A51" s="13" t="s">
        <v>625</v>
      </c>
      <c r="B51" s="15"/>
      <c r="C51" s="42"/>
      <c r="D51" s="14">
        <v>44486</v>
      </c>
      <c r="E51" s="125" t="s">
        <v>948</v>
      </c>
      <c r="F51" s="17"/>
      <c r="G51" s="17"/>
      <c r="H51" s="17"/>
      <c r="I51" s="17"/>
    </row>
    <row r="52" spans="1:9" s="13" customFormat="1" ht="26.25" customHeight="1">
      <c r="A52" s="13" t="s">
        <v>622</v>
      </c>
      <c r="B52" s="15"/>
      <c r="C52" s="42"/>
      <c r="D52" s="14">
        <v>44486</v>
      </c>
      <c r="E52" s="125" t="s">
        <v>948</v>
      </c>
      <c r="F52" s="17"/>
      <c r="G52" s="17"/>
      <c r="H52" s="17"/>
      <c r="I52" s="17"/>
    </row>
    <row r="53" spans="1:9" s="13" customFormat="1" ht="26.25" customHeight="1">
      <c r="A53" s="13" t="s">
        <v>628</v>
      </c>
      <c r="B53" s="15"/>
      <c r="C53" s="42"/>
      <c r="D53" s="14">
        <v>44485</v>
      </c>
      <c r="E53" s="125" t="s">
        <v>948</v>
      </c>
      <c r="F53" s="17"/>
      <c r="G53" s="17"/>
      <c r="H53" s="17"/>
      <c r="I53" s="17"/>
    </row>
    <row r="54" spans="1:9" s="13" customFormat="1" ht="26.25" customHeight="1">
      <c r="A54" s="13" t="s">
        <v>629</v>
      </c>
      <c r="B54" s="15"/>
      <c r="C54" s="42"/>
      <c r="D54" s="14">
        <v>44484</v>
      </c>
      <c r="E54" s="125" t="s">
        <v>948</v>
      </c>
      <c r="F54" s="17"/>
      <c r="G54" s="17"/>
      <c r="H54" s="17"/>
      <c r="I54" s="17"/>
    </row>
    <row r="55" spans="1:9" s="13" customFormat="1" ht="26.25" customHeight="1">
      <c r="A55" s="13" t="s">
        <v>630</v>
      </c>
      <c r="B55" s="15"/>
      <c r="C55" s="42"/>
      <c r="D55" s="14">
        <v>44484</v>
      </c>
      <c r="E55" s="125" t="s">
        <v>948</v>
      </c>
      <c r="F55" s="17"/>
      <c r="G55" s="17"/>
      <c r="H55" s="17"/>
      <c r="I55" s="17"/>
    </row>
    <row r="56" spans="1:9" s="13" customFormat="1" ht="33.75" customHeight="1">
      <c r="A56" s="13" t="s">
        <v>735</v>
      </c>
      <c r="B56" s="15"/>
      <c r="C56" s="42"/>
      <c r="D56" s="14">
        <v>44481</v>
      </c>
      <c r="E56" s="125" t="s">
        <v>948</v>
      </c>
      <c r="F56" s="17"/>
      <c r="G56" s="17"/>
      <c r="H56" s="17"/>
      <c r="I56" s="17"/>
    </row>
    <row r="57" spans="1:9" s="13" customFormat="1" ht="26.25" customHeight="1">
      <c r="A57" s="13" t="s">
        <v>631</v>
      </c>
      <c r="B57" s="15"/>
      <c r="C57" s="42"/>
      <c r="D57" s="14">
        <v>44478</v>
      </c>
      <c r="E57" s="125" t="s">
        <v>948</v>
      </c>
      <c r="F57" s="17"/>
      <c r="G57" s="17"/>
      <c r="H57" s="17"/>
      <c r="I57" s="17"/>
    </row>
    <row r="58" spans="1:9" s="13" customFormat="1" ht="26.25" customHeight="1">
      <c r="A58" s="13" t="s">
        <v>632</v>
      </c>
      <c r="B58" s="15"/>
      <c r="C58" s="42"/>
      <c r="D58" s="14">
        <v>44477</v>
      </c>
      <c r="E58" s="125" t="s">
        <v>948</v>
      </c>
      <c r="F58" s="17"/>
      <c r="G58" s="17"/>
      <c r="H58" s="17"/>
      <c r="I58" s="17"/>
    </row>
    <row r="59" spans="1:9" s="13" customFormat="1" ht="26.25" customHeight="1">
      <c r="A59" s="13" t="s">
        <v>633</v>
      </c>
      <c r="B59" s="15"/>
      <c r="C59" s="42"/>
      <c r="D59" s="14">
        <v>44475</v>
      </c>
      <c r="E59" s="125" t="s">
        <v>948</v>
      </c>
      <c r="F59" s="17"/>
      <c r="G59" s="17"/>
      <c r="H59" s="17"/>
      <c r="I59" s="17"/>
    </row>
    <row r="60" spans="1:9" s="13" customFormat="1" ht="26.25" customHeight="1">
      <c r="A60" s="13" t="s">
        <v>635</v>
      </c>
      <c r="B60" s="15"/>
      <c r="C60" s="42"/>
      <c r="D60" s="14">
        <v>44471</v>
      </c>
      <c r="E60" s="125" t="s">
        <v>948</v>
      </c>
      <c r="F60" s="17"/>
      <c r="G60" s="17"/>
      <c r="H60" s="17"/>
      <c r="I60" s="17"/>
    </row>
    <row r="61" spans="1:9" s="13" customFormat="1" ht="26.25" customHeight="1">
      <c r="A61" s="13" t="s">
        <v>636</v>
      </c>
      <c r="B61" s="15"/>
      <c r="C61" s="42"/>
      <c r="D61" s="14">
        <v>44467</v>
      </c>
      <c r="E61" s="125" t="s">
        <v>948</v>
      </c>
      <c r="F61" s="17"/>
      <c r="G61" s="17"/>
      <c r="H61" s="17"/>
      <c r="I61" s="17"/>
    </row>
    <row r="62" spans="1:9" s="13" customFormat="1" ht="26.25" customHeight="1">
      <c r="A62" s="13" t="s">
        <v>637</v>
      </c>
      <c r="B62" s="15"/>
      <c r="C62" s="42"/>
      <c r="D62" s="14">
        <v>44465</v>
      </c>
      <c r="E62" s="125" t="s">
        <v>948</v>
      </c>
      <c r="F62" s="17"/>
      <c r="G62" s="17"/>
      <c r="H62" s="17"/>
      <c r="I62" s="17"/>
    </row>
    <row r="63" spans="1:9" s="13" customFormat="1" ht="26.25" customHeight="1">
      <c r="A63" s="13" t="s">
        <v>738</v>
      </c>
      <c r="B63" s="15"/>
      <c r="C63" s="42"/>
      <c r="D63" s="14">
        <v>44462</v>
      </c>
      <c r="E63" s="125" t="s">
        <v>948</v>
      </c>
      <c r="F63" s="17"/>
      <c r="G63" s="17"/>
      <c r="H63" s="17"/>
      <c r="I63" s="17"/>
    </row>
    <row r="64" spans="1:9" s="13" customFormat="1" ht="26.25" customHeight="1">
      <c r="A64" s="13" t="s">
        <v>638</v>
      </c>
      <c r="B64" s="15"/>
      <c r="C64" s="42"/>
      <c r="D64" s="14">
        <v>44459</v>
      </c>
      <c r="E64" s="125" t="s">
        <v>948</v>
      </c>
      <c r="F64" s="17"/>
      <c r="G64" s="17"/>
      <c r="H64" s="17"/>
      <c r="I64" s="17"/>
    </row>
    <row r="65" spans="1:9" s="13" customFormat="1" ht="26.25" customHeight="1">
      <c r="A65" s="13" t="s">
        <v>641</v>
      </c>
      <c r="B65" s="15"/>
      <c r="C65" s="42"/>
      <c r="D65" s="14">
        <v>44457</v>
      </c>
      <c r="E65" s="125" t="s">
        <v>948</v>
      </c>
      <c r="F65" s="17"/>
      <c r="G65" s="17"/>
      <c r="H65" s="17"/>
      <c r="I65" s="17"/>
    </row>
    <row r="66" spans="1:9" s="13" customFormat="1" ht="26.25" customHeight="1">
      <c r="A66" s="13" t="s">
        <v>643</v>
      </c>
      <c r="B66" s="15"/>
      <c r="C66" s="42"/>
      <c r="D66" s="14">
        <v>44455</v>
      </c>
      <c r="E66" s="125" t="s">
        <v>948</v>
      </c>
      <c r="F66" s="17"/>
      <c r="G66" s="17"/>
      <c r="H66" s="17"/>
      <c r="I66" s="17"/>
    </row>
    <row r="67" spans="1:9" s="13" customFormat="1" ht="26.25" customHeight="1">
      <c r="A67" s="13" t="s">
        <v>642</v>
      </c>
      <c r="B67" s="15"/>
      <c r="C67" s="42"/>
      <c r="D67" s="14">
        <v>44447</v>
      </c>
      <c r="E67" s="125" t="s">
        <v>948</v>
      </c>
      <c r="F67" s="17"/>
      <c r="G67" s="17"/>
      <c r="H67" s="17"/>
      <c r="I67" s="17"/>
    </row>
    <row r="68" spans="1:9" s="13" customFormat="1" ht="26.25" customHeight="1">
      <c r="A68" s="13" t="s">
        <v>644</v>
      </c>
      <c r="B68" s="15"/>
      <c r="C68" s="42"/>
      <c r="D68" s="14">
        <v>44445</v>
      </c>
      <c r="E68" s="125" t="s">
        <v>948</v>
      </c>
      <c r="F68" s="17"/>
      <c r="G68" s="17"/>
      <c r="H68" s="17"/>
      <c r="I68" s="17"/>
    </row>
    <row r="69" spans="1:9" s="13" customFormat="1" ht="26.25" customHeight="1">
      <c r="A69" s="13" t="s">
        <v>645</v>
      </c>
      <c r="B69" s="15"/>
      <c r="C69" s="42"/>
      <c r="D69" s="14">
        <v>44443</v>
      </c>
      <c r="E69" s="125" t="s">
        <v>948</v>
      </c>
      <c r="F69" s="17"/>
      <c r="G69" s="17"/>
      <c r="H69" s="17"/>
      <c r="I69" s="17"/>
    </row>
    <row r="70" spans="1:9" s="13" customFormat="1" ht="26.25" customHeight="1">
      <c r="A70" s="13" t="s">
        <v>646</v>
      </c>
      <c r="B70" s="15"/>
      <c r="C70" s="42"/>
      <c r="D70" s="14">
        <v>44442</v>
      </c>
      <c r="E70" s="125" t="s">
        <v>948</v>
      </c>
      <c r="F70" s="17"/>
      <c r="G70" s="17"/>
      <c r="H70" s="17"/>
      <c r="I70" s="17"/>
    </row>
    <row r="71" spans="1:9" s="13" customFormat="1" ht="26.25" customHeight="1">
      <c r="A71" s="13" t="s">
        <v>640</v>
      </c>
      <c r="B71" s="15"/>
      <c r="C71" s="42"/>
      <c r="D71" s="14">
        <v>44441</v>
      </c>
      <c r="E71" s="125" t="s">
        <v>948</v>
      </c>
      <c r="F71" s="17"/>
      <c r="G71" s="17"/>
      <c r="H71" s="17"/>
      <c r="I71" s="17"/>
    </row>
    <row r="72" spans="1:9" s="13" customFormat="1" ht="26.25" customHeight="1">
      <c r="A72" s="13" t="s">
        <v>648</v>
      </c>
      <c r="B72" s="15"/>
      <c r="C72" s="42"/>
      <c r="D72" s="14">
        <v>44438</v>
      </c>
      <c r="E72" s="125" t="s">
        <v>948</v>
      </c>
      <c r="F72" s="17"/>
      <c r="G72" s="17"/>
      <c r="H72" s="17"/>
      <c r="I72" s="17"/>
    </row>
    <row r="73" spans="1:9" s="13" customFormat="1" ht="26.25" customHeight="1">
      <c r="A73" s="13" t="s">
        <v>649</v>
      </c>
      <c r="B73" s="15"/>
      <c r="C73" s="42"/>
      <c r="D73" s="14">
        <v>44438</v>
      </c>
      <c r="E73" s="125" t="s">
        <v>948</v>
      </c>
      <c r="F73" s="17"/>
      <c r="G73" s="17"/>
      <c r="H73" s="17"/>
      <c r="I73" s="17"/>
    </row>
    <row r="74" spans="1:9" s="13" customFormat="1" ht="26.25" customHeight="1">
      <c r="A74" s="13" t="s">
        <v>650</v>
      </c>
      <c r="B74" s="15"/>
      <c r="C74" s="42"/>
      <c r="D74" s="14">
        <v>44430</v>
      </c>
      <c r="E74" s="125" t="s">
        <v>948</v>
      </c>
      <c r="F74" s="17"/>
      <c r="G74" s="17"/>
      <c r="H74" s="17"/>
      <c r="I74" s="17"/>
    </row>
    <row r="75" spans="1:9" s="13" customFormat="1" ht="26.25" customHeight="1">
      <c r="A75" s="13" t="s">
        <v>651</v>
      </c>
      <c r="B75" s="15"/>
      <c r="C75" s="42"/>
      <c r="D75" s="14">
        <v>44428</v>
      </c>
      <c r="E75" s="125" t="s">
        <v>948</v>
      </c>
      <c r="F75" s="17"/>
      <c r="G75" s="17"/>
      <c r="H75" s="17"/>
      <c r="I75" s="17"/>
    </row>
    <row r="76" spans="1:9" s="13" customFormat="1" ht="26.25" customHeight="1">
      <c r="A76" s="13" t="s">
        <v>647</v>
      </c>
      <c r="B76" s="15"/>
      <c r="C76" s="42"/>
      <c r="D76" s="14">
        <v>44424</v>
      </c>
      <c r="E76" s="125" t="s">
        <v>948</v>
      </c>
      <c r="F76" s="17"/>
      <c r="G76" s="17"/>
      <c r="H76" s="17"/>
      <c r="I76" s="17"/>
    </row>
    <row r="77" spans="1:9" s="13" customFormat="1" ht="26.25" customHeight="1">
      <c r="A77" s="13" t="s">
        <v>653</v>
      </c>
      <c r="B77" s="15"/>
      <c r="C77" s="42"/>
      <c r="D77" s="14">
        <v>44393</v>
      </c>
      <c r="E77" s="125" t="s">
        <v>948</v>
      </c>
      <c r="F77" s="17"/>
      <c r="G77" s="17"/>
      <c r="H77" s="17"/>
      <c r="I77" s="17"/>
    </row>
    <row r="78" spans="1:9" s="13" customFormat="1" ht="26.25" customHeight="1">
      <c r="A78" s="13" t="s">
        <v>652</v>
      </c>
      <c r="B78" s="15"/>
      <c r="C78" s="42"/>
      <c r="D78" s="14">
        <v>44367</v>
      </c>
      <c r="E78" s="125" t="s">
        <v>948</v>
      </c>
      <c r="F78" s="17"/>
      <c r="G78" s="17"/>
      <c r="H78" s="17"/>
      <c r="I78" s="17"/>
    </row>
    <row r="79" spans="1:9" s="13" customFormat="1" ht="26.25" customHeight="1">
      <c r="A79" s="13" t="s">
        <v>654</v>
      </c>
      <c r="B79" s="15"/>
      <c r="C79" s="42"/>
      <c r="D79" s="14">
        <v>44359</v>
      </c>
      <c r="E79" s="125" t="s">
        <v>948</v>
      </c>
      <c r="F79" s="17"/>
      <c r="G79" s="17"/>
      <c r="H79" s="17"/>
      <c r="I79" s="17"/>
    </row>
    <row r="80" spans="1:9" s="13" customFormat="1" ht="26.25" customHeight="1">
      <c r="A80" s="13" t="s">
        <v>739</v>
      </c>
      <c r="B80" s="15"/>
      <c r="C80" s="42"/>
      <c r="D80" s="14">
        <v>44353</v>
      </c>
      <c r="E80" s="125" t="s">
        <v>948</v>
      </c>
      <c r="F80" s="17"/>
      <c r="G80" s="17"/>
      <c r="H80" s="17"/>
      <c r="I80" s="17"/>
    </row>
    <row r="81" spans="1:9" s="13" customFormat="1" ht="26.25" customHeight="1">
      <c r="A81" s="13" t="s">
        <v>655</v>
      </c>
      <c r="B81" s="15"/>
      <c r="C81" s="42"/>
      <c r="D81" s="14">
        <v>44342</v>
      </c>
      <c r="E81" s="125" t="s">
        <v>948</v>
      </c>
      <c r="F81" s="17"/>
      <c r="G81" s="17"/>
      <c r="H81" s="17"/>
      <c r="I81" s="17"/>
    </row>
    <row r="82" spans="1:9" s="13" customFormat="1" ht="26.25" customHeight="1">
      <c r="A82" s="13" t="s">
        <v>656</v>
      </c>
      <c r="B82" s="15"/>
      <c r="C82" s="42"/>
      <c r="D82" s="14">
        <v>44332</v>
      </c>
      <c r="E82" s="125" t="s">
        <v>948</v>
      </c>
      <c r="F82" s="17"/>
      <c r="G82" s="17"/>
      <c r="H82" s="17"/>
      <c r="I82" s="17"/>
    </row>
    <row r="83" spans="1:9" s="13" customFormat="1" ht="26.25" customHeight="1">
      <c r="B83" s="15"/>
      <c r="C83" s="42"/>
      <c r="D83" s="14"/>
      <c r="E83" s="125"/>
      <c r="F83" s="17"/>
      <c r="G83" s="17"/>
      <c r="H83" s="17"/>
      <c r="I83" s="17"/>
    </row>
    <row r="84" spans="1:9" s="13" customFormat="1" ht="26.25" customHeight="1">
      <c r="B84" s="15"/>
      <c r="C84" s="42"/>
      <c r="D84" s="14"/>
      <c r="E84" s="125"/>
      <c r="F84" s="17"/>
      <c r="G84" s="17"/>
      <c r="H84" s="17"/>
      <c r="I84" s="17"/>
    </row>
    <row r="85" spans="1:9" s="13" customFormat="1" ht="26.25" customHeight="1">
      <c r="B85" s="15"/>
      <c r="C85" s="42"/>
      <c r="D85" s="14"/>
      <c r="E85" s="125"/>
      <c r="F85" s="17"/>
      <c r="G85" s="17"/>
      <c r="H85" s="17"/>
      <c r="I85" s="17"/>
    </row>
    <row r="86" spans="1:9" s="13" customFormat="1" ht="26.25" customHeight="1">
      <c r="B86" s="15"/>
      <c r="C86" s="42"/>
      <c r="D86" s="14"/>
      <c r="E86" s="125"/>
      <c r="F86" s="17"/>
      <c r="G86" s="17"/>
      <c r="H86" s="17"/>
      <c r="I86" s="17"/>
    </row>
    <row r="87" spans="1:9" s="13" customFormat="1" ht="26.25" customHeight="1">
      <c r="B87" s="15"/>
      <c r="C87" s="42"/>
      <c r="D87" s="14"/>
      <c r="E87" s="125"/>
      <c r="F87" s="17"/>
      <c r="G87" s="17"/>
      <c r="H87" s="17"/>
      <c r="I87" s="17"/>
    </row>
    <row r="88" spans="1:9" s="13" customFormat="1" ht="26.25" customHeight="1">
      <c r="B88" s="15"/>
      <c r="C88" s="42"/>
      <c r="D88" s="14"/>
      <c r="E88" s="125"/>
      <c r="F88" s="17"/>
      <c r="G88" s="17"/>
      <c r="H88" s="17"/>
      <c r="I88" s="17"/>
    </row>
    <row r="89" spans="1:9" s="13" customFormat="1" ht="26.25" customHeight="1">
      <c r="B89" s="15"/>
      <c r="C89" s="42"/>
      <c r="D89" s="14"/>
      <c r="E89" s="125"/>
      <c r="F89" s="17"/>
      <c r="G89" s="17"/>
      <c r="H89" s="17"/>
      <c r="I89" s="17"/>
    </row>
    <row r="90" spans="1:9" s="13" customFormat="1" ht="26.25" customHeight="1">
      <c r="B90" s="15"/>
      <c r="C90" s="42"/>
      <c r="D90" s="14"/>
      <c r="E90" s="125"/>
      <c r="F90" s="17"/>
      <c r="G90" s="17"/>
      <c r="H90" s="17"/>
      <c r="I90" s="17"/>
    </row>
    <row r="91" spans="1:9" s="13" customFormat="1" ht="26.25" customHeight="1">
      <c r="B91" s="15"/>
      <c r="C91" s="42"/>
      <c r="D91" s="14"/>
      <c r="E91" s="125"/>
      <c r="F91" s="17"/>
      <c r="G91" s="17"/>
      <c r="H91" s="17"/>
      <c r="I91" s="17"/>
    </row>
    <row r="92" spans="1:9" s="13" customFormat="1" ht="26.25" customHeight="1">
      <c r="B92" s="15"/>
      <c r="C92" s="42"/>
      <c r="D92" s="14"/>
      <c r="E92" s="125"/>
      <c r="F92" s="17"/>
      <c r="G92" s="17"/>
      <c r="H92" s="17"/>
      <c r="I92" s="17"/>
    </row>
    <row r="93" spans="1:9" s="13" customFormat="1" ht="26.25" customHeight="1">
      <c r="B93" s="15"/>
      <c r="C93" s="42"/>
      <c r="D93" s="14"/>
      <c r="E93" s="125"/>
      <c r="F93" s="17"/>
      <c r="G93" s="17"/>
      <c r="H93" s="17"/>
      <c r="I93" s="17"/>
    </row>
    <row r="94" spans="1:9" s="13" customFormat="1" ht="26.25" customHeight="1">
      <c r="B94" s="15"/>
      <c r="C94" s="42"/>
      <c r="D94" s="14"/>
      <c r="E94" s="125"/>
      <c r="F94" s="17"/>
      <c r="G94" s="17"/>
      <c r="H94" s="17"/>
      <c r="I94" s="17"/>
    </row>
    <row r="95" spans="1:9" s="13" customFormat="1" ht="26.25" customHeight="1">
      <c r="B95" s="15"/>
      <c r="C95" s="42"/>
      <c r="D95" s="14"/>
      <c r="E95" s="125"/>
      <c r="F95" s="17"/>
      <c r="G95" s="17"/>
      <c r="H95" s="17"/>
      <c r="I95" s="17"/>
    </row>
    <row r="96" spans="1:9" s="13" customFormat="1" ht="26.25" customHeight="1">
      <c r="B96" s="15"/>
      <c r="C96" s="42"/>
      <c r="D96" s="14"/>
      <c r="E96" s="125"/>
      <c r="F96" s="17"/>
      <c r="G96" s="17"/>
      <c r="H96" s="17"/>
      <c r="I96" s="17"/>
    </row>
    <row r="97" spans="1:9" s="13" customFormat="1" ht="26.25" customHeight="1">
      <c r="B97" s="15"/>
      <c r="C97" s="42"/>
      <c r="D97" s="14"/>
      <c r="E97" s="125"/>
      <c r="F97" s="17"/>
      <c r="G97" s="17"/>
      <c r="H97" s="17"/>
      <c r="I97" s="17"/>
    </row>
    <row r="98" spans="1:9" s="13" customFormat="1" ht="26.25" customHeight="1">
      <c r="B98" s="15"/>
      <c r="C98" s="42"/>
      <c r="D98" s="14"/>
      <c r="E98" s="125"/>
      <c r="F98" s="17"/>
      <c r="G98" s="17"/>
      <c r="H98" s="17"/>
      <c r="I98" s="17"/>
    </row>
    <row r="99" spans="1:9" customFormat="1" ht="18.75">
      <c r="A99" t="s">
        <v>3072</v>
      </c>
      <c r="B99" t="s">
        <v>3073</v>
      </c>
      <c r="C99">
        <v>318.5</v>
      </c>
      <c r="D99" s="138">
        <v>44633</v>
      </c>
      <c r="E99" s="21" t="s">
        <v>3103</v>
      </c>
    </row>
    <row r="100" spans="1:9" customFormat="1" ht="18.75">
      <c r="A100" t="s">
        <v>3074</v>
      </c>
      <c r="B100" t="s">
        <v>3075</v>
      </c>
      <c r="C100">
        <v>318.5</v>
      </c>
      <c r="D100" s="138">
        <v>44633</v>
      </c>
      <c r="E100" s="21" t="s">
        <v>3103</v>
      </c>
    </row>
    <row r="101" spans="1:9" customFormat="1" ht="18.75">
      <c r="A101" t="s">
        <v>3076</v>
      </c>
      <c r="B101" t="s">
        <v>3077</v>
      </c>
      <c r="C101">
        <v>810.7</v>
      </c>
      <c r="D101" s="138">
        <v>44633</v>
      </c>
      <c r="E101" s="21" t="s">
        <v>3103</v>
      </c>
    </row>
    <row r="102" spans="1:9" customFormat="1" ht="18.75">
      <c r="A102" t="s">
        <v>3078</v>
      </c>
      <c r="B102" t="s">
        <v>3079</v>
      </c>
      <c r="C102">
        <v>7.13</v>
      </c>
      <c r="D102" s="138">
        <v>44633</v>
      </c>
      <c r="E102" s="21" t="s">
        <v>3103</v>
      </c>
    </row>
    <row r="103" spans="1:9" customFormat="1" ht="18.75">
      <c r="A103" t="s">
        <v>3080</v>
      </c>
      <c r="B103" t="s">
        <v>3081</v>
      </c>
      <c r="C103">
        <v>335.25299999999999</v>
      </c>
      <c r="D103" s="138">
        <v>44625</v>
      </c>
      <c r="E103" s="21" t="s">
        <v>3103</v>
      </c>
    </row>
    <row r="104" spans="1:9" customFormat="1" ht="18.75">
      <c r="A104" t="s">
        <v>3082</v>
      </c>
      <c r="B104" t="s">
        <v>3081</v>
      </c>
      <c r="C104">
        <v>335.25299999999999</v>
      </c>
      <c r="D104" s="138">
        <v>44622</v>
      </c>
      <c r="E104" s="21" t="s">
        <v>3103</v>
      </c>
    </row>
    <row r="105" spans="1:9" customFormat="1" ht="18.75">
      <c r="A105" t="s">
        <v>3083</v>
      </c>
      <c r="B105" t="s">
        <v>3084</v>
      </c>
      <c r="C105">
        <v>547.48329999999999</v>
      </c>
      <c r="D105" s="138">
        <v>44622</v>
      </c>
      <c r="E105" s="21" t="s">
        <v>3103</v>
      </c>
    </row>
    <row r="106" spans="1:9" customFormat="1" ht="18.75">
      <c r="A106" t="s">
        <v>3085</v>
      </c>
      <c r="B106" t="s">
        <v>3086</v>
      </c>
      <c r="C106">
        <v>589.20000000000005</v>
      </c>
      <c r="D106" s="138">
        <v>44611</v>
      </c>
      <c r="E106" s="21" t="s">
        <v>3103</v>
      </c>
    </row>
    <row r="107" spans="1:9" customFormat="1" ht="18.75">
      <c r="A107" t="s">
        <v>3087</v>
      </c>
      <c r="B107" t="s">
        <v>3088</v>
      </c>
      <c r="C107">
        <v>588.09</v>
      </c>
      <c r="D107" s="138">
        <v>44611</v>
      </c>
      <c r="E107" s="21" t="s">
        <v>3103</v>
      </c>
    </row>
    <row r="108" spans="1:9" customFormat="1" ht="18.75">
      <c r="A108" t="s">
        <v>3089</v>
      </c>
      <c r="B108" t="s">
        <v>3090</v>
      </c>
      <c r="C108">
        <v>336.91</v>
      </c>
      <c r="D108" s="138">
        <v>44611</v>
      </c>
      <c r="E108" s="21" t="s">
        <v>3103</v>
      </c>
    </row>
    <row r="109" spans="1:9" customFormat="1" ht="18.75">
      <c r="A109" t="s">
        <v>3091</v>
      </c>
      <c r="B109" t="s">
        <v>3092</v>
      </c>
      <c r="C109">
        <v>324.10000000000002</v>
      </c>
      <c r="D109" s="138">
        <v>44611</v>
      </c>
      <c r="E109" s="21" t="s">
        <v>3103</v>
      </c>
    </row>
    <row r="110" spans="1:9" customFormat="1" ht="18.75">
      <c r="A110" t="s">
        <v>3093</v>
      </c>
      <c r="B110" t="s">
        <v>3094</v>
      </c>
      <c r="C110">
        <v>370.4</v>
      </c>
      <c r="D110" s="138">
        <v>44611</v>
      </c>
      <c r="E110" s="21" t="s">
        <v>3103</v>
      </c>
    </row>
    <row r="111" spans="1:9" customFormat="1" ht="18.75">
      <c r="A111" t="s">
        <v>3095</v>
      </c>
      <c r="B111" t="s">
        <v>3096</v>
      </c>
      <c r="C111">
        <v>7.6340000000000003</v>
      </c>
      <c r="D111" s="138">
        <v>44605</v>
      </c>
      <c r="E111" s="21" t="s">
        <v>3103</v>
      </c>
    </row>
    <row r="112" spans="1:9" customFormat="1" ht="18.75">
      <c r="A112" t="s">
        <v>3097</v>
      </c>
      <c r="B112" t="s">
        <v>3098</v>
      </c>
      <c r="C112">
        <v>336.57</v>
      </c>
      <c r="D112" s="138">
        <v>44605</v>
      </c>
      <c r="E112" s="21" t="s">
        <v>3103</v>
      </c>
    </row>
    <row r="113" spans="1:5" customFormat="1" ht="18.75">
      <c r="A113" t="s">
        <v>2416</v>
      </c>
      <c r="B113" t="s">
        <v>2417</v>
      </c>
      <c r="C113">
        <v>326.09800000000001</v>
      </c>
      <c r="D113" s="138">
        <v>44604</v>
      </c>
      <c r="E113" s="21" t="s">
        <v>3103</v>
      </c>
    </row>
    <row r="114" spans="1:5" customFormat="1" ht="18.75">
      <c r="A114" t="s">
        <v>2414</v>
      </c>
      <c r="B114" t="s">
        <v>2415</v>
      </c>
      <c r="C114">
        <v>323.95999999999998</v>
      </c>
      <c r="D114" s="138">
        <v>44604</v>
      </c>
      <c r="E114" s="21" t="s">
        <v>3103</v>
      </c>
    </row>
    <row r="115" spans="1:5" customFormat="1" ht="18.75">
      <c r="A115" t="s">
        <v>2378</v>
      </c>
      <c r="B115" t="s">
        <v>757</v>
      </c>
      <c r="C115">
        <v>327.2</v>
      </c>
      <c r="D115" s="138">
        <v>44604</v>
      </c>
      <c r="E115" s="21" t="s">
        <v>3103</v>
      </c>
    </row>
    <row r="116" spans="1:5" customFormat="1" ht="18.75">
      <c r="A116" t="s">
        <v>2418</v>
      </c>
      <c r="B116" t="s">
        <v>604</v>
      </c>
      <c r="C116">
        <v>327</v>
      </c>
      <c r="D116" s="138">
        <v>44604</v>
      </c>
      <c r="E116" s="21" t="s">
        <v>3103</v>
      </c>
    </row>
    <row r="117" spans="1:5" customFormat="1" ht="18.75">
      <c r="A117" t="s">
        <v>2423</v>
      </c>
      <c r="B117" t="s">
        <v>2425</v>
      </c>
      <c r="C117">
        <v>327.60000000000002</v>
      </c>
      <c r="D117" s="138">
        <v>44598</v>
      </c>
      <c r="E117" s="21" t="s">
        <v>3103</v>
      </c>
    </row>
    <row r="118" spans="1:5" customFormat="1" ht="18.75">
      <c r="A118" t="s">
        <v>2428</v>
      </c>
      <c r="B118" t="s">
        <v>2429</v>
      </c>
      <c r="C118">
        <v>327.2</v>
      </c>
      <c r="D118" s="138">
        <v>44598</v>
      </c>
      <c r="E118" s="21" t="s">
        <v>3103</v>
      </c>
    </row>
    <row r="119" spans="1:5" customFormat="1" ht="18.75">
      <c r="A119" t="s">
        <v>2359</v>
      </c>
      <c r="B119" t="s">
        <v>776</v>
      </c>
      <c r="C119">
        <v>329.9</v>
      </c>
      <c r="D119" s="138">
        <v>44598</v>
      </c>
      <c r="E119" s="21" t="s">
        <v>3103</v>
      </c>
    </row>
    <row r="120" spans="1:5" customFormat="1" ht="18.75">
      <c r="A120" t="s">
        <v>3089</v>
      </c>
      <c r="B120" t="s">
        <v>3090</v>
      </c>
      <c r="C120">
        <v>336.91</v>
      </c>
      <c r="D120" s="138">
        <v>44598</v>
      </c>
      <c r="E120" s="21" t="s">
        <v>3103</v>
      </c>
    </row>
    <row r="121" spans="1:5" customFormat="1" ht="18.75">
      <c r="A121" t="s">
        <v>3091</v>
      </c>
      <c r="B121" t="s">
        <v>3092</v>
      </c>
      <c r="C121">
        <v>324.10000000000002</v>
      </c>
      <c r="D121" s="138">
        <v>44598</v>
      </c>
      <c r="E121" s="21" t="s">
        <v>3103</v>
      </c>
    </row>
    <row r="122" spans="1:5" customFormat="1" ht="18.75">
      <c r="A122" t="s">
        <v>3099</v>
      </c>
      <c r="C122">
        <v>547.48329999999999</v>
      </c>
      <c r="D122" s="138">
        <v>44598</v>
      </c>
      <c r="E122" s="21" t="s">
        <v>3103</v>
      </c>
    </row>
    <row r="123" spans="1:5" customFormat="1" ht="18.75">
      <c r="A123" t="s">
        <v>3100</v>
      </c>
      <c r="B123" t="s">
        <v>466</v>
      </c>
      <c r="C123">
        <v>336</v>
      </c>
      <c r="D123" s="138">
        <v>44598</v>
      </c>
      <c r="E123" s="21" t="s">
        <v>3103</v>
      </c>
    </row>
    <row r="124" spans="1:5" customFormat="1" ht="18.75">
      <c r="A124" t="s">
        <v>3087</v>
      </c>
      <c r="B124" t="s">
        <v>3088</v>
      </c>
      <c r="C124">
        <v>588.09</v>
      </c>
      <c r="D124" s="138">
        <v>44598</v>
      </c>
      <c r="E124" s="21" t="s">
        <v>3103</v>
      </c>
    </row>
    <row r="125" spans="1:5" customFormat="1" ht="18.75">
      <c r="A125" t="s">
        <v>3101</v>
      </c>
      <c r="B125" t="s">
        <v>3102</v>
      </c>
      <c r="C125">
        <v>417</v>
      </c>
      <c r="D125" s="138">
        <v>44598</v>
      </c>
      <c r="E125" s="21" t="s">
        <v>3103</v>
      </c>
    </row>
    <row r="126" spans="1:5" customFormat="1" ht="18.75">
      <c r="A126" t="s">
        <v>3093</v>
      </c>
      <c r="B126" t="s">
        <v>3094</v>
      </c>
      <c r="C126">
        <v>370.4</v>
      </c>
      <c r="D126" s="138">
        <v>44598</v>
      </c>
      <c r="E126" s="21" t="s">
        <v>3103</v>
      </c>
    </row>
    <row r="127" spans="1:5" customFormat="1" ht="18.75">
      <c r="A127" t="s">
        <v>3085</v>
      </c>
      <c r="B127" t="s">
        <v>3086</v>
      </c>
      <c r="C127">
        <v>589.20000000000005</v>
      </c>
      <c r="D127" s="138">
        <v>44598</v>
      </c>
      <c r="E127" s="21" t="s">
        <v>3103</v>
      </c>
    </row>
    <row r="128" spans="1:5" customFormat="1" ht="18.75">
      <c r="A128" t="s">
        <v>2360</v>
      </c>
      <c r="B128" t="s">
        <v>2361</v>
      </c>
      <c r="C128">
        <v>547.48329999999999</v>
      </c>
      <c r="D128" s="138">
        <v>44594</v>
      </c>
      <c r="E128" s="21" t="s">
        <v>3103</v>
      </c>
    </row>
    <row r="129" spans="1:5" customFormat="1" ht="18.75">
      <c r="A129" t="s">
        <v>2414</v>
      </c>
      <c r="B129" t="s">
        <v>2415</v>
      </c>
      <c r="C129">
        <v>323.95999999999998</v>
      </c>
      <c r="D129" s="138">
        <v>44591</v>
      </c>
      <c r="E129" s="21" t="s">
        <v>3103</v>
      </c>
    </row>
    <row r="130" spans="1:5" customFormat="1" ht="18.75">
      <c r="A130" t="s">
        <v>2416</v>
      </c>
      <c r="B130" t="s">
        <v>2417</v>
      </c>
      <c r="C130">
        <v>326.09800000000001</v>
      </c>
      <c r="D130" s="138">
        <v>44591</v>
      </c>
      <c r="E130" s="21" t="s">
        <v>3103</v>
      </c>
    </row>
    <row r="131" spans="1:5" customFormat="1" ht="18.75">
      <c r="A131" t="s">
        <v>2378</v>
      </c>
      <c r="B131" t="s">
        <v>757</v>
      </c>
      <c r="C131">
        <v>327.2</v>
      </c>
      <c r="D131" s="138">
        <v>44591</v>
      </c>
      <c r="E131" s="21" t="s">
        <v>3103</v>
      </c>
    </row>
    <row r="132" spans="1:5" customFormat="1" ht="18.75">
      <c r="A132" t="s">
        <v>2418</v>
      </c>
      <c r="B132" t="s">
        <v>604</v>
      </c>
      <c r="C132">
        <v>327</v>
      </c>
      <c r="D132" s="138">
        <v>44590</v>
      </c>
      <c r="E132" s="21" t="s">
        <v>3103</v>
      </c>
    </row>
    <row r="133" spans="1:5" customFormat="1" ht="18.75">
      <c r="A133" t="s">
        <v>2419</v>
      </c>
      <c r="B133" t="s">
        <v>2420</v>
      </c>
      <c r="C133">
        <v>21.4</v>
      </c>
      <c r="D133" s="138">
        <v>44589</v>
      </c>
      <c r="E133" s="21" t="s">
        <v>3103</v>
      </c>
    </row>
    <row r="134" spans="1:5" customFormat="1" ht="18.75">
      <c r="A134" t="s">
        <v>2421</v>
      </c>
      <c r="B134" t="s">
        <v>2422</v>
      </c>
      <c r="C134">
        <v>323.89999999999998</v>
      </c>
      <c r="D134" s="138">
        <v>44585</v>
      </c>
      <c r="E134" s="21" t="s">
        <v>3103</v>
      </c>
    </row>
    <row r="135" spans="1:5" customFormat="1" ht="18.75">
      <c r="A135" t="s">
        <v>2423</v>
      </c>
      <c r="B135" t="s">
        <v>2424</v>
      </c>
      <c r="C135">
        <v>327.60000000000002</v>
      </c>
      <c r="D135" s="138">
        <v>44585</v>
      </c>
      <c r="E135" s="21" t="s">
        <v>3103</v>
      </c>
    </row>
    <row r="136" spans="1:5" customFormat="1" ht="18.75">
      <c r="A136" t="s">
        <v>2423</v>
      </c>
      <c r="B136" t="s">
        <v>2425</v>
      </c>
      <c r="C136">
        <v>327.60000000000002</v>
      </c>
      <c r="D136" s="138">
        <v>44585</v>
      </c>
      <c r="E136" s="21" t="s">
        <v>3103</v>
      </c>
    </row>
    <row r="137" spans="1:5" customFormat="1" ht="18.75">
      <c r="A137" t="s">
        <v>2426</v>
      </c>
      <c r="B137" t="s">
        <v>2427</v>
      </c>
      <c r="C137">
        <v>323.95999999999998</v>
      </c>
      <c r="D137" s="138">
        <v>44585</v>
      </c>
      <c r="E137" s="21" t="s">
        <v>3103</v>
      </c>
    </row>
    <row r="138" spans="1:5" customFormat="1" ht="18.75">
      <c r="A138" t="s">
        <v>2428</v>
      </c>
      <c r="B138" t="s">
        <v>2429</v>
      </c>
      <c r="C138">
        <v>327.2</v>
      </c>
      <c r="D138" s="138">
        <v>44585</v>
      </c>
      <c r="E138" s="21" t="s">
        <v>3103</v>
      </c>
    </row>
    <row r="139" spans="1:5" customFormat="1" ht="18.75">
      <c r="A139" t="s">
        <v>2359</v>
      </c>
      <c r="B139" t="s">
        <v>776</v>
      </c>
      <c r="C139">
        <v>329.9</v>
      </c>
      <c r="D139" s="138">
        <v>44584</v>
      </c>
      <c r="E139" s="21" t="s">
        <v>3103</v>
      </c>
    </row>
    <row r="140" spans="1:5" customFormat="1" ht="18.75">
      <c r="A140" t="s">
        <v>2360</v>
      </c>
      <c r="B140" t="s">
        <v>2361</v>
      </c>
      <c r="C140">
        <v>547.48329999999999</v>
      </c>
      <c r="D140" s="138">
        <v>44580</v>
      </c>
      <c r="E140" s="21" t="s">
        <v>3103</v>
      </c>
    </row>
    <row r="141" spans="1:5" customFormat="1" ht="18.75">
      <c r="A141" t="s">
        <v>2362</v>
      </c>
      <c r="B141" t="s">
        <v>2363</v>
      </c>
      <c r="C141">
        <v>14.3</v>
      </c>
      <c r="D141" s="138">
        <v>44580</v>
      </c>
      <c r="E141" s="21" t="s">
        <v>3103</v>
      </c>
    </row>
    <row r="142" spans="1:5" customFormat="1" ht="18.75">
      <c r="A142" t="s">
        <v>2364</v>
      </c>
      <c r="B142" t="s">
        <v>2365</v>
      </c>
      <c r="C142">
        <v>547.48299999999995</v>
      </c>
      <c r="D142" s="138">
        <v>44580</v>
      </c>
      <c r="E142" s="21" t="s">
        <v>3103</v>
      </c>
    </row>
    <row r="143" spans="1:5" customFormat="1" ht="18.75">
      <c r="A143" t="s">
        <v>2366</v>
      </c>
      <c r="B143" t="s">
        <v>2367</v>
      </c>
      <c r="C143">
        <v>335</v>
      </c>
      <c r="D143" s="138">
        <v>44580</v>
      </c>
      <c r="E143" s="21" t="s">
        <v>3103</v>
      </c>
    </row>
    <row r="144" spans="1:5" customFormat="1" ht="18.75">
      <c r="A144" t="s">
        <v>2368</v>
      </c>
      <c r="B144" t="s">
        <v>775</v>
      </c>
      <c r="C144">
        <v>329.94</v>
      </c>
      <c r="D144" s="138">
        <v>44579</v>
      </c>
      <c r="E144" s="21" t="s">
        <v>3103</v>
      </c>
    </row>
    <row r="145" spans="1:5" customFormat="1" ht="18.75">
      <c r="A145" t="s">
        <v>2369</v>
      </c>
      <c r="B145" t="s">
        <v>2370</v>
      </c>
      <c r="C145">
        <v>320.91000000000003</v>
      </c>
      <c r="D145" s="138">
        <v>44579</v>
      </c>
      <c r="E145" s="21" t="s">
        <v>3103</v>
      </c>
    </row>
    <row r="146" spans="1:5" customFormat="1" ht="18.75">
      <c r="A146" t="s">
        <v>2371</v>
      </c>
      <c r="B146" t="s">
        <v>264</v>
      </c>
      <c r="C146">
        <v>7.61</v>
      </c>
      <c r="D146" s="138">
        <v>44577</v>
      </c>
      <c r="E146" s="21" t="s">
        <v>3103</v>
      </c>
    </row>
    <row r="147" spans="1:5" customFormat="1" ht="18.75">
      <c r="A147" t="s">
        <v>2372</v>
      </c>
      <c r="B147" t="s">
        <v>2373</v>
      </c>
      <c r="C147">
        <v>504</v>
      </c>
      <c r="D147" s="138">
        <v>44575</v>
      </c>
      <c r="E147" s="21" t="s">
        <v>3103</v>
      </c>
    </row>
    <row r="148" spans="1:5" customFormat="1" ht="18.75">
      <c r="A148" t="s">
        <v>2374</v>
      </c>
      <c r="B148" t="s">
        <v>2375</v>
      </c>
      <c r="C148">
        <v>336</v>
      </c>
      <c r="D148" s="138">
        <v>44572</v>
      </c>
      <c r="E148" s="21" t="s">
        <v>3103</v>
      </c>
    </row>
    <row r="149" spans="1:5" customFormat="1" ht="18.75">
      <c r="A149" t="s">
        <v>2376</v>
      </c>
      <c r="B149" t="s">
        <v>2377</v>
      </c>
      <c r="C149">
        <v>809.2</v>
      </c>
      <c r="D149" s="138">
        <v>44572</v>
      </c>
      <c r="E149" s="21" t="s">
        <v>3103</v>
      </c>
    </row>
    <row r="150" spans="1:5" customFormat="1" ht="18.75">
      <c r="A150" t="s">
        <v>2359</v>
      </c>
      <c r="B150" t="s">
        <v>776</v>
      </c>
      <c r="C150">
        <v>329.9</v>
      </c>
      <c r="D150" s="138">
        <v>44568</v>
      </c>
      <c r="E150" s="21" t="s">
        <v>3103</v>
      </c>
    </row>
    <row r="151" spans="1:5" customFormat="1" ht="18.75">
      <c r="A151" t="s">
        <v>2378</v>
      </c>
      <c r="B151" t="s">
        <v>757</v>
      </c>
      <c r="C151">
        <v>327.2</v>
      </c>
      <c r="D151" s="138">
        <v>44568</v>
      </c>
      <c r="E151" s="21" t="s">
        <v>3103</v>
      </c>
    </row>
    <row r="152" spans="1:5" customFormat="1" ht="18.75">
      <c r="A152" t="s">
        <v>2379</v>
      </c>
      <c r="B152" t="s">
        <v>2380</v>
      </c>
      <c r="C152">
        <v>7.609</v>
      </c>
      <c r="D152" s="138">
        <v>44566</v>
      </c>
      <c r="E152" s="21" t="s">
        <v>3103</v>
      </c>
    </row>
    <row r="153" spans="1:5" customFormat="1" ht="18.75">
      <c r="A153" t="s">
        <v>2381</v>
      </c>
      <c r="B153" t="s">
        <v>2382</v>
      </c>
      <c r="C153">
        <v>7.13</v>
      </c>
      <c r="D153" s="138">
        <v>44566</v>
      </c>
      <c r="E153" s="21" t="s">
        <v>3103</v>
      </c>
    </row>
    <row r="154" spans="1:5" customFormat="1" ht="18.75">
      <c r="A154" t="s">
        <v>2383</v>
      </c>
      <c r="B154" t="s">
        <v>2384</v>
      </c>
      <c r="C154">
        <v>375.19900000000001</v>
      </c>
      <c r="D154" s="138">
        <v>44566</v>
      </c>
      <c r="E154" s="21" t="s">
        <v>3103</v>
      </c>
    </row>
    <row r="155" spans="1:5" customFormat="1" ht="18.75">
      <c r="A155" t="s">
        <v>2368</v>
      </c>
      <c r="B155" t="s">
        <v>775</v>
      </c>
      <c r="C155">
        <v>329.94</v>
      </c>
      <c r="D155" s="138">
        <v>44566</v>
      </c>
      <c r="E155" s="21" t="s">
        <v>3103</v>
      </c>
    </row>
    <row r="156" spans="1:5" customFormat="1" ht="18.75">
      <c r="A156" t="s">
        <v>2385</v>
      </c>
      <c r="B156" t="s">
        <v>2386</v>
      </c>
      <c r="C156">
        <v>336.17</v>
      </c>
      <c r="D156" s="138">
        <v>44566</v>
      </c>
      <c r="E156" s="21" t="s">
        <v>3103</v>
      </c>
    </row>
    <row r="157" spans="1:5" customFormat="1" ht="18.75">
      <c r="A157" t="s">
        <v>2369</v>
      </c>
      <c r="B157" t="s">
        <v>2370</v>
      </c>
      <c r="C157">
        <v>320.91000000000003</v>
      </c>
      <c r="D157" s="138">
        <v>44566</v>
      </c>
      <c r="E157" s="21" t="s">
        <v>3103</v>
      </c>
    </row>
    <row r="158" spans="1:5" customFormat="1" ht="18.75">
      <c r="A158" t="s">
        <v>2378</v>
      </c>
      <c r="B158" t="s">
        <v>757</v>
      </c>
      <c r="C158">
        <v>327.2</v>
      </c>
      <c r="D158" s="138">
        <v>44549</v>
      </c>
      <c r="E158" s="21" t="s">
        <v>3103</v>
      </c>
    </row>
    <row r="159" spans="1:5" customFormat="1" ht="18.75">
      <c r="A159" t="s">
        <v>2359</v>
      </c>
      <c r="B159" t="s">
        <v>776</v>
      </c>
      <c r="C159">
        <v>329.9</v>
      </c>
      <c r="D159" s="138">
        <v>44549</v>
      </c>
      <c r="E159" s="21" t="s">
        <v>3103</v>
      </c>
    </row>
    <row r="160" spans="1:5" customFormat="1" ht="18.75">
      <c r="A160" t="s">
        <v>2387</v>
      </c>
      <c r="B160" t="s">
        <v>2388</v>
      </c>
      <c r="C160">
        <v>336.91</v>
      </c>
      <c r="D160" s="138">
        <v>44546</v>
      </c>
      <c r="E160" s="21" t="s">
        <v>3103</v>
      </c>
    </row>
    <row r="161" spans="1:5" customFormat="1" ht="18.75">
      <c r="A161" t="s">
        <v>2379</v>
      </c>
      <c r="B161" t="s">
        <v>2380</v>
      </c>
      <c r="C161">
        <v>7.609</v>
      </c>
      <c r="D161" s="138">
        <v>44546</v>
      </c>
      <c r="E161" s="21" t="s">
        <v>3103</v>
      </c>
    </row>
    <row r="162" spans="1:5" customFormat="1" ht="18.75">
      <c r="A162" t="s">
        <v>2389</v>
      </c>
      <c r="B162" t="s">
        <v>2390</v>
      </c>
      <c r="C162">
        <v>375.19900000000001</v>
      </c>
      <c r="D162" s="138">
        <v>44540</v>
      </c>
      <c r="E162" s="21" t="s">
        <v>3103</v>
      </c>
    </row>
    <row r="163" spans="1:5" customFormat="1" ht="18.75">
      <c r="A163" t="s">
        <v>2391</v>
      </c>
      <c r="B163" t="s">
        <v>2392</v>
      </c>
      <c r="C163">
        <v>370.4</v>
      </c>
      <c r="D163" s="138">
        <v>44539</v>
      </c>
      <c r="E163" s="21" t="s">
        <v>3103</v>
      </c>
    </row>
    <row r="164" spans="1:5" customFormat="1" ht="18.75">
      <c r="A164" t="s">
        <v>2393</v>
      </c>
      <c r="B164" t="s">
        <v>2394</v>
      </c>
      <c r="C164">
        <v>372</v>
      </c>
      <c r="D164" s="138">
        <v>44539</v>
      </c>
      <c r="E164" s="21" t="s">
        <v>3103</v>
      </c>
    </row>
    <row r="165" spans="1:5" customFormat="1" ht="18.75">
      <c r="A165" t="s">
        <v>2395</v>
      </c>
      <c r="B165" t="s">
        <v>2396</v>
      </c>
      <c r="C165">
        <v>673.3</v>
      </c>
      <c r="D165" s="138">
        <v>44539</v>
      </c>
      <c r="E165" s="21" t="s">
        <v>3103</v>
      </c>
    </row>
    <row r="166" spans="1:5" customFormat="1" ht="18.75">
      <c r="A166" t="s">
        <v>2397</v>
      </c>
      <c r="B166" t="s">
        <v>2398</v>
      </c>
      <c r="C166">
        <v>336.1</v>
      </c>
      <c r="D166" s="138">
        <v>44533</v>
      </c>
      <c r="E166" s="21" t="s">
        <v>3103</v>
      </c>
    </row>
    <row r="167" spans="1:5" customFormat="1" ht="18.75">
      <c r="A167" t="s">
        <v>2399</v>
      </c>
      <c r="B167" t="s">
        <v>2400</v>
      </c>
      <c r="C167">
        <v>547.48329999999999</v>
      </c>
      <c r="D167" s="138">
        <v>44533</v>
      </c>
      <c r="E167" s="21" t="s">
        <v>3103</v>
      </c>
    </row>
    <row r="168" spans="1:5" customFormat="1" ht="18.75">
      <c r="A168" t="s">
        <v>2401</v>
      </c>
      <c r="B168" t="s">
        <v>2402</v>
      </c>
      <c r="C168">
        <v>336.4</v>
      </c>
      <c r="D168" s="138">
        <v>44533</v>
      </c>
      <c r="E168" s="21" t="s">
        <v>3103</v>
      </c>
    </row>
    <row r="169" spans="1:5" customFormat="1" ht="18.75">
      <c r="A169" t="s">
        <v>2403</v>
      </c>
      <c r="B169" t="s">
        <v>2404</v>
      </c>
      <c r="C169">
        <v>331</v>
      </c>
      <c r="D169" s="138">
        <v>44533</v>
      </c>
      <c r="E169" s="21" t="s">
        <v>3103</v>
      </c>
    </row>
    <row r="170" spans="1:5" customFormat="1" ht="18.75">
      <c r="A170" t="s">
        <v>2405</v>
      </c>
      <c r="B170" t="s">
        <v>2406</v>
      </c>
      <c r="C170">
        <v>798.5</v>
      </c>
      <c r="D170" s="138">
        <v>44533</v>
      </c>
      <c r="E170" s="21" t="s">
        <v>3103</v>
      </c>
    </row>
    <row r="171" spans="1:5" customFormat="1" ht="18.75">
      <c r="A171" t="s">
        <v>2407</v>
      </c>
      <c r="B171" t="s">
        <v>2408</v>
      </c>
      <c r="C171">
        <v>7.1</v>
      </c>
      <c r="D171" s="138">
        <v>44533</v>
      </c>
      <c r="E171" s="21" t="s">
        <v>3103</v>
      </c>
    </row>
    <row r="172" spans="1:5" customFormat="1" ht="18.75">
      <c r="A172" t="s">
        <v>2409</v>
      </c>
      <c r="B172" t="s">
        <v>767</v>
      </c>
      <c r="C172">
        <v>366.14</v>
      </c>
      <c r="D172" s="138">
        <v>44531</v>
      </c>
      <c r="E172" s="21" t="s">
        <v>3103</v>
      </c>
    </row>
    <row r="173" spans="1:5" customFormat="1" ht="18.75">
      <c r="A173" t="s">
        <v>2410</v>
      </c>
      <c r="B173" t="s">
        <v>2411</v>
      </c>
      <c r="C173">
        <v>7.63</v>
      </c>
      <c r="D173" s="138">
        <v>44531</v>
      </c>
      <c r="E173" s="21" t="s">
        <v>3103</v>
      </c>
    </row>
    <row r="174" spans="1:5" customFormat="1" ht="18.75">
      <c r="A174" t="s">
        <v>2412</v>
      </c>
      <c r="B174" t="s">
        <v>2413</v>
      </c>
      <c r="C174">
        <v>673.93</v>
      </c>
      <c r="D174" s="138">
        <v>44531</v>
      </c>
      <c r="E174" s="21" t="s">
        <v>3103</v>
      </c>
    </row>
    <row r="175" spans="1:5" s="25" customFormat="1" ht="19.5" thickBot="1">
      <c r="A175" s="19" t="s">
        <v>781</v>
      </c>
      <c r="B175" s="26" t="s">
        <v>775</v>
      </c>
      <c r="C175" s="44">
        <v>329.94</v>
      </c>
      <c r="D175" s="36">
        <v>44529</v>
      </c>
      <c r="E175" s="21" t="s">
        <v>3103</v>
      </c>
    </row>
    <row r="176" spans="1:5" s="25" customFormat="1" ht="19.5" thickBot="1">
      <c r="A176" s="19" t="s">
        <v>782</v>
      </c>
      <c r="B176" s="27" t="s">
        <v>757</v>
      </c>
      <c r="C176" s="45">
        <v>327.2</v>
      </c>
      <c r="D176" s="37">
        <v>44529</v>
      </c>
      <c r="E176" s="21" t="s">
        <v>3103</v>
      </c>
    </row>
    <row r="177" spans="1:9" s="25" customFormat="1" ht="48" thickBot="1">
      <c r="A177" s="19" t="s">
        <v>783</v>
      </c>
      <c r="B177" s="27" t="s">
        <v>776</v>
      </c>
      <c r="C177" s="45">
        <v>329.9</v>
      </c>
      <c r="D177" s="37">
        <v>44529</v>
      </c>
      <c r="E177" s="21" t="s">
        <v>3103</v>
      </c>
    </row>
    <row r="178" spans="1:9" s="25" customFormat="1" ht="19.5" thickBot="1">
      <c r="A178" s="19" t="s">
        <v>689</v>
      </c>
      <c r="B178" s="27" t="s">
        <v>777</v>
      </c>
      <c r="C178" s="45">
        <v>336.17</v>
      </c>
      <c r="D178" s="37">
        <v>44526</v>
      </c>
      <c r="E178" s="21" t="s">
        <v>3103</v>
      </c>
    </row>
    <row r="179" spans="1:9" s="25" customFormat="1" ht="19.5" thickBot="1">
      <c r="A179" s="19" t="s">
        <v>692</v>
      </c>
      <c r="B179" s="27" t="s">
        <v>503</v>
      </c>
      <c r="C179" s="45">
        <v>7.13</v>
      </c>
      <c r="D179" s="37">
        <v>44526</v>
      </c>
      <c r="E179" s="21" t="s">
        <v>3103</v>
      </c>
    </row>
    <row r="180" spans="1:9" s="25" customFormat="1" ht="32.25" thickBot="1">
      <c r="A180" s="19" t="s">
        <v>784</v>
      </c>
      <c r="B180" s="27" t="s">
        <v>778</v>
      </c>
      <c r="C180" s="45">
        <v>336.57</v>
      </c>
      <c r="D180" s="37">
        <v>44526</v>
      </c>
      <c r="E180" s="21" t="s">
        <v>3103</v>
      </c>
    </row>
    <row r="181" spans="1:9" s="25" customFormat="1" ht="19.5" thickBot="1">
      <c r="A181" s="19" t="s">
        <v>786</v>
      </c>
      <c r="B181" s="27" t="s">
        <v>603</v>
      </c>
      <c r="C181" s="45">
        <v>366.15</v>
      </c>
      <c r="D181" s="37">
        <v>44523</v>
      </c>
      <c r="E181" s="21" t="s">
        <v>3103</v>
      </c>
    </row>
    <row r="182" spans="1:9" s="25" customFormat="1" ht="19.5" thickBot="1">
      <c r="A182" s="19" t="s">
        <v>787</v>
      </c>
      <c r="B182" s="27" t="s">
        <v>604</v>
      </c>
      <c r="C182" s="45">
        <v>327</v>
      </c>
      <c r="D182" s="37">
        <v>44523</v>
      </c>
      <c r="E182" s="21" t="s">
        <v>3103</v>
      </c>
    </row>
    <row r="183" spans="1:9" s="25" customFormat="1" ht="19.5" thickBot="1">
      <c r="A183" s="19" t="s">
        <v>788</v>
      </c>
      <c r="B183" s="27" t="s">
        <v>758</v>
      </c>
      <c r="C183" s="45">
        <v>327.02999999999997</v>
      </c>
      <c r="D183" s="37">
        <v>44523</v>
      </c>
      <c r="E183" s="21" t="s">
        <v>3103</v>
      </c>
    </row>
    <row r="184" spans="1:9" s="25" customFormat="1" ht="38.25" thickBot="1">
      <c r="A184" s="19" t="s">
        <v>789</v>
      </c>
      <c r="B184" s="27" t="s">
        <v>759</v>
      </c>
      <c r="C184" s="45">
        <v>7.609</v>
      </c>
      <c r="D184" s="37">
        <v>44521</v>
      </c>
      <c r="E184" s="21" t="s">
        <v>3103</v>
      </c>
    </row>
    <row r="185" spans="1:9" s="25" customFormat="1" ht="19.5" thickBot="1">
      <c r="A185" s="19" t="s">
        <v>790</v>
      </c>
      <c r="B185" s="27" t="s">
        <v>269</v>
      </c>
      <c r="C185" s="45">
        <v>694.6</v>
      </c>
      <c r="D185" s="37">
        <v>44521</v>
      </c>
      <c r="E185" s="21" t="s">
        <v>3103</v>
      </c>
    </row>
    <row r="186" spans="1:9" s="25" customFormat="1" ht="19.5" thickBot="1">
      <c r="A186" s="19" t="s">
        <v>785</v>
      </c>
      <c r="B186" s="27" t="s">
        <v>779</v>
      </c>
      <c r="C186" s="45">
        <v>7.64</v>
      </c>
      <c r="D186" s="37">
        <v>44520</v>
      </c>
      <c r="E186" s="21" t="s">
        <v>3103</v>
      </c>
    </row>
    <row r="187" spans="1:9" s="25" customFormat="1" ht="19.5" thickBot="1">
      <c r="A187" s="19" t="s">
        <v>690</v>
      </c>
      <c r="B187" s="27" t="s">
        <v>780</v>
      </c>
      <c r="C187" s="45">
        <v>675.3</v>
      </c>
      <c r="D187" s="37">
        <v>44520</v>
      </c>
      <c r="E187" s="21" t="s">
        <v>3103</v>
      </c>
    </row>
    <row r="188" spans="1:9" s="25" customFormat="1" ht="37.5">
      <c r="A188" s="19" t="s">
        <v>791</v>
      </c>
      <c r="B188" s="27" t="s">
        <v>767</v>
      </c>
      <c r="C188" s="45">
        <v>366.14</v>
      </c>
      <c r="D188" s="37">
        <v>44520</v>
      </c>
      <c r="E188" s="21" t="s">
        <v>3103</v>
      </c>
    </row>
    <row r="189" spans="1:9" s="19" customFormat="1" ht="18.75">
      <c r="A189" s="19" t="s">
        <v>792</v>
      </c>
      <c r="B189" s="19" t="s">
        <v>748</v>
      </c>
      <c r="C189" s="46">
        <v>547.48329999999999</v>
      </c>
      <c r="D189" s="38">
        <v>44518</v>
      </c>
      <c r="E189" s="21" t="s">
        <v>3103</v>
      </c>
      <c r="F189" s="22"/>
      <c r="G189" s="22"/>
      <c r="H189" s="22"/>
      <c r="I189" s="22"/>
    </row>
    <row r="190" spans="1:9" s="19" customFormat="1" ht="18.75">
      <c r="A190" s="19" t="s">
        <v>749</v>
      </c>
      <c r="B190" s="19" t="s">
        <v>750</v>
      </c>
      <c r="C190" s="46">
        <v>7</v>
      </c>
      <c r="D190" s="38">
        <v>44518</v>
      </c>
      <c r="E190" s="21" t="s">
        <v>3103</v>
      </c>
      <c r="F190" s="22"/>
      <c r="G190" s="22"/>
      <c r="H190" s="22"/>
      <c r="I190" s="22"/>
    </row>
    <row r="191" spans="1:9" s="19" customFormat="1" ht="18.75">
      <c r="A191" s="19" t="s">
        <v>662</v>
      </c>
      <c r="B191" s="19" t="s">
        <v>751</v>
      </c>
      <c r="C191" s="46">
        <v>547.48329999999999</v>
      </c>
      <c r="D191" s="38">
        <v>44518</v>
      </c>
      <c r="E191" s="21" t="s">
        <v>3103</v>
      </c>
      <c r="F191" s="22"/>
      <c r="G191" s="22"/>
      <c r="H191" s="22"/>
      <c r="I191" s="22"/>
    </row>
    <row r="192" spans="1:9" s="19" customFormat="1" ht="18.75">
      <c r="A192" s="19" t="s">
        <v>660</v>
      </c>
      <c r="B192" s="19" t="s">
        <v>561</v>
      </c>
      <c r="C192" s="46">
        <v>837</v>
      </c>
      <c r="D192" s="38">
        <v>44515</v>
      </c>
      <c r="E192" s="21" t="s">
        <v>3103</v>
      </c>
      <c r="F192" s="22"/>
      <c r="G192" s="22"/>
      <c r="H192" s="22"/>
      <c r="I192" s="22"/>
    </row>
    <row r="193" spans="1:9" s="19" customFormat="1" ht="37.5">
      <c r="A193" s="19" t="s">
        <v>752</v>
      </c>
      <c r="B193" s="19" t="s">
        <v>694</v>
      </c>
      <c r="C193" s="46">
        <v>338</v>
      </c>
      <c r="D193" s="38">
        <v>44514</v>
      </c>
      <c r="E193" s="21" t="s">
        <v>3103</v>
      </c>
      <c r="F193" s="22"/>
      <c r="G193" s="22"/>
      <c r="H193" s="22"/>
      <c r="I193" s="22"/>
    </row>
    <row r="194" spans="1:9" s="19" customFormat="1" ht="37.5">
      <c r="A194" s="19" t="s">
        <v>753</v>
      </c>
      <c r="B194" s="19" t="s">
        <v>754</v>
      </c>
      <c r="C194" s="46">
        <v>7.609</v>
      </c>
      <c r="D194" s="38">
        <v>44514</v>
      </c>
      <c r="E194" s="21" t="s">
        <v>3103</v>
      </c>
      <c r="F194" s="22"/>
      <c r="G194" s="22"/>
      <c r="H194" s="22"/>
      <c r="I194" s="22"/>
    </row>
    <row r="195" spans="1:9" s="19" customFormat="1" ht="18.75">
      <c r="A195" s="19" t="s">
        <v>659</v>
      </c>
      <c r="B195" s="19" t="s">
        <v>123</v>
      </c>
      <c r="C195" s="46">
        <v>7.64</v>
      </c>
      <c r="D195" s="38">
        <v>44514</v>
      </c>
      <c r="E195" s="21" t="s">
        <v>3103</v>
      </c>
      <c r="F195" s="22"/>
      <c r="G195" s="22"/>
      <c r="H195" s="22"/>
      <c r="I195" s="22"/>
    </row>
    <row r="196" spans="1:9" s="19" customFormat="1" ht="18.75">
      <c r="A196" s="19" t="s">
        <v>755</v>
      </c>
      <c r="B196" s="19" t="s">
        <v>756</v>
      </c>
      <c r="C196" s="46">
        <v>327.2</v>
      </c>
      <c r="D196" s="38">
        <v>44510</v>
      </c>
      <c r="E196" s="21" t="s">
        <v>3103</v>
      </c>
      <c r="F196" s="22"/>
      <c r="G196" s="22"/>
      <c r="H196" s="22"/>
      <c r="I196" s="22"/>
    </row>
    <row r="197" spans="1:9" s="19" customFormat="1" ht="37.5">
      <c r="A197" s="19" t="s">
        <v>760</v>
      </c>
      <c r="B197" s="19" t="s">
        <v>761</v>
      </c>
      <c r="C197" s="46">
        <v>673.99</v>
      </c>
      <c r="D197" s="38">
        <v>44509</v>
      </c>
      <c r="E197" s="21" t="s">
        <v>3103</v>
      </c>
      <c r="F197" s="22"/>
      <c r="G197" s="22"/>
      <c r="H197" s="22"/>
      <c r="I197" s="22"/>
    </row>
    <row r="198" spans="1:9" s="19" customFormat="1" ht="18.75">
      <c r="A198" s="19" t="s">
        <v>663</v>
      </c>
      <c r="B198" s="19" t="s">
        <v>762</v>
      </c>
      <c r="C198" s="46">
        <v>7.63</v>
      </c>
      <c r="D198" s="38">
        <v>44509</v>
      </c>
      <c r="E198" s="21" t="s">
        <v>3103</v>
      </c>
      <c r="F198" s="22"/>
      <c r="G198" s="22"/>
      <c r="H198" s="22"/>
      <c r="I198" s="22"/>
    </row>
    <row r="199" spans="1:9" s="19" customFormat="1" ht="18.75">
      <c r="A199" s="19" t="s">
        <v>661</v>
      </c>
      <c r="B199" s="19" t="s">
        <v>763</v>
      </c>
      <c r="C199" s="46">
        <v>338.5</v>
      </c>
      <c r="D199" s="38">
        <v>44507</v>
      </c>
      <c r="E199" s="21" t="s">
        <v>3103</v>
      </c>
      <c r="F199" s="22"/>
      <c r="G199" s="22"/>
      <c r="H199" s="22"/>
      <c r="I199" s="22"/>
    </row>
    <row r="200" spans="1:9" s="19" customFormat="1" ht="18.75">
      <c r="A200" s="19" t="s">
        <v>658</v>
      </c>
      <c r="B200" s="19" t="s">
        <v>764</v>
      </c>
      <c r="C200" s="46">
        <v>336.4</v>
      </c>
      <c r="D200" s="38">
        <v>44507</v>
      </c>
      <c r="E200" s="21" t="s">
        <v>3103</v>
      </c>
      <c r="F200" s="22"/>
      <c r="G200" s="22"/>
      <c r="H200" s="22"/>
      <c r="I200" s="22"/>
    </row>
    <row r="201" spans="1:9" s="19" customFormat="1" ht="18.75">
      <c r="A201" s="19" t="s">
        <v>765</v>
      </c>
      <c r="B201" s="19" t="s">
        <v>766</v>
      </c>
      <c r="C201" s="46">
        <v>335</v>
      </c>
      <c r="D201" s="38">
        <v>44507</v>
      </c>
      <c r="E201" s="21" t="s">
        <v>3103</v>
      </c>
      <c r="F201" s="22"/>
      <c r="G201" s="22"/>
      <c r="H201" s="22"/>
      <c r="I201" s="22"/>
    </row>
    <row r="202" spans="1:9" s="19" customFormat="1" ht="18.75">
      <c r="A202" s="19" t="s">
        <v>768</v>
      </c>
      <c r="B202" s="19" t="s">
        <v>769</v>
      </c>
      <c r="C202" s="46">
        <v>7.35</v>
      </c>
      <c r="D202" s="38">
        <v>44507</v>
      </c>
      <c r="E202" s="21" t="s">
        <v>3103</v>
      </c>
      <c r="F202" s="22"/>
      <c r="G202" s="22"/>
      <c r="H202" s="22"/>
      <c r="I202" s="22"/>
    </row>
    <row r="203" spans="1:9" s="20" customFormat="1" ht="32.25" thickBot="1">
      <c r="A203" s="19" t="s">
        <v>700</v>
      </c>
      <c r="B203" s="26" t="s">
        <v>693</v>
      </c>
      <c r="C203" s="44">
        <v>338</v>
      </c>
      <c r="D203" s="36">
        <v>44504</v>
      </c>
      <c r="E203" s="21" t="s">
        <v>3103</v>
      </c>
      <c r="F203" s="22"/>
      <c r="G203" s="22"/>
      <c r="H203" s="22"/>
      <c r="I203" s="22"/>
    </row>
    <row r="204" spans="1:9" s="20" customFormat="1" ht="38.25" thickBot="1">
      <c r="A204" s="19" t="s">
        <v>701</v>
      </c>
      <c r="B204" s="27" t="s">
        <v>694</v>
      </c>
      <c r="C204" s="45">
        <v>547.48329999999999</v>
      </c>
      <c r="D204" s="37">
        <v>44504</v>
      </c>
      <c r="E204" s="21" t="s">
        <v>3103</v>
      </c>
      <c r="F204" s="22"/>
      <c r="G204" s="22"/>
      <c r="H204" s="22"/>
      <c r="I204" s="22"/>
    </row>
    <row r="205" spans="1:9" s="20" customFormat="1" ht="38.25" thickBot="1">
      <c r="A205" s="19" t="s">
        <v>702</v>
      </c>
      <c r="B205" s="27" t="s">
        <v>695</v>
      </c>
      <c r="C205" s="45">
        <v>7.35</v>
      </c>
      <c r="D205" s="37">
        <v>44504</v>
      </c>
      <c r="E205" s="21" t="s">
        <v>3103</v>
      </c>
      <c r="F205" s="22"/>
      <c r="G205" s="22"/>
      <c r="H205" s="22"/>
      <c r="I205" s="22"/>
    </row>
    <row r="206" spans="1:9" s="20" customFormat="1" ht="38.25" thickBot="1">
      <c r="A206" s="19" t="s">
        <v>703</v>
      </c>
      <c r="B206" s="27" t="s">
        <v>713</v>
      </c>
      <c r="C206" s="45">
        <v>681.6</v>
      </c>
      <c r="D206" s="37">
        <v>44503</v>
      </c>
      <c r="E206" s="21" t="s">
        <v>3103</v>
      </c>
      <c r="F206" s="22"/>
      <c r="G206" s="22"/>
      <c r="H206" s="22"/>
      <c r="I206" s="22"/>
    </row>
    <row r="207" spans="1:9" s="20" customFormat="1" ht="19.5" thickBot="1">
      <c r="A207" s="19" t="s">
        <v>704</v>
      </c>
      <c r="B207" s="27" t="s">
        <v>696</v>
      </c>
      <c r="C207" s="45">
        <v>7.35</v>
      </c>
      <c r="D207" s="37">
        <v>44502</v>
      </c>
      <c r="E207" s="21" t="s">
        <v>3103</v>
      </c>
      <c r="F207" s="22"/>
      <c r="G207" s="22"/>
      <c r="H207" s="22"/>
      <c r="I207" s="22"/>
    </row>
    <row r="208" spans="1:9" s="20" customFormat="1" ht="19.5" thickBot="1">
      <c r="A208" s="19" t="s">
        <v>705</v>
      </c>
      <c r="B208" s="27" t="s">
        <v>664</v>
      </c>
      <c r="C208" s="45">
        <v>7.6</v>
      </c>
      <c r="D208" s="37">
        <v>44501</v>
      </c>
      <c r="E208" s="21" t="s">
        <v>3103</v>
      </c>
      <c r="F208" s="22"/>
      <c r="G208" s="22"/>
      <c r="H208" s="22"/>
      <c r="I208" s="22"/>
    </row>
    <row r="209" spans="1:9" s="20" customFormat="1" ht="19.5" thickBot="1">
      <c r="A209" s="19" t="s">
        <v>774</v>
      </c>
      <c r="B209" s="27" t="s">
        <v>671</v>
      </c>
      <c r="C209" s="45">
        <v>7.13</v>
      </c>
      <c r="D209" s="37">
        <v>44496</v>
      </c>
      <c r="E209" s="21" t="s">
        <v>3103</v>
      </c>
      <c r="F209" s="22"/>
      <c r="G209" s="22"/>
      <c r="H209" s="22"/>
      <c r="I209" s="22"/>
    </row>
    <row r="210" spans="1:9" s="20" customFormat="1" ht="38.25" thickBot="1">
      <c r="A210" s="19" t="s">
        <v>706</v>
      </c>
      <c r="B210" s="27" t="s">
        <v>672</v>
      </c>
      <c r="C210" s="45">
        <v>673.93</v>
      </c>
      <c r="D210" s="37">
        <v>44496</v>
      </c>
      <c r="E210" s="21" t="s">
        <v>3103</v>
      </c>
      <c r="F210" s="22"/>
      <c r="G210" s="22"/>
      <c r="H210" s="22"/>
      <c r="I210" s="22"/>
    </row>
    <row r="211" spans="1:9" s="20" customFormat="1" ht="19.5" thickBot="1">
      <c r="A211" s="19" t="s">
        <v>707</v>
      </c>
      <c r="B211" s="27" t="s">
        <v>670</v>
      </c>
      <c r="C211" s="45">
        <v>547.48329999999999</v>
      </c>
      <c r="D211" s="37">
        <v>44496</v>
      </c>
      <c r="E211" s="21" t="s">
        <v>3103</v>
      </c>
      <c r="F211" s="22"/>
      <c r="G211" s="22"/>
      <c r="H211" s="22"/>
      <c r="I211" s="22"/>
    </row>
    <row r="212" spans="1:9" s="20" customFormat="1" ht="19.5" thickBot="1">
      <c r="A212" s="19" t="s">
        <v>708</v>
      </c>
      <c r="B212" s="27" t="s">
        <v>697</v>
      </c>
      <c r="C212" s="45">
        <v>7.63</v>
      </c>
      <c r="D212" s="37">
        <v>44495</v>
      </c>
      <c r="E212" s="21" t="s">
        <v>3103</v>
      </c>
      <c r="F212" s="22"/>
      <c r="G212" s="22"/>
      <c r="H212" s="22"/>
      <c r="I212" s="22"/>
    </row>
    <row r="213" spans="1:9" s="20" customFormat="1" ht="19.5" thickBot="1">
      <c r="A213" s="19" t="s">
        <v>709</v>
      </c>
      <c r="B213" s="27" t="s">
        <v>698</v>
      </c>
      <c r="C213" s="45">
        <v>7.6</v>
      </c>
      <c r="D213" s="37">
        <v>44494</v>
      </c>
      <c r="E213" s="21" t="s">
        <v>3103</v>
      </c>
      <c r="F213" s="22"/>
      <c r="G213" s="22"/>
      <c r="H213" s="22"/>
      <c r="I213" s="22"/>
    </row>
    <row r="214" spans="1:9" s="20" customFormat="1" ht="19.5" thickBot="1">
      <c r="A214" s="19" t="s">
        <v>710</v>
      </c>
      <c r="B214" s="27" t="s">
        <v>699</v>
      </c>
      <c r="C214" s="45">
        <v>7.6</v>
      </c>
      <c r="D214" s="37">
        <v>44494</v>
      </c>
      <c r="E214" s="21" t="s">
        <v>3103</v>
      </c>
      <c r="F214" s="22"/>
      <c r="G214" s="22"/>
      <c r="H214" s="22"/>
      <c r="I214" s="22"/>
    </row>
    <row r="215" spans="1:9" s="20" customFormat="1" ht="19.5" thickBot="1">
      <c r="A215" s="19" t="s">
        <v>711</v>
      </c>
      <c r="B215" s="27" t="s">
        <v>503</v>
      </c>
      <c r="C215" s="45">
        <v>7.13</v>
      </c>
      <c r="D215" s="37">
        <v>44494</v>
      </c>
      <c r="E215" s="21" t="s">
        <v>3103</v>
      </c>
      <c r="F215" s="22"/>
      <c r="G215" s="22"/>
      <c r="H215" s="22"/>
      <c r="I215" s="22"/>
    </row>
    <row r="216" spans="1:9" s="20" customFormat="1" ht="38.25" thickBot="1">
      <c r="A216" s="19" t="s">
        <v>691</v>
      </c>
      <c r="B216" s="27" t="s">
        <v>681</v>
      </c>
      <c r="C216" s="45">
        <v>673.7</v>
      </c>
      <c r="D216" s="37">
        <v>44494</v>
      </c>
      <c r="E216" s="21" t="s">
        <v>3103</v>
      </c>
      <c r="F216" s="22"/>
      <c r="G216" s="22"/>
      <c r="H216" s="22"/>
      <c r="I216" s="22"/>
    </row>
    <row r="217" spans="1:9" s="20" customFormat="1" ht="19.5" thickBot="1">
      <c r="A217" s="28" t="s">
        <v>679</v>
      </c>
      <c r="B217" s="27" t="s">
        <v>680</v>
      </c>
      <c r="C217" s="45">
        <v>7.64</v>
      </c>
      <c r="D217" s="37">
        <v>44494</v>
      </c>
      <c r="E217" s="21" t="s">
        <v>3103</v>
      </c>
      <c r="F217" s="22"/>
      <c r="G217" s="22"/>
      <c r="H217" s="22"/>
      <c r="I217" s="22"/>
    </row>
    <row r="218" spans="1:9" s="20" customFormat="1" ht="18.75">
      <c r="A218" s="19" t="s">
        <v>712</v>
      </c>
      <c r="B218" s="27" t="s">
        <v>587</v>
      </c>
      <c r="C218" s="45">
        <v>7.64</v>
      </c>
      <c r="D218" s="37">
        <v>44493</v>
      </c>
      <c r="E218" s="21" t="s">
        <v>3103</v>
      </c>
      <c r="F218" s="22"/>
      <c r="G218" s="22"/>
      <c r="H218" s="22"/>
      <c r="I218" s="22"/>
    </row>
    <row r="219" spans="1:9" s="20" customFormat="1" ht="18.75">
      <c r="A219" s="19" t="s">
        <v>665</v>
      </c>
      <c r="B219" s="20" t="s">
        <v>666</v>
      </c>
      <c r="C219" s="43">
        <v>933.7</v>
      </c>
      <c r="D219" s="39">
        <v>44487</v>
      </c>
      <c r="E219" s="21" t="s">
        <v>3103</v>
      </c>
      <c r="F219" s="22"/>
      <c r="G219" s="22"/>
      <c r="H219" s="22"/>
      <c r="I219" s="22"/>
    </row>
    <row r="220" spans="1:9" s="20" customFormat="1" ht="18.75">
      <c r="A220" s="19" t="s">
        <v>667</v>
      </c>
      <c r="B220" s="20" t="s">
        <v>174</v>
      </c>
      <c r="C220" s="43">
        <v>7.13</v>
      </c>
      <c r="D220" s="39">
        <v>44487</v>
      </c>
      <c r="E220" s="21" t="s">
        <v>3103</v>
      </c>
      <c r="F220" s="22"/>
      <c r="G220" s="22"/>
      <c r="H220" s="22"/>
      <c r="I220" s="22"/>
    </row>
    <row r="221" spans="1:9" s="20" customFormat="1" ht="18.75">
      <c r="A221" s="19" t="s">
        <v>668</v>
      </c>
      <c r="B221" s="20" t="s">
        <v>669</v>
      </c>
      <c r="C221" s="43">
        <v>7.6</v>
      </c>
      <c r="D221" s="39">
        <v>44486</v>
      </c>
      <c r="E221" s="21" t="s">
        <v>3103</v>
      </c>
      <c r="F221" s="22"/>
      <c r="G221" s="22"/>
      <c r="H221" s="22"/>
      <c r="I221" s="22"/>
    </row>
    <row r="222" spans="1:9" s="20" customFormat="1" ht="18.75">
      <c r="A222" s="19" t="s">
        <v>673</v>
      </c>
      <c r="B222" s="20" t="s">
        <v>674</v>
      </c>
      <c r="C222" s="43">
        <v>509.21</v>
      </c>
      <c r="D222" s="39">
        <v>44483</v>
      </c>
      <c r="E222" s="21" t="s">
        <v>3103</v>
      </c>
      <c r="F222" s="22"/>
      <c r="G222" s="22"/>
      <c r="H222" s="22"/>
      <c r="I222" s="22"/>
    </row>
    <row r="223" spans="1:9" s="20" customFormat="1" ht="18.75">
      <c r="A223" s="19" t="s">
        <v>675</v>
      </c>
      <c r="B223" s="20" t="s">
        <v>606</v>
      </c>
      <c r="C223" s="43">
        <v>7.6340000000000003</v>
      </c>
      <c r="D223" s="39">
        <v>44483</v>
      </c>
      <c r="E223" s="21" t="s">
        <v>3103</v>
      </c>
      <c r="F223" s="22"/>
      <c r="G223" s="22"/>
      <c r="H223" s="22"/>
      <c r="I223" s="22"/>
    </row>
    <row r="224" spans="1:9" s="20" customFormat="1" ht="37.5">
      <c r="A224" s="19" t="s">
        <v>688</v>
      </c>
      <c r="B224" s="20" t="s">
        <v>607</v>
      </c>
      <c r="C224" s="43">
        <v>366.67</v>
      </c>
      <c r="D224" s="39">
        <v>44483</v>
      </c>
      <c r="E224" s="21" t="s">
        <v>3103</v>
      </c>
      <c r="F224" s="22"/>
      <c r="G224" s="22"/>
      <c r="H224" s="22"/>
      <c r="I224" s="22"/>
    </row>
    <row r="225" spans="1:9" s="20" customFormat="1" ht="18.75">
      <c r="A225" s="19" t="s">
        <v>676</v>
      </c>
      <c r="B225" s="20" t="s">
        <v>677</v>
      </c>
      <c r="C225" s="43">
        <v>7.63</v>
      </c>
      <c r="D225" s="39">
        <v>44481</v>
      </c>
      <c r="E225" s="21" t="s">
        <v>3103</v>
      </c>
      <c r="F225" s="22"/>
      <c r="G225" s="22"/>
      <c r="H225" s="22"/>
      <c r="I225" s="22"/>
    </row>
    <row r="226" spans="1:9" s="20" customFormat="1" ht="18.75">
      <c r="A226" s="19" t="s">
        <v>678</v>
      </c>
      <c r="B226" s="20" t="s">
        <v>428</v>
      </c>
      <c r="C226" s="43">
        <v>336.9</v>
      </c>
      <c r="D226" s="39">
        <v>44481</v>
      </c>
      <c r="E226" s="21" t="s">
        <v>3103</v>
      </c>
      <c r="F226" s="22"/>
      <c r="G226" s="22"/>
      <c r="H226" s="22"/>
      <c r="I226" s="22"/>
    </row>
    <row r="227" spans="1:9" s="20" customFormat="1" ht="18.75">
      <c r="A227" s="19" t="s">
        <v>682</v>
      </c>
      <c r="B227" s="20" t="s">
        <v>605</v>
      </c>
      <c r="C227" s="43">
        <v>7.6340000000000003</v>
      </c>
      <c r="D227" s="39">
        <v>44480</v>
      </c>
      <c r="E227" s="21" t="s">
        <v>3103</v>
      </c>
      <c r="F227" s="22"/>
      <c r="G227" s="22"/>
      <c r="H227" s="22"/>
      <c r="I227" s="22"/>
    </row>
    <row r="228" spans="1:9" s="20" customFormat="1" ht="18.75">
      <c r="A228" s="19" t="s">
        <v>683</v>
      </c>
      <c r="B228" s="20" t="s">
        <v>684</v>
      </c>
      <c r="C228" s="43">
        <v>7.609</v>
      </c>
      <c r="D228" s="39">
        <v>44479</v>
      </c>
      <c r="E228" s="21" t="s">
        <v>3103</v>
      </c>
      <c r="F228" s="22"/>
      <c r="G228" s="22"/>
      <c r="H228" s="22"/>
      <c r="I228" s="22"/>
    </row>
    <row r="229" spans="1:9" s="20" customFormat="1" ht="18.75">
      <c r="A229" s="19" t="s">
        <v>685</v>
      </c>
      <c r="B229" s="20" t="s">
        <v>589</v>
      </c>
      <c r="C229" s="43">
        <v>333.6</v>
      </c>
      <c r="D229" s="39">
        <v>44478</v>
      </c>
      <c r="E229" s="21" t="s">
        <v>3103</v>
      </c>
      <c r="F229" s="22"/>
      <c r="G229" s="22"/>
      <c r="H229" s="22"/>
      <c r="I229" s="22"/>
    </row>
    <row r="230" spans="1:9" s="20" customFormat="1" ht="18.75">
      <c r="A230" s="19" t="s">
        <v>686</v>
      </c>
      <c r="B230" s="20" t="s">
        <v>590</v>
      </c>
      <c r="C230" s="43">
        <v>915.5</v>
      </c>
      <c r="D230" s="39">
        <v>44478</v>
      </c>
      <c r="E230" s="21" t="s">
        <v>3103</v>
      </c>
      <c r="F230" s="22"/>
      <c r="G230" s="22"/>
      <c r="H230" s="22"/>
      <c r="I230" s="22"/>
    </row>
    <row r="231" spans="1:9" s="20" customFormat="1" ht="19.5" thickBot="1">
      <c r="A231" s="19" t="s">
        <v>687</v>
      </c>
      <c r="B231" s="20" t="s">
        <v>587</v>
      </c>
      <c r="C231" s="43">
        <v>7.64</v>
      </c>
      <c r="D231" s="39">
        <v>44477</v>
      </c>
      <c r="E231" s="21" t="s">
        <v>3103</v>
      </c>
      <c r="F231" s="22"/>
      <c r="G231" s="22"/>
      <c r="H231" s="22"/>
      <c r="I231" s="22"/>
    </row>
    <row r="232" spans="1:9" s="19" customFormat="1" ht="19.5" thickBot="1">
      <c r="A232" s="19" t="s">
        <v>617</v>
      </c>
      <c r="B232" s="28" t="s">
        <v>616</v>
      </c>
      <c r="C232" s="47">
        <v>336</v>
      </c>
      <c r="D232" s="30">
        <v>44472</v>
      </c>
      <c r="E232" s="21" t="s">
        <v>3103</v>
      </c>
      <c r="F232" s="22"/>
      <c r="G232" s="22"/>
      <c r="H232" s="22"/>
      <c r="I232" s="22"/>
    </row>
    <row r="233" spans="1:9" s="19" customFormat="1" ht="32.25" thickBot="1">
      <c r="A233" s="19" t="s">
        <v>615</v>
      </c>
      <c r="B233" s="28" t="s">
        <v>614</v>
      </c>
      <c r="C233" s="47">
        <v>336</v>
      </c>
      <c r="D233" s="30">
        <v>44472</v>
      </c>
      <c r="E233" s="21" t="s">
        <v>3103</v>
      </c>
      <c r="F233" s="22"/>
      <c r="G233" s="22"/>
      <c r="H233" s="22"/>
      <c r="I233" s="22"/>
    </row>
    <row r="234" spans="1:9" s="19" customFormat="1" ht="38.25" thickBot="1">
      <c r="A234" s="19" t="s">
        <v>613</v>
      </c>
      <c r="B234" s="28" t="s">
        <v>612</v>
      </c>
      <c r="C234" s="47">
        <v>336</v>
      </c>
      <c r="D234" s="30">
        <v>44472</v>
      </c>
      <c r="E234" s="21" t="s">
        <v>3103</v>
      </c>
      <c r="F234" s="22"/>
      <c r="G234" s="22"/>
      <c r="H234" s="22"/>
      <c r="I234" s="22"/>
    </row>
    <row r="235" spans="1:9" s="19" customFormat="1" ht="19.5" thickBot="1">
      <c r="A235" s="19" t="s">
        <v>611</v>
      </c>
      <c r="B235" s="28" t="s">
        <v>561</v>
      </c>
      <c r="C235" s="47">
        <v>837</v>
      </c>
      <c r="D235" s="30">
        <v>44472</v>
      </c>
      <c r="E235" s="21" t="s">
        <v>3103</v>
      </c>
      <c r="F235" s="22"/>
      <c r="G235" s="22"/>
      <c r="H235" s="22"/>
      <c r="I235" s="22"/>
    </row>
    <row r="236" spans="1:9" s="19" customFormat="1" ht="19.5" thickBot="1">
      <c r="A236" s="19" t="s">
        <v>610</v>
      </c>
      <c r="B236" s="28" t="s">
        <v>609</v>
      </c>
      <c r="C236" s="47">
        <v>953.6</v>
      </c>
      <c r="D236" s="30">
        <v>44472</v>
      </c>
      <c r="E236" s="21" t="s">
        <v>3103</v>
      </c>
      <c r="F236" s="22"/>
      <c r="G236" s="22"/>
      <c r="H236" s="22"/>
      <c r="I236" s="22"/>
    </row>
    <row r="237" spans="1:9" s="19" customFormat="1" ht="19.5" thickBot="1">
      <c r="A237" s="19" t="s">
        <v>608</v>
      </c>
      <c r="B237" s="28" t="s">
        <v>607</v>
      </c>
      <c r="C237" s="47">
        <v>366.67</v>
      </c>
      <c r="D237" s="30">
        <v>44469</v>
      </c>
      <c r="E237" s="21" t="s">
        <v>3103</v>
      </c>
      <c r="F237" s="22"/>
      <c r="G237" s="22"/>
      <c r="H237" s="22"/>
      <c r="I237" s="22"/>
    </row>
    <row r="238" spans="1:9" s="19" customFormat="1" ht="19.5" thickBot="1">
      <c r="A238" s="19" t="s">
        <v>602</v>
      </c>
      <c r="B238" s="28" t="s">
        <v>555</v>
      </c>
      <c r="C238" s="47">
        <v>366.15</v>
      </c>
      <c r="D238" s="30">
        <v>44466</v>
      </c>
      <c r="E238" s="21" t="s">
        <v>3103</v>
      </c>
      <c r="F238" s="22"/>
      <c r="G238" s="22"/>
      <c r="H238" s="22"/>
      <c r="I238" s="22"/>
    </row>
    <row r="239" spans="1:9" s="19" customFormat="1" ht="19.5" thickBot="1">
      <c r="A239" s="19" t="s">
        <v>601</v>
      </c>
      <c r="B239" s="28" t="s">
        <v>600</v>
      </c>
      <c r="C239" s="47">
        <v>7.64</v>
      </c>
      <c r="D239" s="30">
        <v>44466</v>
      </c>
      <c r="E239" s="21" t="s">
        <v>3103</v>
      </c>
      <c r="F239" s="22"/>
      <c r="G239" s="22"/>
      <c r="H239" s="22"/>
      <c r="I239" s="22"/>
    </row>
    <row r="240" spans="1:9" s="19" customFormat="1" ht="38.25" thickBot="1">
      <c r="A240" s="19" t="s">
        <v>599</v>
      </c>
      <c r="B240" s="28" t="s">
        <v>598</v>
      </c>
      <c r="C240" s="47">
        <v>830.7</v>
      </c>
      <c r="D240" s="30">
        <v>44466</v>
      </c>
      <c r="E240" s="21" t="s">
        <v>3103</v>
      </c>
      <c r="F240" s="22"/>
      <c r="G240" s="22"/>
      <c r="H240" s="22"/>
      <c r="I240" s="22"/>
    </row>
    <row r="241" spans="1:9" s="19" customFormat="1" ht="19.5" thickBot="1">
      <c r="A241" s="19" t="s">
        <v>597</v>
      </c>
      <c r="B241" s="28" t="s">
        <v>596</v>
      </c>
      <c r="C241" s="47">
        <v>694.6</v>
      </c>
      <c r="D241" s="30">
        <v>44466</v>
      </c>
      <c r="E241" s="21" t="s">
        <v>3103</v>
      </c>
      <c r="F241" s="22"/>
      <c r="G241" s="22"/>
      <c r="H241" s="22"/>
      <c r="I241" s="22"/>
    </row>
    <row r="242" spans="1:9" s="19" customFormat="1" ht="19.5" thickBot="1">
      <c r="A242" s="19" t="s">
        <v>595</v>
      </c>
      <c r="B242" s="28" t="s">
        <v>594</v>
      </c>
      <c r="C242" s="47">
        <v>7.64</v>
      </c>
      <c r="D242" s="30">
        <v>44466</v>
      </c>
      <c r="E242" s="21" t="s">
        <v>3103</v>
      </c>
      <c r="F242" s="22"/>
      <c r="G242" s="22"/>
      <c r="H242" s="22"/>
      <c r="I242" s="22"/>
    </row>
    <row r="243" spans="1:9" s="19" customFormat="1" ht="19.5" thickBot="1">
      <c r="A243" s="19" t="s">
        <v>593</v>
      </c>
      <c r="B243" s="28" t="s">
        <v>592</v>
      </c>
      <c r="C243" s="47">
        <v>366.14</v>
      </c>
      <c r="D243" s="30">
        <v>44466</v>
      </c>
      <c r="E243" s="21" t="s">
        <v>3103</v>
      </c>
      <c r="F243" s="22"/>
      <c r="G243" s="22"/>
      <c r="H243" s="22"/>
      <c r="I243" s="22"/>
    </row>
    <row r="244" spans="1:9" s="19" customFormat="1" ht="19.5" thickBot="1">
      <c r="A244" s="19" t="s">
        <v>591</v>
      </c>
      <c r="B244" s="28" t="s">
        <v>561</v>
      </c>
      <c r="C244" s="47">
        <v>837</v>
      </c>
      <c r="D244" s="30">
        <v>44466</v>
      </c>
      <c r="E244" s="21" t="s">
        <v>3103</v>
      </c>
      <c r="F244" s="22"/>
      <c r="G244" s="22"/>
      <c r="H244" s="22"/>
      <c r="I244" s="22"/>
    </row>
    <row r="245" spans="1:9" s="19" customFormat="1" ht="19.5" thickBot="1">
      <c r="A245" s="19" t="s">
        <v>588</v>
      </c>
      <c r="B245" s="28" t="s">
        <v>587</v>
      </c>
      <c r="C245" s="47">
        <v>7.64</v>
      </c>
      <c r="D245" s="30">
        <v>44464</v>
      </c>
      <c r="E245" s="21" t="s">
        <v>3103</v>
      </c>
      <c r="F245" s="22"/>
      <c r="G245" s="22"/>
      <c r="H245" s="22"/>
      <c r="I245" s="22"/>
    </row>
    <row r="246" spans="1:9" s="19" customFormat="1" ht="19.5" thickBot="1">
      <c r="A246" s="19" t="s">
        <v>586</v>
      </c>
      <c r="B246" s="28" t="s">
        <v>585</v>
      </c>
      <c r="C246" s="47">
        <v>7.64</v>
      </c>
      <c r="D246" s="30">
        <v>44464</v>
      </c>
      <c r="E246" s="21" t="s">
        <v>3103</v>
      </c>
      <c r="F246" s="22"/>
      <c r="G246" s="22"/>
      <c r="H246" s="22"/>
      <c r="I246" s="22"/>
    </row>
    <row r="247" spans="1:9" s="19" customFormat="1" ht="19.5" thickBot="1">
      <c r="A247" s="19" t="s">
        <v>584</v>
      </c>
      <c r="B247" s="28" t="s">
        <v>561</v>
      </c>
      <c r="C247" s="47">
        <v>837</v>
      </c>
      <c r="D247" s="30">
        <v>44464</v>
      </c>
      <c r="E247" s="21" t="s">
        <v>3103</v>
      </c>
      <c r="F247" s="22"/>
      <c r="G247" s="22"/>
      <c r="H247" s="22"/>
      <c r="I247" s="22"/>
    </row>
    <row r="248" spans="1:9" s="19" customFormat="1" ht="19.5" thickBot="1">
      <c r="A248" s="19" t="s">
        <v>583</v>
      </c>
      <c r="B248" s="28" t="s">
        <v>582</v>
      </c>
      <c r="C248" s="47">
        <v>7.64</v>
      </c>
      <c r="D248" s="30">
        <v>44464</v>
      </c>
      <c r="E248" s="21" t="s">
        <v>3103</v>
      </c>
      <c r="F248" s="22"/>
      <c r="G248" s="22"/>
      <c r="H248" s="22"/>
      <c r="I248" s="22"/>
    </row>
    <row r="249" spans="1:9" s="19" customFormat="1" ht="19.5" thickBot="1">
      <c r="A249" s="19" t="s">
        <v>581</v>
      </c>
      <c r="B249" s="28" t="s">
        <v>580</v>
      </c>
      <c r="C249" s="47">
        <v>7.64</v>
      </c>
      <c r="D249" s="30">
        <v>44460</v>
      </c>
      <c r="E249" s="21" t="s">
        <v>3103</v>
      </c>
      <c r="F249" s="22"/>
      <c r="G249" s="22"/>
      <c r="H249" s="22"/>
      <c r="I249" s="22"/>
    </row>
    <row r="250" spans="1:9" s="19" customFormat="1" ht="19.5" thickBot="1">
      <c r="A250" s="28" t="s">
        <v>579</v>
      </c>
      <c r="B250" s="28" t="s">
        <v>578</v>
      </c>
      <c r="C250" s="47">
        <v>7.64</v>
      </c>
      <c r="D250" s="30">
        <v>44460</v>
      </c>
      <c r="E250" s="21" t="s">
        <v>3103</v>
      </c>
      <c r="F250" s="22"/>
      <c r="G250" s="22"/>
      <c r="H250" s="22"/>
      <c r="I250" s="22"/>
    </row>
    <row r="251" spans="1:9" s="19" customFormat="1" ht="19.5" thickBot="1">
      <c r="A251" s="19" t="s">
        <v>577</v>
      </c>
      <c r="B251" s="28" t="s">
        <v>576</v>
      </c>
      <c r="C251" s="47">
        <v>335</v>
      </c>
      <c r="D251" s="30">
        <v>44460</v>
      </c>
      <c r="E251" s="21" t="s">
        <v>3103</v>
      </c>
      <c r="F251" s="22"/>
      <c r="G251" s="22"/>
      <c r="H251" s="22"/>
      <c r="I251" s="22"/>
    </row>
    <row r="252" spans="1:9" s="19" customFormat="1" ht="19.5" thickBot="1">
      <c r="A252" s="19" t="s">
        <v>575</v>
      </c>
      <c r="B252" s="28" t="s">
        <v>487</v>
      </c>
      <c r="C252" s="47">
        <v>366.18</v>
      </c>
      <c r="D252" s="30">
        <v>44452</v>
      </c>
      <c r="E252" s="21" t="s">
        <v>3103</v>
      </c>
      <c r="F252" s="22"/>
      <c r="G252" s="22"/>
      <c r="H252" s="22"/>
      <c r="I252" s="22"/>
    </row>
    <row r="253" spans="1:9" s="19" customFormat="1" ht="19.5" thickBot="1">
      <c r="A253" s="28" t="s">
        <v>574</v>
      </c>
      <c r="B253" s="28" t="s">
        <v>573</v>
      </c>
      <c r="C253" s="47">
        <v>336.17</v>
      </c>
      <c r="D253" s="30">
        <v>44452</v>
      </c>
      <c r="E253" s="21" t="s">
        <v>3103</v>
      </c>
      <c r="F253" s="22"/>
      <c r="G253" s="22"/>
      <c r="H253" s="22"/>
      <c r="I253" s="22"/>
    </row>
    <row r="254" spans="1:9" s="19" customFormat="1" ht="19.5" thickBot="1">
      <c r="A254" s="19" t="s">
        <v>572</v>
      </c>
      <c r="B254" s="28" t="s">
        <v>203</v>
      </c>
      <c r="C254" s="47">
        <v>7.64</v>
      </c>
      <c r="D254" s="30">
        <v>44450</v>
      </c>
      <c r="E254" s="21" t="s">
        <v>3103</v>
      </c>
      <c r="F254" s="22"/>
      <c r="G254" s="22"/>
      <c r="H254" s="22"/>
      <c r="I254" s="22"/>
    </row>
    <row r="255" spans="1:9" s="19" customFormat="1" ht="19.5" thickBot="1">
      <c r="A255" s="19" t="s">
        <v>571</v>
      </c>
      <c r="B255" s="28" t="s">
        <v>570</v>
      </c>
      <c r="C255" s="47">
        <v>547.48329999999999</v>
      </c>
      <c r="D255" s="30">
        <v>44450</v>
      </c>
      <c r="E255" s="21" t="s">
        <v>3103</v>
      </c>
      <c r="F255" s="22"/>
      <c r="G255" s="22"/>
      <c r="H255" s="22"/>
      <c r="I255" s="22"/>
    </row>
    <row r="256" spans="1:9" s="19" customFormat="1" ht="19.5" thickBot="1">
      <c r="A256" s="19" t="s">
        <v>569</v>
      </c>
      <c r="B256" s="28" t="s">
        <v>568</v>
      </c>
      <c r="C256" s="47">
        <v>547.48329999999999</v>
      </c>
      <c r="D256" s="30">
        <v>44450</v>
      </c>
      <c r="E256" s="21" t="s">
        <v>3103</v>
      </c>
      <c r="F256" s="22"/>
      <c r="G256" s="22"/>
      <c r="H256" s="22"/>
      <c r="I256" s="22"/>
    </row>
    <row r="257" spans="1:9" s="19" customFormat="1" ht="19.5" thickBot="1">
      <c r="A257" s="19" t="s">
        <v>567</v>
      </c>
      <c r="B257" s="28" t="s">
        <v>566</v>
      </c>
      <c r="C257" s="47">
        <v>304</v>
      </c>
      <c r="D257" s="30">
        <v>44450</v>
      </c>
      <c r="E257" s="21" t="s">
        <v>3103</v>
      </c>
      <c r="F257" s="22"/>
      <c r="G257" s="22"/>
      <c r="H257" s="22"/>
      <c r="I257" s="22"/>
    </row>
    <row r="258" spans="1:9" s="19" customFormat="1" ht="19.5" thickBot="1">
      <c r="A258" s="19" t="s">
        <v>565</v>
      </c>
      <c r="B258" s="28" t="s">
        <v>564</v>
      </c>
      <c r="C258" s="47">
        <v>336.4</v>
      </c>
      <c r="D258" s="30">
        <v>44447</v>
      </c>
      <c r="E258" s="21" t="s">
        <v>3103</v>
      </c>
      <c r="F258" s="22"/>
      <c r="G258" s="22"/>
      <c r="H258" s="22"/>
      <c r="I258" s="22"/>
    </row>
    <row r="259" spans="1:9" s="19" customFormat="1" ht="19.5" thickBot="1">
      <c r="A259" s="19" t="s">
        <v>563</v>
      </c>
      <c r="B259" s="28" t="s">
        <v>205</v>
      </c>
      <c r="C259" s="47">
        <v>7.609</v>
      </c>
      <c r="D259" s="30">
        <v>44447</v>
      </c>
      <c r="E259" s="21" t="s">
        <v>3103</v>
      </c>
      <c r="F259" s="22"/>
      <c r="G259" s="22"/>
      <c r="H259" s="22"/>
      <c r="I259" s="22"/>
    </row>
    <row r="260" spans="1:9" s="19" customFormat="1" ht="19.5" thickBot="1">
      <c r="A260" s="19" t="s">
        <v>562</v>
      </c>
      <c r="B260" s="28" t="s">
        <v>561</v>
      </c>
      <c r="C260" s="47">
        <v>837</v>
      </c>
      <c r="D260" s="30">
        <v>44446</v>
      </c>
      <c r="E260" s="21" t="s">
        <v>3103</v>
      </c>
      <c r="F260" s="22"/>
      <c r="G260" s="22"/>
      <c r="H260" s="22"/>
      <c r="I260" s="22"/>
    </row>
    <row r="261" spans="1:9" s="19" customFormat="1" ht="19.5" thickBot="1">
      <c r="A261" s="19" t="s">
        <v>560</v>
      </c>
      <c r="B261" s="28" t="s">
        <v>559</v>
      </c>
      <c r="C261" s="47">
        <v>366.18</v>
      </c>
      <c r="D261" s="30">
        <v>44445</v>
      </c>
      <c r="E261" s="21" t="s">
        <v>3103</v>
      </c>
      <c r="F261" s="22"/>
      <c r="G261" s="22"/>
      <c r="H261" s="22"/>
      <c r="I261" s="22"/>
    </row>
    <row r="262" spans="1:9" s="19" customFormat="1" ht="19.5" thickBot="1">
      <c r="A262" s="19" t="s">
        <v>558</v>
      </c>
      <c r="B262" s="28" t="s">
        <v>557</v>
      </c>
      <c r="C262" s="47">
        <v>366.15</v>
      </c>
      <c r="D262" s="30">
        <v>44440</v>
      </c>
      <c r="E262" s="21" t="s">
        <v>3103</v>
      </c>
      <c r="F262" s="22"/>
      <c r="G262" s="22"/>
      <c r="H262" s="22"/>
      <c r="I262" s="22"/>
    </row>
    <row r="263" spans="1:9" s="19" customFormat="1" ht="19.5" thickBot="1">
      <c r="A263" s="19" t="s">
        <v>556</v>
      </c>
      <c r="B263" s="28" t="s">
        <v>555</v>
      </c>
      <c r="C263" s="47">
        <v>366.15</v>
      </c>
      <c r="D263" s="30">
        <v>44439</v>
      </c>
      <c r="E263" s="21" t="s">
        <v>3103</v>
      </c>
      <c r="F263" s="22"/>
      <c r="G263" s="22"/>
      <c r="H263" s="22"/>
      <c r="I263" s="22"/>
    </row>
    <row r="264" spans="1:9" s="19" customFormat="1" ht="32.25" thickBot="1">
      <c r="A264" s="19" t="s">
        <v>554</v>
      </c>
      <c r="B264" s="28" t="s">
        <v>553</v>
      </c>
      <c r="C264" s="47">
        <v>366.15</v>
      </c>
      <c r="D264" s="30">
        <v>44438</v>
      </c>
      <c r="E264" s="21" t="s">
        <v>3103</v>
      </c>
      <c r="F264" s="22"/>
      <c r="G264" s="22"/>
      <c r="H264" s="22"/>
      <c r="I264" s="22"/>
    </row>
    <row r="265" spans="1:9" s="19" customFormat="1" ht="19.5" thickBot="1">
      <c r="A265" s="19" t="s">
        <v>552</v>
      </c>
      <c r="B265" s="28" t="s">
        <v>551</v>
      </c>
      <c r="C265" s="47">
        <v>336.17</v>
      </c>
      <c r="D265" s="30">
        <v>44438</v>
      </c>
      <c r="E265" s="21" t="s">
        <v>3103</v>
      </c>
      <c r="F265" s="22"/>
      <c r="G265" s="22"/>
      <c r="H265" s="22"/>
      <c r="I265" s="22"/>
    </row>
    <row r="266" spans="1:9" s="19" customFormat="1" ht="19.5" thickBot="1">
      <c r="A266" s="19" t="s">
        <v>550</v>
      </c>
      <c r="B266" s="28" t="s">
        <v>549</v>
      </c>
      <c r="C266" s="47">
        <v>336.1</v>
      </c>
      <c r="D266" s="30">
        <v>44435</v>
      </c>
      <c r="E266" s="21" t="s">
        <v>3103</v>
      </c>
      <c r="F266" s="22"/>
      <c r="G266" s="22"/>
      <c r="H266" s="22"/>
      <c r="I266" s="22"/>
    </row>
    <row r="267" spans="1:9" s="19" customFormat="1" ht="19.5" thickBot="1">
      <c r="A267" s="19" t="s">
        <v>548</v>
      </c>
      <c r="B267" s="28" t="s">
        <v>547</v>
      </c>
      <c r="C267" s="47">
        <v>375.19900000000001</v>
      </c>
      <c r="D267" s="30">
        <v>44429</v>
      </c>
      <c r="E267" s="21" t="s">
        <v>3103</v>
      </c>
      <c r="F267" s="22"/>
      <c r="G267" s="22"/>
      <c r="H267" s="22"/>
      <c r="I267" s="22"/>
    </row>
    <row r="268" spans="1:9" s="19" customFormat="1" ht="19.5" thickBot="1">
      <c r="A268" s="19" t="s">
        <v>546</v>
      </c>
      <c r="B268" s="28" t="s">
        <v>545</v>
      </c>
      <c r="C268" s="47">
        <v>375.19900000000001</v>
      </c>
      <c r="D268" s="30">
        <v>44429</v>
      </c>
      <c r="E268" s="21" t="s">
        <v>3103</v>
      </c>
      <c r="F268" s="22"/>
      <c r="G268" s="22"/>
      <c r="H268" s="22"/>
      <c r="I268" s="22"/>
    </row>
    <row r="269" spans="1:9" s="19" customFormat="1" ht="19.5" thickBot="1">
      <c r="A269" s="19" t="s">
        <v>544</v>
      </c>
      <c r="B269" s="28" t="s">
        <v>543</v>
      </c>
      <c r="C269" s="47">
        <v>7.63</v>
      </c>
      <c r="D269" s="30">
        <v>44426</v>
      </c>
      <c r="E269" s="21" t="s">
        <v>3103</v>
      </c>
      <c r="F269" s="22"/>
      <c r="G269" s="22"/>
      <c r="H269" s="22"/>
      <c r="I269" s="22"/>
    </row>
    <row r="270" spans="1:9" s="19" customFormat="1" ht="19.5" thickBot="1">
      <c r="A270" s="19" t="s">
        <v>542</v>
      </c>
      <c r="B270" s="28" t="s">
        <v>541</v>
      </c>
      <c r="C270" s="47">
        <v>547.48329999999999</v>
      </c>
      <c r="D270" s="30">
        <v>44426</v>
      </c>
      <c r="E270" s="21" t="s">
        <v>3103</v>
      </c>
      <c r="F270" s="22"/>
      <c r="G270" s="22"/>
      <c r="H270" s="22"/>
      <c r="I270" s="22"/>
    </row>
    <row r="271" spans="1:9" s="19" customFormat="1" ht="19.5" thickBot="1">
      <c r="A271" s="19" t="s">
        <v>540</v>
      </c>
      <c r="B271" s="28" t="s">
        <v>539</v>
      </c>
      <c r="C271" s="47">
        <v>336.57</v>
      </c>
      <c r="D271" s="30">
        <v>44426</v>
      </c>
      <c r="E271" s="21" t="s">
        <v>3103</v>
      </c>
      <c r="F271" s="22"/>
      <c r="G271" s="22"/>
      <c r="H271" s="22"/>
      <c r="I271" s="22"/>
    </row>
    <row r="272" spans="1:9" s="19" customFormat="1" ht="19.5" thickBot="1">
      <c r="A272" s="19" t="s">
        <v>538</v>
      </c>
      <c r="B272" s="28" t="s">
        <v>537</v>
      </c>
      <c r="C272" s="47">
        <v>501</v>
      </c>
      <c r="D272" s="30">
        <v>44426</v>
      </c>
      <c r="E272" s="21" t="s">
        <v>3103</v>
      </c>
      <c r="F272" s="22"/>
      <c r="G272" s="22"/>
      <c r="H272" s="22"/>
      <c r="I272" s="22"/>
    </row>
    <row r="273" spans="1:9" s="19" customFormat="1" ht="19.5" thickBot="1">
      <c r="A273" s="19" t="s">
        <v>536</v>
      </c>
      <c r="B273" s="28" t="s">
        <v>535</v>
      </c>
      <c r="C273" s="47">
        <v>7.63</v>
      </c>
      <c r="D273" s="30">
        <v>44426</v>
      </c>
      <c r="E273" s="21" t="s">
        <v>3103</v>
      </c>
      <c r="F273" s="22"/>
      <c r="G273" s="22"/>
      <c r="H273" s="22"/>
      <c r="I273" s="22"/>
    </row>
    <row r="274" spans="1:9" s="19" customFormat="1" ht="19.5" thickBot="1">
      <c r="A274" s="19" t="s">
        <v>534</v>
      </c>
      <c r="B274" s="28" t="s">
        <v>310</v>
      </c>
      <c r="C274" s="47">
        <v>7.64</v>
      </c>
      <c r="D274" s="30">
        <v>44426</v>
      </c>
      <c r="E274" s="21" t="s">
        <v>3103</v>
      </c>
      <c r="F274" s="22"/>
      <c r="G274" s="22"/>
      <c r="H274" s="22"/>
      <c r="I274" s="22"/>
    </row>
    <row r="275" spans="1:9" s="19" customFormat="1" ht="19.5" thickBot="1">
      <c r="A275" s="19" t="s">
        <v>533</v>
      </c>
      <c r="B275" s="28" t="s">
        <v>531</v>
      </c>
      <c r="C275" s="47">
        <v>336.57</v>
      </c>
      <c r="D275" s="30">
        <v>44425</v>
      </c>
      <c r="E275" s="21" t="s">
        <v>3103</v>
      </c>
      <c r="F275" s="22"/>
      <c r="G275" s="22"/>
      <c r="H275" s="22"/>
      <c r="I275" s="22"/>
    </row>
    <row r="276" spans="1:9" s="19" customFormat="1" ht="19.5" thickBot="1">
      <c r="A276" s="19" t="s">
        <v>532</v>
      </c>
      <c r="B276" s="28" t="s">
        <v>531</v>
      </c>
      <c r="C276" s="47">
        <v>336.57</v>
      </c>
      <c r="D276" s="30">
        <v>44425</v>
      </c>
      <c r="E276" s="21" t="s">
        <v>3103</v>
      </c>
      <c r="F276" s="22"/>
      <c r="G276" s="22"/>
      <c r="H276" s="22"/>
      <c r="I276" s="22"/>
    </row>
    <row r="277" spans="1:9" s="19" customFormat="1" ht="19.5" thickBot="1">
      <c r="A277" s="19" t="s">
        <v>530</v>
      </c>
      <c r="B277" s="28" t="s">
        <v>529</v>
      </c>
      <c r="C277" s="47">
        <v>7.61</v>
      </c>
      <c r="D277" s="30">
        <v>44423</v>
      </c>
      <c r="E277" s="21" t="s">
        <v>3103</v>
      </c>
      <c r="F277" s="22"/>
      <c r="G277" s="22"/>
      <c r="H277" s="22"/>
      <c r="I277" s="22"/>
    </row>
    <row r="278" spans="1:9" s="19" customFormat="1" ht="19.5" thickBot="1">
      <c r="A278" s="19" t="s">
        <v>528</v>
      </c>
      <c r="B278" s="28" t="s">
        <v>527</v>
      </c>
      <c r="C278" s="47">
        <v>7.63</v>
      </c>
      <c r="D278" s="30">
        <v>44422</v>
      </c>
      <c r="E278" s="21" t="s">
        <v>3103</v>
      </c>
      <c r="F278" s="22"/>
      <c r="G278" s="22"/>
      <c r="H278" s="22"/>
      <c r="I278" s="22"/>
    </row>
    <row r="279" spans="1:9" s="19" customFormat="1" ht="19.5" thickBot="1">
      <c r="A279" s="19" t="s">
        <v>526</v>
      </c>
      <c r="B279" s="28" t="s">
        <v>276</v>
      </c>
      <c r="C279" s="47">
        <v>547.48329999999999</v>
      </c>
      <c r="D279" s="30">
        <v>44416</v>
      </c>
      <c r="E279" s="21" t="s">
        <v>3103</v>
      </c>
      <c r="F279" s="22"/>
      <c r="G279" s="22"/>
      <c r="H279" s="22"/>
      <c r="I279" s="22"/>
    </row>
    <row r="280" spans="1:9" s="19" customFormat="1" ht="32.25" thickBot="1">
      <c r="A280" s="19" t="s">
        <v>525</v>
      </c>
      <c r="B280" s="28" t="s">
        <v>390</v>
      </c>
      <c r="C280" s="47">
        <v>834</v>
      </c>
      <c r="D280" s="30">
        <v>44416</v>
      </c>
      <c r="E280" s="21" t="s">
        <v>3103</v>
      </c>
      <c r="F280" s="22"/>
      <c r="G280" s="22"/>
      <c r="H280" s="22"/>
      <c r="I280" s="22"/>
    </row>
    <row r="281" spans="1:9" s="19" customFormat="1" ht="19.5" thickBot="1">
      <c r="A281" s="19" t="s">
        <v>524</v>
      </c>
      <c r="B281" s="28" t="s">
        <v>523</v>
      </c>
      <c r="C281" s="47">
        <v>809.2</v>
      </c>
      <c r="D281" s="30">
        <v>44416</v>
      </c>
      <c r="E281" s="21" t="s">
        <v>3103</v>
      </c>
      <c r="F281" s="22"/>
      <c r="G281" s="22"/>
      <c r="H281" s="22"/>
      <c r="I281" s="22"/>
    </row>
    <row r="282" spans="1:9" s="19" customFormat="1" ht="19.5" thickBot="1">
      <c r="A282" s="28" t="s">
        <v>522</v>
      </c>
      <c r="B282" s="28" t="s">
        <v>521</v>
      </c>
      <c r="C282" s="47">
        <v>7.13</v>
      </c>
      <c r="D282" s="30">
        <v>44416</v>
      </c>
      <c r="E282" s="21" t="s">
        <v>3103</v>
      </c>
      <c r="F282" s="22"/>
      <c r="G282" s="22"/>
      <c r="H282" s="22"/>
      <c r="I282" s="22"/>
    </row>
    <row r="283" spans="1:9" s="19" customFormat="1" ht="19.5" thickBot="1">
      <c r="A283" s="19" t="s">
        <v>520</v>
      </c>
      <c r="B283" s="28" t="s">
        <v>276</v>
      </c>
      <c r="C283" s="47">
        <v>547.48329999999999</v>
      </c>
      <c r="D283" s="30">
        <v>44408</v>
      </c>
      <c r="E283" s="21" t="s">
        <v>3103</v>
      </c>
      <c r="F283" s="22"/>
      <c r="G283" s="22"/>
      <c r="H283" s="22"/>
      <c r="I283" s="22"/>
    </row>
    <row r="284" spans="1:9" s="19" customFormat="1" ht="19.5" thickBot="1">
      <c r="A284" s="19" t="s">
        <v>519</v>
      </c>
      <c r="B284" s="28" t="s">
        <v>175</v>
      </c>
      <c r="C284" s="47">
        <v>547.48329999999999</v>
      </c>
      <c r="D284" s="30">
        <v>44408</v>
      </c>
      <c r="E284" s="21" t="s">
        <v>3103</v>
      </c>
      <c r="F284" s="22"/>
      <c r="G284" s="22"/>
      <c r="H284" s="22"/>
      <c r="I284" s="22"/>
    </row>
    <row r="285" spans="1:9" s="19" customFormat="1" ht="19.5" thickBot="1">
      <c r="A285" s="19" t="s">
        <v>518</v>
      </c>
      <c r="B285" s="28"/>
      <c r="C285" s="47">
        <v>547.48329999999999</v>
      </c>
      <c r="D285" s="30">
        <v>44408</v>
      </c>
      <c r="E285" s="21" t="s">
        <v>3103</v>
      </c>
      <c r="F285" s="22"/>
      <c r="G285" s="22"/>
      <c r="H285" s="22"/>
      <c r="I285" s="22"/>
    </row>
    <row r="286" spans="1:9" s="19" customFormat="1" ht="19.5" thickBot="1">
      <c r="A286" s="19" t="s">
        <v>517</v>
      </c>
      <c r="B286" s="28" t="s">
        <v>516</v>
      </c>
      <c r="C286" s="47">
        <v>7.63</v>
      </c>
      <c r="D286" s="30">
        <v>44404</v>
      </c>
      <c r="E286" s="21" t="s">
        <v>3103</v>
      </c>
      <c r="F286" s="22"/>
      <c r="G286" s="22"/>
      <c r="H286" s="22"/>
      <c r="I286" s="22"/>
    </row>
    <row r="287" spans="1:9" s="19" customFormat="1" ht="19.5" thickBot="1">
      <c r="A287" s="19" t="s">
        <v>515</v>
      </c>
      <c r="B287" s="28" t="s">
        <v>514</v>
      </c>
      <c r="C287" s="47">
        <v>7.35</v>
      </c>
      <c r="D287" s="30">
        <v>44401</v>
      </c>
      <c r="E287" s="21" t="s">
        <v>3103</v>
      </c>
      <c r="F287" s="22"/>
      <c r="G287" s="22"/>
      <c r="H287" s="22"/>
      <c r="I287" s="22"/>
    </row>
    <row r="288" spans="1:9" s="19" customFormat="1" ht="19.5" thickBot="1">
      <c r="A288" s="19" t="s">
        <v>513</v>
      </c>
      <c r="B288" s="28" t="s">
        <v>512</v>
      </c>
      <c r="C288" s="47">
        <v>7.63</v>
      </c>
      <c r="D288" s="30">
        <v>44401</v>
      </c>
      <c r="E288" s="21" t="s">
        <v>3103</v>
      </c>
      <c r="F288" s="22"/>
      <c r="G288" s="22"/>
      <c r="H288" s="22"/>
      <c r="I288" s="22"/>
    </row>
    <row r="289" spans="1:9" s="19" customFormat="1" ht="32.25" thickBot="1">
      <c r="A289" s="19" t="s">
        <v>511</v>
      </c>
      <c r="B289" s="28" t="s">
        <v>510</v>
      </c>
      <c r="C289" s="47">
        <v>336.3</v>
      </c>
      <c r="D289" s="30">
        <v>44395</v>
      </c>
      <c r="E289" s="21" t="s">
        <v>3103</v>
      </c>
      <c r="F289" s="22"/>
      <c r="G289" s="22"/>
      <c r="H289" s="22"/>
      <c r="I289" s="22"/>
    </row>
    <row r="290" spans="1:9" s="19" customFormat="1" ht="19.5" thickBot="1">
      <c r="A290" s="19" t="s">
        <v>509</v>
      </c>
      <c r="B290" s="28" t="s">
        <v>508</v>
      </c>
      <c r="C290" s="47">
        <v>7.63</v>
      </c>
      <c r="D290" s="30">
        <v>44395</v>
      </c>
      <c r="E290" s="21" t="s">
        <v>3103</v>
      </c>
      <c r="F290" s="22"/>
      <c r="G290" s="22"/>
      <c r="H290" s="22"/>
      <c r="I290" s="22"/>
    </row>
    <row r="291" spans="1:9" s="19" customFormat="1" ht="32.25" thickBot="1">
      <c r="A291" s="28" t="s">
        <v>507</v>
      </c>
      <c r="B291" s="28" t="s">
        <v>468</v>
      </c>
      <c r="C291" s="47">
        <v>336.49</v>
      </c>
      <c r="D291" s="30">
        <v>44394</v>
      </c>
      <c r="E291" s="21" t="s">
        <v>3103</v>
      </c>
      <c r="F291" s="22"/>
      <c r="G291" s="22"/>
      <c r="H291" s="22"/>
      <c r="I291" s="22"/>
    </row>
    <row r="292" spans="1:9" s="19" customFormat="1" ht="38.25" thickBot="1">
      <c r="A292" s="19" t="s">
        <v>506</v>
      </c>
      <c r="B292" s="28" t="s">
        <v>505</v>
      </c>
      <c r="C292" s="47">
        <v>335.04</v>
      </c>
      <c r="D292" s="30">
        <v>44388</v>
      </c>
      <c r="E292" s="21" t="s">
        <v>3103</v>
      </c>
      <c r="F292" s="22"/>
      <c r="G292" s="22"/>
      <c r="H292" s="22"/>
      <c r="I292" s="22"/>
    </row>
    <row r="293" spans="1:9" s="19" customFormat="1" ht="19.5" thickBot="1">
      <c r="A293" s="19" t="s">
        <v>504</v>
      </c>
      <c r="B293" s="28" t="s">
        <v>503</v>
      </c>
      <c r="C293" s="47">
        <v>7.609</v>
      </c>
      <c r="D293" s="30">
        <v>44388</v>
      </c>
      <c r="E293" s="21" t="s">
        <v>3103</v>
      </c>
      <c r="F293" s="22"/>
      <c r="G293" s="22"/>
      <c r="H293" s="22"/>
      <c r="I293" s="22"/>
    </row>
    <row r="294" spans="1:9" s="19" customFormat="1" ht="32.25" thickBot="1">
      <c r="A294" s="19" t="s">
        <v>502</v>
      </c>
      <c r="B294" s="28" t="s">
        <v>468</v>
      </c>
      <c r="C294" s="47">
        <v>336.2</v>
      </c>
      <c r="D294" s="30">
        <v>44388</v>
      </c>
      <c r="E294" s="21" t="s">
        <v>3103</v>
      </c>
      <c r="F294" s="22"/>
      <c r="G294" s="22"/>
      <c r="H294" s="22"/>
      <c r="I294" s="22"/>
    </row>
    <row r="295" spans="1:9" s="19" customFormat="1" ht="19.5" thickBot="1">
      <c r="A295" s="19" t="s">
        <v>501</v>
      </c>
      <c r="B295" s="28" t="s">
        <v>500</v>
      </c>
      <c r="C295" s="47">
        <v>837.8</v>
      </c>
      <c r="D295" s="30">
        <v>44380</v>
      </c>
      <c r="E295" s="21" t="s">
        <v>3103</v>
      </c>
      <c r="F295" s="22"/>
      <c r="G295" s="22"/>
      <c r="H295" s="22"/>
      <c r="I295" s="22"/>
    </row>
    <row r="296" spans="1:9" s="19" customFormat="1" ht="19.5" thickBot="1">
      <c r="A296" s="19" t="s">
        <v>499</v>
      </c>
      <c r="B296" s="28" t="s">
        <v>269</v>
      </c>
      <c r="C296" s="47">
        <v>547.48329999999999</v>
      </c>
      <c r="D296" s="30">
        <v>44379</v>
      </c>
      <c r="E296" s="21" t="s">
        <v>3103</v>
      </c>
      <c r="F296" s="22"/>
      <c r="G296" s="22"/>
      <c r="H296" s="22"/>
      <c r="I296" s="22"/>
    </row>
    <row r="297" spans="1:9" s="19" customFormat="1" ht="32.25" thickBot="1">
      <c r="A297" s="19" t="s">
        <v>498</v>
      </c>
      <c r="B297" s="28" t="s">
        <v>468</v>
      </c>
      <c r="C297" s="47">
        <v>336.4</v>
      </c>
      <c r="D297" s="30">
        <v>44379</v>
      </c>
      <c r="E297" s="21" t="s">
        <v>3103</v>
      </c>
      <c r="F297" s="22"/>
      <c r="G297" s="22"/>
      <c r="H297" s="22"/>
      <c r="I297" s="22"/>
    </row>
    <row r="298" spans="1:9" s="19" customFormat="1" ht="32.25" thickBot="1">
      <c r="A298" s="19" t="s">
        <v>497</v>
      </c>
      <c r="B298" s="28" t="s">
        <v>468</v>
      </c>
      <c r="C298" s="47">
        <v>335.13</v>
      </c>
      <c r="D298" s="30">
        <v>44373</v>
      </c>
      <c r="E298" s="21" t="s">
        <v>3103</v>
      </c>
      <c r="F298" s="22"/>
      <c r="G298" s="22"/>
      <c r="H298" s="22"/>
      <c r="I298" s="22"/>
    </row>
    <row r="299" spans="1:9" s="19" customFormat="1" ht="19.5" thickBot="1">
      <c r="A299" s="19" t="s">
        <v>496</v>
      </c>
      <c r="B299" s="28" t="s">
        <v>495</v>
      </c>
      <c r="C299" s="47">
        <v>331.19</v>
      </c>
      <c r="D299" s="30">
        <v>44373</v>
      </c>
      <c r="E299" s="21" t="s">
        <v>3103</v>
      </c>
      <c r="F299" s="22"/>
      <c r="G299" s="22"/>
      <c r="H299" s="22"/>
      <c r="I299" s="22"/>
    </row>
    <row r="300" spans="1:9" s="19" customFormat="1" ht="32.25" thickBot="1">
      <c r="A300" s="19" t="s">
        <v>494</v>
      </c>
      <c r="B300" s="28" t="s">
        <v>468</v>
      </c>
      <c r="C300" s="47">
        <v>336.1</v>
      </c>
      <c r="D300" s="30">
        <v>44367</v>
      </c>
      <c r="E300" s="21" t="s">
        <v>3103</v>
      </c>
      <c r="F300" s="22"/>
      <c r="G300" s="22"/>
      <c r="H300" s="22"/>
      <c r="I300" s="22"/>
    </row>
    <row r="301" spans="1:9" s="19" customFormat="1" ht="19.5" thickBot="1">
      <c r="A301" s="19" t="s">
        <v>493</v>
      </c>
      <c r="B301" s="28" t="s">
        <v>492</v>
      </c>
      <c r="C301" s="47">
        <v>336.57</v>
      </c>
      <c r="D301" s="30">
        <v>44360</v>
      </c>
      <c r="E301" s="21" t="s">
        <v>3103</v>
      </c>
      <c r="F301" s="22"/>
      <c r="G301" s="22"/>
      <c r="H301" s="22"/>
      <c r="I301" s="22"/>
    </row>
    <row r="302" spans="1:9" s="19" customFormat="1" ht="32.25" thickBot="1">
      <c r="A302" s="28" t="s">
        <v>491</v>
      </c>
      <c r="B302" s="28" t="s">
        <v>202</v>
      </c>
      <c r="C302" s="47">
        <v>336.8</v>
      </c>
      <c r="D302" s="30">
        <v>44353</v>
      </c>
      <c r="E302" s="21" t="s">
        <v>3103</v>
      </c>
      <c r="F302" s="22"/>
      <c r="G302" s="22"/>
      <c r="H302" s="22"/>
      <c r="I302" s="22"/>
    </row>
    <row r="303" spans="1:9" s="19" customFormat="1" ht="19.5" thickBot="1">
      <c r="A303" s="19" t="s">
        <v>490</v>
      </c>
      <c r="B303" s="28" t="s">
        <v>395</v>
      </c>
      <c r="C303" s="47">
        <v>336.2</v>
      </c>
      <c r="D303" s="30">
        <v>44353</v>
      </c>
      <c r="E303" s="21" t="s">
        <v>3103</v>
      </c>
      <c r="F303" s="22"/>
      <c r="G303" s="22"/>
      <c r="H303" s="22"/>
      <c r="I303" s="22"/>
    </row>
    <row r="304" spans="1:9" s="19" customFormat="1" ht="32.25" thickBot="1">
      <c r="A304" s="19" t="s">
        <v>489</v>
      </c>
      <c r="B304" s="28" t="s">
        <v>468</v>
      </c>
      <c r="C304" s="47">
        <v>336.3</v>
      </c>
      <c r="D304" s="30">
        <v>44347</v>
      </c>
      <c r="E304" s="21" t="s">
        <v>3103</v>
      </c>
      <c r="F304" s="22"/>
      <c r="G304" s="22"/>
      <c r="H304" s="22"/>
      <c r="I304" s="22"/>
    </row>
    <row r="305" spans="1:9" s="19" customFormat="1" ht="38.25" thickBot="1">
      <c r="A305" s="19" t="s">
        <v>488</v>
      </c>
      <c r="B305" s="28" t="s">
        <v>487</v>
      </c>
      <c r="C305" s="47">
        <v>336.4</v>
      </c>
      <c r="D305" s="30">
        <v>44347</v>
      </c>
      <c r="E305" s="21" t="s">
        <v>3103</v>
      </c>
      <c r="F305" s="22"/>
      <c r="G305" s="22"/>
      <c r="H305" s="22"/>
      <c r="I305" s="22"/>
    </row>
    <row r="306" spans="1:9" s="19" customFormat="1" ht="19.5" thickBot="1">
      <c r="A306" s="19" t="s">
        <v>486</v>
      </c>
      <c r="B306" s="28" t="s">
        <v>485</v>
      </c>
      <c r="C306" s="47">
        <v>336.17</v>
      </c>
      <c r="D306" s="30">
        <v>44344</v>
      </c>
      <c r="E306" s="21" t="s">
        <v>3103</v>
      </c>
      <c r="F306" s="22"/>
      <c r="G306" s="22"/>
      <c r="H306" s="22"/>
      <c r="I306" s="22"/>
    </row>
    <row r="307" spans="1:9" s="19" customFormat="1" ht="19.5" thickBot="1">
      <c r="A307" s="19" t="s">
        <v>484</v>
      </c>
      <c r="B307" s="28" t="s">
        <v>407</v>
      </c>
      <c r="C307" s="47">
        <v>336</v>
      </c>
      <c r="D307" s="30">
        <v>44344</v>
      </c>
      <c r="E307" s="21" t="s">
        <v>3103</v>
      </c>
      <c r="F307" s="22"/>
      <c r="G307" s="22"/>
      <c r="H307" s="22"/>
      <c r="I307" s="22"/>
    </row>
    <row r="308" spans="1:9" s="19" customFormat="1" ht="19.5" thickBot="1">
      <c r="A308" s="19" t="s">
        <v>483</v>
      </c>
      <c r="B308" s="28" t="s">
        <v>449</v>
      </c>
      <c r="C308" s="47">
        <v>336</v>
      </c>
      <c r="D308" s="30">
        <v>44343</v>
      </c>
      <c r="E308" s="21" t="s">
        <v>3103</v>
      </c>
      <c r="F308" s="22"/>
      <c r="G308" s="22"/>
      <c r="H308" s="22"/>
      <c r="I308" s="22"/>
    </row>
    <row r="309" spans="1:9" s="19" customFormat="1" ht="19.5" thickBot="1">
      <c r="A309" s="28" t="s">
        <v>482</v>
      </c>
      <c r="B309" s="28" t="s">
        <v>481</v>
      </c>
      <c r="C309" s="47">
        <v>547.48329999999999</v>
      </c>
      <c r="D309" s="30">
        <v>44342</v>
      </c>
      <c r="E309" s="21" t="s">
        <v>3103</v>
      </c>
      <c r="F309" s="22"/>
      <c r="G309" s="22"/>
      <c r="H309" s="22"/>
      <c r="I309" s="22"/>
    </row>
    <row r="310" spans="1:9" s="19" customFormat="1" ht="32.25" thickBot="1">
      <c r="A310" s="19" t="s">
        <v>480</v>
      </c>
      <c r="B310" s="28" t="s">
        <v>468</v>
      </c>
      <c r="C310" s="47">
        <v>336.3</v>
      </c>
      <c r="D310" s="30">
        <v>44342</v>
      </c>
      <c r="E310" s="21" t="s">
        <v>3103</v>
      </c>
      <c r="F310" s="22"/>
      <c r="G310" s="22"/>
      <c r="H310" s="22"/>
      <c r="I310" s="22"/>
    </row>
    <row r="311" spans="1:9" s="19" customFormat="1" ht="19.5" thickBot="1">
      <c r="A311" s="19" t="s">
        <v>479</v>
      </c>
      <c r="B311" s="28" t="s">
        <v>478</v>
      </c>
      <c r="C311" s="47">
        <v>7.63</v>
      </c>
      <c r="D311" s="30">
        <v>44340</v>
      </c>
      <c r="E311" s="21" t="s">
        <v>3103</v>
      </c>
      <c r="F311" s="22"/>
      <c r="G311" s="22"/>
      <c r="H311" s="22"/>
      <c r="I311" s="22"/>
    </row>
    <row r="312" spans="1:9" s="19" customFormat="1" ht="19.5" thickBot="1">
      <c r="A312" s="28" t="s">
        <v>477</v>
      </c>
      <c r="B312" s="28" t="s">
        <v>476</v>
      </c>
      <c r="C312" s="47">
        <v>336.1</v>
      </c>
      <c r="D312" s="30">
        <v>44340</v>
      </c>
      <c r="E312" s="21" t="s">
        <v>3103</v>
      </c>
      <c r="F312" s="22"/>
      <c r="G312" s="22"/>
      <c r="H312" s="22"/>
      <c r="I312" s="22"/>
    </row>
    <row r="313" spans="1:9" s="19" customFormat="1" ht="32.25" thickBot="1">
      <c r="A313" s="19" t="s">
        <v>475</v>
      </c>
      <c r="B313" s="28" t="s">
        <v>468</v>
      </c>
      <c r="C313" s="47">
        <v>336.17</v>
      </c>
      <c r="D313" s="30">
        <v>44340</v>
      </c>
      <c r="E313" s="21" t="s">
        <v>3103</v>
      </c>
      <c r="F313" s="22"/>
      <c r="G313" s="22"/>
      <c r="H313" s="22"/>
      <c r="I313" s="22"/>
    </row>
    <row r="314" spans="1:9" s="19" customFormat="1" ht="32.25" thickBot="1">
      <c r="A314" s="19" t="s">
        <v>474</v>
      </c>
      <c r="B314" s="28" t="s">
        <v>202</v>
      </c>
      <c r="C314" s="47">
        <v>336</v>
      </c>
      <c r="D314" s="30">
        <v>44338</v>
      </c>
      <c r="E314" s="21" t="s">
        <v>3103</v>
      </c>
      <c r="F314" s="22"/>
      <c r="G314" s="22"/>
      <c r="H314" s="22"/>
      <c r="I314" s="22"/>
    </row>
    <row r="315" spans="1:9" s="19" customFormat="1" ht="19.5" thickBot="1">
      <c r="A315" s="19" t="s">
        <v>473</v>
      </c>
      <c r="B315" s="28" t="s">
        <v>472</v>
      </c>
      <c r="C315" s="47">
        <v>810.7</v>
      </c>
      <c r="D315" s="30">
        <v>44338</v>
      </c>
      <c r="E315" s="21" t="s">
        <v>3103</v>
      </c>
      <c r="F315" s="22"/>
      <c r="G315" s="22"/>
      <c r="H315" s="22"/>
      <c r="I315" s="22"/>
    </row>
    <row r="316" spans="1:9" s="19" customFormat="1" ht="19.5" thickBot="1">
      <c r="A316" s="19" t="s">
        <v>471</v>
      </c>
      <c r="B316" s="28" t="s">
        <v>470</v>
      </c>
      <c r="C316" s="47">
        <v>596</v>
      </c>
      <c r="D316" s="30">
        <v>44336</v>
      </c>
      <c r="E316" s="21" t="s">
        <v>3103</v>
      </c>
      <c r="F316" s="22"/>
      <c r="G316" s="22"/>
      <c r="H316" s="22"/>
      <c r="I316" s="22"/>
    </row>
    <row r="317" spans="1:9" s="19" customFormat="1" ht="32.25" thickBot="1">
      <c r="A317" s="19" t="s">
        <v>469</v>
      </c>
      <c r="B317" s="28" t="s">
        <v>468</v>
      </c>
      <c r="C317" s="47">
        <v>336.1</v>
      </c>
      <c r="D317" s="30">
        <v>44334</v>
      </c>
      <c r="E317" s="21" t="s">
        <v>3103</v>
      </c>
      <c r="F317" s="22"/>
      <c r="G317" s="22"/>
      <c r="H317" s="22"/>
      <c r="I317" s="22"/>
    </row>
    <row r="318" spans="1:9" s="19" customFormat="1" ht="38.25" thickBot="1">
      <c r="A318" s="19" t="s">
        <v>467</v>
      </c>
      <c r="B318" s="28" t="s">
        <v>466</v>
      </c>
      <c r="C318" s="47">
        <v>675</v>
      </c>
      <c r="D318" s="30">
        <v>44334</v>
      </c>
      <c r="E318" s="21" t="s">
        <v>3103</v>
      </c>
      <c r="F318" s="22"/>
      <c r="G318" s="22"/>
      <c r="H318" s="22"/>
      <c r="I318" s="22"/>
    </row>
    <row r="319" spans="1:9" s="19" customFormat="1" ht="19.5" thickBot="1">
      <c r="A319" s="19" t="s">
        <v>465</v>
      </c>
      <c r="B319" s="28" t="s">
        <v>464</v>
      </c>
      <c r="C319" s="47">
        <v>820</v>
      </c>
      <c r="D319" s="30">
        <v>44333</v>
      </c>
      <c r="E319" s="21" t="s">
        <v>3103</v>
      </c>
      <c r="F319" s="22"/>
      <c r="G319" s="22"/>
      <c r="H319" s="22"/>
      <c r="I319" s="22"/>
    </row>
    <row r="320" spans="1:9" s="19" customFormat="1" ht="32.25" thickBot="1">
      <c r="A320" s="19" t="s">
        <v>463</v>
      </c>
      <c r="B320" s="28" t="s">
        <v>202</v>
      </c>
      <c r="C320" s="47">
        <v>336.1</v>
      </c>
      <c r="D320" s="30">
        <v>44331</v>
      </c>
      <c r="E320" s="21" t="s">
        <v>3103</v>
      </c>
      <c r="F320" s="22"/>
      <c r="G320" s="22"/>
      <c r="H320" s="22"/>
      <c r="I320" s="22"/>
    </row>
    <row r="321" spans="1:9" s="19" customFormat="1" ht="19.5" thickBot="1">
      <c r="A321" s="19" t="s">
        <v>462</v>
      </c>
      <c r="B321" s="28" t="s">
        <v>395</v>
      </c>
      <c r="C321" s="47">
        <v>336.1</v>
      </c>
      <c r="D321" s="32">
        <v>44331</v>
      </c>
      <c r="E321" s="21" t="s">
        <v>3103</v>
      </c>
      <c r="F321" s="22"/>
      <c r="G321" s="22"/>
      <c r="H321" s="22"/>
      <c r="I321" s="22"/>
    </row>
    <row r="322" spans="1:9" s="19" customFormat="1" ht="19.5" thickBot="1">
      <c r="A322" s="19" t="s">
        <v>461</v>
      </c>
      <c r="B322" s="28" t="s">
        <v>460</v>
      </c>
      <c r="C322" s="47">
        <v>336.17</v>
      </c>
      <c r="D322" s="32">
        <v>44331</v>
      </c>
      <c r="E322" s="21" t="s">
        <v>3103</v>
      </c>
      <c r="F322" s="22"/>
      <c r="G322" s="22"/>
      <c r="H322" s="22"/>
      <c r="I322" s="22"/>
    </row>
    <row r="323" spans="1:9" s="19" customFormat="1" ht="32.25" thickBot="1">
      <c r="A323" s="19" t="s">
        <v>459</v>
      </c>
      <c r="B323" s="28" t="s">
        <v>458</v>
      </c>
      <c r="C323" s="47">
        <v>7.35</v>
      </c>
      <c r="D323" s="32">
        <v>44331</v>
      </c>
      <c r="E323" s="21" t="s">
        <v>3103</v>
      </c>
      <c r="F323" s="22"/>
      <c r="G323" s="22"/>
      <c r="H323" s="22"/>
      <c r="I323" s="22"/>
    </row>
    <row r="324" spans="1:9" s="19" customFormat="1" ht="19.5" thickBot="1">
      <c r="A324" s="19" t="s">
        <v>457</v>
      </c>
      <c r="B324" s="28" t="s">
        <v>456</v>
      </c>
      <c r="C324" s="47">
        <v>336.3</v>
      </c>
      <c r="D324" s="32">
        <v>44330</v>
      </c>
      <c r="E324" s="21" t="s">
        <v>3103</v>
      </c>
      <c r="F324" s="22"/>
      <c r="G324" s="22"/>
      <c r="H324" s="22"/>
      <c r="I324" s="22"/>
    </row>
    <row r="325" spans="1:9" s="19" customFormat="1" ht="19.5" thickBot="1">
      <c r="A325" s="19" t="s">
        <v>455</v>
      </c>
      <c r="B325" s="28" t="s">
        <v>407</v>
      </c>
      <c r="C325" s="47">
        <v>336</v>
      </c>
      <c r="D325" s="32">
        <v>44326</v>
      </c>
      <c r="E325" s="21" t="s">
        <v>3103</v>
      </c>
      <c r="F325" s="22"/>
      <c r="G325" s="22"/>
      <c r="H325" s="22"/>
      <c r="I325" s="22"/>
    </row>
    <row r="326" spans="1:9" s="19" customFormat="1" ht="19.5" thickBot="1">
      <c r="A326" s="19" t="s">
        <v>454</v>
      </c>
      <c r="B326" s="28" t="s">
        <v>407</v>
      </c>
      <c r="C326" s="47">
        <v>379.7</v>
      </c>
      <c r="D326" s="32">
        <v>44326</v>
      </c>
      <c r="E326" s="21" t="s">
        <v>3103</v>
      </c>
      <c r="F326" s="22"/>
      <c r="G326" s="22"/>
      <c r="H326" s="22"/>
      <c r="I326" s="22"/>
    </row>
    <row r="327" spans="1:9" s="19" customFormat="1" ht="19.5" thickBot="1">
      <c r="A327" s="19" t="s">
        <v>453</v>
      </c>
      <c r="B327" s="28" t="s">
        <v>395</v>
      </c>
      <c r="C327" s="47">
        <v>336</v>
      </c>
      <c r="D327" s="32">
        <v>44326</v>
      </c>
      <c r="E327" s="21" t="s">
        <v>3103</v>
      </c>
      <c r="F327" s="22"/>
      <c r="G327" s="22"/>
      <c r="H327" s="22"/>
      <c r="I327" s="22"/>
    </row>
    <row r="328" spans="1:9" s="19" customFormat="1" ht="19.5" thickBot="1">
      <c r="A328" s="19" t="s">
        <v>452</v>
      </c>
      <c r="B328" s="28" t="s">
        <v>451</v>
      </c>
      <c r="C328" s="47">
        <v>336.1</v>
      </c>
      <c r="D328" s="32">
        <v>44325</v>
      </c>
      <c r="E328" s="21" t="s">
        <v>3103</v>
      </c>
      <c r="F328" s="22"/>
      <c r="G328" s="22"/>
      <c r="H328" s="22"/>
      <c r="I328" s="22"/>
    </row>
    <row r="329" spans="1:9" s="19" customFormat="1" ht="19.5" thickBot="1">
      <c r="A329" s="19" t="s">
        <v>450</v>
      </c>
      <c r="B329" s="28" t="s">
        <v>449</v>
      </c>
      <c r="C329" s="47">
        <v>336.55</v>
      </c>
      <c r="D329" s="32">
        <v>44325</v>
      </c>
      <c r="E329" s="21" t="s">
        <v>3103</v>
      </c>
      <c r="F329" s="22"/>
      <c r="G329" s="22"/>
      <c r="H329" s="22"/>
      <c r="I329" s="22"/>
    </row>
    <row r="330" spans="1:9" s="19" customFormat="1" ht="19.5" thickBot="1">
      <c r="A330" s="19" t="s">
        <v>448</v>
      </c>
      <c r="B330" s="28" t="s">
        <v>395</v>
      </c>
      <c r="C330" s="47">
        <v>336.84</v>
      </c>
      <c r="D330" s="32">
        <v>44324</v>
      </c>
      <c r="E330" s="21" t="s">
        <v>3103</v>
      </c>
      <c r="F330" s="22"/>
      <c r="G330" s="22"/>
      <c r="H330" s="22"/>
      <c r="I330" s="22"/>
    </row>
    <row r="331" spans="1:9" s="19" customFormat="1" ht="19.5" thickBot="1">
      <c r="A331" s="19" t="s">
        <v>447</v>
      </c>
      <c r="B331" s="28" t="s">
        <v>395</v>
      </c>
      <c r="C331" s="47">
        <v>336.83</v>
      </c>
      <c r="D331" s="32">
        <v>44324</v>
      </c>
      <c r="E331" s="21" t="s">
        <v>3103</v>
      </c>
      <c r="F331" s="22"/>
      <c r="G331" s="22"/>
      <c r="H331" s="22"/>
      <c r="I331" s="22"/>
    </row>
    <row r="332" spans="1:9" s="19" customFormat="1" ht="19.5" thickBot="1">
      <c r="A332" s="19" t="s">
        <v>446</v>
      </c>
      <c r="B332" s="28" t="s">
        <v>445</v>
      </c>
      <c r="C332" s="47">
        <v>7.63</v>
      </c>
      <c r="D332" s="32">
        <v>44324</v>
      </c>
      <c r="E332" s="21" t="s">
        <v>3103</v>
      </c>
      <c r="F332" s="22"/>
      <c r="G332" s="22"/>
      <c r="H332" s="22"/>
      <c r="I332" s="22"/>
    </row>
    <row r="333" spans="1:9" s="19" customFormat="1" ht="19.5" thickBot="1">
      <c r="A333" s="19" t="s">
        <v>444</v>
      </c>
      <c r="B333" s="28" t="s">
        <v>407</v>
      </c>
      <c r="C333" s="47">
        <v>336.1</v>
      </c>
      <c r="D333" s="32">
        <v>44324</v>
      </c>
      <c r="E333" s="21" t="s">
        <v>3103</v>
      </c>
      <c r="F333" s="22"/>
      <c r="G333" s="22"/>
      <c r="H333" s="22"/>
      <c r="I333" s="22"/>
    </row>
    <row r="334" spans="1:9" s="19" customFormat="1" ht="19.5" thickBot="1">
      <c r="A334" s="19" t="s">
        <v>443</v>
      </c>
      <c r="B334" s="28" t="s">
        <v>442</v>
      </c>
      <c r="C334" s="47">
        <v>7.58</v>
      </c>
      <c r="D334" s="32">
        <v>44324</v>
      </c>
      <c r="E334" s="21" t="s">
        <v>3103</v>
      </c>
      <c r="F334" s="22"/>
      <c r="G334" s="22"/>
      <c r="H334" s="22"/>
      <c r="I334" s="22"/>
    </row>
    <row r="335" spans="1:9" s="19" customFormat="1" ht="19.5" thickBot="1">
      <c r="A335" s="19" t="s">
        <v>441</v>
      </c>
      <c r="B335" s="28" t="s">
        <v>372</v>
      </c>
      <c r="C335" s="47">
        <v>375.9</v>
      </c>
      <c r="D335" s="32">
        <v>44322</v>
      </c>
      <c r="E335" s="21" t="s">
        <v>3103</v>
      </c>
      <c r="F335" s="22"/>
      <c r="G335" s="22"/>
      <c r="H335" s="22"/>
      <c r="I335" s="22"/>
    </row>
    <row r="336" spans="1:9" s="19" customFormat="1" ht="19.5" thickBot="1">
      <c r="A336" s="19" t="s">
        <v>440</v>
      </c>
      <c r="B336" s="28" t="s">
        <v>372</v>
      </c>
      <c r="C336" s="47">
        <v>375.9</v>
      </c>
      <c r="D336" s="32">
        <v>44322</v>
      </c>
      <c r="E336" s="21" t="s">
        <v>3103</v>
      </c>
      <c r="F336" s="22"/>
      <c r="G336" s="22"/>
      <c r="H336" s="22"/>
      <c r="I336" s="22"/>
    </row>
    <row r="337" spans="1:9" s="19" customFormat="1" ht="32.25" thickBot="1">
      <c r="A337" s="19" t="s">
        <v>439</v>
      </c>
      <c r="B337" s="28" t="s">
        <v>202</v>
      </c>
      <c r="C337" s="47">
        <v>336</v>
      </c>
      <c r="D337" s="32">
        <v>44321</v>
      </c>
      <c r="E337" s="21" t="s">
        <v>3103</v>
      </c>
      <c r="F337" s="22"/>
      <c r="G337" s="22"/>
      <c r="H337" s="22"/>
      <c r="I337" s="22"/>
    </row>
    <row r="338" spans="1:9" s="19" customFormat="1" ht="19.5" thickBot="1">
      <c r="A338" s="19" t="s">
        <v>438</v>
      </c>
      <c r="B338" s="28" t="s">
        <v>395</v>
      </c>
      <c r="C338" s="47">
        <v>336.2</v>
      </c>
      <c r="D338" s="32">
        <v>44321</v>
      </c>
      <c r="E338" s="21" t="s">
        <v>3103</v>
      </c>
      <c r="F338" s="22"/>
      <c r="G338" s="22"/>
      <c r="H338" s="22"/>
      <c r="I338" s="22"/>
    </row>
    <row r="339" spans="1:9" s="19" customFormat="1" ht="19.5" thickBot="1">
      <c r="A339" s="19" t="s">
        <v>437</v>
      </c>
      <c r="B339" s="28" t="s">
        <v>436</v>
      </c>
      <c r="C339" s="47">
        <v>830.79</v>
      </c>
      <c r="D339" s="32">
        <v>44320</v>
      </c>
      <c r="E339" s="21" t="s">
        <v>3103</v>
      </c>
      <c r="F339" s="22"/>
      <c r="G339" s="22"/>
      <c r="H339" s="22"/>
      <c r="I339" s="22"/>
    </row>
    <row r="340" spans="1:9" s="19" customFormat="1" ht="19.5" thickBot="1">
      <c r="A340" s="19" t="s">
        <v>435</v>
      </c>
      <c r="B340" s="28" t="s">
        <v>434</v>
      </c>
      <c r="C340" s="47">
        <v>7.64</v>
      </c>
      <c r="D340" s="32">
        <v>44320</v>
      </c>
      <c r="E340" s="21" t="s">
        <v>3103</v>
      </c>
      <c r="F340" s="22"/>
      <c r="G340" s="22"/>
      <c r="H340" s="22"/>
      <c r="I340" s="22"/>
    </row>
    <row r="341" spans="1:9" s="19" customFormat="1" ht="19.5" thickBot="1">
      <c r="A341" s="19" t="s">
        <v>433</v>
      </c>
      <c r="B341" s="28" t="s">
        <v>395</v>
      </c>
      <c r="C341" s="47">
        <v>336.49</v>
      </c>
      <c r="D341" s="32">
        <v>44320</v>
      </c>
      <c r="E341" s="21" t="s">
        <v>3103</v>
      </c>
      <c r="F341" s="22"/>
      <c r="G341" s="22"/>
      <c r="H341" s="22"/>
      <c r="I341" s="22"/>
    </row>
    <row r="342" spans="1:9" s="19" customFormat="1" ht="19.5" thickBot="1">
      <c r="A342" s="19" t="s">
        <v>432</v>
      </c>
      <c r="B342" s="28" t="s">
        <v>431</v>
      </c>
      <c r="C342" s="47">
        <v>820</v>
      </c>
      <c r="D342" s="32">
        <v>44318</v>
      </c>
      <c r="E342" s="21" t="s">
        <v>3103</v>
      </c>
      <c r="F342" s="22"/>
      <c r="G342" s="22"/>
      <c r="H342" s="22"/>
      <c r="I342" s="22"/>
    </row>
    <row r="343" spans="1:9" s="19" customFormat="1" ht="19.5" thickBot="1">
      <c r="A343" s="19" t="s">
        <v>430</v>
      </c>
      <c r="B343" s="28" t="s">
        <v>429</v>
      </c>
      <c r="C343" s="47">
        <v>810.7</v>
      </c>
      <c r="D343" s="32">
        <v>44311</v>
      </c>
      <c r="E343" s="21" t="s">
        <v>3103</v>
      </c>
      <c r="F343" s="22"/>
      <c r="G343" s="22"/>
      <c r="H343" s="22"/>
      <c r="I343" s="22"/>
    </row>
    <row r="344" spans="1:9" s="19" customFormat="1" ht="38.25" thickBot="1">
      <c r="A344" s="19" t="s">
        <v>427</v>
      </c>
      <c r="B344" s="28" t="s">
        <v>426</v>
      </c>
      <c r="C344" s="47">
        <v>7.64</v>
      </c>
      <c r="D344" s="32">
        <v>44310</v>
      </c>
      <c r="E344" s="21" t="s">
        <v>3103</v>
      </c>
      <c r="F344" s="22"/>
      <c r="G344" s="22"/>
      <c r="H344" s="22"/>
      <c r="I344" s="22"/>
    </row>
    <row r="345" spans="1:9" s="19" customFormat="1" ht="19.5" thickBot="1">
      <c r="A345" s="19" t="s">
        <v>425</v>
      </c>
      <c r="B345" s="28" t="s">
        <v>395</v>
      </c>
      <c r="C345" s="47">
        <v>336.3</v>
      </c>
      <c r="D345" s="32">
        <v>44310</v>
      </c>
      <c r="E345" s="21" t="s">
        <v>3103</v>
      </c>
      <c r="F345" s="22"/>
      <c r="G345" s="22"/>
      <c r="H345" s="22"/>
      <c r="I345" s="22"/>
    </row>
    <row r="346" spans="1:9" s="19" customFormat="1" ht="19.5" thickBot="1">
      <c r="A346" s="19" t="s">
        <v>424</v>
      </c>
      <c r="B346" s="28" t="s">
        <v>395</v>
      </c>
      <c r="C346" s="47">
        <v>336.2</v>
      </c>
      <c r="D346" s="32">
        <v>44308</v>
      </c>
      <c r="E346" s="21" t="s">
        <v>3103</v>
      </c>
      <c r="F346" s="22"/>
      <c r="G346" s="22"/>
      <c r="H346" s="22"/>
      <c r="I346" s="22"/>
    </row>
    <row r="347" spans="1:9" s="19" customFormat="1" ht="19.5" thickBot="1">
      <c r="A347" s="19" t="s">
        <v>423</v>
      </c>
      <c r="B347" s="28" t="s">
        <v>173</v>
      </c>
      <c r="C347" s="47">
        <v>7.6340000000000003</v>
      </c>
      <c r="D347" s="32">
        <v>44308</v>
      </c>
      <c r="E347" s="21" t="s">
        <v>3103</v>
      </c>
      <c r="F347" s="22"/>
      <c r="G347" s="22"/>
      <c r="H347" s="22"/>
      <c r="I347" s="22"/>
    </row>
    <row r="348" spans="1:9" s="19" customFormat="1" ht="32.25" thickBot="1">
      <c r="A348" s="19" t="s">
        <v>422</v>
      </c>
      <c r="B348" s="28" t="s">
        <v>202</v>
      </c>
      <c r="C348" s="47">
        <v>336</v>
      </c>
      <c r="D348" s="32">
        <v>44308</v>
      </c>
      <c r="E348" s="21" t="s">
        <v>3103</v>
      </c>
      <c r="F348" s="22"/>
      <c r="G348" s="22"/>
      <c r="H348" s="22"/>
      <c r="I348" s="22"/>
    </row>
    <row r="349" spans="1:9" s="19" customFormat="1" ht="19.5" thickBot="1">
      <c r="A349" s="19" t="s">
        <v>421</v>
      </c>
      <c r="B349" s="28" t="s">
        <v>395</v>
      </c>
      <c r="C349" s="47">
        <v>336</v>
      </c>
      <c r="D349" s="32">
        <v>44308</v>
      </c>
      <c r="E349" s="21" t="s">
        <v>3103</v>
      </c>
      <c r="F349" s="22"/>
      <c r="G349" s="22"/>
      <c r="H349" s="22"/>
      <c r="I349" s="22"/>
    </row>
    <row r="350" spans="1:9" s="19" customFormat="1" ht="19.5" thickBot="1">
      <c r="A350" s="19" t="s">
        <v>420</v>
      </c>
      <c r="B350" s="28" t="s">
        <v>176</v>
      </c>
      <c r="C350" s="47">
        <v>7.609</v>
      </c>
      <c r="D350" s="32">
        <v>44307</v>
      </c>
      <c r="E350" s="21" t="s">
        <v>3103</v>
      </c>
      <c r="F350" s="22"/>
      <c r="G350" s="22"/>
      <c r="H350" s="22"/>
      <c r="I350" s="22"/>
    </row>
    <row r="351" spans="1:9" s="19" customFormat="1" ht="19.5" thickBot="1">
      <c r="A351" s="19" t="s">
        <v>419</v>
      </c>
      <c r="B351" s="28" t="s">
        <v>395</v>
      </c>
      <c r="C351" s="47">
        <v>336.2</v>
      </c>
      <c r="D351" s="32">
        <v>44307</v>
      </c>
      <c r="E351" s="21" t="s">
        <v>3103</v>
      </c>
      <c r="F351" s="22"/>
      <c r="G351" s="22"/>
      <c r="H351" s="22"/>
      <c r="I351" s="22"/>
    </row>
    <row r="352" spans="1:9" s="19" customFormat="1" ht="19.5" thickBot="1">
      <c r="A352" s="19" t="s">
        <v>418</v>
      </c>
      <c r="B352" s="28" t="s">
        <v>417</v>
      </c>
      <c r="C352" s="47">
        <v>7.64</v>
      </c>
      <c r="D352" s="32">
        <v>44307</v>
      </c>
      <c r="E352" s="21" t="s">
        <v>3103</v>
      </c>
      <c r="F352" s="22"/>
      <c r="G352" s="22"/>
      <c r="H352" s="22"/>
      <c r="I352" s="22"/>
    </row>
    <row r="353" spans="1:9" s="19" customFormat="1" ht="19.5" thickBot="1">
      <c r="A353" s="19" t="s">
        <v>416</v>
      </c>
      <c r="B353" s="28" t="s">
        <v>415</v>
      </c>
      <c r="C353" s="47">
        <v>7.13</v>
      </c>
      <c r="D353" s="32">
        <v>44303</v>
      </c>
      <c r="E353" s="21" t="s">
        <v>3103</v>
      </c>
      <c r="F353" s="22"/>
      <c r="G353" s="22"/>
      <c r="H353" s="22"/>
      <c r="I353" s="22"/>
    </row>
    <row r="354" spans="1:9" s="19" customFormat="1" ht="19.5" thickBot="1">
      <c r="A354" s="19" t="s">
        <v>414</v>
      </c>
      <c r="B354" s="28" t="s">
        <v>395</v>
      </c>
      <c r="C354" s="47">
        <v>336.1</v>
      </c>
      <c r="D354" s="32">
        <v>44303</v>
      </c>
      <c r="E354" s="21" t="s">
        <v>3103</v>
      </c>
      <c r="F354" s="22"/>
      <c r="G354" s="22"/>
      <c r="H354" s="22"/>
      <c r="I354" s="22"/>
    </row>
    <row r="355" spans="1:9" s="19" customFormat="1" ht="19.5" thickBot="1">
      <c r="A355" s="19" t="s">
        <v>413</v>
      </c>
      <c r="B355" s="28" t="s">
        <v>412</v>
      </c>
      <c r="C355" s="47">
        <v>7.63</v>
      </c>
      <c r="D355" s="32">
        <v>44303</v>
      </c>
      <c r="E355" s="21" t="s">
        <v>3103</v>
      </c>
      <c r="F355" s="22"/>
      <c r="G355" s="22"/>
      <c r="H355" s="22"/>
      <c r="I355" s="22"/>
    </row>
    <row r="356" spans="1:9" s="19" customFormat="1" ht="19.5" thickBot="1">
      <c r="A356" s="19" t="s">
        <v>411</v>
      </c>
      <c r="B356" s="28" t="s">
        <v>410</v>
      </c>
      <c r="C356" s="47">
        <v>7.13</v>
      </c>
      <c r="D356" s="32">
        <v>44299</v>
      </c>
      <c r="E356" s="21" t="s">
        <v>3103</v>
      </c>
      <c r="F356" s="22"/>
      <c r="G356" s="22"/>
      <c r="H356" s="22"/>
      <c r="I356" s="22"/>
    </row>
    <row r="357" spans="1:9" s="19" customFormat="1" ht="19.5" thickBot="1">
      <c r="A357" s="19" t="s">
        <v>409</v>
      </c>
      <c r="B357" s="28" t="s">
        <v>210</v>
      </c>
      <c r="C357" s="47">
        <v>7.64</v>
      </c>
      <c r="D357" s="32">
        <v>44298</v>
      </c>
      <c r="E357" s="21" t="s">
        <v>3103</v>
      </c>
      <c r="F357" s="22"/>
      <c r="G357" s="22"/>
      <c r="H357" s="22"/>
      <c r="I357" s="22"/>
    </row>
    <row r="358" spans="1:9" s="19" customFormat="1" ht="38.25" thickBot="1">
      <c r="A358" s="19" t="s">
        <v>408</v>
      </c>
      <c r="B358" s="28" t="s">
        <v>407</v>
      </c>
      <c r="C358" s="47">
        <v>336</v>
      </c>
      <c r="D358" s="32">
        <v>44297</v>
      </c>
      <c r="E358" s="21" t="s">
        <v>3103</v>
      </c>
      <c r="F358" s="22"/>
      <c r="G358" s="22"/>
      <c r="H358" s="22"/>
      <c r="I358" s="22"/>
    </row>
    <row r="359" spans="1:9" s="19" customFormat="1" ht="19.5" thickBot="1">
      <c r="A359" s="19" t="s">
        <v>406</v>
      </c>
      <c r="B359" s="28" t="s">
        <v>203</v>
      </c>
      <c r="C359" s="47">
        <v>7.64</v>
      </c>
      <c r="D359" s="32">
        <v>44295</v>
      </c>
      <c r="E359" s="21" t="s">
        <v>3103</v>
      </c>
      <c r="F359" s="22"/>
      <c r="G359" s="22"/>
      <c r="H359" s="22"/>
      <c r="I359" s="22"/>
    </row>
    <row r="360" spans="1:9" s="19" customFormat="1" ht="19.5" thickBot="1">
      <c r="A360" s="19" t="s">
        <v>405</v>
      </c>
      <c r="B360" s="28" t="s">
        <v>372</v>
      </c>
      <c r="C360" s="47">
        <v>375.9</v>
      </c>
      <c r="D360" s="32">
        <v>44295</v>
      </c>
      <c r="E360" s="21" t="s">
        <v>3103</v>
      </c>
      <c r="F360" s="22"/>
      <c r="G360" s="22"/>
      <c r="H360" s="22"/>
      <c r="I360" s="22"/>
    </row>
    <row r="361" spans="1:9" s="19" customFormat="1" ht="19.5" thickBot="1">
      <c r="A361" s="19" t="s">
        <v>404</v>
      </c>
      <c r="B361" s="28" t="s">
        <v>372</v>
      </c>
      <c r="C361" s="47">
        <v>375.9</v>
      </c>
      <c r="D361" s="32">
        <v>44295</v>
      </c>
      <c r="E361" s="21" t="s">
        <v>3103</v>
      </c>
      <c r="F361" s="22"/>
      <c r="G361" s="22"/>
      <c r="H361" s="22"/>
      <c r="I361" s="22"/>
    </row>
    <row r="362" spans="1:9" s="19" customFormat="1" ht="32.25" thickBot="1">
      <c r="A362" s="19" t="s">
        <v>403</v>
      </c>
      <c r="B362" s="28" t="s">
        <v>402</v>
      </c>
      <c r="C362" s="47">
        <v>7.35</v>
      </c>
      <c r="D362" s="32">
        <v>44292</v>
      </c>
      <c r="E362" s="21" t="s">
        <v>3103</v>
      </c>
      <c r="F362" s="22"/>
      <c r="G362" s="22"/>
      <c r="H362" s="22"/>
      <c r="I362" s="22"/>
    </row>
    <row r="363" spans="1:9" s="19" customFormat="1" ht="19.5" thickBot="1">
      <c r="A363" s="19" t="s">
        <v>401</v>
      </c>
      <c r="B363" s="28" t="s">
        <v>400</v>
      </c>
      <c r="C363" s="47">
        <v>7.35</v>
      </c>
      <c r="D363" s="32">
        <v>44292</v>
      </c>
      <c r="E363" s="21" t="s">
        <v>3103</v>
      </c>
      <c r="F363" s="22"/>
      <c r="G363" s="22"/>
      <c r="H363" s="22"/>
      <c r="I363" s="22"/>
    </row>
    <row r="364" spans="1:9" s="19" customFormat="1" ht="19.5" thickBot="1">
      <c r="A364" s="19" t="s">
        <v>399</v>
      </c>
      <c r="B364" s="28" t="s">
        <v>398</v>
      </c>
      <c r="C364" s="47">
        <v>7.64</v>
      </c>
      <c r="D364" s="32">
        <v>44290</v>
      </c>
      <c r="E364" s="21" t="s">
        <v>3103</v>
      </c>
      <c r="F364" s="22"/>
      <c r="G364" s="22"/>
      <c r="H364" s="22"/>
      <c r="I364" s="22"/>
    </row>
    <row r="365" spans="1:9" s="19" customFormat="1" ht="19.5" thickBot="1">
      <c r="A365" s="19" t="s">
        <v>397</v>
      </c>
      <c r="B365" s="28" t="s">
        <v>395</v>
      </c>
      <c r="C365" s="47">
        <v>336.2</v>
      </c>
      <c r="D365" s="32">
        <v>44290</v>
      </c>
      <c r="E365" s="21" t="s">
        <v>3103</v>
      </c>
      <c r="F365" s="22"/>
      <c r="G365" s="22"/>
      <c r="H365" s="22"/>
      <c r="I365" s="22"/>
    </row>
    <row r="366" spans="1:9" s="19" customFormat="1" ht="19.5" thickBot="1">
      <c r="A366" s="19" t="s">
        <v>396</v>
      </c>
      <c r="B366" s="28" t="s">
        <v>395</v>
      </c>
      <c r="C366" s="47">
        <v>336.1</v>
      </c>
      <c r="D366" s="32">
        <v>44288</v>
      </c>
      <c r="E366" s="21" t="s">
        <v>3103</v>
      </c>
      <c r="F366" s="22"/>
      <c r="G366" s="22"/>
      <c r="H366" s="22"/>
      <c r="I366" s="22"/>
    </row>
    <row r="367" spans="1:9" s="19" customFormat="1" ht="19.5" thickBot="1">
      <c r="A367" s="19" t="s">
        <v>394</v>
      </c>
      <c r="B367" s="28" t="s">
        <v>393</v>
      </c>
      <c r="C367" s="47">
        <v>336.1</v>
      </c>
      <c r="D367" s="32">
        <v>44286</v>
      </c>
      <c r="E367" s="21" t="s">
        <v>3103</v>
      </c>
      <c r="F367" s="22"/>
      <c r="G367" s="22"/>
      <c r="H367" s="22"/>
      <c r="I367" s="22"/>
    </row>
    <row r="368" spans="1:9" s="19" customFormat="1" ht="19.5" thickBot="1">
      <c r="A368" s="19" t="s">
        <v>392</v>
      </c>
      <c r="B368" s="28" t="s">
        <v>386</v>
      </c>
      <c r="C368" s="47">
        <v>834</v>
      </c>
      <c r="D368" s="32">
        <v>44285</v>
      </c>
      <c r="E368" s="21" t="s">
        <v>3103</v>
      </c>
      <c r="F368" s="22"/>
      <c r="G368" s="22"/>
      <c r="H368" s="22"/>
      <c r="I368" s="22"/>
    </row>
    <row r="369" spans="1:9" s="19" customFormat="1" ht="32.25" thickBot="1">
      <c r="A369" s="19" t="s">
        <v>391</v>
      </c>
      <c r="B369" s="28" t="s">
        <v>390</v>
      </c>
      <c r="C369" s="47">
        <v>834</v>
      </c>
      <c r="D369" s="32">
        <v>44285</v>
      </c>
      <c r="E369" s="21" t="s">
        <v>3103</v>
      </c>
      <c r="F369" s="22"/>
      <c r="G369" s="22"/>
      <c r="H369" s="22"/>
      <c r="I369" s="22"/>
    </row>
    <row r="370" spans="1:9" s="19" customFormat="1" ht="19.5" thickBot="1">
      <c r="A370" s="19" t="s">
        <v>389</v>
      </c>
      <c r="B370" s="28" t="s">
        <v>388</v>
      </c>
      <c r="C370" s="47">
        <v>336.4</v>
      </c>
      <c r="D370" s="32">
        <v>44284</v>
      </c>
      <c r="E370" s="21" t="s">
        <v>3103</v>
      </c>
      <c r="F370" s="22"/>
      <c r="G370" s="22"/>
      <c r="H370" s="22"/>
      <c r="I370" s="22"/>
    </row>
    <row r="371" spans="1:9" s="19" customFormat="1" ht="19.5" thickBot="1">
      <c r="A371" s="19" t="s">
        <v>387</v>
      </c>
      <c r="B371" s="28" t="s">
        <v>386</v>
      </c>
      <c r="C371" s="47">
        <v>834</v>
      </c>
      <c r="D371" s="32">
        <v>44283</v>
      </c>
      <c r="E371" s="21" t="s">
        <v>3103</v>
      </c>
      <c r="F371" s="22"/>
      <c r="G371" s="22"/>
      <c r="H371" s="22"/>
      <c r="I371" s="22"/>
    </row>
    <row r="372" spans="1:9" s="19" customFormat="1" ht="19.5" thickBot="1">
      <c r="A372" s="19" t="s">
        <v>385</v>
      </c>
      <c r="B372" s="28" t="s">
        <v>384</v>
      </c>
      <c r="C372" s="47">
        <v>336.1</v>
      </c>
      <c r="D372" s="32">
        <v>44283</v>
      </c>
      <c r="E372" s="21" t="s">
        <v>3103</v>
      </c>
      <c r="F372" s="22"/>
      <c r="G372" s="22"/>
      <c r="H372" s="22"/>
      <c r="I372" s="22"/>
    </row>
    <row r="373" spans="1:9" s="19" customFormat="1" ht="32.25" thickBot="1">
      <c r="A373" s="19" t="s">
        <v>383</v>
      </c>
      <c r="B373" s="28" t="s">
        <v>202</v>
      </c>
      <c r="C373" s="47">
        <v>675</v>
      </c>
      <c r="D373" s="32">
        <v>44282</v>
      </c>
      <c r="E373" s="21" t="s">
        <v>3103</v>
      </c>
      <c r="F373" s="22"/>
      <c r="G373" s="22"/>
      <c r="H373" s="22"/>
      <c r="I373" s="22"/>
    </row>
    <row r="374" spans="1:9" s="19" customFormat="1" ht="32.25" thickBot="1">
      <c r="A374" s="19" t="s">
        <v>382</v>
      </c>
      <c r="B374" s="28" t="s">
        <v>381</v>
      </c>
      <c r="C374" s="47">
        <v>336.1</v>
      </c>
      <c r="D374" s="32">
        <v>44282</v>
      </c>
      <c r="E374" s="21" t="s">
        <v>3103</v>
      </c>
      <c r="F374" s="22"/>
      <c r="G374" s="22"/>
      <c r="H374" s="22"/>
      <c r="I374" s="22"/>
    </row>
    <row r="375" spans="1:9" s="13" customFormat="1" ht="26.25" customHeight="1" thickBot="1">
      <c r="A375" s="13" t="s">
        <v>380</v>
      </c>
      <c r="B375" s="15" t="s">
        <v>379</v>
      </c>
      <c r="C375" s="42">
        <v>830.7</v>
      </c>
      <c r="D375" s="32">
        <v>44273</v>
      </c>
      <c r="E375" s="21" t="s">
        <v>3103</v>
      </c>
      <c r="F375" s="22"/>
      <c r="G375" s="22"/>
      <c r="H375" s="22"/>
      <c r="I375" s="22"/>
    </row>
    <row r="376" spans="1:9" s="13" customFormat="1" ht="26.25" customHeight="1" thickBot="1">
      <c r="A376" s="13" t="s">
        <v>378</v>
      </c>
      <c r="B376" s="15" t="s">
        <v>377</v>
      </c>
      <c r="C376" s="42">
        <v>830</v>
      </c>
      <c r="D376" s="32">
        <v>44272</v>
      </c>
      <c r="E376" s="21" t="s">
        <v>3103</v>
      </c>
      <c r="F376" s="22"/>
      <c r="G376" s="22"/>
      <c r="H376" s="22"/>
      <c r="I376" s="22"/>
    </row>
    <row r="377" spans="1:9" s="13" customFormat="1" ht="26.25" customHeight="1" thickBot="1">
      <c r="A377" s="13" t="s">
        <v>376</v>
      </c>
      <c r="B377" s="15" t="s">
        <v>375</v>
      </c>
      <c r="C377" s="42">
        <v>670.93</v>
      </c>
      <c r="D377" s="32">
        <v>44272</v>
      </c>
      <c r="E377" s="21" t="s">
        <v>3103</v>
      </c>
      <c r="F377" s="22"/>
      <c r="G377" s="22"/>
      <c r="H377" s="22"/>
      <c r="I377" s="22"/>
    </row>
    <row r="378" spans="1:9" s="13" customFormat="1" ht="26.25" customHeight="1" thickBot="1">
      <c r="A378" s="13" t="s">
        <v>374</v>
      </c>
      <c r="B378" s="15" t="s">
        <v>372</v>
      </c>
      <c r="C378" s="42">
        <v>375.9</v>
      </c>
      <c r="D378" s="32">
        <v>44271</v>
      </c>
      <c r="E378" s="21" t="s">
        <v>3103</v>
      </c>
      <c r="F378" s="22"/>
      <c r="G378" s="22"/>
      <c r="H378" s="22"/>
      <c r="I378" s="22"/>
    </row>
    <row r="379" spans="1:9" s="13" customFormat="1" ht="26.25" customHeight="1" thickBot="1">
      <c r="A379" s="13" t="s">
        <v>373</v>
      </c>
      <c r="B379" s="15" t="s">
        <v>372</v>
      </c>
      <c r="C379" s="42">
        <v>375.9</v>
      </c>
      <c r="D379" s="32">
        <v>44271</v>
      </c>
      <c r="E379" s="21" t="s">
        <v>3103</v>
      </c>
      <c r="F379" s="22"/>
      <c r="G379" s="22"/>
      <c r="H379" s="22"/>
      <c r="I379" s="22"/>
    </row>
    <row r="380" spans="1:9" s="13" customFormat="1" ht="26.25" customHeight="1" thickBot="1">
      <c r="A380" s="13" t="s">
        <v>371</v>
      </c>
      <c r="B380" s="15" t="s">
        <v>370</v>
      </c>
      <c r="C380" s="42">
        <v>336.4</v>
      </c>
      <c r="D380" s="32">
        <v>44267</v>
      </c>
      <c r="E380" s="21" t="s">
        <v>3103</v>
      </c>
      <c r="F380" s="22"/>
      <c r="G380" s="22"/>
      <c r="H380" s="22"/>
      <c r="I380" s="22"/>
    </row>
    <row r="381" spans="1:9" s="13" customFormat="1" ht="26.25" customHeight="1" thickBot="1">
      <c r="A381" s="13" t="s">
        <v>369</v>
      </c>
      <c r="B381" s="15" t="s">
        <v>347</v>
      </c>
      <c r="C381" s="42">
        <v>336.1</v>
      </c>
      <c r="D381" s="32">
        <v>44266</v>
      </c>
      <c r="E381" s="21" t="s">
        <v>3103</v>
      </c>
      <c r="F381" s="22"/>
      <c r="G381" s="22"/>
      <c r="H381" s="22"/>
      <c r="I381" s="22"/>
    </row>
    <row r="382" spans="1:9" s="13" customFormat="1" ht="26.25" customHeight="1" thickBot="1">
      <c r="A382" s="13" t="s">
        <v>368</v>
      </c>
      <c r="B382" s="15" t="s">
        <v>367</v>
      </c>
      <c r="C382" s="42">
        <v>331.19</v>
      </c>
      <c r="D382" s="32">
        <v>44260</v>
      </c>
      <c r="E382" s="21" t="s">
        <v>3103</v>
      </c>
      <c r="F382" s="22"/>
      <c r="G382" s="22"/>
      <c r="H382" s="22"/>
      <c r="I382" s="22"/>
    </row>
    <row r="383" spans="1:9" s="13" customFormat="1" ht="26.25" customHeight="1" thickBot="1">
      <c r="A383" s="13" t="s">
        <v>366</v>
      </c>
      <c r="B383" s="15" t="s">
        <v>209</v>
      </c>
      <c r="C383" s="42">
        <v>860</v>
      </c>
      <c r="D383" s="32">
        <v>44260</v>
      </c>
      <c r="E383" s="21" t="s">
        <v>3103</v>
      </c>
      <c r="F383" s="22"/>
      <c r="G383" s="22"/>
      <c r="H383" s="22"/>
      <c r="I383" s="22"/>
    </row>
    <row r="384" spans="1:9" s="13" customFormat="1" ht="26.25" customHeight="1" thickBot="1">
      <c r="A384" s="13" t="s">
        <v>365</v>
      </c>
      <c r="B384" s="15" t="s">
        <v>207</v>
      </c>
      <c r="C384" s="42">
        <v>675.4</v>
      </c>
      <c r="D384" s="32">
        <v>44260</v>
      </c>
      <c r="E384" s="21" t="s">
        <v>3103</v>
      </c>
      <c r="F384" s="22"/>
      <c r="G384" s="22"/>
      <c r="H384" s="22"/>
      <c r="I384" s="22"/>
    </row>
    <row r="385" spans="1:9" s="13" customFormat="1" ht="26.25" customHeight="1" thickBot="1">
      <c r="A385" s="13" t="s">
        <v>364</v>
      </c>
      <c r="B385" s="15" t="s">
        <v>363</v>
      </c>
      <c r="C385" s="42">
        <v>675.4</v>
      </c>
      <c r="D385" s="32">
        <v>44259</v>
      </c>
      <c r="E385" s="21" t="s">
        <v>3103</v>
      </c>
      <c r="F385" s="22"/>
      <c r="G385" s="22"/>
      <c r="H385" s="22"/>
      <c r="I385" s="22"/>
    </row>
    <row r="386" spans="1:9" s="13" customFormat="1" ht="26.25" customHeight="1" thickBot="1">
      <c r="A386" s="13" t="s">
        <v>362</v>
      </c>
      <c r="B386" s="15" t="s">
        <v>361</v>
      </c>
      <c r="C386" s="42">
        <v>372.10700000000003</v>
      </c>
      <c r="D386" s="32">
        <v>44257</v>
      </c>
      <c r="E386" s="21" t="s">
        <v>3103</v>
      </c>
      <c r="F386" s="22"/>
      <c r="G386" s="22"/>
      <c r="H386" s="22"/>
      <c r="I386" s="22"/>
    </row>
    <row r="387" spans="1:9" s="13" customFormat="1" ht="26.25" customHeight="1" thickBot="1">
      <c r="A387" s="13" t="s">
        <v>360</v>
      </c>
      <c r="B387" s="15" t="s">
        <v>359</v>
      </c>
      <c r="C387" s="42">
        <v>850</v>
      </c>
      <c r="D387" s="32">
        <v>44254</v>
      </c>
      <c r="E387" s="21" t="s">
        <v>3103</v>
      </c>
      <c r="F387" s="22"/>
      <c r="G387" s="22"/>
      <c r="H387" s="22"/>
      <c r="I387" s="22"/>
    </row>
    <row r="388" spans="1:9" s="13" customFormat="1" ht="26.25" customHeight="1" thickBot="1">
      <c r="A388" s="13" t="s">
        <v>358</v>
      </c>
      <c r="B388" s="15" t="s">
        <v>178</v>
      </c>
      <c r="C388" s="42">
        <v>673.97199999999998</v>
      </c>
      <c r="D388" s="32">
        <v>44254</v>
      </c>
      <c r="E388" s="21" t="s">
        <v>3103</v>
      </c>
      <c r="F388" s="22"/>
      <c r="G388" s="22"/>
      <c r="H388" s="22"/>
      <c r="I388" s="22"/>
    </row>
    <row r="389" spans="1:9" s="13" customFormat="1" ht="26.25" customHeight="1" thickBot="1">
      <c r="A389" s="13" t="s">
        <v>357</v>
      </c>
      <c r="B389" s="15" t="s">
        <v>356</v>
      </c>
      <c r="C389" s="42">
        <v>7.6</v>
      </c>
      <c r="D389" s="32">
        <v>44251</v>
      </c>
      <c r="E389" s="21" t="s">
        <v>3103</v>
      </c>
      <c r="F389" s="22"/>
      <c r="G389" s="22"/>
      <c r="H389" s="22"/>
      <c r="I389" s="22"/>
    </row>
    <row r="390" spans="1:9" s="13" customFormat="1" ht="26.25" customHeight="1" thickBot="1">
      <c r="A390" s="13" t="s">
        <v>355</v>
      </c>
      <c r="B390" s="15"/>
      <c r="C390" s="42">
        <v>673.971</v>
      </c>
      <c r="D390" s="32">
        <v>44250</v>
      </c>
      <c r="E390" s="21" t="s">
        <v>3103</v>
      </c>
      <c r="F390" s="22"/>
      <c r="G390" s="22"/>
      <c r="H390" s="22"/>
      <c r="I390" s="22"/>
    </row>
    <row r="391" spans="1:9" s="13" customFormat="1" ht="26.25" customHeight="1" thickBot="1">
      <c r="A391" s="13" t="s">
        <v>354</v>
      </c>
      <c r="B391" s="15" t="s">
        <v>353</v>
      </c>
      <c r="C391" s="42">
        <v>708.7</v>
      </c>
      <c r="D391" s="32">
        <v>44250</v>
      </c>
      <c r="E391" s="21" t="s">
        <v>3103</v>
      </c>
      <c r="F391" s="22"/>
      <c r="G391" s="22"/>
      <c r="H391" s="22"/>
      <c r="I391" s="22"/>
    </row>
    <row r="392" spans="1:9" s="13" customFormat="1" ht="26.25" customHeight="1" thickBot="1">
      <c r="A392" s="13" t="s">
        <v>352</v>
      </c>
      <c r="B392" s="15"/>
      <c r="C392" s="42">
        <v>673.97</v>
      </c>
      <c r="D392" s="32">
        <v>44248</v>
      </c>
      <c r="E392" s="21" t="s">
        <v>3103</v>
      </c>
      <c r="F392" s="22"/>
      <c r="G392" s="22"/>
      <c r="H392" s="22"/>
      <c r="I392" s="22"/>
    </row>
    <row r="393" spans="1:9" s="13" customFormat="1" ht="26.25" customHeight="1" thickBot="1">
      <c r="A393" s="13" t="s">
        <v>351</v>
      </c>
      <c r="B393" s="15" t="s">
        <v>208</v>
      </c>
      <c r="C393" s="42">
        <v>7.63</v>
      </c>
      <c r="D393" s="32">
        <v>44248</v>
      </c>
      <c r="E393" s="21" t="s">
        <v>3103</v>
      </c>
      <c r="F393" s="22"/>
      <c r="G393" s="22"/>
      <c r="H393" s="22"/>
      <c r="I393" s="22"/>
    </row>
    <row r="394" spans="1:9" s="13" customFormat="1" ht="26.25" customHeight="1" thickBot="1">
      <c r="A394" s="13" t="s">
        <v>350</v>
      </c>
      <c r="B394" s="15" t="s">
        <v>347</v>
      </c>
      <c r="C394" s="42">
        <v>336.1</v>
      </c>
      <c r="D394" s="32">
        <v>44247</v>
      </c>
      <c r="E394" s="21" t="s">
        <v>3103</v>
      </c>
      <c r="F394" s="22"/>
      <c r="G394" s="22"/>
      <c r="H394" s="22"/>
      <c r="I394" s="22"/>
    </row>
    <row r="395" spans="1:9" s="13" customFormat="1" ht="26.25" customHeight="1" thickBot="1">
      <c r="A395" s="13" t="s">
        <v>349</v>
      </c>
      <c r="B395" s="15" t="s">
        <v>206</v>
      </c>
      <c r="C395" s="42">
        <v>547.48329999999999</v>
      </c>
      <c r="D395" s="32">
        <v>44242</v>
      </c>
      <c r="E395" s="21" t="s">
        <v>3103</v>
      </c>
      <c r="F395" s="22"/>
      <c r="G395" s="22"/>
      <c r="H395" s="22"/>
      <c r="I395" s="22"/>
    </row>
    <row r="396" spans="1:9" s="13" customFormat="1" ht="26.25" customHeight="1" thickBot="1">
      <c r="A396" s="13" t="s">
        <v>348</v>
      </c>
      <c r="B396" s="15" t="s">
        <v>347</v>
      </c>
      <c r="C396" s="42">
        <v>336.1</v>
      </c>
      <c r="D396" s="32">
        <v>44242</v>
      </c>
      <c r="E396" s="21" t="s">
        <v>3103</v>
      </c>
      <c r="F396" s="22"/>
      <c r="G396" s="22"/>
      <c r="H396" s="22"/>
      <c r="I396" s="22"/>
    </row>
    <row r="397" spans="1:9" s="13" customFormat="1" ht="26.25" customHeight="1" thickBot="1">
      <c r="A397" s="13" t="s">
        <v>346</v>
      </c>
      <c r="B397" s="15" t="s">
        <v>204</v>
      </c>
      <c r="C397" s="42">
        <v>596</v>
      </c>
      <c r="D397" s="32">
        <v>44240</v>
      </c>
      <c r="E397" s="21" t="s">
        <v>3103</v>
      </c>
      <c r="F397" s="22"/>
      <c r="G397" s="22"/>
      <c r="H397" s="22"/>
      <c r="I397" s="22"/>
    </row>
    <row r="398" spans="1:9" s="13" customFormat="1" ht="26.25" customHeight="1" thickBot="1">
      <c r="A398" s="13" t="s">
        <v>345</v>
      </c>
      <c r="B398" s="15" t="s">
        <v>178</v>
      </c>
      <c r="C398" s="42">
        <v>673.97199999999998</v>
      </c>
      <c r="D398" s="32">
        <v>44236</v>
      </c>
      <c r="E398" s="21" t="s">
        <v>3103</v>
      </c>
      <c r="F398" s="22"/>
      <c r="G398" s="22"/>
      <c r="H398" s="22"/>
      <c r="I398" s="22"/>
    </row>
    <row r="399" spans="1:9" s="13" customFormat="1" ht="26.25" customHeight="1" thickBot="1">
      <c r="A399" s="13" t="s">
        <v>201</v>
      </c>
      <c r="B399" s="15" t="s">
        <v>344</v>
      </c>
      <c r="C399" s="42">
        <v>7.64</v>
      </c>
      <c r="D399" s="32" t="s">
        <v>200</v>
      </c>
      <c r="E399" s="21" t="s">
        <v>3103</v>
      </c>
      <c r="F399" s="22"/>
      <c r="G399" s="22"/>
      <c r="H399" s="22"/>
      <c r="I399" s="22"/>
    </row>
    <row r="400" spans="1:9" s="13" customFormat="1" ht="26.25" customHeight="1" thickBot="1">
      <c r="A400" s="13" t="s">
        <v>343</v>
      </c>
      <c r="B400" s="15" t="s">
        <v>342</v>
      </c>
      <c r="C400" s="42">
        <v>547.48</v>
      </c>
      <c r="D400" s="32" t="s">
        <v>199</v>
      </c>
      <c r="E400" s="21" t="s">
        <v>3103</v>
      </c>
      <c r="F400" s="22"/>
      <c r="G400" s="22"/>
      <c r="H400" s="22"/>
      <c r="I400" s="22"/>
    </row>
    <row r="401" spans="1:9" s="13" customFormat="1" ht="26.25" customHeight="1" thickBot="1">
      <c r="A401" s="13" t="s">
        <v>341</v>
      </c>
      <c r="B401" s="15" t="s">
        <v>340</v>
      </c>
      <c r="C401" s="42">
        <v>673.97</v>
      </c>
      <c r="D401" s="32" t="s">
        <v>198</v>
      </c>
      <c r="E401" s="21" t="s">
        <v>3103</v>
      </c>
      <c r="F401" s="22"/>
      <c r="G401" s="22"/>
      <c r="H401" s="22"/>
      <c r="I401" s="22"/>
    </row>
    <row r="402" spans="1:9" s="13" customFormat="1" ht="26.25" customHeight="1" thickBot="1">
      <c r="A402" s="13" t="s">
        <v>339</v>
      </c>
      <c r="B402" s="15" t="s">
        <v>338</v>
      </c>
      <c r="C402" s="42">
        <v>7.13</v>
      </c>
      <c r="D402" s="32" t="s">
        <v>197</v>
      </c>
      <c r="E402" s="21" t="s">
        <v>3103</v>
      </c>
      <c r="F402" s="22"/>
      <c r="G402" s="22"/>
      <c r="H402" s="22"/>
      <c r="I402" s="22"/>
    </row>
    <row r="403" spans="1:9" s="13" customFormat="1" ht="26.25" customHeight="1" thickBot="1">
      <c r="A403" s="13" t="s">
        <v>181</v>
      </c>
      <c r="B403" s="15" t="s">
        <v>337</v>
      </c>
      <c r="C403" s="42">
        <v>7.64</v>
      </c>
      <c r="D403" s="32" t="s">
        <v>196</v>
      </c>
      <c r="E403" s="21" t="s">
        <v>3103</v>
      </c>
      <c r="F403" s="22"/>
      <c r="G403" s="22"/>
      <c r="H403" s="22"/>
      <c r="I403" s="22"/>
    </row>
    <row r="404" spans="1:9" s="13" customFormat="1" ht="26.25" customHeight="1" thickBot="1">
      <c r="A404" s="13" t="s">
        <v>336</v>
      </c>
      <c r="B404" s="15" t="s">
        <v>179</v>
      </c>
      <c r="C404" s="42">
        <v>596.29999999999995</v>
      </c>
      <c r="D404" s="32" t="s">
        <v>194</v>
      </c>
      <c r="E404" s="21" t="s">
        <v>3103</v>
      </c>
      <c r="F404" s="22"/>
      <c r="G404" s="22"/>
      <c r="H404" s="22"/>
      <c r="I404" s="22"/>
    </row>
    <row r="405" spans="1:9" s="13" customFormat="1" ht="26.25" customHeight="1" thickBot="1">
      <c r="A405" s="13" t="s">
        <v>131</v>
      </c>
      <c r="B405" s="15" t="s">
        <v>246</v>
      </c>
      <c r="C405" s="42">
        <v>547.48</v>
      </c>
      <c r="D405" s="32" t="s">
        <v>194</v>
      </c>
      <c r="E405" s="21" t="s">
        <v>3103</v>
      </c>
      <c r="F405" s="22"/>
      <c r="G405" s="22"/>
      <c r="H405" s="22"/>
      <c r="I405" s="22"/>
    </row>
    <row r="406" spans="1:9" s="13" customFormat="1" ht="26.25" customHeight="1" thickBot="1">
      <c r="A406" s="13" t="s">
        <v>335</v>
      </c>
      <c r="B406" s="15" t="s">
        <v>334</v>
      </c>
      <c r="C406" s="42">
        <v>7.64</v>
      </c>
      <c r="D406" s="32" t="s">
        <v>194</v>
      </c>
      <c r="E406" s="21" t="s">
        <v>3103</v>
      </c>
      <c r="F406" s="22"/>
      <c r="G406" s="22"/>
      <c r="H406" s="22"/>
      <c r="I406" s="22"/>
    </row>
    <row r="407" spans="1:9" s="13" customFormat="1" ht="26.25" customHeight="1" thickBot="1">
      <c r="A407" s="13" t="s">
        <v>195</v>
      </c>
      <c r="B407" s="15" t="s">
        <v>333</v>
      </c>
      <c r="C407" s="42">
        <v>7.64</v>
      </c>
      <c r="D407" s="32" t="s">
        <v>194</v>
      </c>
      <c r="E407" s="21" t="s">
        <v>3103</v>
      </c>
      <c r="F407" s="22"/>
      <c r="G407" s="22"/>
      <c r="H407" s="22"/>
      <c r="I407" s="22"/>
    </row>
    <row r="408" spans="1:9" s="13" customFormat="1" ht="26.25" customHeight="1" thickBot="1">
      <c r="A408" s="13" t="s">
        <v>332</v>
      </c>
      <c r="B408" s="15" t="s">
        <v>331</v>
      </c>
      <c r="C408" s="42">
        <v>336</v>
      </c>
      <c r="D408" s="32" t="s">
        <v>194</v>
      </c>
      <c r="E408" s="21" t="s">
        <v>3103</v>
      </c>
      <c r="F408" s="22"/>
      <c r="G408" s="22"/>
      <c r="H408" s="22"/>
      <c r="I408" s="22"/>
    </row>
    <row r="409" spans="1:9" s="13" customFormat="1" ht="26.25" customHeight="1" thickBot="1">
      <c r="A409" s="13" t="s">
        <v>193</v>
      </c>
      <c r="B409" s="15" t="s">
        <v>330</v>
      </c>
      <c r="C409" s="42">
        <v>673.86</v>
      </c>
      <c r="D409" s="32" t="s">
        <v>190</v>
      </c>
      <c r="E409" s="21" t="s">
        <v>3103</v>
      </c>
      <c r="F409" s="22"/>
      <c r="G409" s="22"/>
      <c r="H409" s="22"/>
      <c r="I409" s="22"/>
    </row>
    <row r="410" spans="1:9" s="13" customFormat="1" ht="26.25" customHeight="1" thickBot="1">
      <c r="A410" s="13" t="s">
        <v>192</v>
      </c>
      <c r="B410" s="15" t="s">
        <v>191</v>
      </c>
      <c r="C410" s="42">
        <v>673.86</v>
      </c>
      <c r="D410" s="32" t="s">
        <v>190</v>
      </c>
      <c r="E410" s="21" t="s">
        <v>3103</v>
      </c>
      <c r="F410" s="22"/>
      <c r="G410" s="22"/>
      <c r="H410" s="22"/>
      <c r="I410" s="22"/>
    </row>
    <row r="411" spans="1:9" s="13" customFormat="1" ht="26.25" customHeight="1" thickBot="1">
      <c r="A411" s="13" t="s">
        <v>189</v>
      </c>
      <c r="B411" s="15" t="s">
        <v>329</v>
      </c>
      <c r="C411" s="42">
        <v>335.3</v>
      </c>
      <c r="D411" s="32" t="s">
        <v>188</v>
      </c>
      <c r="E411" s="21" t="s">
        <v>3103</v>
      </c>
      <c r="F411" s="22"/>
      <c r="G411" s="22"/>
      <c r="H411" s="22"/>
      <c r="I411" s="22"/>
    </row>
    <row r="412" spans="1:9" s="13" customFormat="1" ht="26.25" customHeight="1">
      <c r="A412" s="13" t="s">
        <v>187</v>
      </c>
      <c r="B412" s="15" t="s">
        <v>328</v>
      </c>
      <c r="C412" s="42">
        <v>673.86</v>
      </c>
      <c r="D412" s="32" t="s">
        <v>186</v>
      </c>
      <c r="E412" s="21" t="s">
        <v>3103</v>
      </c>
      <c r="F412" s="22"/>
      <c r="G412" s="22"/>
      <c r="H412" s="22"/>
      <c r="I412" s="22"/>
    </row>
    <row r="413" spans="1:9" s="13" customFormat="1" ht="26.25" customHeight="1">
      <c r="A413" s="13" t="s">
        <v>185</v>
      </c>
      <c r="B413" s="15" t="s">
        <v>327</v>
      </c>
      <c r="C413" s="42">
        <v>596.38</v>
      </c>
      <c r="D413" s="18" t="s">
        <v>183</v>
      </c>
      <c r="E413" s="21" t="s">
        <v>3103</v>
      </c>
      <c r="F413" s="22"/>
      <c r="G413" s="22"/>
      <c r="H413" s="22"/>
      <c r="I413" s="22"/>
    </row>
    <row r="414" spans="1:9" s="13" customFormat="1" ht="26.25" customHeight="1">
      <c r="A414" s="13" t="s">
        <v>184</v>
      </c>
      <c r="B414" s="15" t="s">
        <v>326</v>
      </c>
      <c r="C414" s="42">
        <v>547.48</v>
      </c>
      <c r="D414" s="18" t="s">
        <v>183</v>
      </c>
      <c r="E414" s="21" t="s">
        <v>3103</v>
      </c>
      <c r="F414" s="22"/>
      <c r="G414" s="22"/>
      <c r="H414" s="22"/>
      <c r="I414" s="22"/>
    </row>
    <row r="415" spans="1:9" s="13" customFormat="1" ht="26.25" customHeight="1">
      <c r="A415" s="13" t="s">
        <v>325</v>
      </c>
      <c r="B415" s="15" t="s">
        <v>182</v>
      </c>
      <c r="C415" s="42">
        <v>547.48</v>
      </c>
      <c r="D415" s="18" t="s">
        <v>180</v>
      </c>
      <c r="E415" s="21" t="s">
        <v>3103</v>
      </c>
      <c r="F415" s="22"/>
      <c r="G415" s="22"/>
      <c r="H415" s="22"/>
      <c r="I415" s="22"/>
    </row>
    <row r="416" spans="1:9" s="13" customFormat="1" ht="26.25" customHeight="1">
      <c r="A416" s="13" t="s">
        <v>324</v>
      </c>
      <c r="B416" s="15" t="s">
        <v>323</v>
      </c>
      <c r="C416" s="42">
        <v>596.22</v>
      </c>
      <c r="D416" s="18" t="s">
        <v>180</v>
      </c>
      <c r="E416" s="21" t="s">
        <v>3103</v>
      </c>
      <c r="F416" s="22"/>
      <c r="G416" s="22"/>
      <c r="H416" s="22"/>
      <c r="I416" s="22"/>
    </row>
    <row r="417" spans="1:9" s="13" customFormat="1" ht="26.25" customHeight="1" thickBot="1">
      <c r="A417" s="13" t="s">
        <v>322</v>
      </c>
      <c r="B417" s="15" t="s">
        <v>321</v>
      </c>
      <c r="C417" s="42">
        <v>596.22</v>
      </c>
      <c r="D417" s="18" t="s">
        <v>177</v>
      </c>
      <c r="E417" s="21" t="s">
        <v>3103</v>
      </c>
      <c r="F417" s="22"/>
      <c r="G417" s="22"/>
      <c r="H417" s="22"/>
      <c r="I417" s="22"/>
    </row>
    <row r="418" spans="1:9" s="13" customFormat="1" ht="26.25" customHeight="1" thickBot="1">
      <c r="A418" s="13" t="s">
        <v>320</v>
      </c>
      <c r="B418" s="15" t="s">
        <v>319</v>
      </c>
      <c r="C418" s="42">
        <v>596.22</v>
      </c>
      <c r="D418" s="32">
        <v>44207</v>
      </c>
      <c r="E418" s="21" t="s">
        <v>3103</v>
      </c>
      <c r="F418" s="22"/>
      <c r="G418" s="22"/>
      <c r="H418" s="22"/>
      <c r="I418" s="22"/>
    </row>
    <row r="419" spans="1:9" s="13" customFormat="1" ht="26.25" customHeight="1" thickBot="1">
      <c r="A419" s="13" t="s">
        <v>318</v>
      </c>
      <c r="B419" s="15" t="s">
        <v>317</v>
      </c>
      <c r="C419" s="42">
        <v>596</v>
      </c>
      <c r="D419" s="32">
        <v>44206</v>
      </c>
      <c r="E419" s="21" t="s">
        <v>3103</v>
      </c>
      <c r="F419" s="22"/>
      <c r="G419" s="22"/>
      <c r="H419" s="22"/>
      <c r="I419" s="22"/>
    </row>
    <row r="420" spans="1:9" s="13" customFormat="1" ht="26.25" customHeight="1" thickBot="1">
      <c r="A420" s="13" t="s">
        <v>316</v>
      </c>
      <c r="B420" s="15" t="s">
        <v>315</v>
      </c>
      <c r="C420" s="42">
        <v>673.3</v>
      </c>
      <c r="D420" s="32" t="s">
        <v>172</v>
      </c>
      <c r="E420" s="21" t="s">
        <v>3103</v>
      </c>
      <c r="F420" s="22"/>
      <c r="G420" s="22"/>
      <c r="H420" s="22"/>
      <c r="I420" s="22"/>
    </row>
    <row r="421" spans="1:9" s="13" customFormat="1" ht="26.25" customHeight="1" thickBot="1">
      <c r="A421" s="13" t="s">
        <v>314</v>
      </c>
      <c r="B421" s="15" t="s">
        <v>174</v>
      </c>
      <c r="C421" s="42">
        <v>547.48</v>
      </c>
      <c r="D421" s="32" t="s">
        <v>172</v>
      </c>
      <c r="E421" s="21" t="s">
        <v>3103</v>
      </c>
      <c r="F421" s="22"/>
      <c r="G421" s="22"/>
      <c r="H421" s="22"/>
      <c r="I421" s="22"/>
    </row>
    <row r="422" spans="1:9" s="13" customFormat="1" ht="26.25" customHeight="1" thickBot="1">
      <c r="A422" s="13" t="s">
        <v>313</v>
      </c>
      <c r="B422" s="15" t="s">
        <v>312</v>
      </c>
      <c r="C422" s="42">
        <v>336.49</v>
      </c>
      <c r="D422" s="32" t="s">
        <v>172</v>
      </c>
      <c r="E422" s="21" t="s">
        <v>3103</v>
      </c>
      <c r="F422" s="22"/>
      <c r="G422" s="22"/>
      <c r="H422" s="22"/>
      <c r="I422" s="22"/>
    </row>
    <row r="423" spans="1:9" s="13" customFormat="1" ht="26.25" customHeight="1" thickBot="1">
      <c r="A423" s="13" t="s">
        <v>311</v>
      </c>
      <c r="B423" s="15" t="s">
        <v>310</v>
      </c>
      <c r="C423" s="42">
        <v>7.64</v>
      </c>
      <c r="D423" s="32" t="s">
        <v>171</v>
      </c>
      <c r="E423" s="21" t="s">
        <v>3103</v>
      </c>
      <c r="F423" s="22"/>
      <c r="G423" s="22"/>
      <c r="H423" s="22"/>
      <c r="I423" s="22"/>
    </row>
    <row r="424" spans="1:9" s="13" customFormat="1" ht="26.25" customHeight="1" thickBot="1">
      <c r="A424" s="13" t="s">
        <v>309</v>
      </c>
      <c r="B424" s="15" t="s">
        <v>308</v>
      </c>
      <c r="C424" s="42">
        <v>7.6</v>
      </c>
      <c r="D424" s="32" t="s">
        <v>169</v>
      </c>
      <c r="E424" s="21" t="s">
        <v>3103</v>
      </c>
      <c r="F424" s="22"/>
      <c r="G424" s="22"/>
      <c r="H424" s="22"/>
      <c r="I424" s="22"/>
    </row>
    <row r="425" spans="1:9" s="13" customFormat="1" ht="26.25" customHeight="1" thickBot="1">
      <c r="A425" s="13" t="s">
        <v>307</v>
      </c>
      <c r="B425" s="15" t="s">
        <v>170</v>
      </c>
      <c r="C425" s="42">
        <v>7.63</v>
      </c>
      <c r="D425" s="32" t="s">
        <v>169</v>
      </c>
      <c r="E425" s="21" t="s">
        <v>3103</v>
      </c>
      <c r="F425" s="22"/>
      <c r="G425" s="22"/>
      <c r="H425" s="22"/>
      <c r="I425" s="22"/>
    </row>
    <row r="426" spans="1:9" s="13" customFormat="1" ht="26.25" customHeight="1" thickBot="1">
      <c r="A426" s="13" t="s">
        <v>306</v>
      </c>
      <c r="B426" s="15" t="s">
        <v>305</v>
      </c>
      <c r="C426" s="42">
        <v>7.63</v>
      </c>
      <c r="D426" s="32" t="s">
        <v>168</v>
      </c>
      <c r="E426" s="21" t="s">
        <v>3103</v>
      </c>
      <c r="F426" s="22"/>
      <c r="G426" s="22"/>
      <c r="H426" s="22"/>
      <c r="I426" s="22"/>
    </row>
    <row r="427" spans="1:9" s="13" customFormat="1" ht="26.25" customHeight="1" thickBot="1">
      <c r="A427" s="13" t="s">
        <v>304</v>
      </c>
      <c r="B427" s="15" t="s">
        <v>276</v>
      </c>
      <c r="C427" s="42">
        <v>547.48</v>
      </c>
      <c r="D427" s="32" t="s">
        <v>165</v>
      </c>
      <c r="E427" s="21" t="s">
        <v>3103</v>
      </c>
      <c r="F427" s="22"/>
      <c r="G427" s="22"/>
      <c r="H427" s="22"/>
      <c r="I427" s="22"/>
    </row>
    <row r="428" spans="1:9" s="13" customFormat="1" ht="26.25" customHeight="1" thickBot="1">
      <c r="A428" s="13" t="s">
        <v>303</v>
      </c>
      <c r="B428" s="15" t="s">
        <v>167</v>
      </c>
      <c r="C428" s="42">
        <v>7.6</v>
      </c>
      <c r="D428" s="32" t="s">
        <v>165</v>
      </c>
      <c r="E428" s="21" t="s">
        <v>3103</v>
      </c>
      <c r="F428" s="22"/>
      <c r="G428" s="22"/>
      <c r="H428" s="22"/>
      <c r="I428" s="22"/>
    </row>
    <row r="429" spans="1:9" s="13" customFormat="1" ht="26.25" customHeight="1" thickBot="1">
      <c r="A429" s="13" t="s">
        <v>302</v>
      </c>
      <c r="B429" s="15" t="s">
        <v>166</v>
      </c>
      <c r="C429" s="42">
        <v>336.1</v>
      </c>
      <c r="D429" s="32" t="s">
        <v>165</v>
      </c>
      <c r="E429" s="21" t="s">
        <v>3103</v>
      </c>
      <c r="F429" s="22"/>
      <c r="G429" s="22"/>
      <c r="H429" s="22"/>
      <c r="I429" s="22"/>
    </row>
    <row r="430" spans="1:9" s="13" customFormat="1" ht="26.25" customHeight="1" thickBot="1">
      <c r="A430" s="13" t="s">
        <v>301</v>
      </c>
      <c r="B430" s="15" t="s">
        <v>300</v>
      </c>
      <c r="C430" s="42">
        <v>329.94</v>
      </c>
      <c r="D430" s="32">
        <v>44167</v>
      </c>
      <c r="E430" s="21" t="s">
        <v>3103</v>
      </c>
      <c r="F430" s="22"/>
      <c r="G430" s="22"/>
      <c r="H430" s="22"/>
      <c r="I430" s="22"/>
    </row>
    <row r="431" spans="1:9" s="13" customFormat="1" ht="26.25" customHeight="1" thickBot="1">
      <c r="A431" s="13" t="s">
        <v>299</v>
      </c>
      <c r="B431" s="15" t="s">
        <v>164</v>
      </c>
      <c r="C431" s="42">
        <v>810.4</v>
      </c>
      <c r="D431" s="32" t="s">
        <v>163</v>
      </c>
      <c r="E431" s="21" t="s">
        <v>3103</v>
      </c>
      <c r="F431" s="22"/>
      <c r="G431" s="22"/>
      <c r="H431" s="22"/>
      <c r="I431" s="22"/>
    </row>
    <row r="432" spans="1:9" s="13" customFormat="1" ht="26.25" customHeight="1" thickBot="1">
      <c r="A432" s="13" t="s">
        <v>298</v>
      </c>
      <c r="B432" s="15" t="s">
        <v>156</v>
      </c>
      <c r="C432" s="42">
        <v>547.48</v>
      </c>
      <c r="D432" s="32" t="s">
        <v>162</v>
      </c>
      <c r="E432" s="21" t="s">
        <v>3103</v>
      </c>
      <c r="F432" s="22"/>
      <c r="G432" s="22"/>
      <c r="H432" s="22"/>
      <c r="I432" s="22"/>
    </row>
    <row r="433" spans="1:9" s="13" customFormat="1" ht="26.25" customHeight="1" thickBot="1">
      <c r="A433" s="13" t="s">
        <v>297</v>
      </c>
      <c r="B433" s="15" t="s">
        <v>296</v>
      </c>
      <c r="C433" s="42">
        <v>7.63</v>
      </c>
      <c r="D433" s="32">
        <v>44161</v>
      </c>
      <c r="E433" s="21" t="s">
        <v>3103</v>
      </c>
      <c r="F433" s="22"/>
      <c r="G433" s="22"/>
      <c r="H433" s="22"/>
      <c r="I433" s="22"/>
    </row>
    <row r="434" spans="1:9" s="13" customFormat="1" ht="26.25" customHeight="1" thickBot="1">
      <c r="A434" s="13" t="s">
        <v>295</v>
      </c>
      <c r="B434" s="15" t="s">
        <v>161</v>
      </c>
      <c r="C434" s="42">
        <v>673.36</v>
      </c>
      <c r="D434" s="32" t="s">
        <v>160</v>
      </c>
      <c r="E434" s="21" t="s">
        <v>3103</v>
      </c>
      <c r="F434" s="22"/>
      <c r="G434" s="22"/>
      <c r="H434" s="22"/>
      <c r="I434" s="22"/>
    </row>
    <row r="435" spans="1:9" s="13" customFormat="1" ht="26.25" customHeight="1" thickBot="1">
      <c r="A435" s="13" t="s">
        <v>294</v>
      </c>
      <c r="B435" s="15" t="s">
        <v>293</v>
      </c>
      <c r="C435" s="42">
        <v>7.6</v>
      </c>
      <c r="D435" s="32" t="s">
        <v>159</v>
      </c>
      <c r="E435" s="21" t="s">
        <v>3103</v>
      </c>
      <c r="F435" s="22"/>
      <c r="G435" s="22"/>
      <c r="H435" s="22"/>
      <c r="I435" s="22"/>
    </row>
    <row r="436" spans="1:9" s="13" customFormat="1" ht="26.25" customHeight="1" thickBot="1">
      <c r="A436" s="13" t="s">
        <v>292</v>
      </c>
      <c r="B436" s="15" t="s">
        <v>291</v>
      </c>
      <c r="C436" s="42">
        <v>336.17</v>
      </c>
      <c r="D436" s="32" t="s">
        <v>159</v>
      </c>
      <c r="E436" s="21" t="s">
        <v>3103</v>
      </c>
      <c r="F436" s="22"/>
      <c r="G436" s="22"/>
      <c r="H436" s="22"/>
      <c r="I436" s="22"/>
    </row>
    <row r="437" spans="1:9" s="13" customFormat="1" ht="26.25" customHeight="1" thickBot="1">
      <c r="A437" s="13" t="s">
        <v>290</v>
      </c>
      <c r="B437" s="15" t="s">
        <v>289</v>
      </c>
      <c r="C437" s="42">
        <v>829.37</v>
      </c>
      <c r="D437" s="32">
        <v>44160</v>
      </c>
      <c r="E437" s="21" t="s">
        <v>3103</v>
      </c>
      <c r="F437" s="22"/>
      <c r="G437" s="22"/>
      <c r="H437" s="22"/>
      <c r="I437" s="22"/>
    </row>
    <row r="438" spans="1:9" s="13" customFormat="1" ht="26.25" customHeight="1" thickBot="1">
      <c r="A438" s="13" t="s">
        <v>288</v>
      </c>
      <c r="B438" s="15" t="s">
        <v>287</v>
      </c>
      <c r="C438" s="42">
        <v>7.63</v>
      </c>
      <c r="D438" s="32">
        <v>44158</v>
      </c>
      <c r="E438" s="21" t="s">
        <v>3103</v>
      </c>
      <c r="F438" s="22"/>
      <c r="G438" s="22"/>
      <c r="H438" s="22"/>
      <c r="I438" s="22"/>
    </row>
    <row r="439" spans="1:9" s="13" customFormat="1" ht="26.25" customHeight="1" thickBot="1">
      <c r="A439" s="13" t="s">
        <v>286</v>
      </c>
      <c r="B439" s="15" t="s">
        <v>148</v>
      </c>
      <c r="C439" s="42">
        <v>835</v>
      </c>
      <c r="D439" s="32" t="s">
        <v>158</v>
      </c>
      <c r="E439" s="21" t="s">
        <v>3103</v>
      </c>
      <c r="F439" s="22"/>
      <c r="G439" s="22"/>
      <c r="H439" s="22"/>
      <c r="I439" s="22"/>
    </row>
    <row r="440" spans="1:9" s="13" customFormat="1" ht="26.25" customHeight="1" thickBot="1">
      <c r="A440" s="13" t="s">
        <v>146</v>
      </c>
      <c r="B440" s="15" t="s">
        <v>145</v>
      </c>
      <c r="C440" s="42">
        <v>7.13</v>
      </c>
      <c r="D440" s="32" t="s">
        <v>158</v>
      </c>
      <c r="E440" s="21" t="s">
        <v>3103</v>
      </c>
      <c r="F440" s="22"/>
      <c r="G440" s="22"/>
      <c r="H440" s="22"/>
      <c r="I440" s="22"/>
    </row>
    <row r="441" spans="1:9" s="13" customFormat="1" ht="26.25" customHeight="1" thickBot="1">
      <c r="A441" s="15" t="s">
        <v>144</v>
      </c>
      <c r="B441" s="15" t="s">
        <v>285</v>
      </c>
      <c r="C441" s="42">
        <v>336.17</v>
      </c>
      <c r="D441" s="32">
        <v>44156</v>
      </c>
      <c r="E441" s="21" t="s">
        <v>3103</v>
      </c>
      <c r="F441" s="22"/>
      <c r="G441" s="22"/>
      <c r="H441" s="22"/>
      <c r="I441" s="22"/>
    </row>
    <row r="442" spans="1:9" s="35" customFormat="1" ht="26.25" customHeight="1" thickBot="1">
      <c r="A442" s="34" t="s">
        <v>284</v>
      </c>
      <c r="B442" s="15" t="s">
        <v>283</v>
      </c>
      <c r="C442" s="42">
        <v>673.99</v>
      </c>
      <c r="D442" s="32" t="s">
        <v>157</v>
      </c>
      <c r="E442" s="21" t="s">
        <v>3103</v>
      </c>
      <c r="F442" s="22"/>
      <c r="G442" s="22"/>
      <c r="H442" s="22"/>
      <c r="I442" s="22"/>
    </row>
    <row r="443" spans="1:9" s="13" customFormat="1" ht="26.25" customHeight="1" thickBot="1">
      <c r="A443" s="13" t="s">
        <v>282</v>
      </c>
      <c r="B443" s="15" t="s">
        <v>281</v>
      </c>
      <c r="C443" s="42">
        <v>336.57</v>
      </c>
      <c r="D443" s="32" t="s">
        <v>157</v>
      </c>
      <c r="E443" s="21" t="s">
        <v>3103</v>
      </c>
      <c r="F443" s="22"/>
      <c r="G443" s="22"/>
      <c r="H443" s="22"/>
      <c r="I443" s="22"/>
    </row>
    <row r="444" spans="1:9" s="13" customFormat="1" ht="26.25" customHeight="1" thickBot="1">
      <c r="A444" s="13" t="s">
        <v>280</v>
      </c>
      <c r="B444" s="15"/>
      <c r="C444" s="42">
        <v>675</v>
      </c>
      <c r="D444" s="32" t="s">
        <v>155</v>
      </c>
      <c r="E444" s="21" t="s">
        <v>3103</v>
      </c>
      <c r="F444" s="22"/>
      <c r="G444" s="22"/>
      <c r="H444" s="22"/>
      <c r="I444" s="22"/>
    </row>
    <row r="445" spans="1:9" s="13" customFormat="1" ht="26.25" customHeight="1" thickBot="1">
      <c r="A445" s="13" t="s">
        <v>279</v>
      </c>
      <c r="B445" s="15" t="s">
        <v>278</v>
      </c>
      <c r="C445" s="42">
        <v>336.57</v>
      </c>
      <c r="D445" s="32" t="s">
        <v>155</v>
      </c>
      <c r="E445" s="21" t="s">
        <v>3103</v>
      </c>
      <c r="F445" s="22"/>
      <c r="G445" s="22"/>
      <c r="H445" s="22"/>
      <c r="I445" s="22"/>
    </row>
    <row r="446" spans="1:9" s="13" customFormat="1" ht="26.25" customHeight="1" thickBot="1">
      <c r="A446" s="13" t="s">
        <v>154</v>
      </c>
      <c r="B446" s="15" t="s">
        <v>153</v>
      </c>
      <c r="C446" s="42">
        <v>7.63</v>
      </c>
      <c r="D446" s="32" t="s">
        <v>152</v>
      </c>
      <c r="E446" s="21" t="s">
        <v>3103</v>
      </c>
      <c r="F446" s="22"/>
      <c r="G446" s="22"/>
      <c r="H446" s="22"/>
      <c r="I446" s="22"/>
    </row>
    <row r="447" spans="1:9" s="13" customFormat="1" ht="26.25" customHeight="1" thickBot="1">
      <c r="A447" s="13" t="s">
        <v>277</v>
      </c>
      <c r="B447" s="15" t="s">
        <v>276</v>
      </c>
      <c r="C447" s="42">
        <v>547.48</v>
      </c>
      <c r="D447" s="32" t="s">
        <v>151</v>
      </c>
      <c r="E447" s="21" t="s">
        <v>3103</v>
      </c>
      <c r="F447" s="22"/>
      <c r="G447" s="22"/>
      <c r="H447" s="22"/>
      <c r="I447" s="22"/>
    </row>
    <row r="448" spans="1:9" s="13" customFormat="1" ht="26.25" customHeight="1" thickBot="1">
      <c r="A448" s="13" t="s">
        <v>275</v>
      </c>
      <c r="B448" s="15" t="s">
        <v>274</v>
      </c>
      <c r="C448" s="42">
        <v>830</v>
      </c>
      <c r="D448" s="32" t="s">
        <v>151</v>
      </c>
      <c r="E448" s="21" t="s">
        <v>3103</v>
      </c>
      <c r="F448" s="22"/>
      <c r="G448" s="22"/>
      <c r="H448" s="22"/>
      <c r="I448" s="22"/>
    </row>
    <row r="449" spans="1:9" s="13" customFormat="1" ht="26.25" customHeight="1" thickBot="1">
      <c r="A449" s="13" t="s">
        <v>273</v>
      </c>
      <c r="B449" s="15" t="s">
        <v>272</v>
      </c>
      <c r="C449" s="42">
        <v>336.57</v>
      </c>
      <c r="D449" s="32">
        <v>44146</v>
      </c>
      <c r="E449" s="21" t="s">
        <v>3103</v>
      </c>
      <c r="F449" s="22"/>
      <c r="G449" s="22"/>
      <c r="H449" s="22"/>
      <c r="I449" s="22"/>
    </row>
    <row r="450" spans="1:9" s="13" customFormat="1" ht="26.25" customHeight="1" thickBot="1">
      <c r="A450" s="13" t="s">
        <v>150</v>
      </c>
      <c r="B450" s="15" t="s">
        <v>149</v>
      </c>
      <c r="C450" s="42">
        <v>336.57</v>
      </c>
      <c r="D450" s="32" t="s">
        <v>147</v>
      </c>
      <c r="E450" s="21" t="s">
        <v>3103</v>
      </c>
      <c r="F450" s="22"/>
      <c r="G450" s="22"/>
      <c r="H450" s="22"/>
      <c r="I450" s="22"/>
    </row>
    <row r="451" spans="1:9" s="13" customFormat="1" ht="26.25" customHeight="1" thickBot="1">
      <c r="A451" s="13" t="s">
        <v>271</v>
      </c>
      <c r="B451" s="15" t="s">
        <v>257</v>
      </c>
      <c r="C451" s="42">
        <v>331</v>
      </c>
      <c r="D451" s="32" t="s">
        <v>143</v>
      </c>
      <c r="E451" s="21" t="s">
        <v>3103</v>
      </c>
      <c r="F451" s="22"/>
      <c r="G451" s="22"/>
      <c r="H451" s="22"/>
      <c r="I451" s="22"/>
    </row>
    <row r="452" spans="1:9" s="13" customFormat="1" ht="26.25" customHeight="1" thickBot="1">
      <c r="A452" s="13" t="s">
        <v>270</v>
      </c>
      <c r="B452" s="15" t="s">
        <v>269</v>
      </c>
      <c r="C452" s="42">
        <v>547.48</v>
      </c>
      <c r="D452" s="32" t="s">
        <v>142</v>
      </c>
      <c r="E452" s="21" t="s">
        <v>3103</v>
      </c>
      <c r="F452" s="22"/>
      <c r="G452" s="22"/>
      <c r="H452" s="22"/>
      <c r="I452" s="22"/>
    </row>
    <row r="453" spans="1:9" s="13" customFormat="1" ht="26.25" customHeight="1" thickBot="1">
      <c r="A453" s="13" t="s">
        <v>134</v>
      </c>
      <c r="B453" s="15" t="s">
        <v>268</v>
      </c>
      <c r="C453" s="42">
        <v>7.61</v>
      </c>
      <c r="D453" s="32">
        <v>44140</v>
      </c>
      <c r="E453" s="21" t="s">
        <v>3103</v>
      </c>
      <c r="F453" s="22"/>
      <c r="G453" s="22"/>
      <c r="H453" s="22"/>
      <c r="I453" s="22"/>
    </row>
    <row r="454" spans="1:9" s="13" customFormat="1" ht="26.25" customHeight="1" thickBot="1">
      <c r="A454" s="13" t="s">
        <v>267</v>
      </c>
      <c r="B454" s="15" t="s">
        <v>266</v>
      </c>
      <c r="C454" s="42">
        <v>547.48</v>
      </c>
      <c r="D454" s="32" t="s">
        <v>141</v>
      </c>
      <c r="E454" s="21" t="s">
        <v>3103</v>
      </c>
      <c r="F454" s="22"/>
      <c r="G454" s="22"/>
      <c r="H454" s="22"/>
      <c r="I454" s="22"/>
    </row>
    <row r="455" spans="1:9" s="13" customFormat="1" ht="26.25" customHeight="1" thickBot="1">
      <c r="A455" s="13" t="s">
        <v>265</v>
      </c>
      <c r="B455" s="15" t="s">
        <v>264</v>
      </c>
      <c r="C455" s="42">
        <v>7.61</v>
      </c>
      <c r="D455" s="32">
        <v>44137</v>
      </c>
      <c r="E455" s="21" t="s">
        <v>3103</v>
      </c>
      <c r="F455" s="22"/>
      <c r="G455" s="22"/>
      <c r="H455" s="22"/>
      <c r="I455" s="22"/>
    </row>
    <row r="456" spans="1:9" s="13" customFormat="1" ht="26.25" customHeight="1" thickBot="1">
      <c r="A456" s="13" t="s">
        <v>263</v>
      </c>
      <c r="B456" s="15" t="s">
        <v>262</v>
      </c>
      <c r="C456" s="42">
        <v>336.07</v>
      </c>
      <c r="D456" s="32">
        <v>44136</v>
      </c>
      <c r="E456" s="21" t="s">
        <v>3103</v>
      </c>
      <c r="F456" s="22"/>
      <c r="G456" s="22"/>
      <c r="H456" s="22"/>
      <c r="I456" s="22"/>
    </row>
    <row r="457" spans="1:9" s="13" customFormat="1" ht="26.25" customHeight="1" thickBot="1">
      <c r="A457" s="13" t="s">
        <v>125</v>
      </c>
      <c r="B457" s="15" t="s">
        <v>261</v>
      </c>
      <c r="C457" s="42">
        <v>366.14</v>
      </c>
      <c r="D457" s="32" t="s">
        <v>140</v>
      </c>
      <c r="E457" s="21" t="s">
        <v>3103</v>
      </c>
      <c r="F457" s="22"/>
      <c r="G457" s="22"/>
      <c r="H457" s="22"/>
      <c r="I457" s="22"/>
    </row>
    <row r="458" spans="1:9" s="13" customFormat="1" ht="26.25" customHeight="1" thickBot="1">
      <c r="A458" s="13" t="s">
        <v>260</v>
      </c>
      <c r="B458" s="15" t="s">
        <v>139</v>
      </c>
      <c r="C458" s="42">
        <v>364.3</v>
      </c>
      <c r="D458" s="32" t="s">
        <v>138</v>
      </c>
      <c r="E458" s="21" t="s">
        <v>3103</v>
      </c>
      <c r="F458" s="22"/>
      <c r="G458" s="22"/>
      <c r="H458" s="22"/>
      <c r="I458" s="22"/>
    </row>
    <row r="459" spans="1:9" s="13" customFormat="1" ht="26.25" customHeight="1" thickBot="1">
      <c r="A459" s="13" t="s">
        <v>137</v>
      </c>
      <c r="B459" s="15" t="s">
        <v>136</v>
      </c>
      <c r="C459" s="42">
        <v>336.57</v>
      </c>
      <c r="D459" s="32" t="s">
        <v>135</v>
      </c>
      <c r="E459" s="21" t="s">
        <v>3103</v>
      </c>
      <c r="F459" s="22"/>
      <c r="G459" s="22"/>
      <c r="H459" s="22"/>
      <c r="I459" s="22"/>
    </row>
    <row r="460" spans="1:9" s="13" customFormat="1" ht="26.25" customHeight="1" thickBot="1">
      <c r="A460" s="13" t="s">
        <v>259</v>
      </c>
      <c r="B460" s="15" t="s">
        <v>133</v>
      </c>
      <c r="C460" s="42">
        <v>335.35</v>
      </c>
      <c r="D460" s="32" t="s">
        <v>132</v>
      </c>
      <c r="E460" s="21" t="s">
        <v>3103</v>
      </c>
      <c r="F460" s="22"/>
      <c r="G460" s="22"/>
      <c r="H460" s="22"/>
      <c r="I460" s="22"/>
    </row>
    <row r="461" spans="1:9" s="13" customFormat="1" ht="26.25" customHeight="1" thickBot="1">
      <c r="A461" s="13" t="s">
        <v>258</v>
      </c>
      <c r="B461" s="15" t="s">
        <v>257</v>
      </c>
      <c r="C461" s="42">
        <v>331</v>
      </c>
      <c r="D461" s="32" t="s">
        <v>130</v>
      </c>
      <c r="E461" s="21" t="s">
        <v>3103</v>
      </c>
      <c r="F461" s="22"/>
      <c r="G461" s="22"/>
      <c r="H461" s="22"/>
      <c r="I461" s="22"/>
    </row>
    <row r="462" spans="1:9" s="13" customFormat="1" ht="26.25" customHeight="1" thickBot="1">
      <c r="A462" s="13" t="s">
        <v>256</v>
      </c>
      <c r="B462" s="15" t="s">
        <v>129</v>
      </c>
      <c r="C462" s="42">
        <v>336</v>
      </c>
      <c r="D462" s="32" t="s">
        <v>128</v>
      </c>
      <c r="E462" s="21" t="s">
        <v>3103</v>
      </c>
      <c r="F462" s="22"/>
      <c r="G462" s="22"/>
      <c r="H462" s="22"/>
      <c r="I462" s="22"/>
    </row>
    <row r="463" spans="1:9" s="13" customFormat="1" ht="26.25" customHeight="1" thickBot="1">
      <c r="A463" s="13" t="s">
        <v>255</v>
      </c>
      <c r="B463" s="15" t="s">
        <v>127</v>
      </c>
      <c r="C463" s="42">
        <v>366.29</v>
      </c>
      <c r="D463" s="32" t="s">
        <v>126</v>
      </c>
      <c r="E463" s="21" t="s">
        <v>3103</v>
      </c>
      <c r="F463" s="22"/>
      <c r="G463" s="22"/>
      <c r="H463" s="22"/>
      <c r="I463" s="22"/>
    </row>
    <row r="464" spans="1:9" s="13" customFormat="1" ht="26.25" customHeight="1" thickBot="1">
      <c r="A464" s="13" t="s">
        <v>254</v>
      </c>
      <c r="B464" s="15" t="s">
        <v>253</v>
      </c>
      <c r="C464" s="42">
        <v>336.91</v>
      </c>
      <c r="D464" s="32">
        <v>44118</v>
      </c>
      <c r="E464" s="21" t="s">
        <v>3103</v>
      </c>
      <c r="F464" s="22"/>
      <c r="G464" s="22"/>
      <c r="H464" s="22"/>
      <c r="I464" s="22"/>
    </row>
    <row r="465" spans="1:9" s="13" customFormat="1" ht="26.25" customHeight="1" thickBot="1">
      <c r="A465" s="13" t="s">
        <v>124</v>
      </c>
      <c r="B465" s="15" t="s">
        <v>252</v>
      </c>
      <c r="C465" s="42">
        <v>336</v>
      </c>
      <c r="D465" s="32">
        <v>44115</v>
      </c>
      <c r="E465" s="21" t="s">
        <v>3103</v>
      </c>
      <c r="F465" s="22"/>
      <c r="G465" s="22"/>
      <c r="H465" s="22"/>
      <c r="I465" s="22"/>
    </row>
    <row r="466" spans="1:9" s="13" customFormat="1" ht="26.25" customHeight="1" thickBot="1">
      <c r="A466" s="13" t="s">
        <v>251</v>
      </c>
      <c r="B466" s="15" t="s">
        <v>123</v>
      </c>
      <c r="C466" s="42">
        <v>7.64</v>
      </c>
      <c r="D466" s="32" t="s">
        <v>122</v>
      </c>
      <c r="E466" s="21" t="s">
        <v>3103</v>
      </c>
      <c r="F466" s="22"/>
      <c r="G466" s="22"/>
      <c r="H466" s="22"/>
      <c r="I466" s="22"/>
    </row>
    <row r="467" spans="1:9" s="13" customFormat="1" ht="26.25" customHeight="1" thickBot="1">
      <c r="A467" s="13" t="s">
        <v>250</v>
      </c>
      <c r="B467" s="15" t="s">
        <v>249</v>
      </c>
      <c r="C467" s="42">
        <v>335.35</v>
      </c>
      <c r="D467" s="32">
        <v>44109</v>
      </c>
      <c r="E467" s="21" t="s">
        <v>3103</v>
      </c>
      <c r="F467" s="22"/>
      <c r="G467" s="22"/>
      <c r="H467" s="22"/>
      <c r="I467" s="22"/>
    </row>
    <row r="468" spans="1:9" s="13" customFormat="1" ht="26.25" customHeight="1" thickBot="1">
      <c r="A468" s="13" t="s">
        <v>121</v>
      </c>
      <c r="B468" s="15" t="s">
        <v>248</v>
      </c>
      <c r="C468" s="42">
        <v>7.61</v>
      </c>
      <c r="D468" s="32">
        <v>44107</v>
      </c>
      <c r="E468" s="21" t="s">
        <v>3103</v>
      </c>
      <c r="F468" s="22"/>
      <c r="G468" s="22"/>
      <c r="H468" s="22"/>
      <c r="I468" s="22"/>
    </row>
    <row r="469" spans="1:9" s="13" customFormat="1" ht="26.25" customHeight="1" thickBot="1">
      <c r="A469" s="13" t="s">
        <v>247</v>
      </c>
      <c r="B469" s="15" t="s">
        <v>246</v>
      </c>
      <c r="C469" s="42">
        <v>547.48</v>
      </c>
      <c r="D469" s="32">
        <v>44107</v>
      </c>
      <c r="E469" s="21" t="s">
        <v>3103</v>
      </c>
      <c r="F469" s="22"/>
      <c r="G469" s="22"/>
      <c r="H469" s="22"/>
      <c r="I469" s="22"/>
    </row>
    <row r="470" spans="1:9" s="13" customFormat="1" ht="26.25" customHeight="1" thickBot="1">
      <c r="A470" s="13" t="s">
        <v>120</v>
      </c>
      <c r="B470" s="15" t="s">
        <v>119</v>
      </c>
      <c r="C470" s="42">
        <v>336.1</v>
      </c>
      <c r="D470" s="32">
        <v>44105</v>
      </c>
      <c r="E470" s="21" t="s">
        <v>3103</v>
      </c>
      <c r="F470" s="22"/>
      <c r="G470" s="22"/>
      <c r="H470" s="22"/>
      <c r="I470" s="22"/>
    </row>
    <row r="471" spans="1:9" s="13" customFormat="1" ht="26.25" customHeight="1" thickBot="1">
      <c r="A471" s="13" t="s">
        <v>118</v>
      </c>
      <c r="B471" s="15" t="s">
        <v>117</v>
      </c>
      <c r="C471" s="42">
        <v>673.3</v>
      </c>
      <c r="D471" s="32">
        <v>44105</v>
      </c>
      <c r="E471" s="21" t="s">
        <v>3103</v>
      </c>
      <c r="F471" s="22"/>
      <c r="G471" s="22"/>
      <c r="H471" s="22"/>
      <c r="I471" s="22"/>
    </row>
    <row r="472" spans="1:9" s="13" customFormat="1" ht="26.25" customHeight="1" thickBot="1">
      <c r="A472" s="13" t="s">
        <v>245</v>
      </c>
      <c r="B472" s="15" t="s">
        <v>111</v>
      </c>
      <c r="C472" s="42">
        <v>336.55</v>
      </c>
      <c r="D472" s="32" t="s">
        <v>116</v>
      </c>
      <c r="E472" s="21" t="s">
        <v>3103</v>
      </c>
      <c r="F472" s="22"/>
      <c r="G472" s="22"/>
      <c r="H472" s="22"/>
      <c r="I472" s="22"/>
    </row>
    <row r="473" spans="1:9" s="13" customFormat="1" ht="26.25" customHeight="1" thickBot="1">
      <c r="A473" s="13" t="s">
        <v>244</v>
      </c>
      <c r="B473" s="15" t="s">
        <v>106</v>
      </c>
      <c r="C473" s="42">
        <v>336.17</v>
      </c>
      <c r="D473" s="32" t="s">
        <v>115</v>
      </c>
      <c r="E473" s="21" t="s">
        <v>3103</v>
      </c>
      <c r="F473" s="22"/>
      <c r="G473" s="22"/>
      <c r="H473" s="22"/>
      <c r="I473" s="22"/>
    </row>
    <row r="474" spans="1:9" s="13" customFormat="1" ht="26.25" customHeight="1" thickBot="1">
      <c r="A474" s="13" t="s">
        <v>243</v>
      </c>
      <c r="B474" s="15" t="s">
        <v>242</v>
      </c>
      <c r="C474" s="42">
        <v>336</v>
      </c>
      <c r="D474" s="32">
        <v>44094</v>
      </c>
      <c r="E474" s="21" t="s">
        <v>3103</v>
      </c>
      <c r="F474" s="22"/>
      <c r="G474" s="22"/>
      <c r="H474" s="22"/>
      <c r="I474" s="22"/>
    </row>
    <row r="475" spans="1:9" s="13" customFormat="1" ht="26.25" customHeight="1" thickBot="1">
      <c r="A475" s="13" t="s">
        <v>241</v>
      </c>
      <c r="B475" s="15" t="s">
        <v>230</v>
      </c>
      <c r="C475" s="42">
        <v>547.48</v>
      </c>
      <c r="D475" s="32" t="s">
        <v>113</v>
      </c>
      <c r="E475" s="21" t="s">
        <v>3103</v>
      </c>
      <c r="F475" s="22"/>
      <c r="G475" s="22"/>
      <c r="H475" s="22"/>
      <c r="I475" s="22"/>
    </row>
    <row r="476" spans="1:9" s="13" customFormat="1" ht="26.25" customHeight="1" thickBot="1">
      <c r="A476" s="13" t="s">
        <v>114</v>
      </c>
      <c r="B476" s="15" t="s">
        <v>240</v>
      </c>
      <c r="C476" s="42">
        <v>336.17</v>
      </c>
      <c r="D476" s="32" t="s">
        <v>113</v>
      </c>
      <c r="E476" s="21" t="s">
        <v>3103</v>
      </c>
      <c r="F476" s="22"/>
      <c r="G476" s="22"/>
      <c r="H476" s="22"/>
      <c r="I476" s="22"/>
    </row>
    <row r="477" spans="1:9" s="13" customFormat="1" ht="26.25" customHeight="1" thickBot="1">
      <c r="A477" s="13" t="s">
        <v>112</v>
      </c>
      <c r="B477" s="15" t="s">
        <v>111</v>
      </c>
      <c r="C477" s="42">
        <v>336.55</v>
      </c>
      <c r="D477" s="32" t="s">
        <v>110</v>
      </c>
      <c r="E477" s="21" t="s">
        <v>3103</v>
      </c>
      <c r="F477" s="22"/>
      <c r="G477" s="22"/>
      <c r="H477" s="22"/>
      <c r="I477" s="22"/>
    </row>
    <row r="478" spans="1:9" s="13" customFormat="1" ht="26.25" customHeight="1" thickBot="1">
      <c r="A478" s="13" t="s">
        <v>239</v>
      </c>
      <c r="B478" s="15" t="s">
        <v>238</v>
      </c>
      <c r="C478" s="42">
        <v>670.93</v>
      </c>
      <c r="D478" s="32" t="s">
        <v>110</v>
      </c>
      <c r="E478" s="21" t="s">
        <v>3103</v>
      </c>
      <c r="F478" s="22"/>
      <c r="G478" s="22"/>
      <c r="H478" s="22"/>
      <c r="I478" s="22"/>
    </row>
    <row r="479" spans="1:9" s="13" customFormat="1" ht="26.25" customHeight="1" thickBot="1">
      <c r="A479" s="13" t="s">
        <v>109</v>
      </c>
      <c r="B479" s="15" t="s">
        <v>237</v>
      </c>
      <c r="C479" s="42">
        <v>670.93</v>
      </c>
      <c r="D479" s="32">
        <v>44086</v>
      </c>
      <c r="E479" s="21" t="s">
        <v>3103</v>
      </c>
      <c r="F479" s="22"/>
      <c r="G479" s="22"/>
      <c r="H479" s="22"/>
      <c r="I479" s="22"/>
    </row>
    <row r="480" spans="1:9" s="13" customFormat="1" ht="26.25" customHeight="1" thickBot="1">
      <c r="A480" s="13" t="s">
        <v>236</v>
      </c>
      <c r="B480" s="15" t="s">
        <v>235</v>
      </c>
      <c r="C480" s="42">
        <v>336.55</v>
      </c>
      <c r="D480" s="32" t="s">
        <v>108</v>
      </c>
      <c r="E480" s="21" t="s">
        <v>3103</v>
      </c>
      <c r="F480" s="22"/>
      <c r="G480" s="22"/>
      <c r="H480" s="22"/>
      <c r="I480" s="22"/>
    </row>
    <row r="481" spans="1:9" s="13" customFormat="1" ht="26.25" customHeight="1" thickBot="1">
      <c r="A481" s="13" t="s">
        <v>107</v>
      </c>
      <c r="B481" s="15" t="s">
        <v>234</v>
      </c>
      <c r="C481" s="42">
        <v>829.37</v>
      </c>
      <c r="D481" s="32">
        <v>44083</v>
      </c>
      <c r="E481" s="21" t="s">
        <v>3103</v>
      </c>
      <c r="F481" s="22"/>
      <c r="G481" s="22"/>
      <c r="H481" s="22"/>
      <c r="I481" s="22"/>
    </row>
    <row r="482" spans="1:9" s="13" customFormat="1" ht="26.25" customHeight="1" thickBot="1">
      <c r="A482" s="13" t="s">
        <v>233</v>
      </c>
      <c r="B482" s="15" t="s">
        <v>232</v>
      </c>
      <c r="C482" s="42">
        <v>829.37</v>
      </c>
      <c r="D482" s="32">
        <v>44082</v>
      </c>
      <c r="E482" s="21" t="s">
        <v>3103</v>
      </c>
      <c r="F482" s="22"/>
      <c r="G482" s="22"/>
      <c r="H482" s="22"/>
      <c r="I482" s="22"/>
    </row>
    <row r="483" spans="1:9" s="13" customFormat="1" ht="26.25" customHeight="1">
      <c r="A483" s="13" t="s">
        <v>231</v>
      </c>
      <c r="B483" s="15" t="s">
        <v>230</v>
      </c>
      <c r="C483" s="42">
        <v>7.64</v>
      </c>
      <c r="D483" s="32">
        <v>44077</v>
      </c>
      <c r="E483" s="21" t="s">
        <v>3103</v>
      </c>
      <c r="F483" s="22"/>
      <c r="G483" s="22"/>
      <c r="H483" s="22"/>
      <c r="I483" s="22"/>
    </row>
    <row r="484" spans="1:9" ht="26.25" customHeight="1">
      <c r="A484" s="140" t="s">
        <v>229</v>
      </c>
      <c r="B484" s="3"/>
      <c r="C484" s="48"/>
      <c r="D484" s="8"/>
      <c r="E484" s="3"/>
      <c r="F484" s="3"/>
      <c r="G484" s="3"/>
      <c r="H484" s="3"/>
      <c r="I484" s="3"/>
    </row>
    <row r="485" spans="1:9" ht="26.25" customHeight="1">
      <c r="A485" s="5" t="s">
        <v>229</v>
      </c>
    </row>
  </sheetData>
  <autoFilter ref="B1:C407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"/>
  <sheetViews>
    <sheetView topLeftCell="A19" workbookViewId="0">
      <selection activeCell="A30" sqref="A1:XFD30"/>
    </sheetView>
  </sheetViews>
  <sheetFormatPr defaultRowHeight="18.75"/>
  <cols>
    <col min="1" max="1" width="58.875" customWidth="1"/>
    <col min="2" max="2" width="23.125" customWidth="1"/>
    <col min="4" max="4" width="19.75" customWidth="1"/>
  </cols>
  <sheetData/>
  <phoneticPr fontId="3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44" sqref="F44"/>
    </sheetView>
  </sheetViews>
  <sheetFormatPr defaultRowHeight="18.75"/>
  <cols>
    <col min="3" max="4" width="16.75" style="41" customWidth="1"/>
    <col min="5" max="5" width="16.75" customWidth="1"/>
  </cols>
  <sheetData>
    <row r="1" spans="1:7">
      <c r="A1" s="12">
        <f>SUM(C1:D1)</f>
        <v>372</v>
      </c>
      <c r="B1" t="s">
        <v>795</v>
      </c>
      <c r="C1" s="40">
        <f>SUM(C7:C51)</f>
        <v>309</v>
      </c>
      <c r="D1" s="40">
        <f>SUM(D7:D51)</f>
        <v>63</v>
      </c>
    </row>
    <row r="2" spans="1:7" s="10" customFormat="1">
      <c r="A2" s="10" t="s">
        <v>772</v>
      </c>
      <c r="B2" s="10" t="s">
        <v>773</v>
      </c>
      <c r="C2" s="10" t="s">
        <v>794</v>
      </c>
      <c r="D2" s="10" t="s">
        <v>793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0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0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0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0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0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0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0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0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0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0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0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0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0">
        <v>0</v>
      </c>
      <c r="E16" s="12"/>
      <c r="G16" s="12"/>
    </row>
    <row r="17" spans="1:5">
      <c r="A17">
        <v>2022</v>
      </c>
      <c r="B17">
        <v>11</v>
      </c>
      <c r="C17" s="40">
        <v>0</v>
      </c>
      <c r="D17" s="40">
        <v>0</v>
      </c>
      <c r="E17" s="12"/>
    </row>
    <row r="18" spans="1:5">
      <c r="A18">
        <v>2022</v>
      </c>
      <c r="B18">
        <v>10</v>
      </c>
      <c r="C18" s="40">
        <v>0</v>
      </c>
      <c r="D18" s="40">
        <v>0</v>
      </c>
      <c r="E18" s="12"/>
    </row>
    <row r="19" spans="1:5">
      <c r="A19">
        <v>2022</v>
      </c>
      <c r="B19">
        <v>9</v>
      </c>
      <c r="C19" s="40">
        <v>0</v>
      </c>
      <c r="D19" s="40">
        <v>0</v>
      </c>
      <c r="E19" s="12"/>
    </row>
    <row r="20" spans="1:5">
      <c r="A20">
        <v>2022</v>
      </c>
      <c r="B20">
        <v>8</v>
      </c>
      <c r="C20" s="40">
        <v>0</v>
      </c>
      <c r="D20" s="40">
        <v>0</v>
      </c>
      <c r="E20" s="12"/>
    </row>
    <row r="21" spans="1:5">
      <c r="A21">
        <v>2022</v>
      </c>
      <c r="B21">
        <v>7</v>
      </c>
      <c r="C21" s="40">
        <v>0</v>
      </c>
      <c r="D21" s="40">
        <v>0</v>
      </c>
      <c r="E21" s="12"/>
    </row>
    <row r="22" spans="1:5">
      <c r="A22">
        <v>2022</v>
      </c>
      <c r="B22">
        <v>6</v>
      </c>
      <c r="C22" s="40">
        <v>0</v>
      </c>
      <c r="D22" s="40">
        <v>0</v>
      </c>
      <c r="E22" s="12"/>
    </row>
    <row r="23" spans="1:5">
      <c r="A23">
        <v>2022</v>
      </c>
      <c r="B23">
        <v>5</v>
      </c>
      <c r="C23" s="40">
        <v>0</v>
      </c>
      <c r="D23" s="40">
        <v>0</v>
      </c>
      <c r="E23" s="12"/>
    </row>
    <row r="24" spans="1:5">
      <c r="A24">
        <v>2022</v>
      </c>
      <c r="B24">
        <v>4</v>
      </c>
      <c r="C24" s="40">
        <v>0</v>
      </c>
      <c r="D24" s="40">
        <v>0</v>
      </c>
      <c r="E24" s="12"/>
    </row>
    <row r="25" spans="1:5">
      <c r="A25">
        <v>2022</v>
      </c>
      <c r="B25">
        <v>3</v>
      </c>
      <c r="C25" s="40">
        <v>0</v>
      </c>
      <c r="D25" s="40">
        <v>0</v>
      </c>
      <c r="E25" s="12"/>
    </row>
    <row r="26" spans="1:5">
      <c r="A26">
        <v>2022</v>
      </c>
      <c r="B26">
        <v>2</v>
      </c>
      <c r="C26" s="40">
        <v>0</v>
      </c>
      <c r="D26" s="40">
        <v>0</v>
      </c>
      <c r="E26" s="12"/>
    </row>
    <row r="27" spans="1:5">
      <c r="A27">
        <v>2022</v>
      </c>
      <c r="B27">
        <v>1</v>
      </c>
      <c r="C27" s="40">
        <v>0</v>
      </c>
      <c r="D27" s="40">
        <v>0</v>
      </c>
      <c r="E27" s="12"/>
    </row>
    <row r="28" spans="1:5">
      <c r="A28">
        <v>2021</v>
      </c>
      <c r="B28">
        <v>12</v>
      </c>
      <c r="C28" s="40">
        <v>0</v>
      </c>
      <c r="D28" s="40">
        <v>0</v>
      </c>
      <c r="E28" s="12"/>
    </row>
    <row r="29" spans="1:5">
      <c r="A29">
        <v>2021</v>
      </c>
      <c r="B29">
        <v>11</v>
      </c>
      <c r="C29" s="40">
        <v>34</v>
      </c>
      <c r="D29" s="40">
        <v>20</v>
      </c>
      <c r="E29" s="12"/>
    </row>
    <row r="30" spans="1:5">
      <c r="A30">
        <v>2021</v>
      </c>
      <c r="B30">
        <v>10</v>
      </c>
      <c r="C30" s="40">
        <v>28</v>
      </c>
      <c r="D30" s="40">
        <v>21</v>
      </c>
      <c r="E30" s="12"/>
    </row>
    <row r="31" spans="1:5">
      <c r="A31">
        <v>2021</v>
      </c>
      <c r="B31">
        <v>9</v>
      </c>
      <c r="C31" s="40">
        <v>26</v>
      </c>
      <c r="D31" s="40">
        <v>11</v>
      </c>
      <c r="E31" s="12"/>
    </row>
    <row r="32" spans="1:5">
      <c r="A32">
        <v>2021</v>
      </c>
      <c r="B32">
        <v>8</v>
      </c>
      <c r="C32" s="40">
        <v>20</v>
      </c>
      <c r="D32" s="40">
        <v>5</v>
      </c>
      <c r="E32" s="12"/>
    </row>
    <row r="33" spans="1:5">
      <c r="A33">
        <v>2021</v>
      </c>
      <c r="B33">
        <v>7</v>
      </c>
      <c r="C33" s="40">
        <v>15</v>
      </c>
      <c r="D33" s="40">
        <v>1</v>
      </c>
      <c r="E33" s="12"/>
    </row>
    <row r="34" spans="1:5">
      <c r="A34">
        <v>2021</v>
      </c>
      <c r="B34">
        <v>6</v>
      </c>
      <c r="C34" s="40">
        <v>6</v>
      </c>
      <c r="D34" s="40">
        <v>3</v>
      </c>
      <c r="E34" s="12"/>
    </row>
    <row r="35" spans="1:5">
      <c r="A35">
        <v>2021</v>
      </c>
      <c r="B35">
        <v>5</v>
      </c>
      <c r="C35" s="40">
        <v>39</v>
      </c>
      <c r="D35" s="40">
        <v>2</v>
      </c>
      <c r="E35" s="12"/>
    </row>
    <row r="36" spans="1:5">
      <c r="A36">
        <v>2021</v>
      </c>
      <c r="B36">
        <v>4</v>
      </c>
      <c r="C36" s="40">
        <v>24</v>
      </c>
      <c r="D36" s="40">
        <v>0</v>
      </c>
      <c r="E36" s="12"/>
    </row>
    <row r="37" spans="1:5">
      <c r="A37">
        <v>2021</v>
      </c>
      <c r="B37">
        <v>3</v>
      </c>
      <c r="C37" s="40">
        <v>20</v>
      </c>
      <c r="D37" s="40">
        <v>0</v>
      </c>
      <c r="E37" s="12"/>
    </row>
    <row r="38" spans="1:5">
      <c r="A38">
        <v>2021</v>
      </c>
      <c r="B38">
        <v>2</v>
      </c>
      <c r="C38" s="40">
        <v>16</v>
      </c>
      <c r="D38" s="40">
        <v>0</v>
      </c>
      <c r="E38" s="12"/>
    </row>
    <row r="39" spans="1:5">
      <c r="A39">
        <v>2021</v>
      </c>
      <c r="B39">
        <v>1</v>
      </c>
      <c r="C39" s="40">
        <v>17</v>
      </c>
      <c r="D39" s="40">
        <v>0</v>
      </c>
      <c r="E39" s="12"/>
    </row>
    <row r="40" spans="1:5">
      <c r="A40">
        <v>2020</v>
      </c>
      <c r="B40">
        <v>12</v>
      </c>
      <c r="C40" s="40">
        <v>11</v>
      </c>
      <c r="D40" s="40">
        <v>0</v>
      </c>
      <c r="E40" s="12"/>
    </row>
    <row r="41" spans="1:5">
      <c r="A41">
        <v>2020</v>
      </c>
      <c r="B41">
        <v>11</v>
      </c>
      <c r="C41" s="40">
        <v>26</v>
      </c>
      <c r="D41" s="40">
        <v>0</v>
      </c>
      <c r="E41" s="12"/>
    </row>
    <row r="42" spans="1:5">
      <c r="A42">
        <v>2020</v>
      </c>
      <c r="B42">
        <v>10</v>
      </c>
      <c r="C42" s="40">
        <v>15</v>
      </c>
      <c r="D42" s="40">
        <v>0</v>
      </c>
      <c r="E42" s="12"/>
    </row>
    <row r="43" spans="1:5">
      <c r="A43">
        <v>2020</v>
      </c>
      <c r="B43">
        <v>9</v>
      </c>
      <c r="C43" s="40">
        <v>12</v>
      </c>
      <c r="D43" s="40">
        <v>0</v>
      </c>
      <c r="E43" s="12"/>
    </row>
    <row r="44" spans="1:5">
      <c r="A44">
        <v>2020</v>
      </c>
      <c r="B44">
        <v>8</v>
      </c>
      <c r="C44" s="40">
        <v>0</v>
      </c>
      <c r="D44" s="40">
        <v>0</v>
      </c>
      <c r="E44" s="12"/>
    </row>
    <row r="45" spans="1:5">
      <c r="A45">
        <v>2020</v>
      </c>
      <c r="B45">
        <v>7</v>
      </c>
      <c r="C45" s="40">
        <v>0</v>
      </c>
      <c r="D45" s="40">
        <v>0</v>
      </c>
      <c r="E45" s="12"/>
    </row>
    <row r="46" spans="1:5">
      <c r="A46">
        <v>2020</v>
      </c>
      <c r="B46">
        <v>6</v>
      </c>
      <c r="C46" s="40">
        <v>0</v>
      </c>
      <c r="D46" s="40">
        <v>0</v>
      </c>
      <c r="E46" s="12"/>
    </row>
    <row r="47" spans="1:5">
      <c r="A47">
        <v>2020</v>
      </c>
      <c r="B47">
        <v>5</v>
      </c>
      <c r="C47" s="40">
        <v>0</v>
      </c>
      <c r="D47" s="40">
        <v>0</v>
      </c>
      <c r="E47" s="12"/>
    </row>
    <row r="48" spans="1:5">
      <c r="A48">
        <v>2020</v>
      </c>
      <c r="B48">
        <v>4</v>
      </c>
      <c r="C48" s="40">
        <v>0</v>
      </c>
      <c r="D48" s="40">
        <v>0</v>
      </c>
      <c r="E48" s="12"/>
    </row>
    <row r="49" spans="1:5">
      <c r="A49">
        <v>2020</v>
      </c>
      <c r="B49">
        <v>3</v>
      </c>
      <c r="C49" s="40">
        <v>0</v>
      </c>
      <c r="D49" s="40">
        <v>0</v>
      </c>
      <c r="E49" s="12"/>
    </row>
    <row r="50" spans="1:5">
      <c r="A50">
        <v>2020</v>
      </c>
      <c r="B50">
        <v>2</v>
      </c>
      <c r="C50" s="40">
        <v>0</v>
      </c>
      <c r="D50" s="40">
        <v>0</v>
      </c>
      <c r="E50" s="12"/>
    </row>
    <row r="51" spans="1:5">
      <c r="A51">
        <v>2020</v>
      </c>
      <c r="B51">
        <v>1</v>
      </c>
      <c r="C51" s="40">
        <v>0</v>
      </c>
      <c r="D51" s="40">
        <v>0</v>
      </c>
      <c r="E51" s="12"/>
    </row>
    <row r="52" spans="1:5" ht="19.5">
      <c r="A52" s="5" t="s">
        <v>229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1887-C11D-4F7E-9D58-FE8034FAD924}">
  <sheetPr codeName="Sheet6"/>
  <dimension ref="A1"/>
  <sheetViews>
    <sheetView workbookViewId="0"/>
  </sheetViews>
  <sheetFormatPr defaultRowHeight="18.75"/>
  <sheetData/>
  <phoneticPr fontId="3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726E6-ADF9-47AE-A49A-860DCA6F04C4}">
  <sheetPr codeName="Sheet4"/>
  <dimension ref="A1:P65"/>
  <sheetViews>
    <sheetView zoomScale="90" zoomScaleNormal="90" workbookViewId="0">
      <pane xSplit="3" ySplit="1" topLeftCell="D44" activePane="bottomRight" state="frozen"/>
      <selection activeCell="D8" sqref="D8"/>
      <selection pane="topRight" activeCell="D8" sqref="D8"/>
      <selection pane="bottomLeft" activeCell="D8" sqref="D8"/>
      <selection pane="bottomRight" activeCell="E46" sqref="E46"/>
    </sheetView>
  </sheetViews>
  <sheetFormatPr defaultColWidth="9" defaultRowHeight="18.75"/>
  <cols>
    <col min="1" max="1" width="9" style="10"/>
    <col min="2" max="2" width="25" style="232" customWidth="1"/>
    <col min="3" max="3" width="37.125" style="231" customWidth="1"/>
    <col min="4" max="4" width="47.625" style="232" customWidth="1"/>
    <col min="5" max="5" width="80.875" style="258" customWidth="1"/>
    <col min="6" max="6" width="20" style="10" customWidth="1"/>
    <col min="7" max="8" width="8.375" style="10" customWidth="1"/>
    <col min="9" max="9" width="9.625" style="10" customWidth="1"/>
    <col min="10" max="12" width="8.375" style="10" customWidth="1"/>
    <col min="13" max="13" width="9.625" style="10" customWidth="1"/>
    <col min="14" max="15" width="12" style="10" customWidth="1"/>
    <col min="16" max="16" width="11.375" style="10" customWidth="1"/>
    <col min="17" max="17" width="14.875" style="10" customWidth="1"/>
    <col min="18" max="16384" width="9" style="10"/>
  </cols>
  <sheetData>
    <row r="1" spans="1:16">
      <c r="A1" s="238" t="s">
        <v>2705</v>
      </c>
      <c r="B1" s="255" t="s">
        <v>2595</v>
      </c>
      <c r="C1" s="257" t="s">
        <v>2704</v>
      </c>
      <c r="D1" s="255" t="s">
        <v>2703</v>
      </c>
      <c r="E1" s="262" t="s">
        <v>2702</v>
      </c>
      <c r="F1" s="253" t="s">
        <v>2588</v>
      </c>
      <c r="G1" s="253" t="s">
        <v>2588</v>
      </c>
      <c r="H1" s="253" t="s">
        <v>2588</v>
      </c>
      <c r="I1" s="253" t="s">
        <v>2588</v>
      </c>
      <c r="J1" s="253" t="s">
        <v>2588</v>
      </c>
      <c r="K1" s="253" t="s">
        <v>2588</v>
      </c>
      <c r="L1" s="253" t="s">
        <v>2588</v>
      </c>
      <c r="M1" s="253" t="s">
        <v>2588</v>
      </c>
      <c r="N1" s="253" t="s">
        <v>2701</v>
      </c>
      <c r="O1" s="253" t="s">
        <v>2700</v>
      </c>
      <c r="P1" s="252" t="s">
        <v>2506</v>
      </c>
    </row>
    <row r="2" spans="1:16" ht="165">
      <c r="A2" s="10">
        <v>1</v>
      </c>
      <c r="B2" s="246" t="s">
        <v>2699</v>
      </c>
      <c r="E2" s="260" t="s">
        <v>2698</v>
      </c>
    </row>
    <row r="3" spans="1:16">
      <c r="B3" s="246" t="s">
        <v>2697</v>
      </c>
      <c r="E3" s="260" t="s">
        <v>2696</v>
      </c>
    </row>
    <row r="4" spans="1:16" ht="265.5" customHeight="1">
      <c r="A4" s="10">
        <v>2</v>
      </c>
      <c r="B4" s="246" t="s">
        <v>2695</v>
      </c>
      <c r="E4" s="258" t="s">
        <v>2694</v>
      </c>
    </row>
    <row r="5" spans="1:16" ht="214.5" customHeight="1">
      <c r="A5" s="10">
        <v>3</v>
      </c>
      <c r="B5" s="246" t="s">
        <v>2693</v>
      </c>
      <c r="E5" s="260" t="s">
        <v>2692</v>
      </c>
    </row>
    <row r="6" spans="1:16" ht="349.5" customHeight="1">
      <c r="A6" s="10">
        <v>4</v>
      </c>
      <c r="B6" s="246" t="s">
        <v>2691</v>
      </c>
      <c r="E6" s="260" t="s">
        <v>2690</v>
      </c>
    </row>
    <row r="7" spans="1:16" ht="150">
      <c r="A7" s="10">
        <v>5</v>
      </c>
      <c r="B7" s="246" t="s">
        <v>2689</v>
      </c>
      <c r="E7" s="258" t="s">
        <v>2688</v>
      </c>
    </row>
    <row r="8" spans="1:16">
      <c r="A8" s="10">
        <v>6</v>
      </c>
      <c r="B8" s="246" t="s">
        <v>2687</v>
      </c>
      <c r="E8" s="260" t="s">
        <v>2686</v>
      </c>
    </row>
    <row r="9" spans="1:16">
      <c r="A9" s="10">
        <v>7</v>
      </c>
      <c r="B9" s="246" t="s">
        <v>2685</v>
      </c>
      <c r="E9" s="246" t="s">
        <v>2684</v>
      </c>
    </row>
    <row r="10" spans="1:16" ht="56.25">
      <c r="A10" s="10">
        <v>8</v>
      </c>
      <c r="B10" s="246" t="s">
        <v>2683</v>
      </c>
      <c r="E10" s="258" t="s">
        <v>2682</v>
      </c>
    </row>
    <row r="11" spans="1:16" ht="281.25">
      <c r="A11" s="10">
        <v>9</v>
      </c>
      <c r="B11" s="232" t="s">
        <v>2681</v>
      </c>
      <c r="E11" s="261" t="s">
        <v>2680</v>
      </c>
    </row>
    <row r="12" spans="1:16" ht="56.25">
      <c r="A12" s="10">
        <v>10</v>
      </c>
      <c r="B12" s="246" t="s">
        <v>2679</v>
      </c>
      <c r="E12" s="258" t="s">
        <v>2678</v>
      </c>
    </row>
    <row r="13" spans="1:16" ht="247.5">
      <c r="A13" s="10">
        <v>11</v>
      </c>
      <c r="B13" s="232" t="s">
        <v>2677</v>
      </c>
      <c r="E13" s="260" t="s">
        <v>2676</v>
      </c>
    </row>
    <row r="14" spans="1:16" ht="318.75">
      <c r="A14" s="10">
        <v>12</v>
      </c>
      <c r="B14" s="232" t="s">
        <v>2675</v>
      </c>
      <c r="E14" s="258" t="s">
        <v>2674</v>
      </c>
    </row>
    <row r="15" spans="1:16" ht="198">
      <c r="A15" s="10">
        <v>13</v>
      </c>
      <c r="B15" s="246" t="s">
        <v>2673</v>
      </c>
      <c r="E15" s="260" t="s">
        <v>2672</v>
      </c>
    </row>
    <row r="16" spans="1:16" ht="187.5">
      <c r="A16" s="10">
        <v>14</v>
      </c>
      <c r="B16" s="246" t="s">
        <v>2671</v>
      </c>
      <c r="E16" s="258" t="s">
        <v>2670</v>
      </c>
    </row>
    <row r="17" spans="1:5" ht="168.75">
      <c r="B17" s="246" t="s">
        <v>2669</v>
      </c>
      <c r="E17" s="258" t="s">
        <v>2668</v>
      </c>
    </row>
    <row r="18" spans="1:5" ht="115.5">
      <c r="B18" s="246" t="s">
        <v>2667</v>
      </c>
      <c r="E18" s="260" t="s">
        <v>2666</v>
      </c>
    </row>
    <row r="19" spans="1:5" ht="66">
      <c r="B19" s="246" t="s">
        <v>2665</v>
      </c>
      <c r="E19" s="260" t="s">
        <v>2664</v>
      </c>
    </row>
    <row r="20" spans="1:5" ht="148.5">
      <c r="B20" s="246" t="s">
        <v>2663</v>
      </c>
      <c r="E20" s="260" t="s">
        <v>2662</v>
      </c>
    </row>
    <row r="21" spans="1:5" ht="187.5">
      <c r="A21" s="10">
        <v>15</v>
      </c>
      <c r="B21" s="246" t="s">
        <v>2661</v>
      </c>
      <c r="E21" s="258" t="s">
        <v>2660</v>
      </c>
    </row>
    <row r="22" spans="1:5">
      <c r="A22" s="10">
        <v>16</v>
      </c>
      <c r="B22" s="232" t="s">
        <v>2659</v>
      </c>
      <c r="E22" s="260" t="s">
        <v>2658</v>
      </c>
    </row>
    <row r="23" spans="1:5">
      <c r="A23" s="10">
        <v>17</v>
      </c>
      <c r="B23" s="232" t="s">
        <v>2657</v>
      </c>
      <c r="E23" s="258" t="s">
        <v>2656</v>
      </c>
    </row>
    <row r="24" spans="1:5">
      <c r="A24" s="10">
        <v>18</v>
      </c>
      <c r="B24" s="232" t="s">
        <v>2655</v>
      </c>
      <c r="E24" s="258" t="s">
        <v>2654</v>
      </c>
    </row>
    <row r="25" spans="1:5" ht="132">
      <c r="A25" s="10">
        <v>19</v>
      </c>
      <c r="B25" s="232" t="s">
        <v>2653</v>
      </c>
      <c r="E25" s="260" t="s">
        <v>2652</v>
      </c>
    </row>
    <row r="26" spans="1:5" ht="148.5">
      <c r="A26" s="10">
        <v>20</v>
      </c>
      <c r="B26" s="232" t="s">
        <v>2651</v>
      </c>
      <c r="E26" s="260" t="s">
        <v>2650</v>
      </c>
    </row>
    <row r="27" spans="1:5">
      <c r="A27" s="10">
        <v>21</v>
      </c>
      <c r="B27" s="232" t="s">
        <v>2649</v>
      </c>
      <c r="E27" s="260" t="s">
        <v>2648</v>
      </c>
    </row>
    <row r="28" spans="1:5" ht="165">
      <c r="A28" s="10">
        <v>22</v>
      </c>
      <c r="B28" s="232" t="s">
        <v>2647</v>
      </c>
      <c r="E28" s="260" t="s">
        <v>2646</v>
      </c>
    </row>
    <row r="29" spans="1:5" ht="339" customHeight="1">
      <c r="A29" s="10">
        <v>23</v>
      </c>
      <c r="B29" s="246" t="s">
        <v>2645</v>
      </c>
      <c r="D29" s="246" t="s">
        <v>2644</v>
      </c>
      <c r="E29" s="260" t="s">
        <v>2643</v>
      </c>
    </row>
    <row r="30" spans="1:5" ht="33">
      <c r="A30" s="10">
        <v>24</v>
      </c>
      <c r="B30" s="246" t="s">
        <v>2642</v>
      </c>
      <c r="E30" s="260" t="s">
        <v>2641</v>
      </c>
    </row>
    <row r="31" spans="1:5" ht="280.5">
      <c r="A31" s="10">
        <v>25</v>
      </c>
      <c r="B31" s="246" t="s">
        <v>2640</v>
      </c>
      <c r="E31" s="260" t="s">
        <v>2639</v>
      </c>
    </row>
    <row r="32" spans="1:5" ht="148.5">
      <c r="A32" s="10">
        <v>26</v>
      </c>
      <c r="B32" s="246" t="s">
        <v>2638</v>
      </c>
      <c r="E32" s="260" t="s">
        <v>2637</v>
      </c>
    </row>
    <row r="33" spans="1:5" ht="214.5">
      <c r="A33" s="10">
        <v>27</v>
      </c>
      <c r="B33" s="246" t="s">
        <v>2636</v>
      </c>
      <c r="E33" s="260" t="s">
        <v>2635</v>
      </c>
    </row>
    <row r="34" spans="1:5" ht="214.5">
      <c r="A34" s="10">
        <v>28</v>
      </c>
      <c r="B34" s="246" t="s">
        <v>2634</v>
      </c>
      <c r="E34" s="260" t="s">
        <v>2633</v>
      </c>
    </row>
    <row r="35" spans="1:5" ht="66">
      <c r="A35" s="10">
        <v>29</v>
      </c>
      <c r="B35" s="246" t="s">
        <v>2632</v>
      </c>
      <c r="E35" s="260" t="s">
        <v>2631</v>
      </c>
    </row>
    <row r="36" spans="1:5" ht="49.5">
      <c r="B36" s="246" t="s">
        <v>2630</v>
      </c>
      <c r="E36" s="260" t="s">
        <v>2629</v>
      </c>
    </row>
    <row r="37" spans="1:5" ht="181.5">
      <c r="A37" s="10">
        <v>30</v>
      </c>
      <c r="B37" s="232" t="s">
        <v>2628</v>
      </c>
      <c r="E37" s="260" t="s">
        <v>2627</v>
      </c>
    </row>
    <row r="38" spans="1:5" ht="297">
      <c r="A38" s="10">
        <v>31</v>
      </c>
      <c r="B38" s="246" t="s">
        <v>2626</v>
      </c>
      <c r="E38" s="260" t="s">
        <v>2625</v>
      </c>
    </row>
    <row r="39" spans="1:5" ht="165">
      <c r="A39" s="10">
        <v>32</v>
      </c>
      <c r="B39" s="246" t="s">
        <v>2624</v>
      </c>
      <c r="E39" s="260" t="s">
        <v>2623</v>
      </c>
    </row>
    <row r="40" spans="1:5" ht="165">
      <c r="B40" s="246" t="s">
        <v>2622</v>
      </c>
      <c r="E40" s="260" t="s">
        <v>2621</v>
      </c>
    </row>
    <row r="41" spans="1:5" ht="132">
      <c r="A41" s="10">
        <v>33</v>
      </c>
      <c r="B41" s="246" t="s">
        <v>2620</v>
      </c>
      <c r="E41" s="260" t="s">
        <v>2619</v>
      </c>
    </row>
    <row r="42" spans="1:5" ht="115.5">
      <c r="A42" s="10">
        <v>34</v>
      </c>
      <c r="B42" s="246" t="s">
        <v>2618</v>
      </c>
      <c r="E42" s="260" t="s">
        <v>2617</v>
      </c>
    </row>
    <row r="43" spans="1:5">
      <c r="A43" s="10">
        <v>35</v>
      </c>
      <c r="B43" s="246" t="s">
        <v>2616</v>
      </c>
    </row>
    <row r="44" spans="1:5" ht="115.5">
      <c r="A44" s="10">
        <v>36</v>
      </c>
      <c r="B44" s="246" t="s">
        <v>2615</v>
      </c>
      <c r="E44" s="260" t="s">
        <v>2614</v>
      </c>
    </row>
    <row r="45" spans="1:5" ht="148.5">
      <c r="B45" s="246" t="s">
        <v>2613</v>
      </c>
      <c r="E45" s="260" t="s">
        <v>2612</v>
      </c>
    </row>
    <row r="46" spans="1:5" ht="329.25">
      <c r="A46" s="10">
        <v>37</v>
      </c>
      <c r="B46" s="246" t="s">
        <v>2611</v>
      </c>
      <c r="D46" s="232" t="s">
        <v>2610</v>
      </c>
      <c r="E46" s="260"/>
    </row>
    <row r="47" spans="1:5" ht="384">
      <c r="A47" s="10">
        <v>38</v>
      </c>
      <c r="B47" s="246" t="s">
        <v>2609</v>
      </c>
      <c r="D47" s="246" t="s">
        <v>2608</v>
      </c>
    </row>
    <row r="48" spans="1:5" ht="66">
      <c r="A48" s="10">
        <v>39</v>
      </c>
      <c r="B48" s="232" t="s">
        <v>2607</v>
      </c>
      <c r="E48" s="260" t="s">
        <v>2606</v>
      </c>
    </row>
    <row r="49" spans="1:5" ht="115.5">
      <c r="A49" s="10">
        <v>40</v>
      </c>
      <c r="B49" s="246" t="s">
        <v>2605</v>
      </c>
      <c r="E49" s="260" t="s">
        <v>2604</v>
      </c>
    </row>
    <row r="50" spans="1:5" ht="33">
      <c r="A50" s="10">
        <v>41</v>
      </c>
      <c r="B50" s="232" t="s">
        <v>2603</v>
      </c>
      <c r="E50" s="260" t="s">
        <v>2602</v>
      </c>
    </row>
    <row r="51" spans="1:5" ht="99">
      <c r="A51" s="10">
        <v>42</v>
      </c>
      <c r="B51" s="232" t="s">
        <v>2601</v>
      </c>
      <c r="E51" s="260" t="s">
        <v>2600</v>
      </c>
    </row>
    <row r="52" spans="1:5">
      <c r="A52" s="10">
        <v>43</v>
      </c>
    </row>
    <row r="53" spans="1:5">
      <c r="A53" s="10">
        <v>44</v>
      </c>
    </row>
    <row r="54" spans="1:5">
      <c r="A54" s="10">
        <v>45</v>
      </c>
      <c r="B54" s="246" t="s">
        <v>2599</v>
      </c>
      <c r="E54" s="258" t="s">
        <v>2598</v>
      </c>
    </row>
    <row r="55" spans="1:5">
      <c r="A55" s="10">
        <v>46</v>
      </c>
      <c r="B55" s="232" t="s">
        <v>2597</v>
      </c>
      <c r="E55" s="258" t="s">
        <v>2596</v>
      </c>
    </row>
    <row r="56" spans="1:5">
      <c r="A56" s="10">
        <v>47</v>
      </c>
    </row>
    <row r="57" spans="1:5">
      <c r="A57" s="10">
        <v>48</v>
      </c>
    </row>
    <row r="58" spans="1:5">
      <c r="A58" s="10">
        <v>49</v>
      </c>
    </row>
    <row r="59" spans="1:5">
      <c r="A59" s="10">
        <v>50</v>
      </c>
    </row>
    <row r="60" spans="1:5">
      <c r="A60" s="10">
        <v>51</v>
      </c>
    </row>
    <row r="61" spans="1:5">
      <c r="A61" s="10">
        <v>52</v>
      </c>
    </row>
    <row r="62" spans="1:5">
      <c r="A62" s="10">
        <v>53</v>
      </c>
    </row>
    <row r="63" spans="1:5">
      <c r="A63" s="10">
        <v>54</v>
      </c>
    </row>
    <row r="64" spans="1:5">
      <c r="A64" s="10">
        <v>55</v>
      </c>
    </row>
    <row r="65" spans="2:15" ht="28.5" customHeight="1">
      <c r="B65" s="236" t="s">
        <v>2506</v>
      </c>
      <c r="C65" s="235"/>
      <c r="D65" s="236"/>
      <c r="E65" s="259"/>
      <c r="F65" s="233"/>
      <c r="G65" s="233"/>
      <c r="H65" s="233"/>
      <c r="I65" s="233"/>
      <c r="J65" s="233"/>
      <c r="K65" s="233"/>
      <c r="L65" s="233"/>
      <c r="M65" s="233"/>
      <c r="N65" s="233"/>
      <c r="O65" s="233"/>
    </row>
  </sheetData>
  <autoFilter ref="B1:O64" xr:uid="{27AAE171-7668-4C1B-AADB-82994DD79567}">
    <sortState xmlns:xlrd2="http://schemas.microsoft.com/office/spreadsheetml/2017/richdata2" ref="B2:O64">
      <sortCondition ref="B2:B64"/>
    </sortState>
  </autoFilter>
  <phoneticPr fontId="38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9A092-918E-4AFB-964F-D4279A945AC8}">
  <sheetPr codeName="Sheet5"/>
  <dimension ref="A1:AE2204"/>
  <sheetViews>
    <sheetView workbookViewId="0">
      <pane xSplit="2" ySplit="3" topLeftCell="C4" activePane="bottomRight" state="frozen"/>
      <selection activeCell="I351" sqref="I351"/>
      <selection pane="topRight" activeCell="I351" sqref="I351"/>
      <selection pane="bottomLeft" activeCell="I351" sqref="I351"/>
      <selection pane="bottomRight" activeCell="H4" sqref="H4"/>
    </sheetView>
  </sheetViews>
  <sheetFormatPr defaultColWidth="8.75" defaultRowHeight="19.5"/>
  <cols>
    <col min="1" max="1" width="22.25" style="263" customWidth="1"/>
    <col min="2" max="2" width="12.875" style="263" customWidth="1"/>
    <col min="3" max="3" width="10.75" style="263" customWidth="1"/>
    <col min="4" max="4" width="11.375" style="263" customWidth="1"/>
    <col min="5" max="5" width="10.25" style="263" customWidth="1"/>
    <col min="6" max="6" width="12.875" style="263" customWidth="1"/>
    <col min="7" max="7" width="7.125" style="263" customWidth="1"/>
    <col min="8" max="10" width="12.875" style="263" customWidth="1"/>
    <col min="11" max="11" width="11.375" style="263" customWidth="1"/>
    <col min="12" max="12" width="12" style="263" customWidth="1"/>
    <col min="13" max="13" width="18" style="263" customWidth="1"/>
    <col min="14" max="15" width="12.875" style="263" customWidth="1"/>
    <col min="16" max="16" width="10.25" style="57" customWidth="1"/>
    <col min="17" max="17" width="16.375" style="143" customWidth="1"/>
    <col min="18" max="18" width="18.625" style="76" customWidth="1"/>
    <col min="19" max="19" width="9" style="76"/>
    <col min="20" max="31" width="12.875" style="263" customWidth="1"/>
    <col min="32" max="16384" width="8.75" style="263"/>
  </cols>
  <sheetData>
    <row r="1" spans="1:31">
      <c r="A1" s="279" t="s">
        <v>3063</v>
      </c>
      <c r="B1" s="277">
        <v>12</v>
      </c>
      <c r="C1" s="277">
        <v>1</v>
      </c>
      <c r="D1" s="277">
        <v>2</v>
      </c>
      <c r="E1" s="277">
        <v>0</v>
      </c>
      <c r="F1" s="277">
        <v>0</v>
      </c>
      <c r="G1" s="277"/>
      <c r="H1" s="277">
        <v>1</v>
      </c>
      <c r="I1" s="277">
        <v>4</v>
      </c>
      <c r="J1" s="277">
        <v>3</v>
      </c>
      <c r="K1" s="277">
        <v>1</v>
      </c>
      <c r="L1" s="277">
        <v>0</v>
      </c>
      <c r="M1" s="270"/>
      <c r="N1" s="277"/>
      <c r="O1" s="277"/>
      <c r="P1" s="277"/>
      <c r="Q1" s="277"/>
      <c r="R1" s="277"/>
      <c r="S1" s="277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</row>
    <row r="2" spans="1:31">
      <c r="A2" s="279" t="s">
        <v>3062</v>
      </c>
      <c r="B2" s="277">
        <v>160</v>
      </c>
      <c r="C2" s="277">
        <v>0</v>
      </c>
      <c r="D2" s="277">
        <v>35</v>
      </c>
      <c r="E2" s="277">
        <v>0</v>
      </c>
      <c r="F2" s="277">
        <v>46</v>
      </c>
      <c r="G2" s="277"/>
      <c r="H2" s="277">
        <v>68</v>
      </c>
      <c r="I2" s="277">
        <v>11</v>
      </c>
      <c r="J2" s="277">
        <v>3</v>
      </c>
      <c r="K2" s="277">
        <v>21</v>
      </c>
      <c r="L2" s="277">
        <v>0</v>
      </c>
      <c r="M2" s="270"/>
      <c r="N2" s="277"/>
      <c r="O2" s="277"/>
      <c r="P2" s="117"/>
      <c r="Q2" s="145"/>
      <c r="R2" s="118"/>
      <c r="S2" s="118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</row>
    <row r="3" spans="1:31" ht="37.5">
      <c r="A3" s="300" t="s">
        <v>3061</v>
      </c>
      <c r="B3" s="286" t="s">
        <v>3060</v>
      </c>
      <c r="C3" s="299" t="s">
        <v>3059</v>
      </c>
      <c r="D3" s="298" t="s">
        <v>3058</v>
      </c>
      <c r="E3" s="296" t="s">
        <v>3057</v>
      </c>
      <c r="F3" s="301" t="s">
        <v>3070</v>
      </c>
      <c r="G3" s="297"/>
      <c r="H3" s="296" t="s">
        <v>3071</v>
      </c>
      <c r="I3" s="296" t="s">
        <v>3056</v>
      </c>
      <c r="J3" s="296" t="s">
        <v>3064</v>
      </c>
      <c r="K3" s="295" t="s">
        <v>3068</v>
      </c>
      <c r="L3" s="270" t="s">
        <v>3069</v>
      </c>
      <c r="M3" s="276" t="s">
        <v>3055</v>
      </c>
      <c r="N3" s="291" t="s">
        <v>3054</v>
      </c>
      <c r="O3" s="291" t="s">
        <v>3053</v>
      </c>
      <c r="P3" s="117" t="s">
        <v>3065</v>
      </c>
      <c r="Q3" s="145" t="s">
        <v>3066</v>
      </c>
      <c r="R3" s="118" t="s">
        <v>3067</v>
      </c>
      <c r="S3" s="141" t="s">
        <v>2353</v>
      </c>
      <c r="T3" s="269"/>
      <c r="U3" s="269"/>
      <c r="V3" s="269"/>
      <c r="W3" s="269"/>
      <c r="X3" s="269"/>
      <c r="Y3" s="269"/>
      <c r="Z3" s="269"/>
      <c r="AA3" s="269"/>
      <c r="AB3" s="269"/>
      <c r="AC3" s="269"/>
      <c r="AD3" s="269"/>
      <c r="AE3" s="269"/>
    </row>
    <row r="4" spans="1:31">
      <c r="A4" s="272" t="s">
        <v>3052</v>
      </c>
      <c r="B4" s="272" t="s">
        <v>3040</v>
      </c>
      <c r="C4" s="290" t="s">
        <v>2707</v>
      </c>
      <c r="D4" s="265" t="s">
        <v>3039</v>
      </c>
      <c r="E4" s="265" t="s">
        <v>3039</v>
      </c>
      <c r="F4" s="270"/>
      <c r="G4" s="294"/>
      <c r="H4" s="265" t="s">
        <v>3039</v>
      </c>
      <c r="I4" s="270"/>
      <c r="J4" s="270"/>
      <c r="K4" s="270"/>
      <c r="L4" s="270"/>
      <c r="M4" s="272"/>
      <c r="N4" s="270"/>
      <c r="O4" s="270"/>
      <c r="P4" s="117"/>
      <c r="Q4" s="145"/>
      <c r="R4" s="118"/>
      <c r="S4" s="118"/>
      <c r="T4" s="269"/>
      <c r="U4" s="269"/>
      <c r="V4" s="269"/>
      <c r="W4" s="269"/>
      <c r="X4" s="269"/>
      <c r="Y4" s="269"/>
      <c r="Z4" s="269"/>
      <c r="AA4" s="269"/>
      <c r="AB4" s="269"/>
      <c r="AC4" s="269"/>
      <c r="AD4" s="269"/>
      <c r="AE4" s="269"/>
    </row>
    <row r="5" spans="1:31">
      <c r="A5" s="272" t="s">
        <v>3051</v>
      </c>
      <c r="B5" s="272" t="s">
        <v>3040</v>
      </c>
      <c r="C5" s="265" t="s">
        <v>3039</v>
      </c>
      <c r="D5" s="265" t="s">
        <v>3039</v>
      </c>
      <c r="E5" s="265" t="s">
        <v>3039</v>
      </c>
      <c r="F5" s="270"/>
      <c r="G5" s="294"/>
      <c r="H5" s="287" t="s">
        <v>2707</v>
      </c>
      <c r="I5" s="270"/>
      <c r="J5" s="270"/>
      <c r="K5" s="270"/>
      <c r="L5" s="270"/>
      <c r="M5" s="272"/>
      <c r="N5" s="270"/>
      <c r="O5" s="270"/>
      <c r="P5" s="117"/>
      <c r="Q5" s="145"/>
      <c r="R5" s="118"/>
      <c r="S5" s="118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</row>
    <row r="6" spans="1:31">
      <c r="A6" s="272" t="s">
        <v>3050</v>
      </c>
      <c r="B6" s="272" t="s">
        <v>3040</v>
      </c>
      <c r="C6" s="265" t="s">
        <v>3039</v>
      </c>
      <c r="D6" s="287" t="s">
        <v>3039</v>
      </c>
      <c r="E6" s="265" t="s">
        <v>3039</v>
      </c>
      <c r="F6" s="270"/>
      <c r="G6" s="294"/>
      <c r="H6" s="265" t="s">
        <v>3039</v>
      </c>
      <c r="I6" s="270"/>
      <c r="J6" s="270"/>
      <c r="K6" s="270"/>
      <c r="L6" s="270"/>
      <c r="M6" s="286"/>
      <c r="N6" s="270"/>
      <c r="O6" s="270"/>
      <c r="P6" s="117"/>
      <c r="Q6" s="145"/>
      <c r="R6" s="118"/>
      <c r="S6" s="118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</row>
    <row r="7" spans="1:31">
      <c r="A7" s="276" t="s">
        <v>3049</v>
      </c>
      <c r="B7" s="272"/>
      <c r="C7" s="290" t="s">
        <v>2707</v>
      </c>
      <c r="D7" s="265"/>
      <c r="E7" s="270"/>
      <c r="F7" s="270"/>
      <c r="G7" s="294"/>
      <c r="H7" s="270"/>
      <c r="I7" s="270"/>
      <c r="J7" s="270"/>
      <c r="K7" s="270"/>
      <c r="L7" s="270"/>
      <c r="M7" s="286"/>
      <c r="N7" s="270"/>
      <c r="O7" s="270"/>
      <c r="P7" s="117"/>
      <c r="Q7" s="145"/>
      <c r="R7" s="118"/>
      <c r="S7" s="118"/>
      <c r="T7" s="269"/>
      <c r="U7" s="269"/>
      <c r="V7" s="269"/>
      <c r="W7" s="269"/>
      <c r="X7" s="269"/>
      <c r="Y7" s="269"/>
      <c r="Z7" s="269"/>
      <c r="AA7" s="269"/>
      <c r="AB7" s="269"/>
      <c r="AC7" s="269"/>
      <c r="AD7" s="269"/>
      <c r="AE7" s="269"/>
    </row>
    <row r="8" spans="1:31">
      <c r="A8" s="272"/>
      <c r="B8" s="272"/>
      <c r="C8" s="286"/>
      <c r="D8" s="265"/>
      <c r="E8" s="270"/>
      <c r="F8" s="270"/>
      <c r="G8" s="294"/>
      <c r="H8" s="270"/>
      <c r="I8" s="270"/>
      <c r="J8" s="270"/>
      <c r="K8" s="270"/>
      <c r="L8" s="270"/>
      <c r="M8" s="286"/>
      <c r="N8" s="270"/>
      <c r="O8" s="270"/>
      <c r="P8" s="117"/>
      <c r="Q8" s="145"/>
      <c r="R8" s="162"/>
      <c r="S8" s="118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</row>
    <row r="9" spans="1:31">
      <c r="A9" s="272" t="s">
        <v>2970</v>
      </c>
      <c r="B9" s="272" t="s">
        <v>3040</v>
      </c>
      <c r="C9" s="286"/>
      <c r="D9" s="265"/>
      <c r="E9" s="270"/>
      <c r="F9" s="293"/>
      <c r="G9" s="294"/>
      <c r="H9" s="270"/>
      <c r="I9" s="291" t="s">
        <v>3047</v>
      </c>
      <c r="J9" s="265" t="s">
        <v>3039</v>
      </c>
      <c r="K9" s="265" t="s">
        <v>3039</v>
      </c>
      <c r="L9" s="265" t="s">
        <v>3039</v>
      </c>
      <c r="M9" s="286"/>
      <c r="N9" s="270"/>
      <c r="O9" s="270"/>
      <c r="P9" s="117"/>
      <c r="Q9" s="145"/>
      <c r="R9" s="162"/>
      <c r="S9" s="118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</row>
    <row r="10" spans="1:31">
      <c r="A10" s="272" t="s">
        <v>2959</v>
      </c>
      <c r="B10" s="272" t="s">
        <v>3040</v>
      </c>
      <c r="C10" s="286"/>
      <c r="D10" s="265"/>
      <c r="E10" s="270"/>
      <c r="F10" s="265" t="s">
        <v>3039</v>
      </c>
      <c r="G10" s="282"/>
      <c r="H10" s="270"/>
      <c r="I10" s="292" t="s">
        <v>3047</v>
      </c>
      <c r="J10" s="265" t="s">
        <v>3039</v>
      </c>
      <c r="K10" s="265" t="s">
        <v>3039</v>
      </c>
      <c r="L10" s="265" t="s">
        <v>3039</v>
      </c>
      <c r="M10" s="286"/>
      <c r="N10" s="270"/>
      <c r="O10" s="270"/>
      <c r="P10" s="117"/>
      <c r="Q10" s="145"/>
      <c r="R10" s="162"/>
      <c r="S10" s="118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</row>
    <row r="11" spans="1:31">
      <c r="A11" s="276" t="s">
        <v>3048</v>
      </c>
      <c r="B11" s="272" t="s">
        <v>3040</v>
      </c>
      <c r="C11" s="286"/>
      <c r="D11" s="265"/>
      <c r="E11" s="270"/>
      <c r="F11" s="265" t="s">
        <v>3039</v>
      </c>
      <c r="G11" s="270"/>
      <c r="H11" s="270"/>
      <c r="I11" s="275" t="s">
        <v>3039</v>
      </c>
      <c r="J11" s="291" t="s">
        <v>3047</v>
      </c>
      <c r="K11" s="265" t="s">
        <v>3039</v>
      </c>
      <c r="L11" s="265" t="s">
        <v>3039</v>
      </c>
      <c r="M11" s="286"/>
      <c r="N11" s="270"/>
      <c r="O11" s="270"/>
      <c r="P11" s="117"/>
      <c r="Q11" s="145"/>
      <c r="R11" s="162"/>
      <c r="S11" s="118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</row>
    <row r="12" spans="1:31">
      <c r="A12" s="272" t="s">
        <v>3046</v>
      </c>
      <c r="B12" s="272" t="s">
        <v>3040</v>
      </c>
      <c r="C12" s="286"/>
      <c r="D12" s="265"/>
      <c r="E12" s="270"/>
      <c r="F12" s="265" t="s">
        <v>3039</v>
      </c>
      <c r="G12" s="282"/>
      <c r="H12" s="270"/>
      <c r="I12" s="265" t="s">
        <v>3039</v>
      </c>
      <c r="J12" s="287" t="s">
        <v>2707</v>
      </c>
      <c r="K12" s="265" t="s">
        <v>3039</v>
      </c>
      <c r="L12" s="265" t="s">
        <v>3039</v>
      </c>
      <c r="M12" s="286"/>
      <c r="N12" s="270"/>
      <c r="O12" s="270"/>
      <c r="P12" s="117"/>
      <c r="Q12" s="145"/>
      <c r="R12" s="162"/>
      <c r="S12" s="118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</row>
    <row r="13" spans="1:31">
      <c r="A13" s="276" t="s">
        <v>3045</v>
      </c>
      <c r="B13" s="272" t="s">
        <v>3040</v>
      </c>
      <c r="C13" s="286"/>
      <c r="D13" s="265"/>
      <c r="E13" s="270"/>
      <c r="F13" s="265" t="s">
        <v>3039</v>
      </c>
      <c r="G13" s="270"/>
      <c r="H13" s="270"/>
      <c r="I13" s="289" t="s">
        <v>3039</v>
      </c>
      <c r="J13" s="265" t="s">
        <v>2707</v>
      </c>
      <c r="K13" s="265" t="s">
        <v>3039</v>
      </c>
      <c r="L13" s="265" t="s">
        <v>3039</v>
      </c>
      <c r="M13" s="286"/>
      <c r="N13" s="270"/>
      <c r="O13" s="270"/>
      <c r="P13" s="117"/>
      <c r="Q13" s="145"/>
      <c r="R13" s="162"/>
      <c r="S13" s="118"/>
      <c r="T13" s="269"/>
      <c r="U13" s="269"/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</row>
    <row r="14" spans="1:31">
      <c r="A14" s="272" t="s">
        <v>3044</v>
      </c>
      <c r="B14" s="272" t="s">
        <v>3040</v>
      </c>
      <c r="C14" s="286"/>
      <c r="D14" s="265"/>
      <c r="E14" s="270"/>
      <c r="F14" s="265" t="s">
        <v>3039</v>
      </c>
      <c r="G14" s="282"/>
      <c r="H14" s="270"/>
      <c r="I14" s="265" t="s">
        <v>3039</v>
      </c>
      <c r="J14" s="290" t="s">
        <v>2707</v>
      </c>
      <c r="K14" s="265" t="s">
        <v>3039</v>
      </c>
      <c r="L14" s="265" t="s">
        <v>3039</v>
      </c>
      <c r="M14" s="286"/>
      <c r="N14" s="270"/>
      <c r="O14" s="270"/>
      <c r="P14" s="117"/>
      <c r="Q14" s="145"/>
      <c r="R14" s="162"/>
      <c r="S14" s="118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</row>
    <row r="15" spans="1:31">
      <c r="A15" s="272" t="s">
        <v>2801</v>
      </c>
      <c r="B15" s="272" t="s">
        <v>3040</v>
      </c>
      <c r="C15" s="286"/>
      <c r="D15" s="265"/>
      <c r="E15" s="270"/>
      <c r="F15" s="265" t="s">
        <v>3039</v>
      </c>
      <c r="G15" s="270"/>
      <c r="H15" s="270"/>
      <c r="I15" s="287" t="s">
        <v>2707</v>
      </c>
      <c r="J15" s="265" t="s">
        <v>3039</v>
      </c>
      <c r="K15" s="265" t="s">
        <v>3039</v>
      </c>
      <c r="L15" s="265" t="s">
        <v>3039</v>
      </c>
      <c r="M15" s="286"/>
      <c r="N15" s="270"/>
      <c r="O15" s="270"/>
      <c r="P15" s="117"/>
      <c r="Q15" s="145"/>
      <c r="R15" s="118"/>
      <c r="S15" s="118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</row>
    <row r="16" spans="1:31">
      <c r="A16" s="272" t="s">
        <v>3043</v>
      </c>
      <c r="B16" s="272" t="s">
        <v>3040</v>
      </c>
      <c r="C16" s="286"/>
      <c r="D16" s="265"/>
      <c r="E16" s="270"/>
      <c r="F16" s="265" t="s">
        <v>3039</v>
      </c>
      <c r="G16" s="270"/>
      <c r="H16" s="270"/>
      <c r="I16" s="289" t="s">
        <v>2872</v>
      </c>
      <c r="J16" s="265" t="s">
        <v>3042</v>
      </c>
      <c r="K16" s="265" t="s">
        <v>3039</v>
      </c>
      <c r="L16" s="265" t="s">
        <v>3039</v>
      </c>
      <c r="M16" s="286"/>
      <c r="N16" s="270"/>
      <c r="O16" s="270"/>
      <c r="P16" s="117"/>
      <c r="Q16" s="145"/>
      <c r="R16" s="162"/>
      <c r="S16" s="118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</row>
    <row r="17" spans="1:31">
      <c r="A17" s="288" t="s">
        <v>3041</v>
      </c>
      <c r="B17" s="272" t="s">
        <v>3040</v>
      </c>
      <c r="C17" s="286"/>
      <c r="D17" s="265"/>
      <c r="E17" s="270"/>
      <c r="F17" s="282"/>
      <c r="G17" s="270"/>
      <c r="H17" s="270"/>
      <c r="I17" s="282"/>
      <c r="J17" s="265" t="s">
        <v>3039</v>
      </c>
      <c r="K17" s="287" t="s">
        <v>2707</v>
      </c>
      <c r="L17" s="265"/>
      <c r="M17" s="286"/>
      <c r="N17" s="270"/>
      <c r="O17" s="270"/>
      <c r="P17" s="117"/>
      <c r="Q17" s="145"/>
      <c r="R17" s="162"/>
      <c r="S17" s="118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</row>
    <row r="18" spans="1:31">
      <c r="A18" s="274"/>
      <c r="B18" s="272"/>
      <c r="C18" s="272"/>
      <c r="D18" s="282"/>
      <c r="E18" s="271"/>
      <c r="F18" s="271"/>
      <c r="G18" s="271"/>
      <c r="H18" s="271"/>
      <c r="I18" s="271"/>
      <c r="J18" s="271"/>
      <c r="K18" s="265"/>
      <c r="L18" s="271"/>
      <c r="M18" s="274"/>
      <c r="N18" s="271"/>
      <c r="O18" s="271"/>
      <c r="P18" s="117"/>
      <c r="Q18" s="145"/>
      <c r="R18" s="118"/>
      <c r="S18" s="118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</row>
    <row r="19" spans="1:31">
      <c r="A19" s="274"/>
      <c r="B19" s="272"/>
      <c r="C19" s="272"/>
      <c r="D19" s="282"/>
      <c r="E19" s="271"/>
      <c r="F19" s="271"/>
      <c r="G19" s="271"/>
      <c r="H19" s="271"/>
      <c r="I19" s="271"/>
      <c r="J19" s="271"/>
      <c r="K19" s="265"/>
      <c r="L19" s="271"/>
      <c r="M19" s="274"/>
      <c r="N19" s="271"/>
      <c r="O19" s="271"/>
      <c r="P19" s="117"/>
      <c r="Q19" s="145"/>
      <c r="R19" s="118"/>
      <c r="S19" s="118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</row>
    <row r="20" spans="1:31">
      <c r="A20" s="274" t="s">
        <v>3031</v>
      </c>
      <c r="B20" s="276" t="s">
        <v>3038</v>
      </c>
      <c r="C20" s="272"/>
      <c r="D20" s="285" t="s">
        <v>2707</v>
      </c>
      <c r="E20" s="271"/>
      <c r="F20" s="271"/>
      <c r="G20" s="271"/>
      <c r="H20" s="265"/>
      <c r="I20" s="271"/>
      <c r="J20" s="271"/>
      <c r="K20" s="271"/>
      <c r="L20" s="271"/>
      <c r="M20" s="270"/>
      <c r="N20" s="271"/>
      <c r="O20" s="271"/>
      <c r="P20" s="117"/>
      <c r="Q20" s="145"/>
      <c r="R20" s="118"/>
      <c r="S20" s="118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</row>
    <row r="21" spans="1:31">
      <c r="A21" s="274" t="s">
        <v>3037</v>
      </c>
      <c r="B21" s="272" t="s">
        <v>3026</v>
      </c>
      <c r="C21" s="272"/>
      <c r="D21" s="285" t="s">
        <v>2707</v>
      </c>
      <c r="E21" s="271"/>
      <c r="F21" s="271"/>
      <c r="G21" s="271"/>
      <c r="H21" s="271"/>
      <c r="I21" s="271"/>
      <c r="J21" s="271"/>
      <c r="K21" s="265"/>
      <c r="L21" s="271"/>
      <c r="M21" s="274"/>
      <c r="N21" s="271"/>
      <c r="O21" s="271"/>
      <c r="P21" s="117"/>
      <c r="Q21" s="144"/>
      <c r="R21" s="118"/>
      <c r="S21" s="118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</row>
    <row r="22" spans="1:31">
      <c r="A22" s="274" t="s">
        <v>3036</v>
      </c>
      <c r="B22" s="280" t="s">
        <v>3022</v>
      </c>
      <c r="C22" s="277"/>
      <c r="D22" s="285" t="s">
        <v>2707</v>
      </c>
      <c r="E22" s="271"/>
      <c r="F22" s="271"/>
      <c r="G22" s="271"/>
      <c r="H22" s="271"/>
      <c r="I22" s="271"/>
      <c r="J22" s="271"/>
      <c r="K22" s="265"/>
      <c r="L22" s="271"/>
      <c r="M22" s="270"/>
      <c r="N22" s="271"/>
      <c r="O22" s="271"/>
      <c r="P22" s="117"/>
      <c r="Q22" s="144"/>
      <c r="R22" s="118"/>
      <c r="S22" s="118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</row>
    <row r="23" spans="1:31">
      <c r="A23" s="268" t="s">
        <v>3035</v>
      </c>
      <c r="B23" s="280"/>
      <c r="C23" s="272"/>
      <c r="D23" s="285" t="s">
        <v>2707</v>
      </c>
      <c r="E23" s="271"/>
      <c r="F23" s="271"/>
      <c r="G23" s="271"/>
      <c r="H23" s="265"/>
      <c r="I23" s="271"/>
      <c r="J23" s="271"/>
      <c r="K23" s="271"/>
      <c r="L23" s="271"/>
      <c r="M23" s="270"/>
      <c r="N23" s="271"/>
      <c r="O23" s="271"/>
      <c r="P23" s="117"/>
      <c r="Q23" s="144"/>
      <c r="R23" s="118"/>
      <c r="S23" s="118"/>
      <c r="T23" s="269"/>
      <c r="U23" s="269"/>
      <c r="V23" s="269"/>
      <c r="W23" s="269"/>
      <c r="X23" s="269"/>
      <c r="Y23" s="269"/>
      <c r="Z23" s="269"/>
      <c r="AA23" s="269"/>
      <c r="AB23" s="269"/>
      <c r="AC23" s="269"/>
      <c r="AD23" s="269"/>
      <c r="AE23" s="269"/>
    </row>
    <row r="24" spans="1:31">
      <c r="A24" s="274" t="s">
        <v>3025</v>
      </c>
      <c r="B24" s="280" t="s">
        <v>3022</v>
      </c>
      <c r="C24" s="272"/>
      <c r="D24" s="285" t="s">
        <v>2707</v>
      </c>
      <c r="E24" s="271"/>
      <c r="F24" s="271"/>
      <c r="G24" s="271"/>
      <c r="H24" s="269"/>
      <c r="I24" s="271"/>
      <c r="J24" s="271"/>
      <c r="K24" s="271"/>
      <c r="L24" s="271"/>
      <c r="M24" s="270"/>
      <c r="N24" s="271"/>
      <c r="O24" s="271"/>
      <c r="P24" s="117"/>
      <c r="Q24" s="145"/>
      <c r="R24" s="118"/>
      <c r="S24" s="118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</row>
    <row r="25" spans="1:31">
      <c r="A25" s="274" t="s">
        <v>3034</v>
      </c>
      <c r="B25" s="280" t="s">
        <v>3022</v>
      </c>
      <c r="C25" s="277"/>
      <c r="D25" s="285" t="s">
        <v>2707</v>
      </c>
      <c r="E25" s="271"/>
      <c r="F25" s="271"/>
      <c r="G25" s="271"/>
      <c r="H25" s="271"/>
      <c r="I25" s="271"/>
      <c r="J25" s="271"/>
      <c r="K25" s="269"/>
      <c r="L25" s="271"/>
      <c r="M25" s="270"/>
      <c r="N25" s="271"/>
      <c r="O25" s="271"/>
      <c r="P25" s="117"/>
      <c r="Q25" s="144"/>
      <c r="R25" s="118"/>
      <c r="S25" s="118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</row>
    <row r="26" spans="1:31" ht="28.5">
      <c r="A26" s="274" t="s">
        <v>3033</v>
      </c>
      <c r="B26" s="272" t="s">
        <v>3026</v>
      </c>
      <c r="C26" s="272"/>
      <c r="D26" s="285" t="s">
        <v>2707</v>
      </c>
      <c r="E26" s="271"/>
      <c r="F26" s="271"/>
      <c r="G26" s="271"/>
      <c r="H26" s="271"/>
      <c r="I26" s="271"/>
      <c r="J26" s="271"/>
      <c r="K26" s="265"/>
      <c r="L26" s="271"/>
      <c r="M26" s="274" t="s">
        <v>3033</v>
      </c>
      <c r="N26" s="271"/>
      <c r="O26" s="271"/>
      <c r="P26" s="80"/>
      <c r="Q26" s="158"/>
      <c r="R26" s="222"/>
      <c r="S26" s="80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</row>
    <row r="27" spans="1:31">
      <c r="A27" s="274" t="s">
        <v>3032</v>
      </c>
      <c r="B27" s="280" t="s">
        <v>3022</v>
      </c>
      <c r="C27" s="277"/>
      <c r="D27" s="285" t="s">
        <v>2707</v>
      </c>
      <c r="E27" s="271"/>
      <c r="F27" s="271"/>
      <c r="G27" s="271"/>
      <c r="H27" s="271"/>
      <c r="I27" s="271"/>
      <c r="J27" s="271"/>
      <c r="K27" s="265"/>
      <c r="L27" s="271"/>
      <c r="M27" s="270"/>
      <c r="N27" s="271"/>
      <c r="O27" s="271"/>
      <c r="P27" s="80"/>
      <c r="Q27" s="158"/>
      <c r="R27" s="222"/>
      <c r="S27" s="80"/>
      <c r="T27" s="269"/>
      <c r="U27" s="269"/>
      <c r="V27" s="269"/>
      <c r="W27" s="269"/>
      <c r="X27" s="269"/>
      <c r="Y27" s="269"/>
      <c r="Z27" s="269"/>
      <c r="AA27" s="269"/>
      <c r="AB27" s="269"/>
      <c r="AC27" s="269"/>
      <c r="AD27" s="269"/>
      <c r="AE27" s="269"/>
    </row>
    <row r="28" spans="1:31">
      <c r="A28" s="274" t="s">
        <v>3031</v>
      </c>
      <c r="B28" s="280" t="s">
        <v>3022</v>
      </c>
      <c r="C28" s="277"/>
      <c r="D28" s="285" t="s">
        <v>2707</v>
      </c>
      <c r="E28" s="271"/>
      <c r="F28" s="271"/>
      <c r="G28" s="271"/>
      <c r="H28" s="271"/>
      <c r="I28" s="271"/>
      <c r="J28" s="271"/>
      <c r="K28" s="265"/>
      <c r="L28" s="271"/>
      <c r="M28" s="270"/>
      <c r="N28" s="271"/>
      <c r="O28" s="271"/>
      <c r="P28" s="117"/>
      <c r="Q28" s="145"/>
      <c r="R28" s="162"/>
      <c r="S28" s="118"/>
      <c r="T28" s="269"/>
      <c r="U28" s="269"/>
      <c r="V28" s="269"/>
      <c r="W28" s="269"/>
      <c r="X28" s="269"/>
      <c r="Y28" s="269"/>
      <c r="Z28" s="269"/>
      <c r="AA28" s="269"/>
      <c r="AB28" s="269"/>
      <c r="AC28" s="269"/>
      <c r="AD28" s="269"/>
      <c r="AE28" s="269"/>
    </row>
    <row r="29" spans="1:31">
      <c r="A29" s="268" t="s">
        <v>3030</v>
      </c>
      <c r="B29" s="280" t="s">
        <v>3022</v>
      </c>
      <c r="C29" s="272"/>
      <c r="D29" s="285" t="s">
        <v>2707</v>
      </c>
      <c r="E29" s="271"/>
      <c r="F29" s="271"/>
      <c r="G29" s="271"/>
      <c r="H29" s="271"/>
      <c r="I29" s="271"/>
      <c r="J29" s="271"/>
      <c r="K29" s="269"/>
      <c r="L29" s="271"/>
      <c r="M29" s="270"/>
      <c r="N29" s="271"/>
      <c r="O29" s="271"/>
      <c r="P29" s="117"/>
      <c r="Q29" s="145"/>
      <c r="R29" s="162"/>
      <c r="S29" s="118"/>
      <c r="T29" s="269"/>
      <c r="U29" s="269"/>
      <c r="V29" s="269"/>
      <c r="W29" s="269"/>
      <c r="X29" s="269"/>
      <c r="Y29" s="269"/>
      <c r="Z29" s="269"/>
      <c r="AA29" s="269"/>
      <c r="AB29" s="269"/>
      <c r="AC29" s="269"/>
      <c r="AD29" s="269"/>
      <c r="AE29" s="269"/>
    </row>
    <row r="30" spans="1:31">
      <c r="A30" s="268" t="s">
        <v>3029</v>
      </c>
      <c r="B30" s="280" t="s">
        <v>3022</v>
      </c>
      <c r="C30" s="272"/>
      <c r="D30" s="285" t="s">
        <v>2707</v>
      </c>
      <c r="E30" s="271"/>
      <c r="F30" s="271"/>
      <c r="G30" s="271"/>
      <c r="H30" s="271"/>
      <c r="I30" s="271"/>
      <c r="J30" s="271"/>
      <c r="K30" s="269"/>
      <c r="L30" s="271"/>
      <c r="M30" s="270"/>
      <c r="N30" s="271"/>
      <c r="O30" s="271"/>
      <c r="P30" s="13"/>
      <c r="Q30" s="146"/>
      <c r="R30" s="13"/>
      <c r="S30" s="13"/>
      <c r="T30" s="269"/>
      <c r="U30" s="269"/>
      <c r="V30" s="269"/>
      <c r="W30" s="269"/>
      <c r="X30" s="269"/>
      <c r="Y30" s="269"/>
      <c r="Z30" s="269"/>
      <c r="AA30" s="269"/>
      <c r="AB30" s="269"/>
      <c r="AC30" s="269"/>
      <c r="AD30" s="269"/>
      <c r="AE30" s="269"/>
    </row>
    <row r="31" spans="1:31">
      <c r="A31" s="274" t="s">
        <v>3028</v>
      </c>
      <c r="B31" s="272" t="s">
        <v>3026</v>
      </c>
      <c r="C31" s="272"/>
      <c r="D31" s="285" t="s">
        <v>2707</v>
      </c>
      <c r="E31" s="271"/>
      <c r="F31" s="271"/>
      <c r="G31" s="271"/>
      <c r="H31" s="271"/>
      <c r="I31" s="271"/>
      <c r="J31" s="271"/>
      <c r="K31" s="269"/>
      <c r="L31" s="271"/>
      <c r="M31" s="270"/>
      <c r="N31" s="271"/>
      <c r="O31" s="271"/>
      <c r="P31" s="117"/>
      <c r="Q31" s="145"/>
      <c r="R31" s="118"/>
      <c r="S31" s="118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</row>
    <row r="32" spans="1:31" ht="28.5">
      <c r="A32" s="274" t="s">
        <v>3027</v>
      </c>
      <c r="B32" s="272" t="s">
        <v>3026</v>
      </c>
      <c r="C32" s="272"/>
      <c r="D32" s="285" t="s">
        <v>2707</v>
      </c>
      <c r="E32" s="271"/>
      <c r="F32" s="271"/>
      <c r="G32" s="271"/>
      <c r="H32" s="271"/>
      <c r="I32" s="271"/>
      <c r="J32" s="271"/>
      <c r="K32" s="269"/>
      <c r="L32" s="271"/>
      <c r="M32" s="270"/>
      <c r="N32" s="271"/>
      <c r="O32" s="271"/>
      <c r="P32" s="117"/>
      <c r="Q32" s="145"/>
      <c r="R32" s="118"/>
      <c r="S32" s="118"/>
      <c r="T32" s="269"/>
      <c r="U32" s="269"/>
      <c r="V32" s="269"/>
      <c r="W32" s="269"/>
      <c r="X32" s="269"/>
      <c r="Y32" s="269"/>
      <c r="Z32" s="269"/>
      <c r="AA32" s="269"/>
      <c r="AB32" s="269"/>
      <c r="AC32" s="269"/>
      <c r="AD32" s="269"/>
      <c r="AE32" s="269"/>
    </row>
    <row r="33" spans="1:31">
      <c r="A33" s="274" t="s">
        <v>3025</v>
      </c>
      <c r="B33" s="280" t="s">
        <v>3022</v>
      </c>
      <c r="C33" s="277"/>
      <c r="D33" s="285" t="s">
        <v>2707</v>
      </c>
      <c r="E33" s="271"/>
      <c r="F33" s="271"/>
      <c r="G33" s="271"/>
      <c r="H33" s="271"/>
      <c r="I33" s="271"/>
      <c r="J33" s="271"/>
      <c r="K33" s="269"/>
      <c r="L33" s="271"/>
      <c r="M33" s="270"/>
      <c r="N33" s="271"/>
      <c r="O33" s="271"/>
      <c r="P33" s="117"/>
      <c r="Q33" s="145"/>
      <c r="R33" s="118"/>
      <c r="S33" s="118"/>
      <c r="T33" s="269"/>
      <c r="U33" s="269"/>
      <c r="V33" s="269"/>
      <c r="W33" s="269"/>
      <c r="X33" s="269"/>
      <c r="Y33" s="269"/>
      <c r="Z33" s="269"/>
      <c r="AA33" s="269"/>
      <c r="AB33" s="269"/>
      <c r="AC33" s="269"/>
      <c r="AD33" s="269"/>
      <c r="AE33" s="269"/>
    </row>
    <row r="34" spans="1:31">
      <c r="A34" s="274" t="s">
        <v>3024</v>
      </c>
      <c r="B34" s="280" t="s">
        <v>3022</v>
      </c>
      <c r="C34" s="277"/>
      <c r="D34" s="285" t="s">
        <v>2707</v>
      </c>
      <c r="E34" s="271"/>
      <c r="F34" s="271"/>
      <c r="G34" s="271"/>
      <c r="H34" s="271"/>
      <c r="I34" s="271"/>
      <c r="J34" s="271"/>
      <c r="K34" s="265"/>
      <c r="L34" s="271"/>
      <c r="M34" s="270"/>
      <c r="N34" s="271"/>
      <c r="O34" s="271"/>
      <c r="P34" s="117"/>
      <c r="Q34" s="145"/>
      <c r="R34" s="118"/>
      <c r="S34" s="118"/>
      <c r="T34" s="269"/>
      <c r="U34" s="269"/>
      <c r="V34" s="269"/>
      <c r="W34" s="269"/>
      <c r="X34" s="269"/>
      <c r="Y34" s="269"/>
      <c r="Z34" s="269"/>
      <c r="AA34" s="269"/>
      <c r="AB34" s="269"/>
      <c r="AC34" s="269"/>
      <c r="AD34" s="269"/>
      <c r="AE34" s="269"/>
    </row>
    <row r="35" spans="1:31">
      <c r="A35" s="268" t="s">
        <v>3023</v>
      </c>
      <c r="B35" s="280" t="s">
        <v>3022</v>
      </c>
      <c r="C35" s="277"/>
      <c r="D35" s="265" t="s">
        <v>2707</v>
      </c>
      <c r="E35" s="271"/>
      <c r="F35" s="271"/>
      <c r="G35" s="265"/>
      <c r="H35" s="271"/>
      <c r="I35" s="271"/>
      <c r="J35" s="265"/>
      <c r="K35" s="265"/>
      <c r="L35" s="265"/>
      <c r="M35" s="270"/>
      <c r="N35" s="271"/>
      <c r="O35" s="271"/>
      <c r="P35" s="117"/>
      <c r="Q35" s="144"/>
      <c r="R35" s="118"/>
      <c r="S35" s="118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</row>
    <row r="36" spans="1:31">
      <c r="A36" s="268" t="s">
        <v>3021</v>
      </c>
      <c r="B36" s="272"/>
      <c r="C36" s="272"/>
      <c r="D36" s="285" t="s">
        <v>2707</v>
      </c>
      <c r="E36" s="271"/>
      <c r="F36" s="271"/>
      <c r="G36" s="271"/>
      <c r="H36" s="265"/>
      <c r="I36" s="271"/>
      <c r="J36" s="271"/>
      <c r="K36" s="271"/>
      <c r="L36" s="271"/>
      <c r="M36" s="270"/>
      <c r="N36" s="271"/>
      <c r="O36" s="271"/>
      <c r="P36" s="117"/>
      <c r="Q36" s="144"/>
      <c r="R36" s="118"/>
      <c r="S36" s="118"/>
      <c r="T36" s="269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</row>
    <row r="37" spans="1:31">
      <c r="A37" s="268" t="s">
        <v>3020</v>
      </c>
      <c r="B37" s="272"/>
      <c r="C37" s="272"/>
      <c r="D37" s="285" t="s">
        <v>2707</v>
      </c>
      <c r="E37" s="271"/>
      <c r="F37" s="271"/>
      <c r="G37" s="271"/>
      <c r="H37" s="265"/>
      <c r="I37" s="271"/>
      <c r="J37" s="271"/>
      <c r="K37" s="265"/>
      <c r="L37" s="271"/>
      <c r="M37" s="270"/>
      <c r="N37" s="271"/>
      <c r="O37" s="271"/>
      <c r="P37" s="117"/>
      <c r="Q37" s="145"/>
      <c r="R37" s="118"/>
      <c r="S37" s="118"/>
      <c r="T37" s="269"/>
      <c r="U37" s="269"/>
      <c r="V37" s="269"/>
      <c r="W37" s="269"/>
      <c r="X37" s="269"/>
      <c r="Y37" s="269"/>
      <c r="Z37" s="269"/>
      <c r="AA37" s="269"/>
      <c r="AB37" s="269"/>
      <c r="AC37" s="269"/>
      <c r="AD37" s="269"/>
      <c r="AE37" s="269"/>
    </row>
    <row r="38" spans="1:31">
      <c r="A38" s="268" t="s">
        <v>3019</v>
      </c>
      <c r="B38" s="272"/>
      <c r="C38" s="272"/>
      <c r="D38" s="285" t="s">
        <v>2707</v>
      </c>
      <c r="E38" s="271"/>
      <c r="F38" s="271"/>
      <c r="G38" s="271"/>
      <c r="H38" s="265"/>
      <c r="I38" s="271"/>
      <c r="J38" s="271"/>
      <c r="K38" s="271"/>
      <c r="L38" s="271"/>
      <c r="M38" s="270"/>
      <c r="N38" s="271"/>
      <c r="O38" s="271"/>
      <c r="P38" s="117"/>
      <c r="Q38" s="144"/>
      <c r="R38" s="118"/>
      <c r="S38" s="118"/>
      <c r="T38" s="269"/>
      <c r="U38" s="269"/>
      <c r="V38" s="269"/>
      <c r="W38" s="269"/>
      <c r="X38" s="269"/>
      <c r="Y38" s="269"/>
      <c r="Z38" s="269"/>
      <c r="AA38" s="269"/>
      <c r="AB38" s="269"/>
      <c r="AC38" s="269"/>
      <c r="AD38" s="269"/>
      <c r="AE38" s="269"/>
    </row>
    <row r="39" spans="1:31" ht="28.5">
      <c r="A39" s="268" t="s">
        <v>3018</v>
      </c>
      <c r="B39" s="272"/>
      <c r="C39" s="272"/>
      <c r="D39" s="265" t="s">
        <v>2707</v>
      </c>
      <c r="E39" s="271"/>
      <c r="F39" s="271"/>
      <c r="G39" s="271"/>
      <c r="H39" s="265"/>
      <c r="I39" s="271"/>
      <c r="J39" s="271"/>
      <c r="K39" s="269"/>
      <c r="L39" s="271"/>
      <c r="M39" s="270"/>
      <c r="N39" s="271"/>
      <c r="O39" s="271"/>
      <c r="P39" s="117"/>
      <c r="Q39" s="144"/>
      <c r="R39" s="118"/>
      <c r="S39" s="118"/>
      <c r="T39" s="269"/>
      <c r="U39" s="269"/>
      <c r="V39" s="269"/>
      <c r="W39" s="269"/>
      <c r="X39" s="269"/>
      <c r="Y39" s="269"/>
      <c r="Z39" s="269"/>
      <c r="AA39" s="269"/>
      <c r="AB39" s="269"/>
      <c r="AC39" s="269"/>
      <c r="AD39" s="269"/>
      <c r="AE39" s="269"/>
    </row>
    <row r="40" spans="1:31">
      <c r="A40" s="274" t="s">
        <v>3017</v>
      </c>
      <c r="B40" s="280" t="s">
        <v>3016</v>
      </c>
      <c r="C40" s="277"/>
      <c r="D40" s="265" t="s">
        <v>2707</v>
      </c>
      <c r="E40" s="271"/>
      <c r="F40" s="271"/>
      <c r="G40" s="265"/>
      <c r="H40" s="271"/>
      <c r="I40" s="271"/>
      <c r="J40" s="265"/>
      <c r="K40" s="265"/>
      <c r="L40" s="265"/>
      <c r="M40" s="270"/>
      <c r="N40" s="271"/>
      <c r="O40" s="271"/>
      <c r="P40" s="117"/>
      <c r="Q40" s="144"/>
      <c r="R40" s="118"/>
      <c r="S40" s="118"/>
      <c r="T40" s="269"/>
      <c r="U40" s="269"/>
      <c r="V40" s="269"/>
      <c r="W40" s="269"/>
      <c r="X40" s="269"/>
      <c r="Y40" s="269"/>
      <c r="Z40" s="269"/>
      <c r="AA40" s="269"/>
      <c r="AB40" s="269"/>
      <c r="AC40" s="269"/>
      <c r="AD40" s="269"/>
      <c r="AE40" s="269"/>
    </row>
    <row r="41" spans="1:31" ht="28.5">
      <c r="A41" s="268" t="s">
        <v>3015</v>
      </c>
      <c r="B41" s="280"/>
      <c r="C41" s="277"/>
      <c r="D41" s="265" t="s">
        <v>2707</v>
      </c>
      <c r="E41" s="271"/>
      <c r="F41" s="271"/>
      <c r="G41" s="271"/>
      <c r="H41" s="271"/>
      <c r="I41" s="271"/>
      <c r="J41" s="271"/>
      <c r="K41" s="265"/>
      <c r="L41" s="271"/>
      <c r="M41" s="270"/>
      <c r="N41" s="271"/>
      <c r="O41" s="271"/>
      <c r="P41" s="117"/>
      <c r="Q41" s="144"/>
      <c r="R41" s="118"/>
      <c r="S41" s="118"/>
      <c r="T41" s="269"/>
      <c r="U41" s="269"/>
      <c r="V41" s="269"/>
      <c r="W41" s="269"/>
      <c r="X41" s="269"/>
      <c r="Y41" s="269"/>
      <c r="Z41" s="269"/>
      <c r="AA41" s="269"/>
      <c r="AB41" s="269"/>
      <c r="AC41" s="269"/>
      <c r="AD41" s="269"/>
      <c r="AE41" s="269"/>
    </row>
    <row r="42" spans="1:31">
      <c r="A42" s="274"/>
      <c r="B42" s="280"/>
      <c r="C42" s="277"/>
      <c r="D42" s="265"/>
      <c r="E42" s="271"/>
      <c r="F42" s="271"/>
      <c r="G42" s="271"/>
      <c r="H42" s="271"/>
      <c r="I42" s="271"/>
      <c r="J42" s="271"/>
      <c r="K42" s="265"/>
      <c r="L42" s="271"/>
      <c r="M42" s="270"/>
      <c r="N42" s="271"/>
      <c r="O42" s="271"/>
      <c r="P42" s="117"/>
      <c r="Q42" s="145"/>
      <c r="R42" s="162"/>
      <c r="S42" s="118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</row>
    <row r="43" spans="1:31">
      <c r="A43" s="274"/>
      <c r="B43" s="280"/>
      <c r="C43" s="277"/>
      <c r="D43" s="265"/>
      <c r="E43" s="271"/>
      <c r="F43" s="271"/>
      <c r="G43" s="271"/>
      <c r="H43" s="271"/>
      <c r="I43" s="271"/>
      <c r="J43" s="271"/>
      <c r="K43" s="265"/>
      <c r="L43" s="271"/>
      <c r="M43" s="270"/>
      <c r="N43" s="271"/>
      <c r="O43" s="271"/>
      <c r="P43" s="117"/>
      <c r="Q43" s="145"/>
      <c r="R43" s="162"/>
      <c r="S43" s="118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</row>
    <row r="44" spans="1:31">
      <c r="A44" s="274" t="s">
        <v>3014</v>
      </c>
      <c r="B44" s="280" t="s">
        <v>3013</v>
      </c>
      <c r="C44" s="277"/>
      <c r="D44" s="265" t="s">
        <v>2707</v>
      </c>
      <c r="E44" s="271"/>
      <c r="F44" s="271"/>
      <c r="G44" s="271"/>
      <c r="H44" s="271"/>
      <c r="I44" s="271"/>
      <c r="J44" s="271"/>
      <c r="K44" s="265"/>
      <c r="L44" s="271"/>
      <c r="M44" s="270"/>
      <c r="N44" s="271"/>
      <c r="O44" s="271"/>
      <c r="P44" s="117"/>
      <c r="Q44" s="145"/>
      <c r="R44" s="118"/>
      <c r="S44" s="118"/>
      <c r="T44" s="269"/>
      <c r="U44" s="269"/>
      <c r="V44" s="269"/>
      <c r="W44" s="269"/>
      <c r="X44" s="269"/>
      <c r="Y44" s="269"/>
      <c r="Z44" s="269"/>
      <c r="AA44" s="269"/>
      <c r="AB44" s="269"/>
      <c r="AC44" s="269"/>
      <c r="AD44" s="269"/>
      <c r="AE44" s="269"/>
    </row>
    <row r="45" spans="1:31">
      <c r="A45" s="274" t="s">
        <v>3012</v>
      </c>
      <c r="B45" s="272" t="s">
        <v>2977</v>
      </c>
      <c r="C45" s="272"/>
      <c r="D45" s="265" t="s">
        <v>2707</v>
      </c>
      <c r="E45" s="271"/>
      <c r="F45" s="271"/>
      <c r="G45" s="271"/>
      <c r="H45" s="265"/>
      <c r="I45" s="271"/>
      <c r="J45" s="271"/>
      <c r="K45" s="271"/>
      <c r="L45" s="271"/>
      <c r="M45" s="270"/>
      <c r="N45" s="271"/>
      <c r="O45" s="271"/>
      <c r="P45" s="117"/>
      <c r="Q45" s="145"/>
      <c r="R45" s="118"/>
      <c r="S45" s="118"/>
      <c r="T45" s="269"/>
      <c r="U45" s="269"/>
      <c r="V45" s="269"/>
      <c r="W45" s="269"/>
      <c r="X45" s="269"/>
      <c r="Y45" s="269"/>
      <c r="Z45" s="269"/>
      <c r="AA45" s="269"/>
      <c r="AB45" s="269"/>
      <c r="AC45" s="269"/>
      <c r="AD45" s="269"/>
      <c r="AE45" s="269"/>
    </row>
    <row r="46" spans="1:31">
      <c r="A46" s="274" t="s">
        <v>3011</v>
      </c>
      <c r="B46" s="272" t="s">
        <v>2977</v>
      </c>
      <c r="C46" s="272"/>
      <c r="D46" s="265" t="s">
        <v>2707</v>
      </c>
      <c r="E46" s="271"/>
      <c r="F46" s="271"/>
      <c r="G46" s="271"/>
      <c r="H46" s="265"/>
      <c r="I46" s="271"/>
      <c r="J46" s="271"/>
      <c r="K46" s="271"/>
      <c r="L46" s="271"/>
      <c r="M46" s="270"/>
      <c r="N46" s="271"/>
      <c r="O46" s="271"/>
      <c r="P46" s="117"/>
      <c r="Q46" s="145"/>
      <c r="R46" s="118"/>
      <c r="S46" s="118"/>
      <c r="T46" s="269"/>
      <c r="U46" s="269"/>
      <c r="V46" s="269"/>
      <c r="W46" s="269"/>
      <c r="X46" s="269"/>
      <c r="Y46" s="269"/>
      <c r="Z46" s="269"/>
      <c r="AA46" s="269"/>
      <c r="AB46" s="269"/>
      <c r="AC46" s="269"/>
      <c r="AD46" s="269"/>
      <c r="AE46" s="269"/>
    </row>
    <row r="47" spans="1:31">
      <c r="A47" s="274" t="s">
        <v>3010</v>
      </c>
      <c r="B47" s="272" t="s">
        <v>2977</v>
      </c>
      <c r="C47" s="272"/>
      <c r="D47" s="265" t="s">
        <v>2707</v>
      </c>
      <c r="E47" s="271"/>
      <c r="F47" s="271"/>
      <c r="G47" s="271"/>
      <c r="H47" s="265"/>
      <c r="I47" s="271"/>
      <c r="J47" s="271"/>
      <c r="K47" s="271"/>
      <c r="L47" s="271"/>
      <c r="M47" s="270"/>
      <c r="N47" s="271"/>
      <c r="O47" s="271"/>
      <c r="P47" s="117"/>
      <c r="Q47" s="145"/>
      <c r="R47" s="118"/>
      <c r="S47" s="118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</row>
    <row r="48" spans="1:31">
      <c r="A48" s="274" t="s">
        <v>3009</v>
      </c>
      <c r="B48" s="272" t="s">
        <v>2977</v>
      </c>
      <c r="C48" s="272"/>
      <c r="D48" s="265" t="s">
        <v>2707</v>
      </c>
      <c r="E48" s="271"/>
      <c r="F48" s="271"/>
      <c r="G48" s="271"/>
      <c r="H48" s="265"/>
      <c r="I48" s="271"/>
      <c r="J48" s="271"/>
      <c r="K48" s="271"/>
      <c r="L48" s="271"/>
      <c r="M48" s="270"/>
      <c r="N48" s="271"/>
      <c r="O48" s="271"/>
      <c r="P48" s="117"/>
      <c r="Q48" s="144"/>
      <c r="R48" s="118"/>
      <c r="S48" s="118"/>
      <c r="T48" s="269"/>
      <c r="U48" s="269"/>
      <c r="V48" s="269"/>
      <c r="W48" s="269"/>
      <c r="X48" s="269"/>
      <c r="Y48" s="269"/>
      <c r="Z48" s="269"/>
      <c r="AA48" s="269"/>
      <c r="AB48" s="269"/>
      <c r="AC48" s="269"/>
      <c r="AD48" s="269"/>
      <c r="AE48" s="269"/>
    </row>
    <row r="49" spans="1:31">
      <c r="A49" s="274" t="s">
        <v>3008</v>
      </c>
      <c r="B49" s="272" t="s">
        <v>2977</v>
      </c>
      <c r="C49" s="272"/>
      <c r="D49" s="265" t="s">
        <v>2707</v>
      </c>
      <c r="E49" s="271"/>
      <c r="F49" s="271"/>
      <c r="G49" s="271"/>
      <c r="H49" s="265"/>
      <c r="I49" s="271"/>
      <c r="J49" s="271"/>
      <c r="K49" s="271"/>
      <c r="L49" s="271"/>
      <c r="M49" s="270"/>
      <c r="N49" s="271"/>
      <c r="O49" s="271"/>
      <c r="P49" s="117"/>
      <c r="Q49" s="144"/>
      <c r="R49" s="118"/>
      <c r="S49" s="118"/>
      <c r="T49" s="269"/>
      <c r="U49" s="269"/>
      <c r="V49" s="269"/>
      <c r="W49" s="269"/>
      <c r="X49" s="269"/>
      <c r="Y49" s="269"/>
      <c r="Z49" s="269"/>
      <c r="AA49" s="269"/>
      <c r="AB49" s="269"/>
      <c r="AC49" s="269"/>
      <c r="AD49" s="269"/>
      <c r="AE49" s="269"/>
    </row>
    <row r="50" spans="1:31">
      <c r="A50" s="274" t="s">
        <v>3007</v>
      </c>
      <c r="B50" s="272" t="s">
        <v>2977</v>
      </c>
      <c r="C50" s="272"/>
      <c r="D50" s="265" t="s">
        <v>2707</v>
      </c>
      <c r="E50" s="271"/>
      <c r="F50" s="271"/>
      <c r="G50" s="271"/>
      <c r="H50" s="265"/>
      <c r="I50" s="271"/>
      <c r="J50" s="271"/>
      <c r="K50" s="271"/>
      <c r="L50" s="271"/>
      <c r="M50" s="270"/>
      <c r="N50" s="271"/>
      <c r="O50" s="271"/>
      <c r="P50" s="117"/>
      <c r="Q50" s="144"/>
      <c r="R50" s="118"/>
      <c r="S50" s="118"/>
      <c r="T50" s="269"/>
      <c r="U50" s="269"/>
      <c r="V50" s="269"/>
      <c r="W50" s="269"/>
      <c r="X50" s="269"/>
      <c r="Y50" s="269"/>
      <c r="Z50" s="269"/>
      <c r="AA50" s="269"/>
      <c r="AB50" s="269"/>
      <c r="AC50" s="269"/>
      <c r="AD50" s="269"/>
      <c r="AE50" s="269"/>
    </row>
    <row r="51" spans="1:31">
      <c r="A51" s="274" t="s">
        <v>3006</v>
      </c>
      <c r="B51" s="272" t="s">
        <v>2977</v>
      </c>
      <c r="C51" s="272"/>
      <c r="D51" s="265" t="s">
        <v>2707</v>
      </c>
      <c r="E51" s="271"/>
      <c r="F51" s="265"/>
      <c r="G51" s="271"/>
      <c r="H51" s="265"/>
      <c r="I51" s="271"/>
      <c r="J51" s="271"/>
      <c r="K51" s="271"/>
      <c r="L51" s="271"/>
      <c r="M51" s="270"/>
      <c r="N51" s="265"/>
      <c r="O51" s="265"/>
      <c r="P51" s="13"/>
      <c r="Q51" s="146"/>
      <c r="R51" s="13"/>
      <c r="S51" s="13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</row>
    <row r="52" spans="1:31">
      <c r="A52" s="274" t="s">
        <v>3005</v>
      </c>
      <c r="B52" s="272" t="s">
        <v>2977</v>
      </c>
      <c r="C52" s="272"/>
      <c r="D52" s="265" t="s">
        <v>2707</v>
      </c>
      <c r="E52" s="271"/>
      <c r="F52" s="271"/>
      <c r="G52" s="271"/>
      <c r="H52" s="265"/>
      <c r="I52" s="271"/>
      <c r="J52" s="271"/>
      <c r="K52" s="271"/>
      <c r="L52" s="271"/>
      <c r="M52" s="270"/>
      <c r="N52" s="271"/>
      <c r="O52" s="271"/>
      <c r="P52" s="13"/>
      <c r="Q52" s="33"/>
      <c r="R52" s="13"/>
      <c r="S52" s="13"/>
      <c r="T52" s="269"/>
      <c r="U52" s="269"/>
      <c r="V52" s="269"/>
      <c r="W52" s="269"/>
      <c r="X52" s="269"/>
      <c r="Y52" s="269"/>
      <c r="Z52" s="269"/>
      <c r="AA52" s="269"/>
      <c r="AB52" s="269"/>
      <c r="AC52" s="269"/>
      <c r="AD52" s="269"/>
      <c r="AE52" s="269"/>
    </row>
    <row r="53" spans="1:31">
      <c r="A53" s="274" t="s">
        <v>3004</v>
      </c>
      <c r="B53" s="272" t="s">
        <v>2977</v>
      </c>
      <c r="C53" s="272"/>
      <c r="D53" s="265" t="s">
        <v>2707</v>
      </c>
      <c r="E53" s="271"/>
      <c r="F53" s="271"/>
      <c r="G53" s="271"/>
      <c r="H53" s="265"/>
      <c r="I53" s="271"/>
      <c r="J53" s="271"/>
      <c r="K53" s="271"/>
      <c r="L53" s="271"/>
      <c r="M53" s="270"/>
      <c r="N53" s="271"/>
      <c r="O53" s="271"/>
      <c r="P53" s="13"/>
      <c r="Q53" s="33"/>
      <c r="R53" s="13"/>
      <c r="S53" s="13"/>
      <c r="T53" s="269"/>
      <c r="U53" s="269"/>
      <c r="V53" s="269"/>
      <c r="W53" s="269"/>
      <c r="X53" s="269"/>
      <c r="Y53" s="269"/>
      <c r="Z53" s="269"/>
      <c r="AA53" s="269"/>
      <c r="AB53" s="269"/>
      <c r="AC53" s="269"/>
      <c r="AD53" s="269"/>
      <c r="AE53" s="269"/>
    </row>
    <row r="54" spans="1:31">
      <c r="A54" s="274" t="s">
        <v>3003</v>
      </c>
      <c r="B54" s="272" t="s">
        <v>2977</v>
      </c>
      <c r="C54" s="272"/>
      <c r="D54" s="265" t="s">
        <v>2707</v>
      </c>
      <c r="E54" s="271"/>
      <c r="F54" s="265"/>
      <c r="G54" s="271"/>
      <c r="H54" s="265"/>
      <c r="I54" s="271"/>
      <c r="J54" s="271"/>
      <c r="K54" s="271"/>
      <c r="L54" s="271"/>
      <c r="M54" s="270"/>
      <c r="N54" s="265"/>
      <c r="O54" s="265"/>
      <c r="P54" s="13"/>
      <c r="Q54" s="33"/>
      <c r="R54" s="13"/>
      <c r="S54" s="13"/>
      <c r="T54" s="269"/>
      <c r="U54" s="269"/>
      <c r="V54" s="269"/>
      <c r="W54" s="269"/>
      <c r="X54" s="269"/>
      <c r="Y54" s="269"/>
      <c r="Z54" s="269"/>
      <c r="AA54" s="269"/>
      <c r="AB54" s="269"/>
      <c r="AC54" s="269"/>
      <c r="AD54" s="269"/>
      <c r="AE54" s="269"/>
    </row>
    <row r="55" spans="1:31">
      <c r="A55" s="274" t="s">
        <v>3002</v>
      </c>
      <c r="B55" s="272" t="s">
        <v>2977</v>
      </c>
      <c r="C55" s="272"/>
      <c r="D55" s="265" t="s">
        <v>2707</v>
      </c>
      <c r="E55" s="271"/>
      <c r="F55" s="271"/>
      <c r="G55" s="271"/>
      <c r="H55" s="265"/>
      <c r="I55" s="271"/>
      <c r="J55" s="271"/>
      <c r="K55" s="271"/>
      <c r="L55" s="271"/>
      <c r="M55" s="270"/>
      <c r="N55" s="271"/>
      <c r="O55" s="271"/>
      <c r="P55" s="117"/>
      <c r="Q55" s="145"/>
      <c r="R55" s="118"/>
      <c r="S55" s="118"/>
      <c r="T55" s="269"/>
      <c r="U55" s="269"/>
      <c r="V55" s="269"/>
      <c r="W55" s="269"/>
      <c r="X55" s="269"/>
      <c r="Y55" s="269"/>
      <c r="Z55" s="269"/>
      <c r="AA55" s="269"/>
      <c r="AB55" s="269"/>
      <c r="AC55" s="269"/>
      <c r="AD55" s="269"/>
      <c r="AE55" s="269"/>
    </row>
    <row r="56" spans="1:31">
      <c r="A56" s="274" t="s">
        <v>3001</v>
      </c>
      <c r="B56" s="272" t="s">
        <v>2977</v>
      </c>
      <c r="C56" s="272"/>
      <c r="D56" s="265" t="s">
        <v>2707</v>
      </c>
      <c r="E56" s="271"/>
      <c r="F56" s="271"/>
      <c r="G56" s="271"/>
      <c r="H56" s="271"/>
      <c r="I56" s="271"/>
      <c r="J56" s="271"/>
      <c r="K56" s="271"/>
      <c r="L56" s="271"/>
      <c r="M56" s="270"/>
      <c r="N56" s="271"/>
      <c r="O56" s="271"/>
      <c r="P56" s="117"/>
      <c r="Q56" s="145"/>
      <c r="R56" s="162"/>
      <c r="S56" s="118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</row>
    <row r="57" spans="1:31">
      <c r="A57" s="274" t="s">
        <v>3000</v>
      </c>
      <c r="B57" s="272" t="s">
        <v>2977</v>
      </c>
      <c r="C57" s="272"/>
      <c r="D57" s="265" t="s">
        <v>2707</v>
      </c>
      <c r="E57" s="271"/>
      <c r="F57" s="271"/>
      <c r="G57" s="271"/>
      <c r="H57" s="265"/>
      <c r="I57" s="271"/>
      <c r="J57" s="271"/>
      <c r="K57" s="271"/>
      <c r="L57" s="271"/>
      <c r="M57" s="270"/>
      <c r="N57" s="271"/>
      <c r="O57" s="271"/>
      <c r="P57" s="117"/>
      <c r="Q57" s="145"/>
      <c r="R57" s="118"/>
      <c r="S57" s="118"/>
      <c r="T57" s="269"/>
      <c r="U57" s="269"/>
      <c r="V57" s="269"/>
      <c r="W57" s="269"/>
      <c r="X57" s="269"/>
      <c r="Y57" s="269"/>
      <c r="Z57" s="269"/>
      <c r="AA57" s="269"/>
      <c r="AB57" s="269"/>
      <c r="AC57" s="269"/>
      <c r="AD57" s="269"/>
      <c r="AE57" s="269"/>
    </row>
    <row r="58" spans="1:31">
      <c r="A58" s="274" t="s">
        <v>2999</v>
      </c>
      <c r="B58" s="272" t="s">
        <v>2977</v>
      </c>
      <c r="C58" s="272"/>
      <c r="D58" s="265" t="s">
        <v>2707</v>
      </c>
      <c r="E58" s="271"/>
      <c r="F58" s="271"/>
      <c r="G58" s="271"/>
      <c r="H58" s="265"/>
      <c r="I58" s="271"/>
      <c r="J58" s="271"/>
      <c r="K58" s="271"/>
      <c r="L58" s="271"/>
      <c r="M58" s="270"/>
      <c r="N58" s="271"/>
      <c r="O58" s="271"/>
      <c r="P58" s="117"/>
      <c r="Q58" s="145"/>
      <c r="R58" s="162"/>
      <c r="S58" s="118"/>
      <c r="T58" s="269"/>
      <c r="U58" s="269"/>
      <c r="V58" s="269"/>
      <c r="W58" s="269"/>
      <c r="X58" s="269"/>
      <c r="Y58" s="269"/>
      <c r="Z58" s="269"/>
      <c r="AA58" s="269"/>
      <c r="AB58" s="269"/>
      <c r="AC58" s="269"/>
      <c r="AD58" s="269"/>
      <c r="AE58" s="269"/>
    </row>
    <row r="59" spans="1:31">
      <c r="A59" s="274" t="s">
        <v>2998</v>
      </c>
      <c r="B59" s="272" t="s">
        <v>2977</v>
      </c>
      <c r="C59" s="272"/>
      <c r="D59" s="265" t="s">
        <v>2707</v>
      </c>
      <c r="E59" s="271"/>
      <c r="F59" s="271"/>
      <c r="G59" s="271"/>
      <c r="H59" s="265"/>
      <c r="I59" s="271"/>
      <c r="J59" s="271"/>
      <c r="K59" s="271"/>
      <c r="L59" s="271"/>
      <c r="M59" s="270"/>
      <c r="N59" s="271"/>
      <c r="O59" s="271"/>
      <c r="P59" s="117"/>
      <c r="Q59" s="144"/>
      <c r="R59" s="118"/>
      <c r="S59" s="118"/>
      <c r="T59" s="269"/>
      <c r="U59" s="269"/>
      <c r="V59" s="269"/>
      <c r="W59" s="269"/>
      <c r="X59" s="269"/>
      <c r="Y59" s="269"/>
      <c r="Z59" s="269"/>
      <c r="AA59" s="269"/>
      <c r="AB59" s="269"/>
      <c r="AC59" s="269"/>
      <c r="AD59" s="269"/>
      <c r="AE59" s="269"/>
    </row>
    <row r="60" spans="1:31">
      <c r="A60" s="274" t="s">
        <v>2997</v>
      </c>
      <c r="B60" s="272" t="s">
        <v>2977</v>
      </c>
      <c r="C60" s="272"/>
      <c r="D60" s="265" t="s">
        <v>2707</v>
      </c>
      <c r="E60" s="271"/>
      <c r="F60" s="271"/>
      <c r="G60" s="271"/>
      <c r="H60" s="265"/>
      <c r="I60" s="271"/>
      <c r="J60" s="271"/>
      <c r="K60" s="271"/>
      <c r="L60" s="271"/>
      <c r="M60" s="270"/>
      <c r="N60" s="271"/>
      <c r="O60" s="271"/>
      <c r="P60" s="13"/>
      <c r="Q60" s="33"/>
      <c r="R60" s="13"/>
      <c r="S60" s="13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</row>
    <row r="61" spans="1:31">
      <c r="A61" s="274" t="s">
        <v>2996</v>
      </c>
      <c r="B61" s="272" t="s">
        <v>2977</v>
      </c>
      <c r="C61" s="272"/>
      <c r="D61" s="265" t="s">
        <v>2707</v>
      </c>
      <c r="E61" s="271"/>
      <c r="F61" s="271"/>
      <c r="G61" s="271"/>
      <c r="H61" s="265"/>
      <c r="I61" s="271"/>
      <c r="J61" s="271"/>
      <c r="K61" s="271"/>
      <c r="L61" s="271"/>
      <c r="M61" s="270"/>
      <c r="N61" s="271"/>
      <c r="O61" s="271"/>
      <c r="P61" s="13"/>
      <c r="Q61" s="146"/>
      <c r="R61" s="13"/>
      <c r="S61" s="13"/>
      <c r="T61" s="269"/>
      <c r="U61" s="269"/>
      <c r="V61" s="269"/>
      <c r="W61" s="269"/>
      <c r="X61" s="269"/>
      <c r="Y61" s="269"/>
      <c r="Z61" s="269"/>
      <c r="AA61" s="269"/>
      <c r="AB61" s="269"/>
      <c r="AC61" s="269"/>
      <c r="AD61" s="269"/>
      <c r="AE61" s="269"/>
    </row>
    <row r="62" spans="1:31" ht="28.5">
      <c r="A62" s="274" t="s">
        <v>2995</v>
      </c>
      <c r="B62" s="272" t="s">
        <v>2977</v>
      </c>
      <c r="C62" s="272"/>
      <c r="D62" s="265" t="s">
        <v>2707</v>
      </c>
      <c r="E62" s="271"/>
      <c r="F62" s="271"/>
      <c r="G62" s="271"/>
      <c r="H62" s="271"/>
      <c r="I62" s="271"/>
      <c r="J62" s="271"/>
      <c r="K62" s="271"/>
      <c r="L62" s="271"/>
      <c r="M62" s="270"/>
      <c r="N62" s="271"/>
      <c r="O62" s="271"/>
      <c r="P62" s="13"/>
      <c r="Q62" s="146"/>
      <c r="R62" s="221"/>
      <c r="S62" s="13"/>
      <c r="T62" s="269"/>
      <c r="U62" s="269"/>
      <c r="V62" s="269"/>
      <c r="W62" s="269"/>
      <c r="X62" s="269"/>
      <c r="Y62" s="269"/>
      <c r="Z62" s="269"/>
      <c r="AA62" s="269"/>
      <c r="AB62" s="269"/>
      <c r="AC62" s="269"/>
      <c r="AD62" s="269"/>
      <c r="AE62" s="269"/>
    </row>
    <row r="63" spans="1:31">
      <c r="A63" s="274" t="s">
        <v>2994</v>
      </c>
      <c r="B63" s="272" t="s">
        <v>2977</v>
      </c>
      <c r="C63" s="272"/>
      <c r="D63" s="265" t="s">
        <v>2707</v>
      </c>
      <c r="E63" s="271"/>
      <c r="F63" s="265"/>
      <c r="G63" s="271"/>
      <c r="H63" s="265"/>
      <c r="I63" s="271"/>
      <c r="J63" s="271"/>
      <c r="K63" s="271"/>
      <c r="L63" s="271"/>
      <c r="M63" s="270"/>
      <c r="N63" s="265"/>
      <c r="O63" s="265"/>
      <c r="P63" s="117"/>
      <c r="Q63" s="145"/>
      <c r="R63" s="118"/>
      <c r="S63" s="118"/>
      <c r="T63" s="269"/>
      <c r="U63" s="269"/>
      <c r="V63" s="269"/>
      <c r="W63" s="269"/>
      <c r="X63" s="269"/>
      <c r="Y63" s="269"/>
      <c r="Z63" s="269"/>
      <c r="AA63" s="269"/>
      <c r="AB63" s="269"/>
      <c r="AC63" s="269"/>
      <c r="AD63" s="269"/>
      <c r="AE63" s="269"/>
    </row>
    <row r="64" spans="1:31">
      <c r="A64" s="274" t="s">
        <v>2993</v>
      </c>
      <c r="B64" s="272" t="s">
        <v>2977</v>
      </c>
      <c r="C64" s="272"/>
      <c r="D64" s="265" t="s">
        <v>2707</v>
      </c>
      <c r="E64" s="271"/>
      <c r="F64" s="271"/>
      <c r="G64" s="271"/>
      <c r="H64" s="265"/>
      <c r="I64" s="271"/>
      <c r="J64" s="271"/>
      <c r="K64" s="271"/>
      <c r="L64" s="271"/>
      <c r="M64" s="270"/>
      <c r="N64" s="271"/>
      <c r="O64" s="271"/>
      <c r="P64" s="13"/>
      <c r="Q64" s="146"/>
      <c r="R64" s="13"/>
      <c r="S64" s="13"/>
      <c r="T64" s="269"/>
      <c r="U64" s="269"/>
      <c r="V64" s="269"/>
      <c r="W64" s="269"/>
      <c r="X64" s="269"/>
      <c r="Y64" s="269"/>
      <c r="Z64" s="269"/>
      <c r="AA64" s="269"/>
      <c r="AB64" s="269"/>
      <c r="AC64" s="269"/>
      <c r="AD64" s="269"/>
      <c r="AE64" s="269"/>
    </row>
    <row r="65" spans="1:31" ht="28.5">
      <c r="A65" s="274" t="s">
        <v>2992</v>
      </c>
      <c r="B65" s="272" t="s">
        <v>2977</v>
      </c>
      <c r="C65" s="272"/>
      <c r="D65" s="265" t="s">
        <v>2707</v>
      </c>
      <c r="E65" s="271"/>
      <c r="F65" s="271"/>
      <c r="G65" s="271"/>
      <c r="H65" s="265"/>
      <c r="I65" s="271"/>
      <c r="J65" s="271"/>
      <c r="K65" s="271"/>
      <c r="L65" s="271"/>
      <c r="M65" s="270"/>
      <c r="N65" s="271"/>
      <c r="O65" s="271"/>
      <c r="P65" s="13"/>
      <c r="Q65" s="33"/>
      <c r="R65" s="13"/>
      <c r="S65" s="13"/>
      <c r="T65" s="269"/>
      <c r="U65" s="269"/>
      <c r="V65" s="269"/>
      <c r="W65" s="269"/>
      <c r="X65" s="269"/>
      <c r="Y65" s="269"/>
      <c r="Z65" s="269"/>
      <c r="AA65" s="269"/>
      <c r="AB65" s="269"/>
      <c r="AC65" s="269"/>
      <c r="AD65" s="269"/>
      <c r="AE65" s="269"/>
    </row>
    <row r="66" spans="1:31">
      <c r="A66" s="274" t="s">
        <v>2991</v>
      </c>
      <c r="B66" s="272" t="s">
        <v>2977</v>
      </c>
      <c r="C66" s="272"/>
      <c r="D66" s="265" t="s">
        <v>2707</v>
      </c>
      <c r="E66" s="271"/>
      <c r="F66" s="271"/>
      <c r="G66" s="271"/>
      <c r="H66" s="265"/>
      <c r="I66" s="271"/>
      <c r="J66" s="271"/>
      <c r="K66" s="271"/>
      <c r="L66" s="271"/>
      <c r="M66" s="270"/>
      <c r="N66" s="271"/>
      <c r="O66" s="271"/>
      <c r="P66" s="13"/>
      <c r="Q66" s="33"/>
      <c r="R66" s="13"/>
      <c r="S66" s="13"/>
      <c r="T66" s="269"/>
      <c r="U66" s="269"/>
      <c r="V66" s="269"/>
      <c r="W66" s="269"/>
      <c r="X66" s="269"/>
      <c r="Y66" s="269"/>
      <c r="Z66" s="269"/>
      <c r="AA66" s="269"/>
      <c r="AB66" s="269"/>
      <c r="AC66" s="269"/>
      <c r="AD66" s="269"/>
      <c r="AE66" s="269"/>
    </row>
    <row r="67" spans="1:31" ht="28.5">
      <c r="A67" s="274" t="s">
        <v>2990</v>
      </c>
      <c r="B67" s="272" t="s">
        <v>2977</v>
      </c>
      <c r="C67" s="272"/>
      <c r="D67" s="265" t="s">
        <v>2707</v>
      </c>
      <c r="E67" s="271"/>
      <c r="F67" s="271"/>
      <c r="G67" s="271"/>
      <c r="H67" s="265"/>
      <c r="I67" s="271"/>
      <c r="J67" s="271"/>
      <c r="K67" s="271"/>
      <c r="L67" s="271"/>
      <c r="M67" s="270"/>
      <c r="N67" s="271"/>
      <c r="O67" s="271"/>
      <c r="P67" s="13"/>
      <c r="Q67" s="33"/>
      <c r="R67" s="13"/>
      <c r="S67" s="13"/>
      <c r="T67" s="269"/>
      <c r="U67" s="269"/>
      <c r="V67" s="269"/>
      <c r="W67" s="269"/>
      <c r="X67" s="269"/>
      <c r="Y67" s="269"/>
      <c r="Z67" s="269"/>
      <c r="AA67" s="269"/>
      <c r="AB67" s="269"/>
      <c r="AC67" s="269"/>
      <c r="AD67" s="269"/>
      <c r="AE67" s="269"/>
    </row>
    <row r="68" spans="1:31">
      <c r="A68" s="274" t="s">
        <v>2989</v>
      </c>
      <c r="B68" s="272" t="s">
        <v>2977</v>
      </c>
      <c r="C68" s="272"/>
      <c r="D68" s="265" t="s">
        <v>2707</v>
      </c>
      <c r="E68" s="271"/>
      <c r="F68" s="271"/>
      <c r="G68" s="271"/>
      <c r="H68" s="265"/>
      <c r="I68" s="271"/>
      <c r="J68" s="271"/>
      <c r="K68" s="271"/>
      <c r="L68" s="271"/>
      <c r="M68" s="270"/>
      <c r="N68" s="271"/>
      <c r="O68" s="271"/>
      <c r="P68" s="13"/>
      <c r="Q68" s="33"/>
      <c r="R68" s="13"/>
      <c r="S68" s="13"/>
      <c r="T68" s="269"/>
      <c r="U68" s="269"/>
      <c r="V68" s="269"/>
      <c r="W68" s="269"/>
      <c r="X68" s="269"/>
      <c r="Y68" s="269"/>
      <c r="Z68" s="269"/>
      <c r="AA68" s="269"/>
      <c r="AB68" s="269"/>
      <c r="AC68" s="269"/>
      <c r="AD68" s="269"/>
      <c r="AE68" s="269"/>
    </row>
    <row r="69" spans="1:31">
      <c r="A69" s="274" t="s">
        <v>2988</v>
      </c>
      <c r="B69" s="272" t="s">
        <v>2977</v>
      </c>
      <c r="C69" s="272"/>
      <c r="D69" s="265" t="s">
        <v>2707</v>
      </c>
      <c r="E69" s="271"/>
      <c r="F69" s="271"/>
      <c r="G69" s="271"/>
      <c r="H69" s="265"/>
      <c r="I69" s="271"/>
      <c r="J69" s="271"/>
      <c r="K69" s="271"/>
      <c r="L69" s="271"/>
      <c r="M69" s="270"/>
      <c r="N69" s="271"/>
      <c r="O69" s="271"/>
      <c r="P69" s="13"/>
      <c r="Q69" s="146"/>
      <c r="R69" s="13"/>
      <c r="S69" s="13"/>
      <c r="T69" s="269"/>
      <c r="U69" s="269"/>
      <c r="V69" s="269"/>
      <c r="W69" s="269"/>
      <c r="X69" s="269"/>
      <c r="Y69" s="269"/>
      <c r="Z69" s="269"/>
      <c r="AA69" s="269"/>
      <c r="AB69" s="269"/>
      <c r="AC69" s="269"/>
      <c r="AD69" s="269"/>
      <c r="AE69" s="269"/>
    </row>
    <row r="70" spans="1:31">
      <c r="A70" s="274" t="s">
        <v>2987</v>
      </c>
      <c r="B70" s="272" t="s">
        <v>2977</v>
      </c>
      <c r="C70" s="272"/>
      <c r="D70" s="265" t="s">
        <v>2707</v>
      </c>
      <c r="E70" s="271"/>
      <c r="F70" s="271"/>
      <c r="G70" s="271"/>
      <c r="H70" s="265"/>
      <c r="I70" s="271"/>
      <c r="J70" s="271"/>
      <c r="K70" s="271"/>
      <c r="L70" s="271"/>
      <c r="M70" s="270"/>
      <c r="N70" s="271"/>
      <c r="O70" s="271"/>
      <c r="P70" s="13"/>
      <c r="Q70" s="146"/>
      <c r="R70" s="13"/>
      <c r="S70" s="13"/>
      <c r="T70" s="269"/>
      <c r="U70" s="269"/>
      <c r="V70" s="269"/>
      <c r="W70" s="269"/>
      <c r="X70" s="269"/>
      <c r="Y70" s="269"/>
      <c r="Z70" s="269"/>
      <c r="AA70" s="269"/>
      <c r="AB70" s="269"/>
      <c r="AC70" s="269"/>
      <c r="AD70" s="269"/>
      <c r="AE70" s="269"/>
    </row>
    <row r="71" spans="1:31">
      <c r="A71" s="274" t="s">
        <v>2986</v>
      </c>
      <c r="B71" s="272" t="s">
        <v>2977</v>
      </c>
      <c r="C71" s="272"/>
      <c r="D71" s="265" t="s">
        <v>2707</v>
      </c>
      <c r="E71" s="271"/>
      <c r="F71" s="271"/>
      <c r="G71" s="271"/>
      <c r="H71" s="265"/>
      <c r="I71" s="271"/>
      <c r="J71" s="271"/>
      <c r="K71" s="271"/>
      <c r="L71" s="271"/>
      <c r="M71" s="270"/>
      <c r="N71" s="271"/>
      <c r="O71" s="271"/>
      <c r="P71" s="13"/>
      <c r="Q71" s="146"/>
      <c r="R71" s="13"/>
      <c r="S71" s="13"/>
      <c r="T71" s="269"/>
      <c r="U71" s="269"/>
      <c r="V71" s="269"/>
      <c r="W71" s="269"/>
      <c r="X71" s="269"/>
      <c r="Y71" s="269"/>
      <c r="Z71" s="269"/>
      <c r="AA71" s="269"/>
      <c r="AB71" s="269"/>
      <c r="AC71" s="269"/>
      <c r="AD71" s="269"/>
      <c r="AE71" s="269"/>
    </row>
    <row r="72" spans="1:31">
      <c r="A72" s="274" t="s">
        <v>2985</v>
      </c>
      <c r="B72" s="272" t="s">
        <v>2977</v>
      </c>
      <c r="C72" s="272"/>
      <c r="D72" s="265" t="s">
        <v>2707</v>
      </c>
      <c r="E72" s="271"/>
      <c r="F72" s="271"/>
      <c r="G72" s="271"/>
      <c r="H72" s="265"/>
      <c r="I72" s="271"/>
      <c r="J72" s="271"/>
      <c r="K72" s="271"/>
      <c r="L72" s="271"/>
      <c r="M72" s="270"/>
      <c r="N72" s="271"/>
      <c r="O72" s="271"/>
      <c r="P72" s="13"/>
      <c r="Q72" s="146"/>
      <c r="R72" s="13"/>
      <c r="S72" s="13"/>
      <c r="T72" s="269"/>
      <c r="U72" s="269"/>
      <c r="V72" s="269"/>
      <c r="W72" s="269"/>
      <c r="X72" s="269"/>
      <c r="Y72" s="269"/>
      <c r="Z72" s="269"/>
      <c r="AA72" s="269"/>
      <c r="AB72" s="269"/>
      <c r="AC72" s="269"/>
      <c r="AD72" s="269"/>
      <c r="AE72" s="269"/>
    </row>
    <row r="73" spans="1:31">
      <c r="A73" s="274" t="s">
        <v>2984</v>
      </c>
      <c r="B73" s="272" t="s">
        <v>2977</v>
      </c>
      <c r="C73" s="272"/>
      <c r="D73" s="265" t="s">
        <v>2707</v>
      </c>
      <c r="E73" s="271"/>
      <c r="F73" s="271"/>
      <c r="G73" s="271"/>
      <c r="H73" s="265"/>
      <c r="I73" s="271"/>
      <c r="J73" s="271"/>
      <c r="K73" s="271"/>
      <c r="L73" s="271"/>
      <c r="M73" s="270"/>
      <c r="N73" s="271"/>
      <c r="O73" s="271"/>
      <c r="P73" s="13"/>
      <c r="Q73" s="33"/>
      <c r="R73" s="13"/>
      <c r="S73" s="13"/>
      <c r="T73" s="269"/>
      <c r="U73" s="269"/>
      <c r="V73" s="269"/>
      <c r="W73" s="269"/>
      <c r="X73" s="269"/>
      <c r="Y73" s="269"/>
      <c r="Z73" s="269"/>
      <c r="AA73" s="269"/>
      <c r="AB73" s="269"/>
      <c r="AC73" s="269"/>
      <c r="AD73" s="269"/>
      <c r="AE73" s="269"/>
    </row>
    <row r="74" spans="1:31">
      <c r="A74" s="274" t="s">
        <v>2983</v>
      </c>
      <c r="B74" s="272" t="s">
        <v>2977</v>
      </c>
      <c r="C74" s="272"/>
      <c r="D74" s="265" t="s">
        <v>2707</v>
      </c>
      <c r="E74" s="271"/>
      <c r="F74" s="271"/>
      <c r="G74" s="271"/>
      <c r="H74" s="265"/>
      <c r="I74" s="271"/>
      <c r="J74" s="271"/>
      <c r="K74" s="271"/>
      <c r="L74" s="271"/>
      <c r="M74" s="270"/>
      <c r="N74" s="271"/>
      <c r="O74" s="271"/>
      <c r="P74" s="13"/>
      <c r="Q74" s="33"/>
      <c r="R74" s="13"/>
      <c r="S74" s="13"/>
      <c r="T74" s="269"/>
      <c r="U74" s="269"/>
      <c r="V74" s="269"/>
      <c r="W74" s="269"/>
      <c r="X74" s="269"/>
      <c r="Y74" s="269"/>
      <c r="Z74" s="269"/>
      <c r="AA74" s="269"/>
      <c r="AB74" s="269"/>
      <c r="AC74" s="269"/>
      <c r="AD74" s="269"/>
      <c r="AE74" s="269"/>
    </row>
    <row r="75" spans="1:31">
      <c r="A75" s="274" t="s">
        <v>2982</v>
      </c>
      <c r="B75" s="272" t="s">
        <v>2977</v>
      </c>
      <c r="C75" s="272"/>
      <c r="D75" s="265" t="s">
        <v>2707</v>
      </c>
      <c r="E75" s="271"/>
      <c r="F75" s="271"/>
      <c r="G75" s="271"/>
      <c r="H75" s="265"/>
      <c r="I75" s="271"/>
      <c r="J75" s="271"/>
      <c r="K75" s="271"/>
      <c r="L75" s="271"/>
      <c r="M75" s="270"/>
      <c r="N75" s="271"/>
      <c r="O75" s="271"/>
      <c r="P75" s="13"/>
      <c r="Q75" s="146"/>
      <c r="R75" s="13"/>
      <c r="S75" s="13"/>
      <c r="T75" s="269"/>
      <c r="U75" s="269"/>
      <c r="V75" s="269"/>
      <c r="W75" s="269"/>
      <c r="X75" s="269"/>
      <c r="Y75" s="269"/>
      <c r="Z75" s="269"/>
      <c r="AA75" s="269"/>
      <c r="AB75" s="269"/>
      <c r="AC75" s="269"/>
      <c r="AD75" s="269"/>
      <c r="AE75" s="269"/>
    </row>
    <row r="76" spans="1:31" ht="28.5">
      <c r="A76" s="274" t="s">
        <v>2981</v>
      </c>
      <c r="B76" s="272" t="s">
        <v>2977</v>
      </c>
      <c r="C76" s="272"/>
      <c r="D76" s="265" t="s">
        <v>2707</v>
      </c>
      <c r="E76" s="271"/>
      <c r="F76" s="265"/>
      <c r="G76" s="271"/>
      <c r="H76" s="265"/>
      <c r="I76" s="271"/>
      <c r="J76" s="271"/>
      <c r="K76" s="271"/>
      <c r="L76" s="271"/>
      <c r="M76" s="270"/>
      <c r="N76" s="265"/>
      <c r="O76" s="265"/>
      <c r="P76" s="83"/>
      <c r="Q76" s="159"/>
      <c r="R76" s="223"/>
      <c r="S76" s="83"/>
      <c r="T76" s="269"/>
      <c r="U76" s="269"/>
      <c r="V76" s="269"/>
      <c r="W76" s="269"/>
      <c r="X76" s="269"/>
      <c r="Y76" s="269"/>
      <c r="Z76" s="269"/>
      <c r="AA76" s="269"/>
      <c r="AB76" s="269"/>
      <c r="AC76" s="269"/>
      <c r="AD76" s="269"/>
      <c r="AE76" s="269"/>
    </row>
    <row r="77" spans="1:31">
      <c r="A77" s="274" t="s">
        <v>2980</v>
      </c>
      <c r="B77" s="272" t="s">
        <v>2977</v>
      </c>
      <c r="C77" s="272"/>
      <c r="D77" s="265" t="s">
        <v>2707</v>
      </c>
      <c r="E77" s="271"/>
      <c r="F77" s="271"/>
      <c r="G77" s="271"/>
      <c r="H77" s="265"/>
      <c r="I77" s="271"/>
      <c r="J77" s="271"/>
      <c r="K77" s="271"/>
      <c r="L77" s="271"/>
      <c r="M77" s="270"/>
      <c r="N77" s="271"/>
      <c r="O77" s="271"/>
      <c r="P77" s="13"/>
      <c r="Q77" s="146"/>
      <c r="R77" s="13"/>
      <c r="S77" s="13"/>
      <c r="T77" s="269"/>
      <c r="U77" s="269"/>
      <c r="V77" s="269"/>
      <c r="W77" s="269"/>
      <c r="X77" s="269"/>
      <c r="Y77" s="269"/>
      <c r="Z77" s="269"/>
      <c r="AA77" s="269"/>
      <c r="AB77" s="269"/>
      <c r="AC77" s="269"/>
      <c r="AD77" s="269"/>
      <c r="AE77" s="269"/>
    </row>
    <row r="78" spans="1:31">
      <c r="A78" s="274" t="s">
        <v>2979</v>
      </c>
      <c r="B78" s="272" t="s">
        <v>2977</v>
      </c>
      <c r="C78" s="272"/>
      <c r="D78" s="265" t="s">
        <v>2707</v>
      </c>
      <c r="E78" s="271"/>
      <c r="F78" s="271"/>
      <c r="G78" s="271"/>
      <c r="H78" s="265"/>
      <c r="I78" s="271"/>
      <c r="J78" s="271"/>
      <c r="K78" s="271"/>
      <c r="L78" s="271"/>
      <c r="M78" s="270"/>
      <c r="N78" s="271"/>
      <c r="O78" s="271"/>
      <c r="P78" s="13"/>
      <c r="Q78" s="146"/>
      <c r="R78" s="13"/>
      <c r="S78" s="13"/>
      <c r="T78" s="269"/>
      <c r="U78" s="269"/>
      <c r="V78" s="269"/>
      <c r="W78" s="269"/>
      <c r="X78" s="269"/>
      <c r="Y78" s="269"/>
      <c r="Z78" s="269"/>
      <c r="AA78" s="269"/>
      <c r="AB78" s="269"/>
      <c r="AC78" s="269"/>
      <c r="AD78" s="269"/>
      <c r="AE78" s="269"/>
    </row>
    <row r="79" spans="1:31">
      <c r="A79" s="274" t="s">
        <v>2978</v>
      </c>
      <c r="B79" s="272" t="s">
        <v>2977</v>
      </c>
      <c r="C79" s="272"/>
      <c r="D79" s="265" t="s">
        <v>2707</v>
      </c>
      <c r="E79" s="271"/>
      <c r="F79" s="271"/>
      <c r="G79" s="271"/>
      <c r="H79" s="265"/>
      <c r="I79" s="271"/>
      <c r="J79" s="271"/>
      <c r="K79" s="271"/>
      <c r="L79" s="271"/>
      <c r="M79" s="270"/>
      <c r="N79" s="271"/>
      <c r="O79" s="271"/>
      <c r="P79" s="117"/>
      <c r="Q79" s="145"/>
      <c r="R79" s="118"/>
      <c r="S79" s="118"/>
      <c r="T79" s="269"/>
      <c r="U79" s="269"/>
      <c r="V79" s="269"/>
      <c r="W79" s="269"/>
      <c r="X79" s="269"/>
      <c r="Y79" s="269"/>
      <c r="Z79" s="269"/>
      <c r="AA79" s="269"/>
      <c r="AB79" s="269"/>
      <c r="AC79" s="269"/>
      <c r="AD79" s="269"/>
      <c r="AE79" s="269"/>
    </row>
    <row r="80" spans="1:31">
      <c r="A80" s="274" t="s">
        <v>2976</v>
      </c>
      <c r="B80" s="272"/>
      <c r="C80" s="272"/>
      <c r="D80" s="265"/>
      <c r="E80" s="265" t="s">
        <v>2707</v>
      </c>
      <c r="F80" s="271"/>
      <c r="G80" s="271"/>
      <c r="H80" s="265"/>
      <c r="I80" s="269"/>
      <c r="J80" s="271"/>
      <c r="K80" s="271"/>
      <c r="L80" s="271"/>
      <c r="M80" s="270"/>
      <c r="N80" s="271"/>
      <c r="O80" s="271"/>
      <c r="P80" s="13"/>
      <c r="Q80" s="33"/>
      <c r="R80" s="13"/>
      <c r="S80" s="13"/>
      <c r="T80" s="269"/>
      <c r="U80" s="269"/>
      <c r="V80" s="269"/>
      <c r="W80" s="269"/>
      <c r="X80" s="269"/>
      <c r="Y80" s="269"/>
      <c r="Z80" s="269"/>
      <c r="AA80" s="269"/>
      <c r="AB80" s="269"/>
      <c r="AC80" s="269"/>
      <c r="AD80" s="269"/>
      <c r="AE80" s="269"/>
    </row>
    <row r="81" spans="1:31">
      <c r="A81" s="274" t="s">
        <v>2975</v>
      </c>
      <c r="B81" s="272"/>
      <c r="C81" s="272"/>
      <c r="D81" s="285" t="s">
        <v>2707</v>
      </c>
      <c r="E81" s="265" t="s">
        <v>2707</v>
      </c>
      <c r="F81" s="271"/>
      <c r="G81" s="271"/>
      <c r="H81" s="265"/>
      <c r="I81" s="271"/>
      <c r="J81" s="271"/>
      <c r="K81" s="271"/>
      <c r="L81" s="271"/>
      <c r="M81" s="270"/>
      <c r="N81" s="271"/>
      <c r="O81" s="271"/>
      <c r="P81" s="13"/>
      <c r="Q81" s="33"/>
      <c r="R81" s="13"/>
      <c r="S81" s="13"/>
      <c r="T81" s="269"/>
      <c r="U81" s="269"/>
      <c r="V81" s="269"/>
      <c r="W81" s="269"/>
      <c r="X81" s="269"/>
      <c r="Y81" s="269"/>
      <c r="Z81" s="269"/>
      <c r="AA81" s="269"/>
      <c r="AB81" s="269"/>
      <c r="AC81" s="269"/>
      <c r="AD81" s="269"/>
      <c r="AE81" s="269"/>
    </row>
    <row r="82" spans="1:31">
      <c r="A82" s="274" t="s">
        <v>2974</v>
      </c>
      <c r="B82" s="272"/>
      <c r="C82" s="272"/>
      <c r="D82" s="271"/>
      <c r="E82" s="265" t="s">
        <v>2707</v>
      </c>
      <c r="F82" s="271"/>
      <c r="G82" s="271"/>
      <c r="H82" s="265"/>
      <c r="I82" s="277"/>
      <c r="J82" s="271"/>
      <c r="K82" s="271"/>
      <c r="L82" s="271"/>
      <c r="M82" s="270"/>
      <c r="N82" s="271"/>
      <c r="O82" s="271"/>
      <c r="P82" s="13"/>
      <c r="Q82" s="146"/>
      <c r="R82" s="13"/>
      <c r="S82" s="13"/>
      <c r="T82" s="269"/>
      <c r="U82" s="269"/>
      <c r="V82" s="269"/>
      <c r="W82" s="269"/>
      <c r="X82" s="269"/>
      <c r="Y82" s="269"/>
      <c r="Z82" s="269"/>
      <c r="AA82" s="269"/>
      <c r="AB82" s="269"/>
      <c r="AC82" s="269"/>
      <c r="AD82" s="269"/>
      <c r="AE82" s="269"/>
    </row>
    <row r="83" spans="1:31">
      <c r="A83" s="274" t="s">
        <v>2973</v>
      </c>
      <c r="B83" s="272"/>
      <c r="C83" s="272"/>
      <c r="D83" s="271"/>
      <c r="E83" s="265" t="s">
        <v>2707</v>
      </c>
      <c r="F83" s="271"/>
      <c r="G83" s="271"/>
      <c r="H83" s="265"/>
      <c r="I83" s="277"/>
      <c r="J83" s="271"/>
      <c r="K83" s="271"/>
      <c r="L83" s="271"/>
      <c r="M83" s="270"/>
      <c r="N83" s="271"/>
      <c r="O83" s="271"/>
      <c r="P83" s="13"/>
      <c r="Q83" s="33"/>
      <c r="R83" s="13"/>
      <c r="S83" s="13"/>
      <c r="T83" s="269"/>
      <c r="U83" s="269"/>
      <c r="V83" s="269"/>
      <c r="W83" s="269"/>
      <c r="X83" s="269"/>
      <c r="Y83" s="269"/>
      <c r="Z83" s="269"/>
      <c r="AA83" s="269"/>
      <c r="AB83" s="269"/>
      <c r="AC83" s="269"/>
      <c r="AD83" s="269"/>
      <c r="AE83" s="269"/>
    </row>
    <row r="84" spans="1:31">
      <c r="A84" s="274"/>
      <c r="B84" s="272"/>
      <c r="C84" s="272"/>
      <c r="D84" s="271"/>
      <c r="E84" s="271"/>
      <c r="F84" s="271"/>
      <c r="G84" s="271"/>
      <c r="H84" s="265"/>
      <c r="I84" s="277"/>
      <c r="J84" s="271"/>
      <c r="K84" s="271"/>
      <c r="L84" s="271"/>
      <c r="M84" s="270"/>
      <c r="N84" s="271"/>
      <c r="O84" s="271"/>
      <c r="P84" s="117"/>
      <c r="Q84" s="144"/>
      <c r="R84" s="118"/>
      <c r="S84" s="118"/>
      <c r="T84" s="269"/>
      <c r="U84" s="269"/>
      <c r="V84" s="269"/>
      <c r="W84" s="269"/>
      <c r="X84" s="269"/>
      <c r="Y84" s="269"/>
      <c r="Z84" s="269"/>
      <c r="AA84" s="269"/>
      <c r="AB84" s="269"/>
      <c r="AC84" s="269"/>
      <c r="AD84" s="269"/>
      <c r="AE84" s="269"/>
    </row>
    <row r="85" spans="1:31">
      <c r="A85" s="274"/>
      <c r="B85" s="272"/>
      <c r="C85" s="272"/>
      <c r="D85" s="271"/>
      <c r="E85" s="271"/>
      <c r="F85" s="271"/>
      <c r="G85" s="271"/>
      <c r="H85" s="265"/>
      <c r="I85" s="277"/>
      <c r="J85" s="271"/>
      <c r="K85" s="271"/>
      <c r="L85" s="271"/>
      <c r="M85" s="270"/>
      <c r="N85" s="271"/>
      <c r="O85" s="271"/>
      <c r="Q85" s="157"/>
      <c r="T85" s="269"/>
      <c r="U85" s="269"/>
      <c r="V85" s="269"/>
      <c r="W85" s="269"/>
      <c r="X85" s="269"/>
      <c r="Y85" s="269"/>
      <c r="Z85" s="269"/>
      <c r="AA85" s="269"/>
      <c r="AB85" s="269"/>
      <c r="AC85" s="269"/>
      <c r="AD85" s="269"/>
      <c r="AE85" s="269"/>
    </row>
    <row r="86" spans="1:31">
      <c r="A86" s="274"/>
      <c r="B86" s="272"/>
      <c r="C86" s="272"/>
      <c r="D86" s="271"/>
      <c r="E86" s="271"/>
      <c r="F86" s="271"/>
      <c r="G86" s="271"/>
      <c r="H86" s="265"/>
      <c r="I86" s="277"/>
      <c r="J86" s="271"/>
      <c r="K86" s="271"/>
      <c r="L86" s="271"/>
      <c r="M86" s="270"/>
      <c r="N86" s="271"/>
      <c r="O86" s="271"/>
      <c r="P86" s="117"/>
      <c r="Q86" s="144"/>
      <c r="R86" s="118"/>
      <c r="S86" s="118"/>
      <c r="T86" s="269"/>
      <c r="U86" s="269"/>
      <c r="V86" s="269"/>
      <c r="W86" s="269"/>
      <c r="X86" s="269"/>
      <c r="Y86" s="269"/>
      <c r="Z86" s="269"/>
      <c r="AA86" s="269"/>
      <c r="AB86" s="269"/>
      <c r="AC86" s="269"/>
      <c r="AD86" s="269"/>
      <c r="AE86" s="269"/>
    </row>
    <row r="87" spans="1:31">
      <c r="A87" s="274"/>
      <c r="B87" s="272"/>
      <c r="C87" s="272"/>
      <c r="D87" s="271"/>
      <c r="E87" s="271"/>
      <c r="F87" s="271"/>
      <c r="G87" s="271"/>
      <c r="H87" s="265"/>
      <c r="I87" s="277"/>
      <c r="J87" s="271"/>
      <c r="K87" s="271"/>
      <c r="L87" s="271"/>
      <c r="M87" s="270"/>
      <c r="N87" s="271"/>
      <c r="O87" s="271"/>
      <c r="P87" s="13"/>
      <c r="Q87" s="33"/>
      <c r="R87" s="13"/>
      <c r="S87" s="13"/>
      <c r="T87" s="269"/>
      <c r="U87" s="269"/>
      <c r="V87" s="269"/>
      <c r="W87" s="269"/>
      <c r="X87" s="269"/>
      <c r="Y87" s="269"/>
      <c r="Z87" s="269"/>
      <c r="AA87" s="269"/>
      <c r="AB87" s="269"/>
      <c r="AC87" s="269"/>
      <c r="AD87" s="269"/>
      <c r="AE87" s="269"/>
    </row>
    <row r="88" spans="1:31">
      <c r="A88" s="274"/>
      <c r="B88" s="272"/>
      <c r="C88" s="272"/>
      <c r="D88" s="271"/>
      <c r="E88" s="271"/>
      <c r="F88" s="271"/>
      <c r="G88" s="271"/>
      <c r="H88" s="265"/>
      <c r="I88" s="277"/>
      <c r="J88" s="271"/>
      <c r="K88" s="271"/>
      <c r="L88" s="271"/>
      <c r="M88" s="270"/>
      <c r="N88" s="271"/>
      <c r="O88" s="271"/>
      <c r="P88" s="117"/>
      <c r="Q88" s="145"/>
      <c r="R88" s="162"/>
      <c r="S88" s="118"/>
      <c r="T88" s="269"/>
      <c r="U88" s="269"/>
      <c r="V88" s="269"/>
      <c r="W88" s="269"/>
      <c r="X88" s="269"/>
      <c r="Y88" s="269"/>
      <c r="Z88" s="269"/>
      <c r="AA88" s="269"/>
      <c r="AB88" s="269"/>
      <c r="AC88" s="269"/>
      <c r="AD88" s="269"/>
      <c r="AE88" s="269"/>
    </row>
    <row r="89" spans="1:31">
      <c r="A89" s="274"/>
      <c r="B89" s="272"/>
      <c r="C89" s="272"/>
      <c r="D89" s="271"/>
      <c r="E89" s="271"/>
      <c r="F89" s="271"/>
      <c r="G89" s="271"/>
      <c r="H89" s="265"/>
      <c r="I89" s="277"/>
      <c r="J89" s="271"/>
      <c r="K89" s="271"/>
      <c r="L89" s="271"/>
      <c r="M89" s="270"/>
      <c r="N89" s="271"/>
      <c r="O89" s="271"/>
      <c r="P89" s="117"/>
      <c r="Q89" s="144"/>
      <c r="R89" s="118"/>
      <c r="S89" s="118"/>
      <c r="T89" s="269"/>
      <c r="U89" s="269"/>
      <c r="V89" s="269"/>
      <c r="W89" s="269"/>
      <c r="X89" s="269"/>
      <c r="Y89" s="269"/>
      <c r="Z89" s="269"/>
      <c r="AA89" s="269"/>
      <c r="AB89" s="269"/>
      <c r="AC89" s="269"/>
      <c r="AD89" s="269"/>
      <c r="AE89" s="269"/>
    </row>
    <row r="90" spans="1:31">
      <c r="A90" s="274"/>
      <c r="B90" s="272"/>
      <c r="C90" s="272"/>
      <c r="D90" s="271"/>
      <c r="E90" s="271"/>
      <c r="F90" s="271"/>
      <c r="G90" s="271"/>
      <c r="H90" s="265"/>
      <c r="I90" s="277"/>
      <c r="J90" s="271"/>
      <c r="K90" s="271"/>
      <c r="L90" s="271"/>
      <c r="M90" s="270"/>
      <c r="N90" s="271"/>
      <c r="O90" s="271"/>
      <c r="P90" s="117"/>
      <c r="Q90" s="144"/>
      <c r="R90" s="118"/>
      <c r="S90" s="118"/>
      <c r="T90" s="269"/>
      <c r="U90" s="269"/>
      <c r="V90" s="269"/>
      <c r="W90" s="269"/>
      <c r="X90" s="269"/>
      <c r="Y90" s="269"/>
      <c r="Z90" s="269"/>
      <c r="AA90" s="269"/>
      <c r="AB90" s="269"/>
      <c r="AC90" s="269"/>
      <c r="AD90" s="269"/>
      <c r="AE90" s="269"/>
    </row>
    <row r="91" spans="1:31">
      <c r="A91" s="274"/>
      <c r="B91" s="272"/>
      <c r="C91" s="272"/>
      <c r="D91" s="271"/>
      <c r="E91" s="271"/>
      <c r="F91" s="271"/>
      <c r="G91" s="271"/>
      <c r="H91" s="265"/>
      <c r="I91" s="277"/>
      <c r="J91" s="271"/>
      <c r="K91" s="271"/>
      <c r="L91" s="271"/>
      <c r="M91" s="270"/>
      <c r="N91" s="271"/>
      <c r="O91" s="271"/>
      <c r="P91" s="117"/>
      <c r="Q91" s="145"/>
      <c r="R91" s="118"/>
      <c r="S91" s="118"/>
      <c r="T91" s="269"/>
      <c r="U91" s="269"/>
      <c r="V91" s="269"/>
      <c r="W91" s="269"/>
      <c r="X91" s="269"/>
      <c r="Y91" s="269"/>
      <c r="Z91" s="269"/>
      <c r="AA91" s="269"/>
      <c r="AB91" s="269"/>
      <c r="AC91" s="269"/>
      <c r="AD91" s="269"/>
      <c r="AE91" s="269"/>
    </row>
    <row r="92" spans="1:31">
      <c r="A92" s="274" t="s">
        <v>2972</v>
      </c>
      <c r="B92" s="272" t="s">
        <v>2970</v>
      </c>
      <c r="C92" s="272"/>
      <c r="D92" s="271"/>
      <c r="E92" s="271"/>
      <c r="F92" s="271"/>
      <c r="G92" s="271"/>
      <c r="H92" s="265" t="s">
        <v>2707</v>
      </c>
      <c r="I92" s="269"/>
      <c r="J92" s="271"/>
      <c r="K92" s="271"/>
      <c r="L92" s="271"/>
      <c r="M92" s="270"/>
      <c r="N92" s="271"/>
      <c r="O92" s="271"/>
      <c r="P92" s="117"/>
      <c r="Q92" s="145"/>
      <c r="R92" s="118"/>
      <c r="S92" s="118"/>
      <c r="T92" s="269"/>
      <c r="U92" s="269"/>
      <c r="V92" s="269"/>
      <c r="W92" s="269"/>
      <c r="X92" s="269"/>
      <c r="Y92" s="269"/>
      <c r="Z92" s="269"/>
      <c r="AA92" s="269"/>
      <c r="AB92" s="269"/>
      <c r="AC92" s="269"/>
      <c r="AD92" s="269"/>
      <c r="AE92" s="269"/>
    </row>
    <row r="93" spans="1:31">
      <c r="A93" s="274" t="s">
        <v>2971</v>
      </c>
      <c r="B93" s="272" t="s">
        <v>2970</v>
      </c>
      <c r="C93" s="272"/>
      <c r="D93" s="271"/>
      <c r="E93" s="271"/>
      <c r="F93" s="271"/>
      <c r="G93" s="271"/>
      <c r="H93" s="265" t="s">
        <v>2707</v>
      </c>
      <c r="I93" s="269"/>
      <c r="J93" s="271"/>
      <c r="K93" s="271"/>
      <c r="L93" s="271"/>
      <c r="M93" s="270"/>
      <c r="N93" s="271"/>
      <c r="O93" s="271"/>
      <c r="P93" s="117"/>
      <c r="Q93" s="145"/>
      <c r="R93" s="162"/>
      <c r="S93" s="118"/>
      <c r="T93" s="269"/>
      <c r="U93" s="269"/>
      <c r="V93" s="269"/>
      <c r="W93" s="269"/>
      <c r="X93" s="269"/>
      <c r="Y93" s="269"/>
      <c r="Z93" s="269"/>
      <c r="AA93" s="269"/>
      <c r="AB93" s="269"/>
      <c r="AC93" s="269"/>
      <c r="AD93" s="269"/>
      <c r="AE93" s="269"/>
    </row>
    <row r="94" spans="1:31">
      <c r="A94" s="268" t="s">
        <v>2969</v>
      </c>
      <c r="B94" s="276" t="s">
        <v>2968</v>
      </c>
      <c r="C94" s="272"/>
      <c r="D94" s="265"/>
      <c r="E94" s="271"/>
      <c r="F94" s="271"/>
      <c r="G94" s="271"/>
      <c r="H94" s="265" t="s">
        <v>2707</v>
      </c>
      <c r="I94" s="277"/>
      <c r="J94" s="271"/>
      <c r="K94" s="271"/>
      <c r="L94" s="271"/>
      <c r="M94" s="270"/>
      <c r="N94" s="271"/>
      <c r="O94" s="271"/>
      <c r="P94" s="117"/>
      <c r="Q94" s="145"/>
      <c r="R94" s="162"/>
      <c r="S94" s="118"/>
      <c r="T94" s="269"/>
      <c r="U94" s="269"/>
      <c r="V94" s="269"/>
      <c r="W94" s="269"/>
      <c r="X94" s="269"/>
      <c r="Y94" s="269"/>
      <c r="Z94" s="269"/>
      <c r="AA94" s="269"/>
      <c r="AB94" s="269"/>
      <c r="AC94" s="269"/>
      <c r="AD94" s="269"/>
      <c r="AE94" s="269"/>
    </row>
    <row r="95" spans="1:31">
      <c r="A95" s="268" t="s">
        <v>2967</v>
      </c>
      <c r="B95" s="272"/>
      <c r="C95" s="272"/>
      <c r="D95" s="265"/>
      <c r="E95" s="271"/>
      <c r="F95" s="271"/>
      <c r="G95" s="271"/>
      <c r="H95" s="265" t="s">
        <v>2707</v>
      </c>
      <c r="I95" s="277"/>
      <c r="J95" s="271"/>
      <c r="K95" s="271"/>
      <c r="L95" s="271"/>
      <c r="M95" s="270"/>
      <c r="N95" s="271"/>
      <c r="O95" s="271"/>
      <c r="P95" s="117"/>
      <c r="Q95" s="145"/>
      <c r="R95" s="118"/>
      <c r="S95" s="118"/>
      <c r="T95" s="269"/>
      <c r="U95" s="269"/>
      <c r="V95" s="269"/>
      <c r="W95" s="269"/>
      <c r="X95" s="269"/>
      <c r="Y95" s="269"/>
      <c r="Z95" s="269"/>
      <c r="AA95" s="269"/>
      <c r="AB95" s="269"/>
      <c r="AC95" s="269"/>
      <c r="AD95" s="269"/>
      <c r="AE95" s="269"/>
    </row>
    <row r="96" spans="1:31">
      <c r="A96" s="274" t="s">
        <v>2966</v>
      </c>
      <c r="B96" s="272" t="s">
        <v>2959</v>
      </c>
      <c r="C96" s="272"/>
      <c r="D96" s="265"/>
      <c r="E96" s="271"/>
      <c r="F96" s="271"/>
      <c r="G96" s="271"/>
      <c r="H96" s="265" t="s">
        <v>2707</v>
      </c>
      <c r="I96" s="277"/>
      <c r="J96" s="271"/>
      <c r="K96" s="271"/>
      <c r="L96" s="271"/>
      <c r="M96" s="270"/>
      <c r="N96" s="271"/>
      <c r="O96" s="271"/>
      <c r="P96" s="117"/>
      <c r="Q96" s="145"/>
      <c r="R96" s="118"/>
      <c r="S96" s="118"/>
      <c r="T96" s="269"/>
      <c r="U96" s="269"/>
      <c r="V96" s="269"/>
      <c r="W96" s="269"/>
      <c r="X96" s="269"/>
      <c r="Y96" s="269"/>
      <c r="Z96" s="269"/>
      <c r="AA96" s="269"/>
      <c r="AB96" s="269"/>
      <c r="AC96" s="269"/>
      <c r="AD96" s="269"/>
      <c r="AE96" s="269"/>
    </row>
    <row r="97" spans="1:31">
      <c r="A97" s="274" t="s">
        <v>2965</v>
      </c>
      <c r="B97" s="272" t="s">
        <v>2959</v>
      </c>
      <c r="C97" s="272"/>
      <c r="D97" s="265"/>
      <c r="E97" s="271"/>
      <c r="F97" s="271"/>
      <c r="G97" s="271"/>
      <c r="H97" s="265" t="s">
        <v>2707</v>
      </c>
      <c r="I97" s="277"/>
      <c r="J97" s="271"/>
      <c r="K97" s="271"/>
      <c r="L97" s="271"/>
      <c r="M97" s="270"/>
      <c r="N97" s="271"/>
      <c r="O97" s="271"/>
      <c r="P97" s="13"/>
      <c r="Q97" s="33"/>
      <c r="R97" s="13"/>
      <c r="S97" s="13"/>
      <c r="T97" s="269"/>
      <c r="U97" s="269"/>
      <c r="V97" s="269"/>
      <c r="W97" s="269"/>
      <c r="X97" s="269"/>
      <c r="Y97" s="269"/>
      <c r="Z97" s="269"/>
      <c r="AA97" s="269"/>
      <c r="AB97" s="269"/>
      <c r="AC97" s="269"/>
      <c r="AD97" s="269"/>
      <c r="AE97" s="269"/>
    </row>
    <row r="98" spans="1:31">
      <c r="A98" s="274" t="s">
        <v>2964</v>
      </c>
      <c r="B98" s="272" t="s">
        <v>2959</v>
      </c>
      <c r="C98" s="272"/>
      <c r="D98" s="265"/>
      <c r="E98" s="271"/>
      <c r="F98" s="271"/>
      <c r="G98" s="271"/>
      <c r="H98" s="265" t="s">
        <v>2707</v>
      </c>
      <c r="I98" s="277"/>
      <c r="J98" s="271"/>
      <c r="K98" s="271"/>
      <c r="L98" s="271"/>
      <c r="M98" s="270"/>
      <c r="N98" s="271"/>
      <c r="O98" s="271"/>
      <c r="P98" s="117"/>
      <c r="Q98" s="144"/>
      <c r="R98" s="118"/>
      <c r="S98" s="118"/>
      <c r="T98" s="269"/>
      <c r="U98" s="269"/>
      <c r="V98" s="269"/>
      <c r="W98" s="269"/>
      <c r="X98" s="269"/>
      <c r="Y98" s="269"/>
      <c r="Z98" s="269"/>
      <c r="AA98" s="269"/>
      <c r="AB98" s="269"/>
      <c r="AC98" s="269"/>
      <c r="AD98" s="269"/>
      <c r="AE98" s="269"/>
    </row>
    <row r="99" spans="1:31">
      <c r="A99" s="274" t="s">
        <v>2963</v>
      </c>
      <c r="B99" s="272" t="s">
        <v>2959</v>
      </c>
      <c r="C99" s="272"/>
      <c r="D99" s="265"/>
      <c r="E99" s="271"/>
      <c r="F99" s="265"/>
      <c r="G99" s="271"/>
      <c r="H99" s="265" t="s">
        <v>2707</v>
      </c>
      <c r="I99" s="277"/>
      <c r="J99" s="271"/>
      <c r="K99" s="271"/>
      <c r="L99" s="271"/>
      <c r="M99" s="270"/>
      <c r="N99" s="265"/>
      <c r="O99" s="265"/>
      <c r="P99" s="117"/>
      <c r="Q99" s="144"/>
      <c r="R99" s="118"/>
      <c r="S99" s="118"/>
      <c r="T99" s="269"/>
      <c r="U99" s="269"/>
      <c r="V99" s="269"/>
      <c r="W99" s="269"/>
      <c r="X99" s="269"/>
      <c r="Y99" s="269"/>
      <c r="Z99" s="269"/>
      <c r="AA99" s="269"/>
      <c r="AB99" s="269"/>
      <c r="AC99" s="269"/>
      <c r="AD99" s="269"/>
      <c r="AE99" s="269"/>
    </row>
    <row r="100" spans="1:31">
      <c r="A100" s="274" t="s">
        <v>2962</v>
      </c>
      <c r="B100" s="272" t="s">
        <v>2959</v>
      </c>
      <c r="C100" s="272"/>
      <c r="D100" s="265"/>
      <c r="E100" s="271"/>
      <c r="F100" s="271"/>
      <c r="G100" s="271"/>
      <c r="H100" s="265" t="s">
        <v>2707</v>
      </c>
      <c r="I100" s="277"/>
      <c r="J100" s="271"/>
      <c r="K100" s="271"/>
      <c r="L100" s="271"/>
      <c r="M100" s="274" t="s">
        <v>2962</v>
      </c>
      <c r="N100" s="271"/>
      <c r="O100" s="271"/>
      <c r="P100" s="117"/>
      <c r="Q100" s="145"/>
      <c r="R100" s="118"/>
      <c r="S100" s="118"/>
      <c r="T100" s="269"/>
      <c r="U100" s="269"/>
      <c r="V100" s="269"/>
      <c r="W100" s="269"/>
      <c r="X100" s="269"/>
      <c r="Y100" s="269"/>
      <c r="Z100" s="269"/>
      <c r="AA100" s="269"/>
      <c r="AB100" s="269"/>
      <c r="AC100" s="269"/>
      <c r="AD100" s="269"/>
      <c r="AE100" s="269"/>
    </row>
    <row r="101" spans="1:31">
      <c r="A101" s="274" t="s">
        <v>2961</v>
      </c>
      <c r="B101" s="272" t="s">
        <v>2959</v>
      </c>
      <c r="C101" s="272"/>
      <c r="D101" s="265"/>
      <c r="E101" s="271"/>
      <c r="F101" s="271"/>
      <c r="G101" s="271"/>
      <c r="H101" s="265" t="s">
        <v>2707</v>
      </c>
      <c r="I101" s="277"/>
      <c r="J101" s="271"/>
      <c r="K101" s="271"/>
      <c r="L101" s="271"/>
      <c r="M101" s="270"/>
      <c r="N101" s="271"/>
      <c r="O101" s="271"/>
      <c r="P101" s="117"/>
      <c r="Q101" s="144"/>
      <c r="R101" s="118"/>
      <c r="S101" s="118"/>
      <c r="T101" s="269"/>
      <c r="U101" s="269"/>
      <c r="V101" s="269"/>
      <c r="W101" s="269"/>
      <c r="X101" s="269"/>
      <c r="Y101" s="269"/>
      <c r="Z101" s="269"/>
      <c r="AA101" s="269"/>
      <c r="AB101" s="269"/>
      <c r="AC101" s="269"/>
      <c r="AD101" s="269"/>
      <c r="AE101" s="269"/>
    </row>
    <row r="102" spans="1:31">
      <c r="A102" s="274" t="s">
        <v>2960</v>
      </c>
      <c r="B102" s="272" t="s">
        <v>2959</v>
      </c>
      <c r="C102" s="272"/>
      <c r="D102" s="265"/>
      <c r="E102" s="271"/>
      <c r="F102" s="271"/>
      <c r="G102" s="271"/>
      <c r="H102" s="265" t="s">
        <v>2707</v>
      </c>
      <c r="I102" s="277"/>
      <c r="J102" s="271"/>
      <c r="K102" s="271"/>
      <c r="L102" s="271"/>
      <c r="M102" s="270"/>
      <c r="N102" s="271"/>
      <c r="O102" s="271"/>
      <c r="P102" s="117"/>
      <c r="Q102" s="144"/>
      <c r="R102" s="118"/>
      <c r="S102" s="118"/>
      <c r="T102" s="269"/>
      <c r="U102" s="269"/>
      <c r="V102" s="269"/>
      <c r="W102" s="269"/>
      <c r="X102" s="269"/>
      <c r="Y102" s="269"/>
      <c r="Z102" s="269"/>
      <c r="AA102" s="269"/>
      <c r="AB102" s="269"/>
      <c r="AC102" s="269"/>
      <c r="AD102" s="269"/>
      <c r="AE102" s="269"/>
    </row>
    <row r="103" spans="1:31">
      <c r="A103" s="268" t="s">
        <v>2958</v>
      </c>
      <c r="B103" s="280"/>
      <c r="C103" s="277"/>
      <c r="D103" s="271"/>
      <c r="E103" s="271"/>
      <c r="F103" s="271"/>
      <c r="G103" s="271"/>
      <c r="H103" s="265" t="s">
        <v>2707</v>
      </c>
      <c r="I103" s="284"/>
      <c r="J103" s="271"/>
      <c r="K103" s="265"/>
      <c r="L103" s="271"/>
      <c r="M103" s="270"/>
      <c r="N103" s="271"/>
      <c r="O103" s="271"/>
      <c r="P103" s="117"/>
      <c r="Q103" s="145"/>
      <c r="R103" s="118"/>
      <c r="S103" s="118"/>
      <c r="T103" s="269"/>
      <c r="U103" s="269"/>
      <c r="V103" s="269"/>
      <c r="W103" s="269"/>
      <c r="X103" s="269"/>
      <c r="Y103" s="269"/>
      <c r="Z103" s="269"/>
      <c r="AA103" s="269"/>
      <c r="AB103" s="269"/>
      <c r="AC103" s="269"/>
      <c r="AD103" s="269"/>
      <c r="AE103" s="269"/>
    </row>
    <row r="104" spans="1:31">
      <c r="A104" s="268" t="s">
        <v>2957</v>
      </c>
      <c r="B104" s="280"/>
      <c r="C104" s="277"/>
      <c r="D104" s="271"/>
      <c r="E104" s="271"/>
      <c r="F104" s="271"/>
      <c r="G104" s="271"/>
      <c r="H104" s="271"/>
      <c r="I104" s="284"/>
      <c r="J104" s="271"/>
      <c r="K104" s="265"/>
      <c r="L104" s="271"/>
      <c r="M104" s="270"/>
      <c r="N104" s="271"/>
      <c r="O104" s="271"/>
      <c r="P104" s="13"/>
      <c r="Q104" s="146"/>
      <c r="R104" s="13"/>
      <c r="S104" s="13"/>
      <c r="T104" s="269"/>
      <c r="U104" s="269"/>
      <c r="V104" s="269"/>
      <c r="W104" s="269"/>
      <c r="X104" s="269"/>
      <c r="Y104" s="269"/>
      <c r="Z104" s="269"/>
      <c r="AA104" s="269"/>
      <c r="AB104" s="269"/>
      <c r="AC104" s="269"/>
      <c r="AD104" s="269"/>
      <c r="AE104" s="269"/>
    </row>
    <row r="105" spans="1:31">
      <c r="A105" s="268"/>
      <c r="B105" s="280"/>
      <c r="C105" s="277"/>
      <c r="D105" s="271"/>
      <c r="E105" s="271"/>
      <c r="F105" s="271"/>
      <c r="G105" s="271"/>
      <c r="H105" s="271"/>
      <c r="I105" s="284"/>
      <c r="J105" s="271"/>
      <c r="K105" s="265"/>
      <c r="L105" s="271"/>
      <c r="M105" s="270"/>
      <c r="N105" s="271"/>
      <c r="O105" s="271"/>
      <c r="P105" s="117"/>
      <c r="Q105" s="145"/>
      <c r="R105" s="118"/>
      <c r="S105" s="118"/>
      <c r="T105" s="269"/>
      <c r="U105" s="269"/>
      <c r="V105" s="269"/>
      <c r="W105" s="269"/>
      <c r="X105" s="269"/>
      <c r="Y105" s="269"/>
      <c r="Z105" s="269"/>
      <c r="AA105" s="269"/>
      <c r="AB105" s="269"/>
      <c r="AC105" s="269"/>
      <c r="AD105" s="269"/>
      <c r="AE105" s="269"/>
    </row>
    <row r="106" spans="1:31">
      <c r="A106" s="268"/>
      <c r="B106" s="280"/>
      <c r="C106" s="277"/>
      <c r="D106" s="271"/>
      <c r="E106" s="271"/>
      <c r="F106" s="271"/>
      <c r="G106" s="271"/>
      <c r="H106" s="271"/>
      <c r="I106" s="284"/>
      <c r="J106" s="271"/>
      <c r="K106" s="265"/>
      <c r="L106" s="271"/>
      <c r="M106" s="270"/>
      <c r="N106" s="271"/>
      <c r="O106" s="271"/>
      <c r="P106" s="117"/>
      <c r="Q106" s="144"/>
      <c r="R106" s="118"/>
      <c r="S106" s="118"/>
      <c r="T106" s="269"/>
      <c r="U106" s="269"/>
      <c r="V106" s="269"/>
      <c r="W106" s="269"/>
      <c r="X106" s="269"/>
      <c r="Y106" s="269"/>
      <c r="Z106" s="269"/>
      <c r="AA106" s="269"/>
      <c r="AB106" s="269"/>
      <c r="AC106" s="269"/>
      <c r="AD106" s="269"/>
      <c r="AE106" s="269"/>
    </row>
    <row r="107" spans="1:31">
      <c r="A107" s="268" t="s">
        <v>2956</v>
      </c>
      <c r="B107" s="272"/>
      <c r="C107" s="272"/>
      <c r="D107" s="271"/>
      <c r="E107" s="271"/>
      <c r="F107" s="271"/>
      <c r="G107" s="271"/>
      <c r="H107" s="265" t="s">
        <v>2707</v>
      </c>
      <c r="I107" s="271"/>
      <c r="J107" s="271"/>
      <c r="K107" s="271"/>
      <c r="L107" s="271"/>
      <c r="M107" s="270"/>
      <c r="N107" s="271"/>
      <c r="O107" s="271"/>
      <c r="P107" s="117"/>
      <c r="Q107" s="145"/>
      <c r="R107" s="118"/>
      <c r="S107" s="118"/>
      <c r="T107" s="269"/>
      <c r="U107" s="269"/>
      <c r="V107" s="269"/>
      <c r="W107" s="269"/>
      <c r="X107" s="269"/>
      <c r="Y107" s="269"/>
      <c r="Z107" s="269"/>
      <c r="AA107" s="269"/>
      <c r="AB107" s="269"/>
      <c r="AC107" s="269"/>
      <c r="AD107" s="269"/>
      <c r="AE107" s="269"/>
    </row>
    <row r="108" spans="1:31">
      <c r="A108" s="274" t="s">
        <v>2955</v>
      </c>
      <c r="B108" s="272" t="s">
        <v>2905</v>
      </c>
      <c r="C108" s="272"/>
      <c r="D108" s="271"/>
      <c r="E108" s="271"/>
      <c r="F108" s="271"/>
      <c r="G108" s="271"/>
      <c r="H108" s="265" t="s">
        <v>2707</v>
      </c>
      <c r="I108" s="271"/>
      <c r="J108" s="271"/>
      <c r="K108" s="271"/>
      <c r="L108" s="271"/>
      <c r="M108" s="270"/>
      <c r="N108" s="271"/>
      <c r="O108" s="271"/>
      <c r="P108" s="13"/>
      <c r="Q108" s="33"/>
      <c r="R108" s="13"/>
      <c r="S108" s="13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</row>
    <row r="109" spans="1:31">
      <c r="A109" s="274" t="s">
        <v>2954</v>
      </c>
      <c r="B109" s="272" t="s">
        <v>2905</v>
      </c>
      <c r="C109" s="272"/>
      <c r="D109" s="271"/>
      <c r="E109" s="271"/>
      <c r="F109" s="271"/>
      <c r="G109" s="271"/>
      <c r="H109" s="265" t="s">
        <v>2707</v>
      </c>
      <c r="I109" s="271"/>
      <c r="J109" s="271"/>
      <c r="K109" s="271"/>
      <c r="L109" s="271"/>
      <c r="M109" s="270"/>
      <c r="N109" s="271"/>
      <c r="O109" s="271"/>
      <c r="P109" s="13"/>
      <c r="Q109" s="33"/>
      <c r="R109" s="13"/>
      <c r="S109" s="13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</row>
    <row r="110" spans="1:31">
      <c r="A110" s="274" t="s">
        <v>2953</v>
      </c>
      <c r="B110" s="272" t="s">
        <v>2905</v>
      </c>
      <c r="C110" s="272"/>
      <c r="D110" s="271"/>
      <c r="E110" s="271"/>
      <c r="F110" s="271"/>
      <c r="G110" s="271"/>
      <c r="H110" s="265" t="s">
        <v>2707</v>
      </c>
      <c r="I110" s="271"/>
      <c r="J110" s="271"/>
      <c r="K110" s="271"/>
      <c r="L110" s="271"/>
      <c r="M110" s="270"/>
      <c r="N110" s="271"/>
      <c r="O110" s="271"/>
      <c r="P110" s="13"/>
      <c r="Q110" s="146"/>
      <c r="R110" s="13"/>
      <c r="S110" s="13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</row>
    <row r="111" spans="1:31">
      <c r="A111" s="274" t="s">
        <v>2952</v>
      </c>
      <c r="B111" s="272" t="s">
        <v>2905</v>
      </c>
      <c r="C111" s="272"/>
      <c r="D111" s="271"/>
      <c r="E111" s="271"/>
      <c r="F111" s="271"/>
      <c r="G111" s="271"/>
      <c r="H111" s="265" t="s">
        <v>2707</v>
      </c>
      <c r="I111" s="271"/>
      <c r="J111" s="271"/>
      <c r="K111" s="271"/>
      <c r="L111" s="271"/>
      <c r="M111" s="270"/>
      <c r="N111" s="271"/>
      <c r="O111" s="271"/>
      <c r="P111" s="13"/>
      <c r="Q111" s="146"/>
      <c r="R111" s="13"/>
      <c r="S111" s="13"/>
      <c r="T111" s="269"/>
      <c r="U111" s="269"/>
      <c r="V111" s="269"/>
      <c r="W111" s="269"/>
      <c r="X111" s="269"/>
      <c r="Y111" s="269"/>
      <c r="Z111" s="269"/>
      <c r="AA111" s="269"/>
      <c r="AB111" s="269"/>
      <c r="AC111" s="269"/>
      <c r="AD111" s="269"/>
      <c r="AE111" s="269"/>
    </row>
    <row r="112" spans="1:31" ht="28.5">
      <c r="A112" s="274" t="s">
        <v>2951</v>
      </c>
      <c r="B112" s="272" t="s">
        <v>2905</v>
      </c>
      <c r="C112" s="272"/>
      <c r="D112" s="271"/>
      <c r="E112" s="271"/>
      <c r="F112" s="271"/>
      <c r="G112" s="271"/>
      <c r="H112" s="265" t="s">
        <v>2707</v>
      </c>
      <c r="I112" s="271"/>
      <c r="J112" s="271"/>
      <c r="K112" s="271"/>
      <c r="L112" s="271"/>
      <c r="M112" s="270"/>
      <c r="N112" s="271"/>
      <c r="O112" s="271"/>
      <c r="P112" s="13"/>
      <c r="Q112" s="146"/>
      <c r="R112" s="13"/>
      <c r="S112" s="13"/>
      <c r="T112" s="269"/>
      <c r="U112" s="269"/>
      <c r="V112" s="269"/>
      <c r="W112" s="269"/>
      <c r="X112" s="269"/>
      <c r="Y112" s="269"/>
      <c r="Z112" s="269"/>
      <c r="AA112" s="269"/>
      <c r="AB112" s="269"/>
      <c r="AC112" s="269"/>
      <c r="AD112" s="269"/>
      <c r="AE112" s="269"/>
    </row>
    <row r="113" spans="1:31" ht="28.5">
      <c r="A113" s="274" t="s">
        <v>2950</v>
      </c>
      <c r="B113" s="272" t="s">
        <v>2905</v>
      </c>
      <c r="C113" s="272"/>
      <c r="D113" s="271"/>
      <c r="E113" s="271"/>
      <c r="F113" s="271"/>
      <c r="G113" s="271"/>
      <c r="H113" s="265" t="s">
        <v>2707</v>
      </c>
      <c r="I113" s="271"/>
      <c r="J113" s="271"/>
      <c r="K113" s="271"/>
      <c r="L113" s="271"/>
      <c r="M113" s="274" t="s">
        <v>2949</v>
      </c>
      <c r="N113" s="271"/>
      <c r="O113" s="271"/>
      <c r="P113" s="13"/>
      <c r="Q113" s="146"/>
      <c r="R113" s="13"/>
      <c r="S113" s="13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</row>
    <row r="114" spans="1:31">
      <c r="A114" s="274" t="s">
        <v>2948</v>
      </c>
      <c r="B114" s="272" t="s">
        <v>2905</v>
      </c>
      <c r="C114" s="272"/>
      <c r="D114" s="271"/>
      <c r="E114" s="271"/>
      <c r="F114" s="271"/>
      <c r="G114" s="271"/>
      <c r="H114" s="265" t="s">
        <v>2707</v>
      </c>
      <c r="I114" s="271"/>
      <c r="J114" s="271"/>
      <c r="K114" s="271"/>
      <c r="L114" s="271"/>
      <c r="M114" s="270"/>
      <c r="N114" s="271"/>
      <c r="O114" s="271"/>
      <c r="P114" s="117"/>
      <c r="Q114" s="145"/>
      <c r="R114" s="162"/>
      <c r="S114" s="11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</row>
    <row r="115" spans="1:31">
      <c r="A115" s="274" t="s">
        <v>2795</v>
      </c>
      <c r="B115" s="272" t="s">
        <v>2905</v>
      </c>
      <c r="C115" s="272"/>
      <c r="D115" s="271"/>
      <c r="E115" s="271"/>
      <c r="F115" s="271"/>
      <c r="G115" s="271"/>
      <c r="H115" s="265" t="s">
        <v>2707</v>
      </c>
      <c r="I115" s="271"/>
      <c r="J115" s="271"/>
      <c r="K115" s="271"/>
      <c r="L115" s="271"/>
      <c r="M115" s="270"/>
      <c r="N115" s="271"/>
      <c r="O115" s="271"/>
      <c r="P115" s="117"/>
      <c r="Q115" s="145"/>
      <c r="R115" s="162"/>
      <c r="S115" s="11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</row>
    <row r="116" spans="1:31">
      <c r="A116" s="274" t="s">
        <v>2947</v>
      </c>
      <c r="B116" s="272" t="s">
        <v>2905</v>
      </c>
      <c r="C116" s="272"/>
      <c r="D116" s="271"/>
      <c r="E116" s="271"/>
      <c r="F116" s="271"/>
      <c r="G116" s="271"/>
      <c r="H116" s="265" t="s">
        <v>2707</v>
      </c>
      <c r="I116" s="271"/>
      <c r="J116" s="271"/>
      <c r="K116" s="271"/>
      <c r="L116" s="271"/>
      <c r="M116" s="270"/>
      <c r="N116" s="271"/>
      <c r="O116" s="271"/>
      <c r="P116" s="117"/>
      <c r="Q116" s="145"/>
      <c r="R116" s="118"/>
      <c r="S116" s="11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</row>
    <row r="117" spans="1:31" ht="28.5">
      <c r="A117" s="274" t="s">
        <v>2946</v>
      </c>
      <c r="B117" s="272" t="s">
        <v>2905</v>
      </c>
      <c r="C117" s="272"/>
      <c r="D117" s="271"/>
      <c r="E117" s="271"/>
      <c r="F117" s="271"/>
      <c r="G117" s="271"/>
      <c r="H117" s="265" t="s">
        <v>2707</v>
      </c>
      <c r="I117" s="271"/>
      <c r="J117" s="271"/>
      <c r="K117" s="271"/>
      <c r="L117" s="271"/>
      <c r="M117" s="274" t="s">
        <v>2945</v>
      </c>
      <c r="N117" s="271"/>
      <c r="O117" s="271"/>
      <c r="P117" s="117"/>
      <c r="Q117" s="145"/>
      <c r="R117" s="118"/>
      <c r="S117" s="11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</row>
    <row r="118" spans="1:31">
      <c r="A118" s="274" t="s">
        <v>2944</v>
      </c>
      <c r="B118" s="272" t="s">
        <v>2905</v>
      </c>
      <c r="C118" s="272"/>
      <c r="D118" s="271"/>
      <c r="E118" s="271"/>
      <c r="F118" s="271"/>
      <c r="G118" s="271"/>
      <c r="H118" s="265" t="s">
        <v>2707</v>
      </c>
      <c r="I118" s="271"/>
      <c r="J118" s="271"/>
      <c r="K118" s="271"/>
      <c r="L118" s="271"/>
      <c r="M118" s="270"/>
      <c r="N118" s="271"/>
      <c r="O118" s="271"/>
      <c r="P118" s="117"/>
      <c r="Q118" s="144"/>
      <c r="R118" s="118"/>
      <c r="S118" s="118"/>
      <c r="T118" s="269"/>
      <c r="U118" s="269"/>
      <c r="V118" s="269"/>
      <c r="W118" s="269"/>
      <c r="X118" s="269"/>
      <c r="Y118" s="269"/>
      <c r="Z118" s="269"/>
      <c r="AA118" s="269"/>
      <c r="AB118" s="269"/>
      <c r="AC118" s="269"/>
      <c r="AD118" s="269"/>
      <c r="AE118" s="269"/>
    </row>
    <row r="119" spans="1:31">
      <c r="A119" s="274" t="s">
        <v>2943</v>
      </c>
      <c r="B119" s="272" t="s">
        <v>2905</v>
      </c>
      <c r="C119" s="272"/>
      <c r="D119" s="271"/>
      <c r="E119" s="271"/>
      <c r="F119" s="271"/>
      <c r="G119" s="271"/>
      <c r="H119" s="265" t="s">
        <v>2707</v>
      </c>
      <c r="I119" s="271"/>
      <c r="J119" s="271"/>
      <c r="K119" s="271"/>
      <c r="L119" s="271"/>
      <c r="M119" s="270"/>
      <c r="N119" s="271"/>
      <c r="O119" s="271"/>
      <c r="P119" s="117"/>
      <c r="Q119" s="145"/>
      <c r="R119" s="118"/>
      <c r="S119" s="118"/>
      <c r="T119" s="269"/>
      <c r="U119" s="269"/>
      <c r="V119" s="269"/>
      <c r="W119" s="269"/>
      <c r="X119" s="269"/>
      <c r="Y119" s="269"/>
      <c r="Z119" s="269"/>
      <c r="AA119" s="269"/>
      <c r="AB119" s="269"/>
      <c r="AC119" s="269"/>
      <c r="AD119" s="269"/>
      <c r="AE119" s="269"/>
    </row>
    <row r="120" spans="1:31">
      <c r="A120" s="274" t="s">
        <v>2942</v>
      </c>
      <c r="B120" s="272" t="s">
        <v>2905</v>
      </c>
      <c r="C120" s="272"/>
      <c r="D120" s="271"/>
      <c r="E120" s="271"/>
      <c r="F120" s="271"/>
      <c r="G120" s="271"/>
      <c r="H120" s="265" t="s">
        <v>2707</v>
      </c>
      <c r="I120" s="271"/>
      <c r="J120" s="271"/>
      <c r="K120" s="271"/>
      <c r="L120" s="271"/>
      <c r="M120" s="270"/>
      <c r="N120" s="271"/>
      <c r="O120" s="271"/>
      <c r="P120" s="117"/>
      <c r="Q120" s="145"/>
      <c r="R120" s="118"/>
      <c r="S120" s="118"/>
      <c r="T120" s="269"/>
      <c r="U120" s="269"/>
      <c r="V120" s="269"/>
      <c r="W120" s="269"/>
      <c r="X120" s="269"/>
      <c r="Y120" s="269"/>
      <c r="Z120" s="269"/>
      <c r="AA120" s="269"/>
      <c r="AB120" s="269"/>
      <c r="AC120" s="269"/>
      <c r="AD120" s="269"/>
      <c r="AE120" s="269"/>
    </row>
    <row r="121" spans="1:31" ht="28.5">
      <c r="A121" s="274" t="s">
        <v>2941</v>
      </c>
      <c r="B121" s="272" t="s">
        <v>2905</v>
      </c>
      <c r="C121" s="272"/>
      <c r="D121" s="271"/>
      <c r="E121" s="271"/>
      <c r="F121" s="271"/>
      <c r="G121" s="271"/>
      <c r="H121" s="265" t="s">
        <v>2707</v>
      </c>
      <c r="I121" s="271"/>
      <c r="J121" s="271"/>
      <c r="K121" s="271"/>
      <c r="L121" s="271"/>
      <c r="M121" s="270"/>
      <c r="N121" s="271"/>
      <c r="O121" s="271"/>
      <c r="P121" s="117"/>
      <c r="Q121" s="145"/>
      <c r="R121" s="118"/>
      <c r="S121" s="118"/>
      <c r="T121" s="269"/>
      <c r="U121" s="269"/>
      <c r="V121" s="269"/>
      <c r="W121" s="269"/>
      <c r="X121" s="269"/>
      <c r="Y121" s="269"/>
      <c r="Z121" s="269"/>
      <c r="AA121" s="269"/>
      <c r="AB121" s="269"/>
      <c r="AC121" s="269"/>
      <c r="AD121" s="269"/>
      <c r="AE121" s="269"/>
    </row>
    <row r="122" spans="1:31">
      <c r="A122" s="274" t="s">
        <v>2940</v>
      </c>
      <c r="B122" s="272" t="s">
        <v>2905</v>
      </c>
      <c r="C122" s="272"/>
      <c r="D122" s="271"/>
      <c r="E122" s="271"/>
      <c r="F122" s="271"/>
      <c r="G122" s="271"/>
      <c r="H122" s="265" t="s">
        <v>2707</v>
      </c>
      <c r="I122" s="271"/>
      <c r="J122" s="271"/>
      <c r="K122" s="271"/>
      <c r="L122" s="271"/>
      <c r="M122" s="270"/>
      <c r="N122" s="271"/>
      <c r="O122" s="271"/>
      <c r="P122" s="117"/>
      <c r="Q122" s="144"/>
      <c r="R122" s="118"/>
      <c r="S122" s="118"/>
      <c r="T122" s="269"/>
      <c r="U122" s="269"/>
      <c r="V122" s="269"/>
      <c r="W122" s="269"/>
      <c r="X122" s="269"/>
      <c r="Y122" s="269"/>
      <c r="Z122" s="269"/>
      <c r="AA122" s="269"/>
      <c r="AB122" s="269"/>
      <c r="AC122" s="269"/>
      <c r="AD122" s="269"/>
      <c r="AE122" s="269"/>
    </row>
    <row r="123" spans="1:31" ht="28.5">
      <c r="A123" s="274" t="s">
        <v>2939</v>
      </c>
      <c r="B123" s="272" t="s">
        <v>2905</v>
      </c>
      <c r="C123" s="272"/>
      <c r="D123" s="271"/>
      <c r="E123" s="271"/>
      <c r="F123" s="271"/>
      <c r="G123" s="271"/>
      <c r="H123" s="265" t="s">
        <v>2707</v>
      </c>
      <c r="I123" s="271"/>
      <c r="J123" s="271"/>
      <c r="K123" s="271"/>
      <c r="L123" s="271"/>
      <c r="M123" s="274" t="s">
        <v>2915</v>
      </c>
      <c r="N123" s="271"/>
      <c r="O123" s="271"/>
      <c r="P123" s="117"/>
      <c r="Q123" s="145"/>
      <c r="R123" s="118"/>
      <c r="S123" s="118"/>
      <c r="T123" s="269"/>
      <c r="U123" s="269"/>
      <c r="V123" s="269"/>
      <c r="W123" s="269"/>
      <c r="X123" s="269"/>
      <c r="Y123" s="269"/>
      <c r="Z123" s="269"/>
      <c r="AA123" s="269"/>
      <c r="AB123" s="269"/>
      <c r="AC123" s="269"/>
      <c r="AD123" s="269"/>
      <c r="AE123" s="269"/>
    </row>
    <row r="124" spans="1:31">
      <c r="A124" s="274" t="s">
        <v>2938</v>
      </c>
      <c r="B124" s="272" t="s">
        <v>2905</v>
      </c>
      <c r="C124" s="272"/>
      <c r="D124" s="271"/>
      <c r="E124" s="271"/>
      <c r="F124" s="271"/>
      <c r="G124" s="271"/>
      <c r="H124" s="265" t="s">
        <v>2707</v>
      </c>
      <c r="I124" s="271"/>
      <c r="J124" s="271"/>
      <c r="K124" s="271"/>
      <c r="L124" s="271"/>
      <c r="M124" s="270"/>
      <c r="N124" s="271"/>
      <c r="O124" s="271"/>
      <c r="P124" s="117"/>
      <c r="Q124" s="145"/>
      <c r="R124" s="118"/>
      <c r="S124" s="118"/>
      <c r="T124" s="269"/>
      <c r="U124" s="269"/>
      <c r="V124" s="269"/>
      <c r="W124" s="269"/>
      <c r="X124" s="269"/>
      <c r="Y124" s="269"/>
      <c r="Z124" s="269"/>
      <c r="AA124" s="269"/>
      <c r="AB124" s="269"/>
      <c r="AC124" s="269"/>
      <c r="AD124" s="269"/>
      <c r="AE124" s="269"/>
    </row>
    <row r="125" spans="1:31">
      <c r="A125" s="274" t="s">
        <v>2937</v>
      </c>
      <c r="B125" s="272" t="s">
        <v>2905</v>
      </c>
      <c r="C125" s="272"/>
      <c r="D125" s="271"/>
      <c r="E125" s="271"/>
      <c r="F125" s="271"/>
      <c r="G125" s="271"/>
      <c r="H125" s="265" t="s">
        <v>2707</v>
      </c>
      <c r="I125" s="271"/>
      <c r="J125" s="271"/>
      <c r="K125" s="271"/>
      <c r="L125" s="271"/>
      <c r="M125" s="274" t="s">
        <v>2936</v>
      </c>
      <c r="N125" s="271"/>
      <c r="O125" s="271"/>
      <c r="P125" s="13"/>
      <c r="Q125" s="33"/>
      <c r="R125" s="13"/>
      <c r="S125" s="13"/>
      <c r="T125" s="269"/>
      <c r="U125" s="269"/>
      <c r="V125" s="269"/>
      <c r="W125" s="269"/>
      <c r="X125" s="269"/>
      <c r="Y125" s="269"/>
      <c r="Z125" s="269"/>
      <c r="AA125" s="269"/>
      <c r="AB125" s="269"/>
      <c r="AC125" s="269"/>
      <c r="AD125" s="269"/>
      <c r="AE125" s="269"/>
    </row>
    <row r="126" spans="1:31">
      <c r="A126" s="274" t="s">
        <v>2935</v>
      </c>
      <c r="B126" s="272" t="s">
        <v>2905</v>
      </c>
      <c r="C126" s="272"/>
      <c r="D126" s="271"/>
      <c r="E126" s="271"/>
      <c r="F126" s="271"/>
      <c r="G126" s="271"/>
      <c r="H126" s="265" t="s">
        <v>2707</v>
      </c>
      <c r="I126" s="271"/>
      <c r="J126" s="271"/>
      <c r="K126" s="271"/>
      <c r="L126" s="271"/>
      <c r="M126" s="270"/>
      <c r="N126" s="271"/>
      <c r="O126" s="271"/>
      <c r="P126" s="117"/>
      <c r="Q126" s="144"/>
      <c r="R126" s="118"/>
      <c r="S126" s="118"/>
      <c r="T126" s="269"/>
      <c r="U126" s="269"/>
      <c r="V126" s="269"/>
      <c r="W126" s="269"/>
      <c r="X126" s="269"/>
      <c r="Y126" s="269"/>
      <c r="Z126" s="269"/>
      <c r="AA126" s="269"/>
      <c r="AB126" s="269"/>
      <c r="AC126" s="269"/>
      <c r="AD126" s="269"/>
      <c r="AE126" s="269"/>
    </row>
    <row r="127" spans="1:31">
      <c r="A127" s="274" t="s">
        <v>2934</v>
      </c>
      <c r="B127" s="272" t="s">
        <v>2905</v>
      </c>
      <c r="C127" s="272"/>
      <c r="D127" s="271"/>
      <c r="E127" s="271"/>
      <c r="F127" s="271"/>
      <c r="G127" s="271"/>
      <c r="H127" s="265" t="s">
        <v>2707</v>
      </c>
      <c r="I127" s="271"/>
      <c r="J127" s="271"/>
      <c r="K127" s="271"/>
      <c r="L127" s="271"/>
      <c r="M127" s="270"/>
      <c r="N127" s="271"/>
      <c r="O127" s="271"/>
      <c r="P127" s="117"/>
      <c r="Q127" s="145"/>
      <c r="R127" s="118"/>
      <c r="S127" s="118"/>
      <c r="T127" s="269"/>
      <c r="U127" s="269"/>
      <c r="V127" s="269"/>
      <c r="W127" s="269"/>
      <c r="X127" s="269"/>
      <c r="Y127" s="269"/>
      <c r="Z127" s="269"/>
      <c r="AA127" s="269"/>
      <c r="AB127" s="269"/>
      <c r="AC127" s="269"/>
      <c r="AD127" s="269"/>
      <c r="AE127" s="269"/>
    </row>
    <row r="128" spans="1:31" ht="28.5">
      <c r="A128" s="274" t="s">
        <v>2933</v>
      </c>
      <c r="B128" s="272" t="s">
        <v>2905</v>
      </c>
      <c r="C128" s="272"/>
      <c r="D128" s="271"/>
      <c r="E128" s="271"/>
      <c r="F128" s="271"/>
      <c r="G128" s="271"/>
      <c r="H128" s="265" t="s">
        <v>2707</v>
      </c>
      <c r="I128" s="271"/>
      <c r="J128" s="271"/>
      <c r="K128" s="271"/>
      <c r="L128" s="271"/>
      <c r="M128" s="274" t="s">
        <v>2932</v>
      </c>
      <c r="N128" s="271"/>
      <c r="O128" s="271"/>
      <c r="P128" s="117"/>
      <c r="Q128" s="144"/>
      <c r="R128" s="118"/>
      <c r="S128" s="118"/>
      <c r="T128" s="269"/>
      <c r="U128" s="269"/>
      <c r="V128" s="269"/>
      <c r="W128" s="269"/>
      <c r="X128" s="269"/>
      <c r="Y128" s="269"/>
      <c r="Z128" s="269"/>
      <c r="AA128" s="269"/>
      <c r="AB128" s="269"/>
      <c r="AC128" s="269"/>
      <c r="AD128" s="269"/>
      <c r="AE128" s="269"/>
    </row>
    <row r="129" spans="1:31">
      <c r="A129" s="274" t="s">
        <v>2931</v>
      </c>
      <c r="B129" s="272" t="s">
        <v>2905</v>
      </c>
      <c r="C129" s="272"/>
      <c r="D129" s="271"/>
      <c r="E129" s="271"/>
      <c r="F129" s="271"/>
      <c r="G129" s="271"/>
      <c r="H129" s="265" t="s">
        <v>2707</v>
      </c>
      <c r="I129" s="271"/>
      <c r="J129" s="271"/>
      <c r="K129" s="271"/>
      <c r="L129" s="271"/>
      <c r="M129" s="270"/>
      <c r="N129" s="271"/>
      <c r="O129" s="271"/>
      <c r="P129" s="117"/>
      <c r="Q129" s="145"/>
      <c r="R129" s="118"/>
      <c r="S129" s="118"/>
      <c r="T129" s="269"/>
      <c r="U129" s="269"/>
      <c r="V129" s="269"/>
      <c r="W129" s="269"/>
      <c r="X129" s="269"/>
      <c r="Y129" s="269"/>
      <c r="Z129" s="269"/>
      <c r="AA129" s="269"/>
      <c r="AB129" s="269"/>
      <c r="AC129" s="269"/>
      <c r="AD129" s="269"/>
      <c r="AE129" s="269"/>
    </row>
    <row r="130" spans="1:31">
      <c r="A130" s="274" t="s">
        <v>2930</v>
      </c>
      <c r="B130" s="272" t="s">
        <v>2905</v>
      </c>
      <c r="C130" s="272"/>
      <c r="D130" s="271"/>
      <c r="E130" s="271"/>
      <c r="F130" s="271"/>
      <c r="G130" s="271"/>
      <c r="H130" s="265" t="s">
        <v>2707</v>
      </c>
      <c r="I130" s="271"/>
      <c r="J130" s="271"/>
      <c r="K130" s="271"/>
      <c r="L130" s="271"/>
      <c r="M130" s="270"/>
      <c r="N130" s="271"/>
      <c r="O130" s="271"/>
      <c r="P130" s="117"/>
      <c r="Q130" s="144"/>
      <c r="R130" s="118"/>
      <c r="S130" s="118"/>
      <c r="T130" s="269"/>
      <c r="U130" s="269"/>
      <c r="V130" s="269"/>
      <c r="W130" s="269"/>
      <c r="X130" s="269"/>
      <c r="Y130" s="269"/>
      <c r="Z130" s="269"/>
      <c r="AA130" s="269"/>
      <c r="AB130" s="269"/>
      <c r="AC130" s="269"/>
      <c r="AD130" s="269"/>
      <c r="AE130" s="269"/>
    </row>
    <row r="131" spans="1:31">
      <c r="A131" s="274" t="s">
        <v>2929</v>
      </c>
      <c r="B131" s="272" t="s">
        <v>2905</v>
      </c>
      <c r="C131" s="272"/>
      <c r="D131" s="265"/>
      <c r="E131" s="271"/>
      <c r="F131" s="265"/>
      <c r="G131" s="271"/>
      <c r="H131" s="265" t="s">
        <v>2707</v>
      </c>
      <c r="I131" s="271"/>
      <c r="J131" s="271"/>
      <c r="K131" s="271"/>
      <c r="L131" s="271"/>
      <c r="M131" s="270"/>
      <c r="N131" s="265"/>
      <c r="O131" s="265"/>
      <c r="P131" s="117"/>
      <c r="Q131" s="144"/>
      <c r="R131" s="118"/>
      <c r="S131" s="118"/>
      <c r="T131" s="269"/>
      <c r="U131" s="269"/>
      <c r="V131" s="269"/>
      <c r="W131" s="269"/>
      <c r="X131" s="269"/>
      <c r="Y131" s="269"/>
      <c r="Z131" s="269"/>
      <c r="AA131" s="269"/>
      <c r="AB131" s="269"/>
      <c r="AC131" s="269"/>
      <c r="AD131" s="269"/>
      <c r="AE131" s="269"/>
    </row>
    <row r="132" spans="1:31">
      <c r="A132" s="274" t="s">
        <v>2928</v>
      </c>
      <c r="B132" s="272" t="s">
        <v>2905</v>
      </c>
      <c r="C132" s="272"/>
      <c r="D132" s="271"/>
      <c r="E132" s="271"/>
      <c r="F132" s="271"/>
      <c r="G132" s="271"/>
      <c r="H132" s="265" t="s">
        <v>2707</v>
      </c>
      <c r="I132" s="271"/>
      <c r="J132" s="271"/>
      <c r="K132" s="271"/>
      <c r="L132" s="271"/>
      <c r="M132" s="274" t="s">
        <v>2927</v>
      </c>
      <c r="N132" s="271"/>
      <c r="O132" s="271"/>
      <c r="P132" s="117"/>
      <c r="Q132" s="144"/>
      <c r="R132" s="118"/>
      <c r="S132" s="118"/>
      <c r="T132" s="269"/>
      <c r="U132" s="269"/>
      <c r="V132" s="269"/>
      <c r="W132" s="269"/>
      <c r="X132" s="269"/>
      <c r="Y132" s="269"/>
      <c r="Z132" s="269"/>
      <c r="AA132" s="269"/>
      <c r="AB132" s="269"/>
      <c r="AC132" s="269"/>
      <c r="AD132" s="269"/>
      <c r="AE132" s="269"/>
    </row>
    <row r="133" spans="1:31">
      <c r="A133" s="274" t="s">
        <v>2926</v>
      </c>
      <c r="B133" s="272" t="s">
        <v>2905</v>
      </c>
      <c r="C133" s="272"/>
      <c r="D133" s="271"/>
      <c r="E133" s="271"/>
      <c r="F133" s="271"/>
      <c r="G133" s="271"/>
      <c r="H133" s="265" t="s">
        <v>2707</v>
      </c>
      <c r="I133" s="271"/>
      <c r="J133" s="271"/>
      <c r="K133" s="271"/>
      <c r="L133" s="271"/>
      <c r="M133" s="270"/>
      <c r="N133" s="271"/>
      <c r="O133" s="271"/>
      <c r="P133" s="117"/>
      <c r="Q133" s="144"/>
      <c r="R133" s="118"/>
      <c r="S133" s="118"/>
      <c r="T133" s="269"/>
      <c r="U133" s="269"/>
      <c r="V133" s="269"/>
      <c r="W133" s="269"/>
      <c r="X133" s="269"/>
      <c r="Y133" s="269"/>
      <c r="Z133" s="269"/>
      <c r="AA133" s="269"/>
      <c r="AB133" s="269"/>
      <c r="AC133" s="269"/>
      <c r="AD133" s="269"/>
      <c r="AE133" s="269"/>
    </row>
    <row r="134" spans="1:31">
      <c r="A134" s="274" t="s">
        <v>2925</v>
      </c>
      <c r="B134" s="272" t="s">
        <v>2905</v>
      </c>
      <c r="C134" s="272"/>
      <c r="D134" s="271"/>
      <c r="E134" s="271"/>
      <c r="F134" s="271"/>
      <c r="G134" s="271"/>
      <c r="H134" s="265" t="s">
        <v>2707</v>
      </c>
      <c r="I134" s="271"/>
      <c r="J134" s="271"/>
      <c r="K134" s="271"/>
      <c r="L134" s="271"/>
      <c r="M134" s="270"/>
      <c r="N134" s="271"/>
      <c r="O134" s="271"/>
      <c r="P134" s="13"/>
      <c r="Q134" s="33"/>
      <c r="R134" s="13"/>
      <c r="S134" s="13"/>
      <c r="T134" s="269"/>
      <c r="U134" s="269"/>
      <c r="V134" s="269"/>
      <c r="W134" s="269"/>
      <c r="X134" s="269"/>
      <c r="Y134" s="269"/>
      <c r="Z134" s="269"/>
      <c r="AA134" s="269"/>
      <c r="AB134" s="269"/>
      <c r="AC134" s="269"/>
      <c r="AD134" s="269"/>
      <c r="AE134" s="269"/>
    </row>
    <row r="135" spans="1:31" ht="28.5">
      <c r="A135" s="274" t="s">
        <v>2924</v>
      </c>
      <c r="B135" s="272" t="s">
        <v>2905</v>
      </c>
      <c r="C135" s="272"/>
      <c r="D135" s="271"/>
      <c r="E135" s="271"/>
      <c r="F135" s="271"/>
      <c r="G135" s="271"/>
      <c r="H135" s="265" t="s">
        <v>2707</v>
      </c>
      <c r="I135" s="271"/>
      <c r="J135" s="271"/>
      <c r="K135" s="271"/>
      <c r="L135" s="271"/>
      <c r="M135" s="270"/>
      <c r="N135" s="271"/>
      <c r="O135" s="271"/>
      <c r="P135" s="13"/>
      <c r="Q135" s="146"/>
      <c r="R135" s="13"/>
      <c r="S135" s="13"/>
      <c r="T135" s="269"/>
      <c r="U135" s="269"/>
      <c r="V135" s="269"/>
      <c r="W135" s="269"/>
      <c r="X135" s="269"/>
      <c r="Y135" s="269"/>
      <c r="Z135" s="269"/>
      <c r="AA135" s="269"/>
      <c r="AB135" s="269"/>
      <c r="AC135" s="269"/>
      <c r="AD135" s="269"/>
      <c r="AE135" s="269"/>
    </row>
    <row r="136" spans="1:31">
      <c r="A136" s="274" t="s">
        <v>2923</v>
      </c>
      <c r="B136" s="272" t="s">
        <v>2905</v>
      </c>
      <c r="C136" s="272"/>
      <c r="D136" s="271"/>
      <c r="E136" s="271"/>
      <c r="F136" s="271"/>
      <c r="G136" s="265"/>
      <c r="H136" s="265" t="s">
        <v>2707</v>
      </c>
      <c r="I136" s="265"/>
      <c r="J136" s="265"/>
      <c r="K136" s="265"/>
      <c r="L136" s="265"/>
      <c r="M136" s="270"/>
      <c r="N136" s="271"/>
      <c r="O136" s="271"/>
      <c r="P136" s="117"/>
      <c r="Q136" s="144"/>
      <c r="R136" s="118"/>
      <c r="S136" s="118"/>
      <c r="T136" s="269"/>
      <c r="U136" s="269"/>
      <c r="V136" s="269"/>
      <c r="W136" s="269"/>
      <c r="X136" s="269"/>
      <c r="Y136" s="269"/>
      <c r="Z136" s="269"/>
      <c r="AA136" s="269"/>
      <c r="AB136" s="269"/>
      <c r="AC136" s="269"/>
      <c r="AD136" s="269"/>
      <c r="AE136" s="269"/>
    </row>
    <row r="137" spans="1:31">
      <c r="A137" s="274" t="s">
        <v>2922</v>
      </c>
      <c r="B137" s="272" t="s">
        <v>2905</v>
      </c>
      <c r="C137" s="272"/>
      <c r="D137" s="271"/>
      <c r="E137" s="271"/>
      <c r="F137" s="271"/>
      <c r="G137" s="271"/>
      <c r="H137" s="265"/>
      <c r="I137" s="271"/>
      <c r="J137" s="271"/>
      <c r="K137" s="271"/>
      <c r="L137" s="271"/>
      <c r="M137" s="270"/>
      <c r="N137" s="271"/>
      <c r="O137" s="271"/>
      <c r="P137" s="117"/>
      <c r="Q137" s="144"/>
      <c r="R137" s="118"/>
      <c r="S137" s="118"/>
      <c r="T137" s="269"/>
      <c r="U137" s="269"/>
      <c r="V137" s="269"/>
      <c r="W137" s="269"/>
      <c r="X137" s="269"/>
      <c r="Y137" s="269"/>
      <c r="Z137" s="269"/>
      <c r="AA137" s="269"/>
      <c r="AB137" s="269"/>
      <c r="AC137" s="269"/>
      <c r="AD137" s="269"/>
      <c r="AE137" s="269"/>
    </row>
    <row r="138" spans="1:31">
      <c r="A138" s="274" t="s">
        <v>2921</v>
      </c>
      <c r="B138" s="272" t="s">
        <v>2905</v>
      </c>
      <c r="C138" s="272"/>
      <c r="D138" s="271"/>
      <c r="E138" s="271"/>
      <c r="F138" s="271"/>
      <c r="G138" s="271"/>
      <c r="H138" s="265" t="s">
        <v>2707</v>
      </c>
      <c r="I138" s="271"/>
      <c r="J138" s="271"/>
      <c r="K138" s="271"/>
      <c r="L138" s="271"/>
      <c r="M138" s="270"/>
      <c r="N138" s="271"/>
      <c r="O138" s="271"/>
      <c r="P138" s="117"/>
      <c r="Q138" s="145"/>
      <c r="R138" s="118"/>
      <c r="S138" s="118"/>
      <c r="T138" s="269"/>
      <c r="U138" s="269"/>
      <c r="V138" s="269"/>
      <c r="W138" s="269"/>
      <c r="X138" s="269"/>
      <c r="Y138" s="269"/>
      <c r="Z138" s="269"/>
      <c r="AA138" s="269"/>
      <c r="AB138" s="269"/>
      <c r="AC138" s="269"/>
      <c r="AD138" s="269"/>
      <c r="AE138" s="269"/>
    </row>
    <row r="139" spans="1:31">
      <c r="A139" s="274" t="s">
        <v>2920</v>
      </c>
      <c r="B139" s="272" t="s">
        <v>2905</v>
      </c>
      <c r="C139" s="272"/>
      <c r="D139" s="271"/>
      <c r="E139" s="271"/>
      <c r="F139" s="271"/>
      <c r="G139" s="271"/>
      <c r="H139" s="265" t="s">
        <v>2707</v>
      </c>
      <c r="I139" s="271"/>
      <c r="J139" s="271"/>
      <c r="K139" s="271"/>
      <c r="L139" s="271"/>
      <c r="M139" s="274" t="s">
        <v>2919</v>
      </c>
      <c r="N139" s="271"/>
      <c r="O139" s="271"/>
      <c r="P139" s="117"/>
      <c r="Q139" s="144"/>
      <c r="R139" s="118"/>
      <c r="S139" s="118"/>
      <c r="T139" s="269"/>
      <c r="U139" s="269"/>
      <c r="V139" s="269"/>
      <c r="W139" s="269"/>
      <c r="X139" s="269"/>
      <c r="Y139" s="269"/>
      <c r="Z139" s="269"/>
      <c r="AA139" s="269"/>
      <c r="AB139" s="269"/>
      <c r="AC139" s="269"/>
      <c r="AD139" s="269"/>
      <c r="AE139" s="269"/>
    </row>
    <row r="140" spans="1:31">
      <c r="A140" s="274" t="s">
        <v>2918</v>
      </c>
      <c r="B140" s="272" t="s">
        <v>2905</v>
      </c>
      <c r="C140" s="272"/>
      <c r="D140" s="271"/>
      <c r="E140" s="271"/>
      <c r="F140" s="271"/>
      <c r="G140" s="271"/>
      <c r="H140" s="265" t="s">
        <v>2707</v>
      </c>
      <c r="I140" s="271"/>
      <c r="J140" s="271"/>
      <c r="K140" s="271"/>
      <c r="L140" s="271"/>
      <c r="M140" s="270"/>
      <c r="N140" s="271"/>
      <c r="O140" s="271"/>
      <c r="P140" s="117"/>
      <c r="Q140" s="144"/>
      <c r="R140" s="118"/>
      <c r="S140" s="118"/>
      <c r="T140" s="269"/>
      <c r="U140" s="269"/>
      <c r="V140" s="269"/>
      <c r="W140" s="269"/>
      <c r="X140" s="269"/>
      <c r="Y140" s="269"/>
      <c r="Z140" s="269"/>
      <c r="AA140" s="269"/>
      <c r="AB140" s="269"/>
      <c r="AC140" s="269"/>
      <c r="AD140" s="269"/>
      <c r="AE140" s="269"/>
    </row>
    <row r="141" spans="1:31">
      <c r="A141" s="274" t="s">
        <v>2917</v>
      </c>
      <c r="B141" s="272" t="s">
        <v>2905</v>
      </c>
      <c r="C141" s="272"/>
      <c r="D141" s="271"/>
      <c r="E141" s="271"/>
      <c r="F141" s="271"/>
      <c r="G141" s="271"/>
      <c r="H141" s="265" t="s">
        <v>2707</v>
      </c>
      <c r="I141" s="271"/>
      <c r="J141" s="271"/>
      <c r="K141" s="271"/>
      <c r="L141" s="271"/>
      <c r="M141" s="270"/>
      <c r="N141" s="271"/>
      <c r="O141" s="271"/>
      <c r="P141" s="117"/>
      <c r="Q141" s="144"/>
      <c r="R141" s="118"/>
      <c r="S141" s="118"/>
      <c r="T141" s="269"/>
      <c r="U141" s="269"/>
      <c r="V141" s="269"/>
      <c r="W141" s="269"/>
      <c r="X141" s="269"/>
      <c r="Y141" s="269"/>
      <c r="Z141" s="269"/>
      <c r="AA141" s="269"/>
      <c r="AB141" s="269"/>
      <c r="AC141" s="269"/>
      <c r="AD141" s="269"/>
      <c r="AE141" s="269"/>
    </row>
    <row r="142" spans="1:31" ht="28.5">
      <c r="A142" s="274" t="s">
        <v>2916</v>
      </c>
      <c r="B142" s="272" t="s">
        <v>2905</v>
      </c>
      <c r="C142" s="272"/>
      <c r="D142" s="271"/>
      <c r="E142" s="271"/>
      <c r="F142" s="271"/>
      <c r="G142" s="271"/>
      <c r="H142" s="265" t="s">
        <v>2707</v>
      </c>
      <c r="I142" s="271"/>
      <c r="J142" s="271"/>
      <c r="K142" s="271"/>
      <c r="L142" s="271"/>
      <c r="M142" s="274" t="s">
        <v>2915</v>
      </c>
      <c r="N142" s="271"/>
      <c r="O142" s="271"/>
      <c r="P142" s="117"/>
      <c r="Q142" s="145"/>
      <c r="R142" s="118"/>
      <c r="S142" s="118"/>
      <c r="T142" s="269"/>
      <c r="U142" s="269"/>
      <c r="V142" s="269"/>
      <c r="W142" s="269"/>
      <c r="X142" s="269"/>
      <c r="Y142" s="269"/>
      <c r="Z142" s="269"/>
      <c r="AA142" s="269"/>
      <c r="AB142" s="269"/>
      <c r="AC142" s="269"/>
      <c r="AD142" s="269"/>
      <c r="AE142" s="269"/>
    </row>
    <row r="143" spans="1:31" ht="28.5">
      <c r="A143" s="274" t="s">
        <v>2914</v>
      </c>
      <c r="B143" s="272" t="s">
        <v>2905</v>
      </c>
      <c r="C143" s="272"/>
      <c r="D143" s="271"/>
      <c r="E143" s="271"/>
      <c r="F143" s="271"/>
      <c r="G143" s="271"/>
      <c r="H143" s="265" t="s">
        <v>2707</v>
      </c>
      <c r="I143" s="271"/>
      <c r="J143" s="271"/>
      <c r="K143" s="271"/>
      <c r="L143" s="271"/>
      <c r="M143" s="274" t="s">
        <v>2913</v>
      </c>
      <c r="N143" s="271"/>
      <c r="O143" s="271"/>
      <c r="P143" s="117"/>
      <c r="Q143" s="145"/>
      <c r="R143" s="162"/>
      <c r="S143" s="118"/>
      <c r="T143" s="269"/>
      <c r="U143" s="269"/>
      <c r="V143" s="269"/>
      <c r="W143" s="269"/>
      <c r="X143" s="269"/>
      <c r="Y143" s="269"/>
      <c r="Z143" s="269"/>
      <c r="AA143" s="269"/>
      <c r="AB143" s="269"/>
      <c r="AC143" s="269"/>
      <c r="AD143" s="269"/>
      <c r="AE143" s="269"/>
    </row>
    <row r="144" spans="1:31">
      <c r="A144" s="274" t="s">
        <v>2912</v>
      </c>
      <c r="B144" s="272" t="s">
        <v>2905</v>
      </c>
      <c r="C144" s="272"/>
      <c r="D144" s="271"/>
      <c r="E144" s="271"/>
      <c r="F144" s="271"/>
      <c r="G144" s="271"/>
      <c r="H144" s="265" t="s">
        <v>2707</v>
      </c>
      <c r="I144" s="271"/>
      <c r="J144" s="271"/>
      <c r="K144" s="271"/>
      <c r="L144" s="271"/>
      <c r="M144" s="270"/>
      <c r="N144" s="271"/>
      <c r="O144" s="271"/>
      <c r="P144" s="117"/>
      <c r="Q144" s="144"/>
      <c r="R144" s="118"/>
      <c r="S144" s="118"/>
      <c r="T144" s="269"/>
      <c r="U144" s="269"/>
      <c r="V144" s="269"/>
      <c r="W144" s="269"/>
      <c r="X144" s="269"/>
      <c r="Y144" s="269"/>
      <c r="Z144" s="269"/>
      <c r="AA144" s="269"/>
      <c r="AB144" s="269"/>
      <c r="AC144" s="269"/>
      <c r="AD144" s="269"/>
      <c r="AE144" s="269"/>
    </row>
    <row r="145" spans="1:31">
      <c r="A145" s="274" t="s">
        <v>2911</v>
      </c>
      <c r="B145" s="272" t="s">
        <v>2905</v>
      </c>
      <c r="C145" s="272"/>
      <c r="D145" s="271"/>
      <c r="E145" s="271"/>
      <c r="F145" s="271"/>
      <c r="G145" s="271"/>
      <c r="H145" s="265" t="s">
        <v>2707</v>
      </c>
      <c r="I145" s="271"/>
      <c r="J145" s="271"/>
      <c r="K145" s="271"/>
      <c r="L145" s="271"/>
      <c r="M145" s="270"/>
      <c r="N145" s="271"/>
      <c r="O145" s="271"/>
      <c r="P145" s="117"/>
      <c r="Q145" s="144"/>
      <c r="R145" s="118"/>
      <c r="S145" s="118"/>
      <c r="T145" s="269"/>
      <c r="U145" s="269"/>
      <c r="V145" s="269"/>
      <c r="W145" s="269"/>
      <c r="X145" s="269"/>
      <c r="Y145" s="269"/>
      <c r="Z145" s="269"/>
      <c r="AA145" s="269"/>
      <c r="AB145" s="269"/>
      <c r="AC145" s="269"/>
      <c r="AD145" s="269"/>
      <c r="AE145" s="269"/>
    </row>
    <row r="146" spans="1:31">
      <c r="A146" s="274" t="s">
        <v>2910</v>
      </c>
      <c r="B146" s="272" t="s">
        <v>2905</v>
      </c>
      <c r="C146" s="272"/>
      <c r="D146" s="271"/>
      <c r="E146" s="271"/>
      <c r="F146" s="271"/>
      <c r="G146" s="271"/>
      <c r="H146" s="265" t="s">
        <v>2707</v>
      </c>
      <c r="I146" s="271"/>
      <c r="J146" s="271"/>
      <c r="K146" s="271"/>
      <c r="L146" s="271"/>
      <c r="M146" s="270"/>
      <c r="N146" s="271"/>
      <c r="O146" s="271"/>
      <c r="P146" s="13"/>
      <c r="Q146" s="33"/>
      <c r="R146" s="13"/>
      <c r="S146" s="13"/>
      <c r="T146" s="269"/>
      <c r="U146" s="269"/>
      <c r="V146" s="269"/>
      <c r="W146" s="269"/>
      <c r="X146" s="269"/>
      <c r="Y146" s="269"/>
      <c r="Z146" s="269"/>
      <c r="AA146" s="269"/>
      <c r="AB146" s="269"/>
      <c r="AC146" s="269"/>
      <c r="AD146" s="269"/>
      <c r="AE146" s="269"/>
    </row>
    <row r="147" spans="1:31" ht="28.5">
      <c r="A147" s="274" t="s">
        <v>2909</v>
      </c>
      <c r="B147" s="272" t="s">
        <v>2905</v>
      </c>
      <c r="C147" s="272"/>
      <c r="D147" s="271"/>
      <c r="E147" s="271"/>
      <c r="F147" s="271"/>
      <c r="G147" s="271"/>
      <c r="H147" s="265" t="s">
        <v>2707</v>
      </c>
      <c r="I147" s="271"/>
      <c r="J147" s="271"/>
      <c r="K147" s="271"/>
      <c r="L147" s="271"/>
      <c r="M147" s="270"/>
      <c r="N147" s="271"/>
      <c r="O147" s="271"/>
      <c r="P147" s="117"/>
      <c r="Q147" s="144"/>
      <c r="R147" s="118"/>
      <c r="S147" s="118"/>
      <c r="T147" s="269"/>
      <c r="U147" s="269"/>
      <c r="V147" s="269"/>
      <c r="W147" s="269"/>
      <c r="X147" s="269"/>
      <c r="Y147" s="269"/>
      <c r="Z147" s="269"/>
      <c r="AA147" s="269"/>
      <c r="AB147" s="269"/>
      <c r="AC147" s="269"/>
      <c r="AD147" s="269"/>
      <c r="AE147" s="269"/>
    </row>
    <row r="148" spans="1:31">
      <c r="A148" s="274" t="s">
        <v>2908</v>
      </c>
      <c r="B148" s="272" t="s">
        <v>2905</v>
      </c>
      <c r="C148" s="272"/>
      <c r="D148" s="271"/>
      <c r="E148" s="271"/>
      <c r="F148" s="271"/>
      <c r="G148" s="271"/>
      <c r="H148" s="265" t="s">
        <v>2707</v>
      </c>
      <c r="I148" s="271"/>
      <c r="J148" s="271"/>
      <c r="K148" s="271"/>
      <c r="L148" s="271"/>
      <c r="M148" s="270"/>
      <c r="N148" s="271"/>
      <c r="O148" s="271"/>
      <c r="P148" s="117"/>
      <c r="Q148" s="145"/>
      <c r="R148" s="118"/>
      <c r="S148" s="118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</row>
    <row r="149" spans="1:31">
      <c r="A149" s="274" t="s">
        <v>2907</v>
      </c>
      <c r="B149" s="272" t="s">
        <v>2905</v>
      </c>
      <c r="C149" s="272"/>
      <c r="D149" s="271"/>
      <c r="E149" s="271"/>
      <c r="F149" s="271"/>
      <c r="G149" s="271"/>
      <c r="H149" s="265" t="s">
        <v>2707</v>
      </c>
      <c r="I149" s="271"/>
      <c r="J149" s="271"/>
      <c r="K149" s="271"/>
      <c r="L149" s="271"/>
      <c r="M149" s="270"/>
      <c r="N149" s="271"/>
      <c r="O149" s="271"/>
      <c r="P149" s="117"/>
      <c r="Q149" s="145"/>
      <c r="R149" s="118"/>
      <c r="S149" s="118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</row>
    <row r="150" spans="1:31">
      <c r="A150" s="274" t="s">
        <v>2906</v>
      </c>
      <c r="B150" s="272" t="s">
        <v>2905</v>
      </c>
      <c r="C150" s="272"/>
      <c r="D150" s="271"/>
      <c r="E150" s="271"/>
      <c r="F150" s="271"/>
      <c r="G150" s="271"/>
      <c r="H150" s="265" t="s">
        <v>2707</v>
      </c>
      <c r="I150" s="271"/>
      <c r="J150" s="271"/>
      <c r="K150" s="271"/>
      <c r="L150" s="271"/>
      <c r="M150" s="270"/>
      <c r="N150" s="271"/>
      <c r="O150" s="271"/>
      <c r="P150" s="117"/>
      <c r="Q150" s="145"/>
      <c r="R150" s="162"/>
      <c r="S150" s="118"/>
      <c r="T150" s="269"/>
      <c r="U150" s="269"/>
      <c r="V150" s="269"/>
      <c r="W150" s="269"/>
      <c r="X150" s="269"/>
      <c r="Y150" s="269"/>
      <c r="Z150" s="269"/>
      <c r="AA150" s="269"/>
      <c r="AB150" s="269"/>
      <c r="AC150" s="269"/>
      <c r="AD150" s="269"/>
      <c r="AE150" s="269"/>
    </row>
    <row r="151" spans="1:31">
      <c r="A151" s="274" t="s">
        <v>2904</v>
      </c>
      <c r="B151" s="276" t="s">
        <v>2902</v>
      </c>
      <c r="C151" s="272"/>
      <c r="D151" s="265"/>
      <c r="E151" s="271"/>
      <c r="F151" s="277"/>
      <c r="G151" s="271"/>
      <c r="H151" s="265" t="s">
        <v>2707</v>
      </c>
      <c r="I151" s="271"/>
      <c r="J151" s="271"/>
      <c r="K151" s="271"/>
      <c r="L151" s="271"/>
      <c r="M151" s="270"/>
      <c r="N151" s="271"/>
      <c r="O151" s="271"/>
      <c r="P151" s="13"/>
      <c r="Q151" s="146"/>
      <c r="R151" s="13"/>
      <c r="S151" s="13"/>
      <c r="T151" s="269"/>
      <c r="U151" s="269"/>
      <c r="V151" s="269"/>
      <c r="W151" s="269"/>
      <c r="X151" s="269"/>
      <c r="Y151" s="269"/>
      <c r="Z151" s="269"/>
      <c r="AA151" s="269"/>
      <c r="AB151" s="269"/>
      <c r="AC151" s="269"/>
      <c r="AD151" s="269"/>
      <c r="AE151" s="269"/>
    </row>
    <row r="152" spans="1:31">
      <c r="A152" s="274" t="s">
        <v>2903</v>
      </c>
      <c r="B152" s="276" t="s">
        <v>2902</v>
      </c>
      <c r="C152" s="272"/>
      <c r="D152" s="265"/>
      <c r="E152" s="271"/>
      <c r="F152" s="277"/>
      <c r="G152" s="271"/>
      <c r="H152" s="265" t="s">
        <v>2707</v>
      </c>
      <c r="I152" s="271"/>
      <c r="J152" s="271"/>
      <c r="K152" s="271"/>
      <c r="L152" s="271"/>
      <c r="M152" s="270"/>
      <c r="N152" s="271"/>
      <c r="O152" s="271"/>
      <c r="P152" s="117"/>
      <c r="Q152" s="145"/>
      <c r="R152" s="118"/>
      <c r="S152" s="118"/>
      <c r="T152" s="269"/>
      <c r="U152" s="269"/>
      <c r="V152" s="269"/>
      <c r="W152" s="269"/>
      <c r="X152" s="269"/>
      <c r="Y152" s="269"/>
      <c r="Z152" s="269"/>
      <c r="AA152" s="269"/>
      <c r="AB152" s="269"/>
      <c r="AC152" s="269"/>
      <c r="AD152" s="269"/>
      <c r="AE152" s="269"/>
    </row>
    <row r="153" spans="1:31">
      <c r="A153" s="274" t="s">
        <v>2901</v>
      </c>
      <c r="B153" s="272" t="s">
        <v>2852</v>
      </c>
      <c r="C153" s="272"/>
      <c r="D153" s="271"/>
      <c r="E153" s="271"/>
      <c r="F153" s="277"/>
      <c r="G153" s="271"/>
      <c r="H153" s="265" t="s">
        <v>2707</v>
      </c>
      <c r="I153" s="271"/>
      <c r="J153" s="271"/>
      <c r="K153" s="277"/>
      <c r="L153" s="271"/>
      <c r="M153" s="270"/>
      <c r="N153" s="265" t="s">
        <v>2900</v>
      </c>
      <c r="O153" s="265"/>
      <c r="Q153" s="157"/>
      <c r="T153" s="269"/>
      <c r="U153" s="269"/>
      <c r="V153" s="269"/>
      <c r="W153" s="269"/>
      <c r="X153" s="269"/>
      <c r="Y153" s="269"/>
      <c r="Z153" s="269"/>
      <c r="AA153" s="269"/>
      <c r="AB153" s="269"/>
      <c r="AC153" s="269"/>
      <c r="AD153" s="269"/>
      <c r="AE153" s="269"/>
    </row>
    <row r="154" spans="1:31">
      <c r="A154" s="274" t="s">
        <v>2899</v>
      </c>
      <c r="B154" s="272" t="s">
        <v>2852</v>
      </c>
      <c r="C154" s="272"/>
      <c r="D154" s="271"/>
      <c r="E154" s="271"/>
      <c r="F154" s="277"/>
      <c r="G154" s="271"/>
      <c r="H154" s="265" t="s">
        <v>2707</v>
      </c>
      <c r="I154" s="271"/>
      <c r="J154" s="271"/>
      <c r="K154" s="277"/>
      <c r="L154" s="271"/>
      <c r="M154" s="270"/>
      <c r="N154" s="265"/>
      <c r="O154" s="265"/>
      <c r="P154" s="117"/>
      <c r="Q154" s="144"/>
      <c r="R154" s="118"/>
      <c r="S154" s="118"/>
      <c r="T154" s="269"/>
      <c r="U154" s="269"/>
      <c r="V154" s="269"/>
      <c r="W154" s="269"/>
      <c r="X154" s="269"/>
      <c r="Y154" s="269"/>
      <c r="Z154" s="269"/>
      <c r="AA154" s="269"/>
      <c r="AB154" s="269"/>
      <c r="AC154" s="269"/>
      <c r="AD154" s="269"/>
      <c r="AE154" s="269"/>
    </row>
    <row r="155" spans="1:31">
      <c r="A155" s="274" t="s">
        <v>2898</v>
      </c>
      <c r="B155" s="272" t="s">
        <v>2852</v>
      </c>
      <c r="C155" s="272"/>
      <c r="D155" s="265"/>
      <c r="E155" s="271"/>
      <c r="F155" s="269"/>
      <c r="G155" s="271"/>
      <c r="H155" s="265" t="s">
        <v>2707</v>
      </c>
      <c r="I155" s="271"/>
      <c r="J155" s="271"/>
      <c r="K155" s="271"/>
      <c r="L155" s="271"/>
      <c r="M155" s="270"/>
      <c r="N155" s="265"/>
      <c r="O155" s="265"/>
      <c r="P155" s="117"/>
      <c r="Q155" s="144"/>
      <c r="R155" s="118"/>
      <c r="S155" s="118"/>
      <c r="T155" s="269"/>
      <c r="U155" s="269"/>
      <c r="V155" s="269"/>
      <c r="W155" s="269"/>
      <c r="X155" s="269"/>
      <c r="Y155" s="269"/>
      <c r="Z155" s="269"/>
      <c r="AA155" s="269"/>
      <c r="AB155" s="269"/>
      <c r="AC155" s="269"/>
      <c r="AD155" s="269"/>
      <c r="AE155" s="269"/>
    </row>
    <row r="156" spans="1:31">
      <c r="A156" s="274" t="s">
        <v>2897</v>
      </c>
      <c r="B156" s="272" t="s">
        <v>2852</v>
      </c>
      <c r="C156" s="272"/>
      <c r="D156" s="265"/>
      <c r="E156" s="271"/>
      <c r="F156" s="269"/>
      <c r="G156" s="271"/>
      <c r="H156" s="265" t="s">
        <v>2707</v>
      </c>
      <c r="I156" s="271"/>
      <c r="J156" s="271"/>
      <c r="K156" s="271"/>
      <c r="L156" s="271"/>
      <c r="M156" s="270"/>
      <c r="N156" s="265"/>
      <c r="O156" s="265"/>
      <c r="P156" s="117"/>
      <c r="Q156" s="144"/>
      <c r="R156" s="118"/>
      <c r="S156" s="118"/>
      <c r="T156" s="269"/>
      <c r="U156" s="269"/>
      <c r="V156" s="269"/>
      <c r="W156" s="269"/>
      <c r="X156" s="269"/>
      <c r="Y156" s="269"/>
      <c r="Z156" s="269"/>
      <c r="AA156" s="269"/>
      <c r="AB156" s="269"/>
      <c r="AC156" s="269"/>
      <c r="AD156" s="269"/>
      <c r="AE156" s="269"/>
    </row>
    <row r="157" spans="1:31">
      <c r="A157" s="274" t="s">
        <v>2896</v>
      </c>
      <c r="B157" s="283" t="s">
        <v>2852</v>
      </c>
      <c r="C157" s="272"/>
      <c r="D157" s="271"/>
      <c r="E157" s="271"/>
      <c r="F157" s="265"/>
      <c r="G157" s="271"/>
      <c r="H157" s="265"/>
      <c r="I157" s="271"/>
      <c r="J157" s="271"/>
      <c r="K157" s="271"/>
      <c r="L157" s="271"/>
      <c r="M157" s="270"/>
      <c r="N157" s="265"/>
      <c r="O157" s="265"/>
      <c r="P157" s="117"/>
      <c r="Q157" s="144"/>
      <c r="R157" s="118"/>
      <c r="S157" s="118"/>
      <c r="T157" s="269"/>
      <c r="U157" s="269"/>
      <c r="V157" s="269"/>
      <c r="W157" s="269"/>
      <c r="X157" s="269"/>
      <c r="Y157" s="269"/>
      <c r="Z157" s="269"/>
      <c r="AA157" s="269"/>
      <c r="AB157" s="269"/>
      <c r="AC157" s="269"/>
      <c r="AD157" s="269"/>
      <c r="AE157" s="269"/>
    </row>
    <row r="158" spans="1:31">
      <c r="A158" s="274" t="s">
        <v>2895</v>
      </c>
      <c r="B158" s="272" t="s">
        <v>2852</v>
      </c>
      <c r="C158" s="272"/>
      <c r="D158" s="271"/>
      <c r="E158" s="271"/>
      <c r="F158" s="269"/>
      <c r="G158" s="271"/>
      <c r="H158" s="265" t="s">
        <v>2707</v>
      </c>
      <c r="I158" s="271"/>
      <c r="J158" s="271"/>
      <c r="K158" s="271"/>
      <c r="L158" s="271"/>
      <c r="M158" s="270"/>
      <c r="N158" s="265"/>
      <c r="O158" s="265"/>
      <c r="P158" s="13"/>
      <c r="Q158" s="33"/>
      <c r="R158" s="13"/>
      <c r="S158" s="13"/>
      <c r="T158" s="269"/>
      <c r="U158" s="269"/>
      <c r="V158" s="269"/>
      <c r="W158" s="269"/>
      <c r="X158" s="269"/>
      <c r="Y158" s="269"/>
      <c r="Z158" s="269"/>
      <c r="AA158" s="269"/>
      <c r="AB158" s="269"/>
      <c r="AC158" s="269"/>
      <c r="AD158" s="269"/>
      <c r="AE158" s="269"/>
    </row>
    <row r="159" spans="1:31">
      <c r="A159" s="274" t="s">
        <v>2894</v>
      </c>
      <c r="B159" s="272" t="s">
        <v>2852</v>
      </c>
      <c r="C159" s="272"/>
      <c r="D159" s="265"/>
      <c r="E159" s="271"/>
      <c r="F159" s="269"/>
      <c r="G159" s="271"/>
      <c r="H159" s="265" t="s">
        <v>2707</v>
      </c>
      <c r="I159" s="271"/>
      <c r="J159" s="271"/>
      <c r="K159" s="271"/>
      <c r="L159" s="271"/>
      <c r="M159" s="270"/>
      <c r="N159" s="265"/>
      <c r="O159" s="265"/>
      <c r="P159" s="117"/>
      <c r="Q159" s="144"/>
      <c r="R159" s="118"/>
      <c r="S159" s="118"/>
      <c r="T159" s="269"/>
      <c r="U159" s="269"/>
      <c r="V159" s="269"/>
      <c r="W159" s="269"/>
      <c r="X159" s="269"/>
      <c r="Y159" s="269"/>
      <c r="Z159" s="269"/>
      <c r="AA159" s="269"/>
      <c r="AB159" s="269"/>
      <c r="AC159" s="269"/>
      <c r="AD159" s="269"/>
      <c r="AE159" s="269"/>
    </row>
    <row r="160" spans="1:31">
      <c r="A160" s="274" t="s">
        <v>2893</v>
      </c>
      <c r="B160" s="272" t="s">
        <v>2852</v>
      </c>
      <c r="C160" s="272"/>
      <c r="D160" s="265"/>
      <c r="E160" s="271"/>
      <c r="F160" s="269"/>
      <c r="G160" s="271"/>
      <c r="H160" s="265" t="s">
        <v>2707</v>
      </c>
      <c r="I160" s="271"/>
      <c r="J160" s="271"/>
      <c r="K160" s="271"/>
      <c r="L160" s="271"/>
      <c r="M160" s="270"/>
      <c r="N160" s="265"/>
      <c r="O160" s="265"/>
      <c r="P160" s="117"/>
      <c r="Q160" s="144"/>
      <c r="R160" s="118"/>
      <c r="S160" s="118"/>
      <c r="T160" s="269"/>
      <c r="U160" s="269"/>
      <c r="V160" s="269"/>
      <c r="W160" s="269"/>
      <c r="X160" s="269"/>
      <c r="Y160" s="269"/>
      <c r="Z160" s="269"/>
      <c r="AA160" s="269"/>
      <c r="AB160" s="269"/>
      <c r="AC160" s="269"/>
      <c r="AD160" s="269"/>
      <c r="AE160" s="269"/>
    </row>
    <row r="161" spans="1:31">
      <c r="A161" s="274" t="s">
        <v>2892</v>
      </c>
      <c r="B161" s="272" t="s">
        <v>2852</v>
      </c>
      <c r="C161" s="272"/>
      <c r="D161" s="265"/>
      <c r="E161" s="271"/>
      <c r="F161" s="269"/>
      <c r="G161" s="271"/>
      <c r="H161" s="265" t="s">
        <v>2707</v>
      </c>
      <c r="I161" s="271"/>
      <c r="J161" s="271"/>
      <c r="K161" s="271"/>
      <c r="L161" s="271"/>
      <c r="M161" s="270"/>
      <c r="N161" s="265"/>
      <c r="O161" s="265"/>
      <c r="P161" s="117"/>
      <c r="Q161" s="144"/>
      <c r="R161" s="118"/>
      <c r="S161" s="118"/>
      <c r="T161" s="269"/>
      <c r="U161" s="269"/>
      <c r="V161" s="269"/>
      <c r="W161" s="269"/>
      <c r="X161" s="269"/>
      <c r="Y161" s="269"/>
      <c r="Z161" s="269"/>
      <c r="AA161" s="269"/>
      <c r="AB161" s="269"/>
      <c r="AC161" s="269"/>
      <c r="AD161" s="269"/>
      <c r="AE161" s="269"/>
    </row>
    <row r="162" spans="1:31">
      <c r="A162" s="274" t="s">
        <v>2891</v>
      </c>
      <c r="B162" s="272" t="s">
        <v>2852</v>
      </c>
      <c r="C162" s="272"/>
      <c r="D162" s="271"/>
      <c r="E162" s="271"/>
      <c r="F162" s="269"/>
      <c r="G162" s="271"/>
      <c r="H162" s="265" t="s">
        <v>2707</v>
      </c>
      <c r="I162" s="271"/>
      <c r="J162" s="271"/>
      <c r="K162" s="271"/>
      <c r="L162" s="271"/>
      <c r="M162" s="270"/>
      <c r="N162" s="265"/>
      <c r="O162" s="265"/>
      <c r="P162" s="117"/>
      <c r="Q162" s="145"/>
      <c r="R162" s="162"/>
      <c r="S162" s="118"/>
      <c r="T162" s="269"/>
      <c r="U162" s="269"/>
      <c r="V162" s="269"/>
      <c r="W162" s="269"/>
      <c r="X162" s="269"/>
      <c r="Y162" s="269"/>
      <c r="Z162" s="269"/>
      <c r="AA162" s="269"/>
      <c r="AB162" s="269"/>
      <c r="AC162" s="269"/>
      <c r="AD162" s="269"/>
      <c r="AE162" s="269"/>
    </row>
    <row r="163" spans="1:31">
      <c r="A163" s="274" t="s">
        <v>2890</v>
      </c>
      <c r="B163" s="272" t="s">
        <v>2852</v>
      </c>
      <c r="C163" s="272"/>
      <c r="D163" s="265"/>
      <c r="E163" s="271"/>
      <c r="F163" s="265"/>
      <c r="G163" s="271"/>
      <c r="H163" s="265" t="s">
        <v>2872</v>
      </c>
      <c r="I163" s="271"/>
      <c r="J163" s="271"/>
      <c r="K163" s="271"/>
      <c r="L163" s="271"/>
      <c r="M163" s="270"/>
      <c r="N163" s="265"/>
      <c r="O163" s="265"/>
      <c r="P163" s="117"/>
      <c r="Q163" s="145"/>
      <c r="R163" s="118"/>
      <c r="S163" s="118"/>
      <c r="T163" s="269"/>
      <c r="U163" s="269"/>
      <c r="V163" s="269"/>
      <c r="W163" s="269"/>
      <c r="X163" s="269"/>
      <c r="Y163" s="269"/>
      <c r="Z163" s="269"/>
      <c r="AA163" s="269"/>
      <c r="AB163" s="269"/>
      <c r="AC163" s="269"/>
      <c r="AD163" s="269"/>
      <c r="AE163" s="269"/>
    </row>
    <row r="164" spans="1:31">
      <c r="A164" s="274" t="s">
        <v>2889</v>
      </c>
      <c r="B164" s="272" t="s">
        <v>2852</v>
      </c>
      <c r="C164" s="272"/>
      <c r="D164" s="271"/>
      <c r="E164" s="271"/>
      <c r="F164" s="269"/>
      <c r="G164" s="271"/>
      <c r="H164" s="265" t="s">
        <v>2707</v>
      </c>
      <c r="I164" s="271"/>
      <c r="J164" s="271"/>
      <c r="K164" s="271"/>
      <c r="L164" s="271"/>
      <c r="M164" s="270"/>
      <c r="N164" s="265"/>
      <c r="O164" s="265"/>
      <c r="P164" s="117"/>
      <c r="Q164" s="145"/>
      <c r="R164" s="118"/>
      <c r="S164" s="118"/>
      <c r="T164" s="269"/>
      <c r="U164" s="269"/>
      <c r="V164" s="269"/>
      <c r="W164" s="269"/>
      <c r="X164" s="269"/>
      <c r="Y164" s="269"/>
      <c r="Z164" s="269"/>
      <c r="AA164" s="269"/>
      <c r="AB164" s="269"/>
      <c r="AC164" s="269"/>
      <c r="AD164" s="269"/>
      <c r="AE164" s="269"/>
    </row>
    <row r="165" spans="1:31">
      <c r="A165" s="274" t="s">
        <v>2888</v>
      </c>
      <c r="B165" s="272" t="s">
        <v>2852</v>
      </c>
      <c r="C165" s="272"/>
      <c r="D165" s="265"/>
      <c r="E165" s="271"/>
      <c r="F165" s="265"/>
      <c r="G165" s="271"/>
      <c r="H165" s="265" t="s">
        <v>2872</v>
      </c>
      <c r="I165" s="271"/>
      <c r="J165" s="271"/>
      <c r="K165" s="271"/>
      <c r="L165" s="271"/>
      <c r="M165" s="270"/>
      <c r="N165" s="265"/>
      <c r="O165" s="265"/>
      <c r="P165" s="117"/>
      <c r="Q165" s="144"/>
      <c r="R165" s="118"/>
      <c r="S165" s="118"/>
      <c r="T165" s="269"/>
      <c r="U165" s="269"/>
      <c r="V165" s="269"/>
      <c r="W165" s="269"/>
      <c r="X165" s="269"/>
      <c r="Y165" s="269"/>
      <c r="Z165" s="269"/>
      <c r="AA165" s="269"/>
      <c r="AB165" s="269"/>
      <c r="AC165" s="269"/>
      <c r="AD165" s="269"/>
      <c r="AE165" s="269"/>
    </row>
    <row r="166" spans="1:31">
      <c r="A166" s="274" t="s">
        <v>2887</v>
      </c>
      <c r="B166" s="272" t="s">
        <v>2852</v>
      </c>
      <c r="C166" s="272"/>
      <c r="D166" s="265"/>
      <c r="E166" s="271"/>
      <c r="F166" s="269"/>
      <c r="G166" s="271"/>
      <c r="H166" s="265" t="s">
        <v>2707</v>
      </c>
      <c r="I166" s="271"/>
      <c r="J166" s="271"/>
      <c r="K166" s="271"/>
      <c r="L166" s="271"/>
      <c r="M166" s="270"/>
      <c r="N166" s="265"/>
      <c r="O166" s="265"/>
      <c r="P166" s="117"/>
      <c r="Q166" s="144"/>
      <c r="R166" s="118"/>
      <c r="S166" s="118"/>
      <c r="T166" s="269"/>
      <c r="U166" s="269"/>
      <c r="V166" s="269"/>
      <c r="W166" s="269"/>
      <c r="X166" s="269"/>
      <c r="Y166" s="269"/>
      <c r="Z166" s="269"/>
      <c r="AA166" s="269"/>
      <c r="AB166" s="269"/>
      <c r="AC166" s="269"/>
      <c r="AD166" s="269"/>
      <c r="AE166" s="269"/>
    </row>
    <row r="167" spans="1:31">
      <c r="A167" s="274" t="s">
        <v>2886</v>
      </c>
      <c r="B167" s="272" t="s">
        <v>2852</v>
      </c>
      <c r="C167" s="272"/>
      <c r="D167" s="265"/>
      <c r="E167" s="271"/>
      <c r="F167" s="269"/>
      <c r="G167" s="271"/>
      <c r="H167" s="265" t="s">
        <v>2707</v>
      </c>
      <c r="I167" s="271"/>
      <c r="J167" s="271"/>
      <c r="K167" s="271"/>
      <c r="L167" s="271"/>
      <c r="M167" s="270"/>
      <c r="N167" s="265"/>
      <c r="O167" s="265"/>
      <c r="P167" s="117"/>
      <c r="Q167" s="144"/>
      <c r="R167" s="118"/>
      <c r="S167" s="118"/>
      <c r="T167" s="269"/>
      <c r="U167" s="269"/>
      <c r="V167" s="269"/>
      <c r="W167" s="269"/>
      <c r="X167" s="269"/>
      <c r="Y167" s="269"/>
      <c r="Z167" s="269"/>
      <c r="AA167" s="269"/>
      <c r="AB167" s="269"/>
      <c r="AC167" s="269"/>
      <c r="AD167" s="269"/>
      <c r="AE167" s="269"/>
    </row>
    <row r="168" spans="1:31">
      <c r="A168" s="274" t="s">
        <v>2885</v>
      </c>
      <c r="B168" s="272" t="s">
        <v>2852</v>
      </c>
      <c r="C168" s="272"/>
      <c r="D168" s="265"/>
      <c r="E168" s="271"/>
      <c r="F168" s="269"/>
      <c r="G168" s="271"/>
      <c r="H168" s="265" t="s">
        <v>2707</v>
      </c>
      <c r="I168" s="271"/>
      <c r="J168" s="271"/>
      <c r="K168" s="271"/>
      <c r="L168" s="271"/>
      <c r="M168" s="270"/>
      <c r="N168" s="265"/>
      <c r="O168" s="265"/>
      <c r="P168" s="117"/>
      <c r="Q168" s="144"/>
      <c r="R168" s="118"/>
      <c r="S168" s="118"/>
      <c r="T168" s="269"/>
      <c r="U168" s="269"/>
      <c r="V168" s="269"/>
      <c r="W168" s="269"/>
      <c r="X168" s="269"/>
      <c r="Y168" s="269"/>
      <c r="Z168" s="269"/>
      <c r="AA168" s="269"/>
      <c r="AB168" s="269"/>
      <c r="AC168" s="269"/>
      <c r="AD168" s="269"/>
      <c r="AE168" s="269"/>
    </row>
    <row r="169" spans="1:31">
      <c r="A169" s="274" t="s">
        <v>2884</v>
      </c>
      <c r="B169" s="272" t="s">
        <v>2852</v>
      </c>
      <c r="C169" s="272"/>
      <c r="D169" s="265"/>
      <c r="E169" s="271"/>
      <c r="F169" s="265"/>
      <c r="G169" s="271"/>
      <c r="H169" s="265" t="s">
        <v>2738</v>
      </c>
      <c r="I169" s="271"/>
      <c r="J169" s="271"/>
      <c r="K169" s="271"/>
      <c r="L169" s="271"/>
      <c r="M169" s="270"/>
      <c r="N169" s="265"/>
      <c r="O169" s="265"/>
      <c r="P169" s="117"/>
      <c r="Q169" s="145"/>
      <c r="R169" s="118"/>
      <c r="S169" s="118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</row>
    <row r="170" spans="1:31">
      <c r="A170" s="274" t="s">
        <v>2883</v>
      </c>
      <c r="B170" s="272" t="s">
        <v>2852</v>
      </c>
      <c r="C170" s="272"/>
      <c r="D170" s="271"/>
      <c r="E170" s="271"/>
      <c r="F170" s="269"/>
      <c r="G170" s="271"/>
      <c r="H170" s="265" t="s">
        <v>2707</v>
      </c>
      <c r="I170" s="271"/>
      <c r="J170" s="271"/>
      <c r="K170" s="271"/>
      <c r="L170" s="271"/>
      <c r="M170" s="270"/>
      <c r="N170" s="265"/>
      <c r="O170" s="265"/>
      <c r="P170" s="117"/>
      <c r="Q170" s="144"/>
      <c r="R170" s="118"/>
      <c r="S170" s="118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</row>
    <row r="171" spans="1:31">
      <c r="A171" s="274" t="s">
        <v>2882</v>
      </c>
      <c r="B171" s="272" t="s">
        <v>2852</v>
      </c>
      <c r="C171" s="272"/>
      <c r="D171" s="271"/>
      <c r="E171" s="271"/>
      <c r="F171" s="269"/>
      <c r="G171" s="271"/>
      <c r="H171" s="265" t="s">
        <v>2707</v>
      </c>
      <c r="I171" s="271"/>
      <c r="J171" s="271"/>
      <c r="K171" s="271"/>
      <c r="L171" s="271"/>
      <c r="M171" s="270"/>
      <c r="N171" s="265"/>
      <c r="O171" s="265"/>
      <c r="P171" s="117"/>
      <c r="Q171" s="144"/>
      <c r="R171" s="118"/>
      <c r="S171" s="118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</row>
    <row r="172" spans="1:31">
      <c r="A172" s="274" t="s">
        <v>2881</v>
      </c>
      <c r="B172" s="272" t="s">
        <v>2852</v>
      </c>
      <c r="C172" s="272"/>
      <c r="D172" s="271"/>
      <c r="E172" s="271"/>
      <c r="F172" s="269"/>
      <c r="G172" s="271"/>
      <c r="H172" s="265" t="s">
        <v>2707</v>
      </c>
      <c r="I172" s="271"/>
      <c r="J172" s="271"/>
      <c r="K172" s="271"/>
      <c r="L172" s="271"/>
      <c r="M172" s="270"/>
      <c r="N172" s="265"/>
      <c r="O172" s="265"/>
      <c r="P172" s="117"/>
      <c r="Q172" s="144"/>
      <c r="R172" s="118"/>
      <c r="S172" s="118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</row>
    <row r="173" spans="1:31">
      <c r="A173" s="274" t="s">
        <v>2880</v>
      </c>
      <c r="B173" s="272" t="s">
        <v>2852</v>
      </c>
      <c r="C173" s="272"/>
      <c r="D173" s="271"/>
      <c r="E173" s="271"/>
      <c r="F173" s="269"/>
      <c r="G173" s="271"/>
      <c r="H173" s="265" t="s">
        <v>2707</v>
      </c>
      <c r="I173" s="271"/>
      <c r="J173" s="271"/>
      <c r="K173" s="271"/>
      <c r="L173" s="271"/>
      <c r="M173" s="270"/>
      <c r="N173" s="265"/>
      <c r="O173" s="265"/>
      <c r="P173" s="117"/>
      <c r="Q173" s="144"/>
      <c r="R173" s="118"/>
      <c r="S173" s="118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</row>
    <row r="174" spans="1:31">
      <c r="A174" s="274" t="s">
        <v>2879</v>
      </c>
      <c r="B174" s="272" t="s">
        <v>2852</v>
      </c>
      <c r="C174" s="272"/>
      <c r="D174" s="265"/>
      <c r="E174" s="271"/>
      <c r="F174" s="265"/>
      <c r="G174" s="271"/>
      <c r="H174" s="265" t="s">
        <v>2872</v>
      </c>
      <c r="I174" s="271"/>
      <c r="J174" s="271"/>
      <c r="K174" s="271"/>
      <c r="L174" s="271"/>
      <c r="M174" s="270"/>
      <c r="N174" s="265"/>
      <c r="O174" s="265"/>
      <c r="P174" s="117"/>
      <c r="Q174" s="144"/>
      <c r="R174" s="118"/>
      <c r="S174" s="118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</row>
    <row r="175" spans="1:31">
      <c r="A175" s="274" t="s">
        <v>2878</v>
      </c>
      <c r="B175" s="272" t="s">
        <v>2852</v>
      </c>
      <c r="C175" s="272"/>
      <c r="D175" s="265"/>
      <c r="E175" s="271"/>
      <c r="F175" s="269"/>
      <c r="G175" s="271"/>
      <c r="H175" s="265" t="s">
        <v>2707</v>
      </c>
      <c r="I175" s="271"/>
      <c r="J175" s="271"/>
      <c r="K175" s="271"/>
      <c r="L175" s="271"/>
      <c r="M175" s="270"/>
      <c r="N175" s="265"/>
      <c r="O175" s="265"/>
      <c r="P175" s="117"/>
      <c r="Q175" s="145"/>
      <c r="R175" s="118"/>
      <c r="S175" s="118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</row>
    <row r="176" spans="1:31">
      <c r="A176" s="274" t="s">
        <v>2877</v>
      </c>
      <c r="B176" s="272" t="s">
        <v>2852</v>
      </c>
      <c r="C176" s="272"/>
      <c r="D176" s="265"/>
      <c r="E176" s="271"/>
      <c r="F176" s="269"/>
      <c r="G176" s="271"/>
      <c r="H176" s="265" t="s">
        <v>2707</v>
      </c>
      <c r="I176" s="271"/>
      <c r="J176" s="271"/>
      <c r="K176" s="271"/>
      <c r="L176" s="271"/>
      <c r="M176" s="270"/>
      <c r="N176" s="265"/>
      <c r="O176" s="265"/>
      <c r="P176" s="117"/>
      <c r="Q176" s="144"/>
      <c r="R176" s="118"/>
      <c r="S176" s="118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</row>
    <row r="177" spans="1:31">
      <c r="A177" s="274" t="s">
        <v>2876</v>
      </c>
      <c r="B177" s="272" t="s">
        <v>2852</v>
      </c>
      <c r="C177" s="272"/>
      <c r="D177" s="265"/>
      <c r="E177" s="271"/>
      <c r="F177" s="269"/>
      <c r="G177" s="271"/>
      <c r="H177" s="265" t="s">
        <v>2707</v>
      </c>
      <c r="I177" s="271"/>
      <c r="J177" s="271"/>
      <c r="K177" s="271"/>
      <c r="L177" s="271"/>
      <c r="M177" s="270"/>
      <c r="N177" s="265"/>
      <c r="O177" s="265"/>
      <c r="P177" s="117"/>
      <c r="Q177" s="144"/>
      <c r="R177" s="118"/>
      <c r="S177" s="118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</row>
    <row r="178" spans="1:31">
      <c r="A178" s="274" t="s">
        <v>2875</v>
      </c>
      <c r="B178" s="272" t="s">
        <v>2852</v>
      </c>
      <c r="C178" s="272"/>
      <c r="D178" s="271"/>
      <c r="E178" s="271"/>
      <c r="F178" s="269"/>
      <c r="G178" s="271"/>
      <c r="H178" s="265" t="s">
        <v>2707</v>
      </c>
      <c r="I178" s="271"/>
      <c r="J178" s="271"/>
      <c r="K178" s="271"/>
      <c r="L178" s="271"/>
      <c r="M178" s="270"/>
      <c r="N178" s="265"/>
      <c r="O178" s="265"/>
      <c r="P178" s="117"/>
      <c r="Q178" s="144"/>
      <c r="R178" s="118"/>
      <c r="S178" s="118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</row>
    <row r="179" spans="1:31">
      <c r="A179" s="274" t="s">
        <v>2874</v>
      </c>
      <c r="B179" s="272" t="s">
        <v>2852</v>
      </c>
      <c r="C179" s="272"/>
      <c r="D179" s="265"/>
      <c r="E179" s="271"/>
      <c r="F179" s="265"/>
      <c r="G179" s="271"/>
      <c r="H179" s="265" t="s">
        <v>2872</v>
      </c>
      <c r="I179" s="271"/>
      <c r="J179" s="271"/>
      <c r="K179" s="271"/>
      <c r="L179" s="271"/>
      <c r="M179" s="270"/>
      <c r="N179" s="265"/>
      <c r="O179" s="265"/>
      <c r="P179" s="117"/>
      <c r="Q179" s="144"/>
      <c r="R179" s="118"/>
      <c r="S179" s="118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</row>
    <row r="180" spans="1:31">
      <c r="A180" s="274" t="s">
        <v>2873</v>
      </c>
      <c r="B180" s="272" t="s">
        <v>2852</v>
      </c>
      <c r="C180" s="272"/>
      <c r="D180" s="265"/>
      <c r="E180" s="271"/>
      <c r="F180" s="265"/>
      <c r="G180" s="271"/>
      <c r="H180" s="265" t="s">
        <v>2872</v>
      </c>
      <c r="I180" s="271"/>
      <c r="J180" s="271"/>
      <c r="K180" s="271"/>
      <c r="L180" s="271"/>
      <c r="M180" s="270"/>
      <c r="N180" s="265"/>
      <c r="O180" s="265"/>
      <c r="P180" s="117"/>
      <c r="Q180" s="144"/>
      <c r="R180" s="118"/>
      <c r="S180" s="118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</row>
    <row r="181" spans="1:31" ht="28.5">
      <c r="A181" s="274" t="s">
        <v>2871</v>
      </c>
      <c r="B181" s="272" t="s">
        <v>2852</v>
      </c>
      <c r="C181" s="272"/>
      <c r="D181" s="265"/>
      <c r="E181" s="271"/>
      <c r="F181" s="269"/>
      <c r="G181" s="271"/>
      <c r="H181" s="265" t="s">
        <v>2707</v>
      </c>
      <c r="I181" s="271"/>
      <c r="J181" s="271"/>
      <c r="K181" s="271"/>
      <c r="L181" s="271"/>
      <c r="M181" s="270"/>
      <c r="N181" s="265"/>
      <c r="O181" s="265"/>
      <c r="P181" s="117"/>
      <c r="Q181" s="144"/>
      <c r="R181" s="118"/>
      <c r="S181" s="118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</row>
    <row r="182" spans="1:31">
      <c r="A182" s="274" t="s">
        <v>2870</v>
      </c>
      <c r="B182" s="272" t="s">
        <v>2852</v>
      </c>
      <c r="C182" s="272"/>
      <c r="D182" s="265"/>
      <c r="E182" s="271"/>
      <c r="F182" s="269"/>
      <c r="G182" s="271"/>
      <c r="H182" s="265" t="s">
        <v>2707</v>
      </c>
      <c r="I182" s="271"/>
      <c r="J182" s="271"/>
      <c r="K182" s="271"/>
      <c r="L182" s="271"/>
      <c r="M182" s="270"/>
      <c r="N182" s="265"/>
      <c r="O182" s="265"/>
      <c r="P182" s="117"/>
      <c r="Q182" s="145"/>
      <c r="R182" s="118"/>
      <c r="S182" s="118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</row>
    <row r="183" spans="1:31">
      <c r="A183" s="274" t="s">
        <v>2869</v>
      </c>
      <c r="B183" s="272" t="s">
        <v>2852</v>
      </c>
      <c r="C183" s="272"/>
      <c r="D183" s="271"/>
      <c r="E183" s="271"/>
      <c r="F183" s="265"/>
      <c r="G183" s="271"/>
      <c r="H183" s="265" t="s">
        <v>2738</v>
      </c>
      <c r="I183" s="271"/>
      <c r="J183" s="271"/>
      <c r="K183" s="271"/>
      <c r="L183" s="271"/>
      <c r="M183" s="270"/>
      <c r="N183" s="265"/>
      <c r="O183" s="265"/>
      <c r="P183" s="117"/>
      <c r="Q183" s="145"/>
      <c r="R183" s="118"/>
      <c r="S183" s="118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</row>
    <row r="184" spans="1:31">
      <c r="A184" s="274" t="s">
        <v>2868</v>
      </c>
      <c r="B184" s="272" t="s">
        <v>2852</v>
      </c>
      <c r="C184" s="272"/>
      <c r="D184" s="265"/>
      <c r="E184" s="271"/>
      <c r="F184" s="265"/>
      <c r="G184" s="271"/>
      <c r="H184" s="265" t="s">
        <v>2738</v>
      </c>
      <c r="I184" s="271"/>
      <c r="J184" s="271"/>
      <c r="K184" s="271"/>
      <c r="L184" s="271"/>
      <c r="M184" s="270"/>
      <c r="N184" s="265"/>
      <c r="O184" s="265"/>
      <c r="P184" s="13"/>
      <c r="Q184" s="146"/>
      <c r="R184" s="221"/>
      <c r="S184" s="13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</row>
    <row r="185" spans="1:31">
      <c r="A185" s="274" t="s">
        <v>2867</v>
      </c>
      <c r="B185" s="272" t="s">
        <v>2852</v>
      </c>
      <c r="C185" s="272"/>
      <c r="D185" s="271"/>
      <c r="E185" s="271"/>
      <c r="F185" s="265"/>
      <c r="G185" s="271"/>
      <c r="H185" s="265" t="s">
        <v>2738</v>
      </c>
      <c r="I185" s="271"/>
      <c r="J185" s="271"/>
      <c r="K185" s="271"/>
      <c r="L185" s="271"/>
      <c r="M185" s="270"/>
      <c r="N185" s="265"/>
      <c r="O185" s="265"/>
      <c r="P185" s="117"/>
      <c r="Q185" s="144"/>
      <c r="R185" s="118"/>
      <c r="S185" s="118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</row>
    <row r="186" spans="1:31">
      <c r="A186" s="274" t="s">
        <v>2866</v>
      </c>
      <c r="B186" s="272" t="s">
        <v>2852</v>
      </c>
      <c r="C186" s="272"/>
      <c r="D186" s="265"/>
      <c r="E186" s="271"/>
      <c r="F186" s="265"/>
      <c r="G186" s="271"/>
      <c r="H186" s="265" t="s">
        <v>2738</v>
      </c>
      <c r="I186" s="271"/>
      <c r="J186" s="271"/>
      <c r="K186" s="271"/>
      <c r="L186" s="271"/>
      <c r="M186" s="270"/>
      <c r="N186" s="265"/>
      <c r="O186" s="265"/>
      <c r="P186" s="117"/>
      <c r="Q186" s="145"/>
      <c r="R186" s="118"/>
      <c r="S186" s="118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</row>
    <row r="187" spans="1:31">
      <c r="A187" s="274" t="s">
        <v>2865</v>
      </c>
      <c r="B187" s="272" t="s">
        <v>2852</v>
      </c>
      <c r="C187" s="272"/>
      <c r="D187" s="265"/>
      <c r="E187" s="271"/>
      <c r="F187" s="265"/>
      <c r="G187" s="271"/>
      <c r="H187" s="265" t="s">
        <v>2738</v>
      </c>
      <c r="I187" s="271"/>
      <c r="J187" s="271"/>
      <c r="K187" s="271"/>
      <c r="L187" s="271"/>
      <c r="M187" s="270"/>
      <c r="N187" s="265"/>
      <c r="O187" s="265"/>
      <c r="P187" s="117"/>
      <c r="Q187" s="145"/>
      <c r="R187" s="118"/>
      <c r="S187" s="118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</row>
    <row r="188" spans="1:31">
      <c r="A188" s="274" t="s">
        <v>2864</v>
      </c>
      <c r="B188" s="272" t="s">
        <v>2852</v>
      </c>
      <c r="C188" s="272"/>
      <c r="D188" s="271"/>
      <c r="E188" s="271"/>
      <c r="F188" s="265"/>
      <c r="G188" s="271"/>
      <c r="H188" s="265" t="s">
        <v>2738</v>
      </c>
      <c r="I188" s="271"/>
      <c r="J188" s="271"/>
      <c r="K188" s="271"/>
      <c r="L188" s="271"/>
      <c r="M188" s="270"/>
      <c r="N188" s="265"/>
      <c r="O188" s="265"/>
      <c r="P188" s="117"/>
      <c r="Q188" s="144"/>
      <c r="R188" s="118"/>
      <c r="S188" s="118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</row>
    <row r="189" spans="1:31">
      <c r="A189" s="274" t="s">
        <v>2863</v>
      </c>
      <c r="B189" s="272" t="s">
        <v>2852</v>
      </c>
      <c r="C189" s="272"/>
      <c r="D189" s="265"/>
      <c r="E189" s="271"/>
      <c r="F189" s="265"/>
      <c r="G189" s="271"/>
      <c r="H189" s="265" t="s">
        <v>2707</v>
      </c>
      <c r="I189" s="271"/>
      <c r="J189" s="271"/>
      <c r="K189" s="271"/>
      <c r="L189" s="271"/>
      <c r="M189" s="270"/>
      <c r="N189" s="265"/>
      <c r="O189" s="265"/>
      <c r="P189" s="117"/>
      <c r="Q189" s="144"/>
      <c r="R189" s="118"/>
      <c r="S189" s="118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</row>
    <row r="190" spans="1:31">
      <c r="A190" s="274" t="s">
        <v>2862</v>
      </c>
      <c r="B190" s="272" t="s">
        <v>2852</v>
      </c>
      <c r="C190" s="272"/>
      <c r="D190" s="265"/>
      <c r="E190" s="271"/>
      <c r="F190" s="269"/>
      <c r="G190" s="271"/>
      <c r="H190" s="265" t="s">
        <v>2707</v>
      </c>
      <c r="I190" s="271"/>
      <c r="J190" s="271"/>
      <c r="K190" s="271"/>
      <c r="L190" s="271"/>
      <c r="M190" s="270"/>
      <c r="N190" s="265"/>
      <c r="O190" s="265"/>
      <c r="P190" s="117"/>
      <c r="Q190" s="144"/>
      <c r="R190" s="118"/>
      <c r="S190" s="118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</row>
    <row r="191" spans="1:31">
      <c r="A191" s="274" t="s">
        <v>2861</v>
      </c>
      <c r="B191" s="272" t="s">
        <v>2852</v>
      </c>
      <c r="C191" s="272"/>
      <c r="D191" s="265"/>
      <c r="E191" s="271"/>
      <c r="F191" s="269"/>
      <c r="G191" s="271"/>
      <c r="H191" s="265" t="s">
        <v>2707</v>
      </c>
      <c r="I191" s="271"/>
      <c r="J191" s="271"/>
      <c r="K191" s="271"/>
      <c r="L191" s="271"/>
      <c r="M191" s="270"/>
      <c r="N191" s="265"/>
      <c r="O191" s="265"/>
      <c r="P191" s="117"/>
      <c r="Q191" s="144"/>
      <c r="R191" s="118"/>
      <c r="S191" s="118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</row>
    <row r="192" spans="1:31">
      <c r="A192" s="274" t="s">
        <v>2860</v>
      </c>
      <c r="B192" s="272" t="s">
        <v>2852</v>
      </c>
      <c r="C192" s="272"/>
      <c r="D192" s="271"/>
      <c r="E192" s="271"/>
      <c r="F192" s="269"/>
      <c r="G192" s="271"/>
      <c r="H192" s="265" t="s">
        <v>2707</v>
      </c>
      <c r="I192" s="271"/>
      <c r="J192" s="271"/>
      <c r="K192" s="271"/>
      <c r="L192" s="271"/>
      <c r="M192" s="270"/>
      <c r="N192" s="265"/>
      <c r="O192" s="265"/>
      <c r="P192" s="13"/>
      <c r="Q192" s="33"/>
      <c r="R192" s="13"/>
      <c r="S192" s="13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</row>
    <row r="193" spans="1:31">
      <c r="A193" s="274" t="s">
        <v>2859</v>
      </c>
      <c r="B193" s="272" t="s">
        <v>2852</v>
      </c>
      <c r="C193" s="272"/>
      <c r="D193" s="265"/>
      <c r="E193" s="271"/>
      <c r="F193" s="269"/>
      <c r="G193" s="271"/>
      <c r="H193" s="265" t="s">
        <v>2707</v>
      </c>
      <c r="I193" s="271"/>
      <c r="J193" s="271"/>
      <c r="K193" s="271"/>
      <c r="L193" s="271"/>
      <c r="M193" s="270"/>
      <c r="N193" s="265"/>
      <c r="O193" s="265"/>
      <c r="P193" s="117"/>
      <c r="Q193" s="145"/>
      <c r="R193" s="118"/>
      <c r="S193" s="118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</row>
    <row r="194" spans="1:31">
      <c r="A194" s="274" t="s">
        <v>2858</v>
      </c>
      <c r="B194" s="272" t="s">
        <v>2852</v>
      </c>
      <c r="C194" s="272"/>
      <c r="D194" s="265"/>
      <c r="E194" s="271"/>
      <c r="F194" s="269"/>
      <c r="G194" s="271"/>
      <c r="H194" s="265" t="s">
        <v>2707</v>
      </c>
      <c r="I194" s="271"/>
      <c r="J194" s="271"/>
      <c r="K194" s="271"/>
      <c r="L194" s="271"/>
      <c r="M194" s="270"/>
      <c r="N194" s="265"/>
      <c r="O194" s="265"/>
      <c r="P194" s="117"/>
      <c r="Q194" s="144"/>
      <c r="R194" s="118"/>
      <c r="S194" s="118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</row>
    <row r="195" spans="1:31">
      <c r="A195" s="274" t="s">
        <v>2857</v>
      </c>
      <c r="B195" s="272"/>
      <c r="C195" s="272"/>
      <c r="D195" s="271"/>
      <c r="E195" s="271"/>
      <c r="F195" s="282"/>
      <c r="G195" s="271"/>
      <c r="H195" s="265" t="s">
        <v>2707</v>
      </c>
      <c r="I195" s="271"/>
      <c r="J195" s="271"/>
      <c r="K195" s="271"/>
      <c r="L195" s="271"/>
      <c r="M195" s="270"/>
      <c r="N195" s="265"/>
      <c r="O195" s="265"/>
      <c r="P195" s="117"/>
      <c r="Q195" s="145"/>
      <c r="R195" s="118"/>
      <c r="S195" s="118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</row>
    <row r="196" spans="1:31">
      <c r="A196" s="274" t="s">
        <v>2856</v>
      </c>
      <c r="B196" s="272" t="s">
        <v>2852</v>
      </c>
      <c r="C196" s="272"/>
      <c r="D196" s="271"/>
      <c r="E196" s="271"/>
      <c r="F196" s="269"/>
      <c r="G196" s="271"/>
      <c r="H196" s="265" t="s">
        <v>2707</v>
      </c>
      <c r="I196" s="271"/>
      <c r="J196" s="271"/>
      <c r="K196" s="271"/>
      <c r="L196" s="271"/>
      <c r="M196" s="270"/>
      <c r="N196" s="265"/>
      <c r="O196" s="265"/>
      <c r="P196" s="117"/>
      <c r="Q196" s="145"/>
      <c r="R196" s="118"/>
      <c r="S196" s="118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</row>
    <row r="197" spans="1:31">
      <c r="A197" s="274" t="s">
        <v>2855</v>
      </c>
      <c r="B197" s="272" t="s">
        <v>2852</v>
      </c>
      <c r="C197" s="272"/>
      <c r="D197" s="271"/>
      <c r="E197" s="271"/>
      <c r="F197" s="269"/>
      <c r="G197" s="271"/>
      <c r="H197" s="265" t="s">
        <v>2707</v>
      </c>
      <c r="I197" s="271"/>
      <c r="J197" s="271"/>
      <c r="K197" s="271"/>
      <c r="L197" s="271"/>
      <c r="M197" s="270"/>
      <c r="N197" s="265"/>
      <c r="O197" s="265"/>
      <c r="P197" s="117"/>
      <c r="Q197" s="144"/>
      <c r="R197" s="118"/>
      <c r="S197" s="118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</row>
    <row r="198" spans="1:31">
      <c r="A198" s="274" t="s">
        <v>2854</v>
      </c>
      <c r="B198" s="272" t="s">
        <v>2852</v>
      </c>
      <c r="C198" s="272"/>
      <c r="D198" s="265"/>
      <c r="E198" s="271"/>
      <c r="F198" s="265"/>
      <c r="G198" s="271"/>
      <c r="H198" s="265" t="s">
        <v>2738</v>
      </c>
      <c r="I198" s="271"/>
      <c r="J198" s="271"/>
      <c r="K198" s="271"/>
      <c r="L198" s="271"/>
      <c r="M198" s="270"/>
      <c r="N198" s="265"/>
      <c r="O198" s="265"/>
      <c r="P198" s="117"/>
      <c r="Q198" s="144"/>
      <c r="R198" s="118"/>
      <c r="S198" s="118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</row>
    <row r="199" spans="1:31">
      <c r="A199" s="274" t="s">
        <v>2853</v>
      </c>
      <c r="B199" s="272" t="s">
        <v>2852</v>
      </c>
      <c r="C199" s="272"/>
      <c r="D199" s="271"/>
      <c r="E199" s="271"/>
      <c r="F199" s="269"/>
      <c r="G199" s="271"/>
      <c r="H199" s="265" t="s">
        <v>2707</v>
      </c>
      <c r="I199" s="271"/>
      <c r="J199" s="271"/>
      <c r="K199" s="271"/>
      <c r="L199" s="271"/>
      <c r="M199" s="270"/>
      <c r="N199" s="265"/>
      <c r="O199" s="265"/>
      <c r="P199" s="117"/>
      <c r="Q199" s="144"/>
      <c r="R199" s="118"/>
      <c r="S199" s="118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</row>
    <row r="200" spans="1:31">
      <c r="A200" s="274"/>
      <c r="B200" s="272"/>
      <c r="C200" s="272"/>
      <c r="D200" s="265"/>
      <c r="E200" s="271"/>
      <c r="F200" s="271"/>
      <c r="G200" s="271"/>
      <c r="H200" s="265"/>
      <c r="I200" s="271"/>
      <c r="J200" s="271"/>
      <c r="K200" s="271"/>
      <c r="L200" s="271"/>
      <c r="M200" s="270"/>
      <c r="N200" s="271"/>
      <c r="O200" s="271"/>
      <c r="P200" s="117"/>
      <c r="Q200" s="144"/>
      <c r="R200" s="118"/>
      <c r="S200" s="118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</row>
    <row r="201" spans="1:31">
      <c r="A201" s="274" t="s">
        <v>2851</v>
      </c>
      <c r="B201" s="272" t="s">
        <v>2850</v>
      </c>
      <c r="C201" s="272"/>
      <c r="D201" s="265"/>
      <c r="E201" s="271"/>
      <c r="F201" s="271"/>
      <c r="G201" s="271"/>
      <c r="H201" s="265" t="s">
        <v>2707</v>
      </c>
      <c r="I201" s="271"/>
      <c r="J201" s="271"/>
      <c r="K201" s="271"/>
      <c r="L201" s="271"/>
      <c r="M201" s="270"/>
      <c r="N201" s="271"/>
      <c r="O201" s="271"/>
      <c r="P201" s="117"/>
      <c r="Q201" s="144"/>
      <c r="R201" s="118"/>
      <c r="S201" s="118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</row>
    <row r="202" spans="1:31" ht="42.75">
      <c r="A202" s="274" t="s">
        <v>2849</v>
      </c>
      <c r="B202" s="276" t="s">
        <v>2845</v>
      </c>
      <c r="C202" s="272"/>
      <c r="D202" s="281"/>
      <c r="E202" s="271"/>
      <c r="F202" s="271"/>
      <c r="G202" s="271"/>
      <c r="H202" s="265" t="s">
        <v>2707</v>
      </c>
      <c r="I202" s="271"/>
      <c r="J202" s="271"/>
      <c r="K202" s="271"/>
      <c r="L202" s="271"/>
      <c r="M202" s="274" t="s">
        <v>2848</v>
      </c>
      <c r="N202" s="271"/>
      <c r="O202" s="271"/>
      <c r="P202" s="117"/>
      <c r="Q202" s="144"/>
      <c r="R202" s="118"/>
      <c r="S202" s="118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</row>
    <row r="203" spans="1:31">
      <c r="A203" s="268" t="s">
        <v>2847</v>
      </c>
      <c r="B203" s="276" t="s">
        <v>2845</v>
      </c>
      <c r="C203" s="272"/>
      <c r="D203" s="265"/>
      <c r="E203" s="271"/>
      <c r="F203" s="271"/>
      <c r="G203" s="265"/>
      <c r="H203" s="265" t="s">
        <v>2707</v>
      </c>
      <c r="I203" s="265"/>
      <c r="J203" s="265"/>
      <c r="K203" s="265"/>
      <c r="L203" s="265"/>
      <c r="M203" s="270"/>
      <c r="N203" s="271"/>
      <c r="O203" s="271"/>
      <c r="P203" s="117"/>
      <c r="Q203" s="144"/>
      <c r="R203" s="118"/>
      <c r="S203" s="118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</row>
    <row r="204" spans="1:31">
      <c r="A204" s="268" t="s">
        <v>2846</v>
      </c>
      <c r="B204" s="276" t="s">
        <v>2845</v>
      </c>
      <c r="C204" s="272"/>
      <c r="D204" s="265"/>
      <c r="E204" s="271"/>
      <c r="F204" s="271"/>
      <c r="G204" s="265"/>
      <c r="H204" s="265" t="s">
        <v>2707</v>
      </c>
      <c r="I204" s="265"/>
      <c r="J204" s="265"/>
      <c r="K204" s="265"/>
      <c r="L204" s="265"/>
      <c r="M204" s="270"/>
      <c r="N204" s="271"/>
      <c r="O204" s="271"/>
      <c r="P204" s="117"/>
      <c r="Q204" s="144"/>
      <c r="R204" s="118"/>
      <c r="S204" s="118"/>
      <c r="T204" s="269"/>
      <c r="U204" s="269"/>
      <c r="V204" s="269"/>
      <c r="W204" s="269"/>
      <c r="X204" s="269"/>
      <c r="Y204" s="269"/>
      <c r="Z204" s="269"/>
      <c r="AA204" s="269"/>
      <c r="AB204" s="269"/>
      <c r="AC204" s="269"/>
      <c r="AD204" s="269"/>
      <c r="AE204" s="269"/>
    </row>
    <row r="205" spans="1:31">
      <c r="A205" s="274"/>
      <c r="B205" s="272"/>
      <c r="C205" s="272"/>
      <c r="D205" s="265"/>
      <c r="E205" s="271"/>
      <c r="F205" s="271"/>
      <c r="G205" s="265"/>
      <c r="H205" s="265"/>
      <c r="I205" s="265"/>
      <c r="J205" s="265"/>
      <c r="K205" s="265"/>
      <c r="L205" s="265"/>
      <c r="M205" s="270"/>
      <c r="N205" s="271"/>
      <c r="O205" s="271"/>
      <c r="P205" s="117"/>
      <c r="Q205" s="144"/>
      <c r="R205" s="118"/>
      <c r="S205" s="118"/>
      <c r="T205" s="269"/>
      <c r="U205" s="269"/>
      <c r="V205" s="269"/>
      <c r="W205" s="269"/>
      <c r="X205" s="269"/>
      <c r="Y205" s="269"/>
      <c r="Z205" s="269"/>
      <c r="AA205" s="269"/>
      <c r="AB205" s="269"/>
      <c r="AC205" s="269"/>
      <c r="AD205" s="269"/>
      <c r="AE205" s="269"/>
    </row>
    <row r="206" spans="1:31">
      <c r="A206" s="274"/>
      <c r="B206" s="272"/>
      <c r="C206" s="272"/>
      <c r="D206" s="265"/>
      <c r="E206" s="271"/>
      <c r="F206" s="271"/>
      <c r="G206" s="265"/>
      <c r="H206" s="265"/>
      <c r="I206" s="265"/>
      <c r="J206" s="265"/>
      <c r="K206" s="265"/>
      <c r="L206" s="265"/>
      <c r="M206" s="270"/>
      <c r="N206" s="271"/>
      <c r="O206" s="271"/>
      <c r="P206" s="117"/>
      <c r="Q206" s="144"/>
      <c r="R206" s="118"/>
      <c r="S206" s="118"/>
      <c r="T206" s="269"/>
      <c r="U206" s="269"/>
      <c r="V206" s="269"/>
      <c r="W206" s="269"/>
      <c r="X206" s="269"/>
      <c r="Y206" s="269"/>
      <c r="Z206" s="269"/>
      <c r="AA206" s="269"/>
      <c r="AB206" s="269"/>
      <c r="AC206" s="269"/>
      <c r="AD206" s="269"/>
      <c r="AE206" s="269"/>
    </row>
    <row r="207" spans="1:31" ht="28.5">
      <c r="A207" s="274" t="s">
        <v>2844</v>
      </c>
      <c r="B207" s="272" t="s">
        <v>2207</v>
      </c>
      <c r="C207" s="272"/>
      <c r="D207" s="265"/>
      <c r="E207" s="271"/>
      <c r="F207" s="271"/>
      <c r="G207" s="265"/>
      <c r="H207" s="265"/>
      <c r="I207" s="265" t="s">
        <v>2707</v>
      </c>
      <c r="J207" s="265"/>
      <c r="K207" s="265"/>
      <c r="L207" s="265"/>
      <c r="M207" s="270"/>
      <c r="N207" s="271"/>
      <c r="O207" s="271"/>
      <c r="P207" s="117"/>
      <c r="Q207" s="144"/>
      <c r="R207" s="118"/>
      <c r="S207" s="118"/>
      <c r="T207" s="269"/>
      <c r="U207" s="269"/>
      <c r="V207" s="269"/>
      <c r="W207" s="269"/>
      <c r="X207" s="269"/>
      <c r="Y207" s="269"/>
      <c r="Z207" s="269"/>
      <c r="AA207" s="269"/>
      <c r="AB207" s="269"/>
      <c r="AC207" s="269"/>
      <c r="AD207" s="269"/>
      <c r="AE207" s="269"/>
    </row>
    <row r="208" spans="1:31" ht="28.5">
      <c r="A208" s="268" t="s">
        <v>2843</v>
      </c>
      <c r="B208" s="280" t="s">
        <v>2840</v>
      </c>
      <c r="C208" s="277"/>
      <c r="D208" s="271"/>
      <c r="E208" s="271"/>
      <c r="F208" s="271"/>
      <c r="G208" s="271"/>
      <c r="H208" s="271"/>
      <c r="I208" s="265" t="s">
        <v>2707</v>
      </c>
      <c r="J208" s="271"/>
      <c r="K208" s="265"/>
      <c r="L208" s="271"/>
      <c r="M208" s="270"/>
      <c r="N208" s="271"/>
      <c r="O208" s="271"/>
      <c r="P208" s="117"/>
      <c r="Q208" s="145"/>
      <c r="R208" s="118"/>
      <c r="S208" s="118"/>
      <c r="T208" s="269"/>
      <c r="U208" s="269"/>
      <c r="V208" s="269"/>
      <c r="W208" s="269"/>
      <c r="X208" s="269"/>
      <c r="Y208" s="269"/>
      <c r="Z208" s="269"/>
      <c r="AA208" s="269"/>
      <c r="AB208" s="269"/>
      <c r="AC208" s="269"/>
      <c r="AD208" s="269"/>
      <c r="AE208" s="269"/>
    </row>
    <row r="209" spans="1:31">
      <c r="A209" s="268" t="s">
        <v>2842</v>
      </c>
      <c r="B209" s="280" t="s">
        <v>2840</v>
      </c>
      <c r="C209" s="277"/>
      <c r="D209" s="271"/>
      <c r="E209" s="271"/>
      <c r="F209" s="271"/>
      <c r="G209" s="271"/>
      <c r="H209" s="271"/>
      <c r="I209" s="265" t="s">
        <v>2707</v>
      </c>
      <c r="J209" s="271"/>
      <c r="K209" s="265"/>
      <c r="L209" s="271"/>
      <c r="M209" s="270"/>
      <c r="N209" s="271"/>
      <c r="O209" s="271"/>
      <c r="P209" s="117"/>
      <c r="Q209" s="144"/>
      <c r="R209" s="118"/>
      <c r="S209" s="118"/>
      <c r="T209" s="269"/>
      <c r="U209" s="269"/>
      <c r="V209" s="269"/>
      <c r="W209" s="269"/>
      <c r="X209" s="269"/>
      <c r="Y209" s="269"/>
      <c r="Z209" s="269"/>
      <c r="AA209" s="269"/>
      <c r="AB209" s="269"/>
      <c r="AC209" s="269"/>
      <c r="AD209" s="269"/>
      <c r="AE209" s="269"/>
    </row>
    <row r="210" spans="1:31">
      <c r="A210" s="268" t="s">
        <v>2841</v>
      </c>
      <c r="B210" s="280" t="s">
        <v>2840</v>
      </c>
      <c r="C210" s="277"/>
      <c r="D210" s="271"/>
      <c r="E210" s="271"/>
      <c r="F210" s="271"/>
      <c r="G210" s="271"/>
      <c r="H210" s="271"/>
      <c r="I210" s="265" t="s">
        <v>2707</v>
      </c>
      <c r="J210" s="271"/>
      <c r="K210" s="265"/>
      <c r="L210" s="271"/>
      <c r="M210" s="270"/>
      <c r="N210" s="271"/>
      <c r="O210" s="271"/>
      <c r="P210" s="117"/>
      <c r="Q210" s="144"/>
      <c r="R210" s="118"/>
      <c r="S210" s="118"/>
      <c r="T210" s="269"/>
      <c r="U210" s="269"/>
      <c r="V210" s="269"/>
      <c r="W210" s="269"/>
      <c r="X210" s="269"/>
      <c r="Y210" s="269"/>
      <c r="Z210" s="269"/>
      <c r="AA210" s="269"/>
      <c r="AB210" s="269"/>
      <c r="AC210" s="269"/>
      <c r="AD210" s="269"/>
      <c r="AE210" s="269"/>
    </row>
    <row r="211" spans="1:31">
      <c r="A211" s="274" t="s">
        <v>2839</v>
      </c>
      <c r="B211" s="272" t="s">
        <v>2838</v>
      </c>
      <c r="C211" s="272"/>
      <c r="D211" s="265"/>
      <c r="E211" s="271"/>
      <c r="F211" s="271"/>
      <c r="G211" s="265"/>
      <c r="H211" s="265" t="s">
        <v>2707</v>
      </c>
      <c r="J211" s="265"/>
      <c r="K211" s="265"/>
      <c r="L211" s="265"/>
      <c r="M211" s="270"/>
      <c r="N211" s="271"/>
      <c r="O211" s="271"/>
      <c r="P211" s="117"/>
      <c r="Q211" s="144"/>
      <c r="R211" s="118"/>
      <c r="S211" s="118"/>
      <c r="T211" s="269"/>
      <c r="U211" s="269"/>
      <c r="V211" s="269"/>
      <c r="W211" s="269"/>
      <c r="X211" s="269"/>
      <c r="Y211" s="269"/>
      <c r="Z211" s="269"/>
      <c r="AA211" s="269"/>
      <c r="AB211" s="269"/>
      <c r="AC211" s="269"/>
      <c r="AD211" s="269"/>
      <c r="AE211" s="269"/>
    </row>
    <row r="212" spans="1:31">
      <c r="A212" s="274" t="s">
        <v>2837</v>
      </c>
      <c r="B212" s="272" t="s">
        <v>2836</v>
      </c>
      <c r="C212" s="272"/>
      <c r="D212" s="265"/>
      <c r="E212" s="271"/>
      <c r="F212" s="271"/>
      <c r="G212" s="265"/>
      <c r="H212" s="265"/>
      <c r="I212" s="265" t="s">
        <v>2707</v>
      </c>
      <c r="J212" s="265"/>
      <c r="K212" s="265"/>
      <c r="L212" s="265"/>
      <c r="M212" s="270"/>
      <c r="N212" s="271"/>
      <c r="O212" s="271"/>
      <c r="P212" s="117"/>
      <c r="Q212" s="144"/>
      <c r="R212" s="118"/>
      <c r="S212" s="118"/>
      <c r="T212" s="269"/>
      <c r="U212" s="269"/>
      <c r="V212" s="269"/>
      <c r="W212" s="269"/>
      <c r="X212" s="269"/>
      <c r="Y212" s="269"/>
      <c r="Z212" s="269"/>
      <c r="AA212" s="269"/>
      <c r="AB212" s="269"/>
      <c r="AC212" s="269"/>
      <c r="AD212" s="269"/>
      <c r="AE212" s="269"/>
    </row>
    <row r="213" spans="1:31">
      <c r="A213" s="274" t="s">
        <v>2835</v>
      </c>
      <c r="B213" s="272" t="s">
        <v>2801</v>
      </c>
      <c r="C213" s="272"/>
      <c r="D213" s="271"/>
      <c r="E213" s="271"/>
      <c r="F213" s="271"/>
      <c r="G213" s="265"/>
      <c r="H213" s="271"/>
      <c r="I213" s="265" t="s">
        <v>2707</v>
      </c>
      <c r="J213" s="265"/>
      <c r="K213" s="265"/>
      <c r="L213" s="265"/>
      <c r="M213" s="270"/>
      <c r="N213" s="271"/>
      <c r="O213" s="271"/>
      <c r="P213" s="117"/>
      <c r="Q213" s="144"/>
      <c r="R213" s="118"/>
      <c r="S213" s="118"/>
      <c r="T213" s="269"/>
      <c r="U213" s="269"/>
      <c r="V213" s="269"/>
      <c r="W213" s="269"/>
      <c r="X213" s="269"/>
      <c r="Y213" s="269"/>
      <c r="Z213" s="269"/>
      <c r="AA213" s="269"/>
      <c r="AB213" s="269"/>
      <c r="AC213" s="269"/>
      <c r="AD213" s="269"/>
      <c r="AE213" s="269"/>
    </row>
    <row r="214" spans="1:31" ht="28.5">
      <c r="A214" s="274" t="s">
        <v>2834</v>
      </c>
      <c r="B214" s="272" t="s">
        <v>2801</v>
      </c>
      <c r="C214" s="272"/>
      <c r="D214" s="271"/>
      <c r="E214" s="271"/>
      <c r="F214" s="271"/>
      <c r="G214" s="265"/>
      <c r="H214" s="265"/>
      <c r="I214" s="265" t="s">
        <v>2738</v>
      </c>
      <c r="J214" s="265"/>
      <c r="K214" s="265"/>
      <c r="L214" s="265"/>
      <c r="M214" s="274" t="s">
        <v>2833</v>
      </c>
      <c r="N214" s="271"/>
      <c r="O214" s="271"/>
      <c r="P214" s="117"/>
      <c r="Q214" s="144"/>
      <c r="R214" s="118"/>
      <c r="S214" s="118"/>
      <c r="T214" s="269"/>
      <c r="U214" s="269"/>
      <c r="V214" s="269"/>
      <c r="W214" s="269"/>
      <c r="X214" s="269"/>
      <c r="Y214" s="269"/>
      <c r="Z214" s="269"/>
      <c r="AA214" s="269"/>
      <c r="AB214" s="269"/>
      <c r="AC214" s="269"/>
      <c r="AD214" s="269"/>
      <c r="AE214" s="269"/>
    </row>
    <row r="215" spans="1:31">
      <c r="A215" s="274" t="s">
        <v>2832</v>
      </c>
      <c r="B215" s="272" t="s">
        <v>2801</v>
      </c>
      <c r="C215" s="272"/>
      <c r="D215" s="271"/>
      <c r="E215" s="271"/>
      <c r="F215" s="271"/>
      <c r="G215" s="265"/>
      <c r="H215" s="271"/>
      <c r="I215" s="265" t="s">
        <v>2707</v>
      </c>
      <c r="J215" s="265"/>
      <c r="K215" s="265"/>
      <c r="L215" s="265"/>
      <c r="M215" s="270"/>
      <c r="N215" s="271"/>
      <c r="O215" s="271"/>
      <c r="P215" s="117"/>
      <c r="Q215" s="144"/>
      <c r="R215" s="118"/>
      <c r="S215" s="118"/>
      <c r="T215" s="269"/>
      <c r="U215" s="269"/>
      <c r="V215" s="269"/>
      <c r="W215" s="269"/>
      <c r="X215" s="269"/>
      <c r="Y215" s="269"/>
      <c r="Z215" s="269"/>
      <c r="AA215" s="269"/>
      <c r="AB215" s="269"/>
      <c r="AC215" s="269"/>
      <c r="AD215" s="269"/>
      <c r="AE215" s="269"/>
    </row>
    <row r="216" spans="1:31">
      <c r="A216" s="274" t="s">
        <v>2831</v>
      </c>
      <c r="B216" s="272" t="s">
        <v>2801</v>
      </c>
      <c r="C216" s="272"/>
      <c r="D216" s="271"/>
      <c r="E216" s="271"/>
      <c r="F216" s="271"/>
      <c r="G216" s="271"/>
      <c r="H216" s="265"/>
      <c r="I216" s="265" t="s">
        <v>2707</v>
      </c>
      <c r="J216" s="271"/>
      <c r="K216" s="271"/>
      <c r="L216" s="271"/>
      <c r="M216" s="270"/>
      <c r="N216" s="271"/>
      <c r="O216" s="271"/>
      <c r="P216" s="117"/>
      <c r="Q216" s="144"/>
      <c r="R216" s="118"/>
      <c r="S216" s="118"/>
      <c r="T216" s="269"/>
      <c r="U216" s="269"/>
      <c r="V216" s="269"/>
      <c r="W216" s="269"/>
      <c r="X216" s="269"/>
      <c r="Y216" s="269"/>
      <c r="Z216" s="269"/>
      <c r="AA216" s="269"/>
      <c r="AB216" s="269"/>
      <c r="AC216" s="269"/>
      <c r="AD216" s="269"/>
      <c r="AE216" s="269"/>
    </row>
    <row r="217" spans="1:31">
      <c r="A217" s="274" t="s">
        <v>2830</v>
      </c>
      <c r="B217" s="272" t="s">
        <v>2801</v>
      </c>
      <c r="C217" s="272"/>
      <c r="D217" s="271"/>
      <c r="E217" s="271"/>
      <c r="F217" s="271"/>
      <c r="G217" s="265"/>
      <c r="H217" s="271"/>
      <c r="I217" s="265" t="s">
        <v>2707</v>
      </c>
      <c r="J217" s="265"/>
      <c r="K217" s="265"/>
      <c r="L217" s="265"/>
      <c r="M217" s="270"/>
      <c r="N217" s="271"/>
      <c r="O217" s="271"/>
      <c r="P217" s="117"/>
      <c r="Q217" s="144"/>
      <c r="R217" s="118"/>
      <c r="S217" s="118"/>
      <c r="T217" s="269"/>
      <c r="U217" s="269"/>
      <c r="V217" s="269"/>
      <c r="W217" s="269"/>
      <c r="X217" s="269"/>
      <c r="Y217" s="269"/>
      <c r="Z217" s="269"/>
      <c r="AA217" s="269"/>
      <c r="AB217" s="269"/>
      <c r="AC217" s="269"/>
      <c r="AD217" s="269"/>
      <c r="AE217" s="269"/>
    </row>
    <row r="218" spans="1:31">
      <c r="A218" s="279"/>
      <c r="B218" s="278"/>
      <c r="C218" s="278"/>
      <c r="D218" s="271"/>
      <c r="E218" s="271"/>
      <c r="F218" s="271"/>
      <c r="G218" s="265"/>
      <c r="H218" s="271"/>
      <c r="I218" s="265"/>
      <c r="J218" s="265"/>
      <c r="K218" s="265"/>
      <c r="L218" s="265"/>
      <c r="M218" s="270"/>
      <c r="N218" s="271"/>
      <c r="O218" s="271"/>
      <c r="P218" s="117"/>
      <c r="Q218" s="144"/>
      <c r="R218" s="118"/>
      <c r="S218" s="118"/>
      <c r="T218" s="269"/>
      <c r="U218" s="269"/>
      <c r="V218" s="269"/>
      <c r="W218" s="269"/>
      <c r="X218" s="269"/>
      <c r="Y218" s="269"/>
      <c r="Z218" s="269"/>
      <c r="AA218" s="269"/>
      <c r="AB218" s="269"/>
      <c r="AC218" s="269"/>
      <c r="AD218" s="269"/>
      <c r="AE218" s="269"/>
    </row>
    <row r="219" spans="1:31">
      <c r="A219" s="279"/>
      <c r="B219" s="278"/>
      <c r="C219" s="278"/>
      <c r="D219" s="271"/>
      <c r="E219" s="271"/>
      <c r="F219" s="271"/>
      <c r="G219" s="265"/>
      <c r="H219" s="271"/>
      <c r="I219" s="265"/>
      <c r="J219" s="265"/>
      <c r="K219" s="265"/>
      <c r="L219" s="265"/>
      <c r="M219" s="270"/>
      <c r="N219" s="271"/>
      <c r="O219" s="271"/>
      <c r="P219" s="117"/>
      <c r="Q219" s="144"/>
      <c r="R219" s="118"/>
      <c r="S219" s="118"/>
      <c r="T219" s="269"/>
      <c r="U219" s="269"/>
      <c r="V219" s="269"/>
      <c r="W219" s="269"/>
      <c r="X219" s="269"/>
      <c r="Y219" s="269"/>
      <c r="Z219" s="269"/>
      <c r="AA219" s="269"/>
      <c r="AB219" s="269"/>
      <c r="AC219" s="269"/>
      <c r="AD219" s="269"/>
      <c r="AE219" s="269"/>
    </row>
    <row r="220" spans="1:31">
      <c r="A220" s="279"/>
      <c r="B220" s="278"/>
      <c r="C220" s="278"/>
      <c r="D220" s="271"/>
      <c r="E220" s="271"/>
      <c r="F220" s="271"/>
      <c r="G220" s="265"/>
      <c r="H220" s="271"/>
      <c r="I220" s="265"/>
      <c r="J220" s="265"/>
      <c r="K220" s="265"/>
      <c r="L220" s="265"/>
      <c r="M220" s="270"/>
      <c r="N220" s="271"/>
      <c r="O220" s="271"/>
      <c r="P220" s="117"/>
      <c r="Q220" s="144"/>
      <c r="R220" s="118"/>
      <c r="S220" s="118"/>
      <c r="T220" s="269"/>
      <c r="U220" s="269"/>
      <c r="V220" s="269"/>
      <c r="W220" s="269"/>
      <c r="X220" s="269"/>
      <c r="Y220" s="269"/>
      <c r="Z220" s="269"/>
      <c r="AA220" s="269"/>
      <c r="AB220" s="269"/>
      <c r="AC220" s="269"/>
      <c r="AD220" s="269"/>
      <c r="AE220" s="269"/>
    </row>
    <row r="221" spans="1:31">
      <c r="A221" s="279" t="s">
        <v>2829</v>
      </c>
      <c r="B221" s="272" t="s">
        <v>2813</v>
      </c>
      <c r="C221" s="278"/>
      <c r="D221" s="271"/>
      <c r="E221" s="271"/>
      <c r="F221" s="271"/>
      <c r="G221" s="265"/>
      <c r="H221" s="271"/>
      <c r="I221" s="265"/>
      <c r="J221" s="265" t="s">
        <v>2707</v>
      </c>
      <c r="K221" s="265"/>
      <c r="L221" s="265"/>
      <c r="M221" s="270"/>
      <c r="N221" s="271"/>
      <c r="O221" s="271"/>
      <c r="P221" s="117"/>
      <c r="Q221" s="144"/>
      <c r="R221" s="118"/>
      <c r="S221" s="118"/>
      <c r="T221" s="269"/>
      <c r="U221" s="269"/>
      <c r="V221" s="269"/>
      <c r="W221" s="269"/>
      <c r="X221" s="269"/>
      <c r="Y221" s="269"/>
      <c r="Z221" s="269"/>
      <c r="AA221" s="269"/>
      <c r="AB221" s="269"/>
      <c r="AC221" s="269"/>
      <c r="AD221" s="269"/>
      <c r="AE221" s="269"/>
    </row>
    <row r="222" spans="1:31">
      <c r="A222" s="274" t="s">
        <v>2828</v>
      </c>
      <c r="B222" s="272" t="s">
        <v>2813</v>
      </c>
      <c r="C222" s="272"/>
      <c r="D222" s="271"/>
      <c r="E222" s="271"/>
      <c r="F222" s="271"/>
      <c r="G222" s="265"/>
      <c r="H222" s="271"/>
      <c r="I222" s="265"/>
      <c r="J222" s="265" t="s">
        <v>2707</v>
      </c>
      <c r="K222" s="265"/>
      <c r="L222" s="265"/>
      <c r="M222" s="270"/>
      <c r="N222" s="271"/>
      <c r="O222" s="271"/>
      <c r="P222" s="117"/>
      <c r="Q222" s="144"/>
      <c r="R222" s="118"/>
      <c r="S222" s="118"/>
      <c r="T222" s="269"/>
      <c r="U222" s="269"/>
      <c r="V222" s="269"/>
      <c r="W222" s="269"/>
      <c r="X222" s="269"/>
      <c r="Y222" s="269"/>
      <c r="Z222" s="269"/>
      <c r="AA222" s="269"/>
      <c r="AB222" s="269"/>
      <c r="AC222" s="269"/>
      <c r="AD222" s="269"/>
      <c r="AE222" s="269"/>
    </row>
    <row r="223" spans="1:31">
      <c r="A223" s="274" t="s">
        <v>2827</v>
      </c>
      <c r="B223" s="272" t="s">
        <v>2813</v>
      </c>
      <c r="C223" s="272"/>
      <c r="D223" s="271"/>
      <c r="E223" s="271"/>
      <c r="F223" s="271"/>
      <c r="G223" s="265"/>
      <c r="H223" s="271"/>
      <c r="I223" s="265"/>
      <c r="J223" s="265" t="s">
        <v>2707</v>
      </c>
      <c r="K223" s="265"/>
      <c r="L223" s="265"/>
      <c r="M223" s="270"/>
      <c r="N223" s="271"/>
      <c r="O223" s="271"/>
      <c r="P223" s="117"/>
      <c r="Q223" s="144"/>
      <c r="R223" s="118"/>
      <c r="S223" s="118"/>
      <c r="T223" s="269"/>
      <c r="U223" s="269"/>
      <c r="V223" s="269"/>
      <c r="W223" s="269"/>
      <c r="X223" s="269"/>
      <c r="Y223" s="269"/>
      <c r="Z223" s="269"/>
      <c r="AA223" s="269"/>
      <c r="AB223" s="269"/>
      <c r="AC223" s="269"/>
      <c r="AD223" s="269"/>
      <c r="AE223" s="269"/>
    </row>
    <row r="224" spans="1:31">
      <c r="A224" s="274" t="s">
        <v>2826</v>
      </c>
      <c r="B224" s="272" t="s">
        <v>2813</v>
      </c>
      <c r="C224" s="272"/>
      <c r="D224" s="265"/>
      <c r="E224" s="271"/>
      <c r="F224" s="265"/>
      <c r="G224" s="265"/>
      <c r="H224" s="265"/>
      <c r="I224" s="271"/>
      <c r="J224" s="265" t="s">
        <v>2707</v>
      </c>
      <c r="K224" s="271"/>
      <c r="L224" s="265"/>
      <c r="M224" s="270"/>
      <c r="N224" s="265"/>
      <c r="O224" s="265"/>
      <c r="P224" s="117"/>
      <c r="Q224" s="144"/>
      <c r="R224" s="118"/>
      <c r="S224" s="118"/>
      <c r="T224" s="269"/>
      <c r="U224" s="269"/>
      <c r="V224" s="269"/>
      <c r="W224" s="269"/>
      <c r="X224" s="269"/>
      <c r="Y224" s="269"/>
      <c r="Z224" s="269"/>
      <c r="AA224" s="269"/>
      <c r="AB224" s="269"/>
      <c r="AC224" s="269"/>
      <c r="AD224" s="269"/>
      <c r="AE224" s="269"/>
    </row>
    <row r="225" spans="1:31">
      <c r="A225" s="274" t="s">
        <v>2825</v>
      </c>
      <c r="B225" s="272" t="s">
        <v>2813</v>
      </c>
      <c r="C225" s="277"/>
      <c r="D225" s="271"/>
      <c r="E225" s="271"/>
      <c r="F225" s="271"/>
      <c r="G225" s="265"/>
      <c r="H225" s="271"/>
      <c r="I225" s="271"/>
      <c r="J225" s="265" t="s">
        <v>2707</v>
      </c>
      <c r="K225" s="265"/>
      <c r="L225" s="265"/>
      <c r="M225" s="270"/>
      <c r="N225" s="271"/>
      <c r="O225" s="271"/>
      <c r="P225" s="117"/>
      <c r="Q225" s="145"/>
      <c r="R225" s="118"/>
      <c r="S225" s="118"/>
      <c r="T225" s="269"/>
      <c r="U225" s="269"/>
      <c r="V225" s="269"/>
      <c r="W225" s="269"/>
      <c r="X225" s="269"/>
      <c r="Y225" s="269"/>
      <c r="Z225" s="269"/>
      <c r="AA225" s="269"/>
      <c r="AB225" s="269"/>
      <c r="AC225" s="269"/>
      <c r="AD225" s="269"/>
      <c r="AE225" s="269"/>
    </row>
    <row r="226" spans="1:31">
      <c r="A226" s="268" t="s">
        <v>2824</v>
      </c>
      <c r="B226" s="272"/>
      <c r="C226" s="272"/>
      <c r="D226" s="271"/>
      <c r="E226" s="271"/>
      <c r="F226" s="271"/>
      <c r="G226" s="265"/>
      <c r="H226" s="271"/>
      <c r="I226" s="265"/>
      <c r="J226" s="265" t="s">
        <v>2707</v>
      </c>
      <c r="K226" s="265"/>
      <c r="L226" s="265"/>
      <c r="M226" s="270"/>
      <c r="N226" s="271"/>
      <c r="O226" s="271"/>
      <c r="P226" s="117"/>
      <c r="Q226" s="145"/>
      <c r="R226" s="118"/>
      <c r="S226" s="118"/>
      <c r="T226" s="269"/>
      <c r="U226" s="269"/>
      <c r="V226" s="269"/>
      <c r="W226" s="269"/>
      <c r="X226" s="269"/>
      <c r="Y226" s="269"/>
      <c r="Z226" s="269"/>
      <c r="AA226" s="269"/>
      <c r="AB226" s="269"/>
      <c r="AC226" s="269"/>
      <c r="AD226" s="269"/>
      <c r="AE226" s="269"/>
    </row>
    <row r="227" spans="1:31">
      <c r="A227" s="268" t="s">
        <v>2823</v>
      </c>
      <c r="B227" s="272"/>
      <c r="C227" s="272"/>
      <c r="D227" s="271"/>
      <c r="E227" s="271"/>
      <c r="F227" s="271"/>
      <c r="G227" s="265"/>
      <c r="H227" s="271"/>
      <c r="I227" s="265"/>
      <c r="J227" s="265" t="s">
        <v>2707</v>
      </c>
      <c r="K227" s="265"/>
      <c r="L227" s="265"/>
      <c r="M227" s="270"/>
      <c r="N227" s="271"/>
      <c r="O227" s="271"/>
      <c r="P227" s="117"/>
      <c r="Q227" s="144"/>
      <c r="R227" s="118"/>
      <c r="S227" s="118"/>
      <c r="T227" s="269"/>
      <c r="U227" s="269"/>
      <c r="V227" s="269"/>
      <c r="W227" s="269"/>
      <c r="X227" s="269"/>
      <c r="Y227" s="269"/>
      <c r="Z227" s="269"/>
      <c r="AA227" s="269"/>
      <c r="AB227" s="269"/>
      <c r="AC227" s="269"/>
      <c r="AD227" s="269"/>
      <c r="AE227" s="269"/>
    </row>
    <row r="228" spans="1:31">
      <c r="A228" s="268" t="s">
        <v>2822</v>
      </c>
      <c r="B228" s="272"/>
      <c r="C228" s="272"/>
      <c r="D228" s="271"/>
      <c r="E228" s="271"/>
      <c r="F228" s="271"/>
      <c r="G228" s="265"/>
      <c r="H228" s="271"/>
      <c r="I228" s="265"/>
      <c r="J228" s="265" t="s">
        <v>2707</v>
      </c>
      <c r="K228" s="265"/>
      <c r="L228" s="265"/>
      <c r="M228" s="270"/>
      <c r="N228" s="271"/>
      <c r="O228" s="271"/>
      <c r="P228" s="117"/>
      <c r="Q228" s="144"/>
      <c r="R228" s="118"/>
      <c r="S228" s="118"/>
      <c r="T228" s="269"/>
      <c r="U228" s="269"/>
      <c r="V228" s="269"/>
      <c r="W228" s="269"/>
      <c r="X228" s="269"/>
      <c r="Y228" s="269"/>
      <c r="Z228" s="269"/>
      <c r="AA228" s="269"/>
      <c r="AB228" s="269"/>
      <c r="AC228" s="269"/>
      <c r="AD228" s="269"/>
      <c r="AE228" s="269"/>
    </row>
    <row r="229" spans="1:31">
      <c r="A229" s="268" t="s">
        <v>2821</v>
      </c>
      <c r="B229" s="272" t="s">
        <v>2813</v>
      </c>
      <c r="C229" s="272"/>
      <c r="D229" s="271"/>
      <c r="E229" s="271"/>
      <c r="F229" s="271"/>
      <c r="G229" s="265"/>
      <c r="H229" s="271"/>
      <c r="I229" s="265"/>
      <c r="J229" s="265" t="s">
        <v>2707</v>
      </c>
      <c r="K229" s="265"/>
      <c r="L229" s="265"/>
      <c r="M229" s="270"/>
      <c r="N229" s="271"/>
      <c r="O229" s="271"/>
      <c r="P229" s="117"/>
      <c r="Q229" s="144"/>
      <c r="R229" s="118"/>
      <c r="S229" s="118"/>
      <c r="T229" s="269"/>
      <c r="U229" s="269"/>
      <c r="V229" s="269"/>
      <c r="W229" s="269"/>
      <c r="X229" s="269"/>
      <c r="Y229" s="269"/>
      <c r="Z229" s="269"/>
      <c r="AA229" s="269"/>
      <c r="AB229" s="269"/>
      <c r="AC229" s="269"/>
      <c r="AD229" s="269"/>
      <c r="AE229" s="269"/>
    </row>
    <row r="230" spans="1:31">
      <c r="A230" s="268" t="s">
        <v>2820</v>
      </c>
      <c r="B230" s="272"/>
      <c r="C230" s="272"/>
      <c r="D230" s="271"/>
      <c r="E230" s="271"/>
      <c r="F230" s="271"/>
      <c r="G230" s="265"/>
      <c r="H230" s="271"/>
      <c r="I230" s="265"/>
      <c r="J230" s="265" t="s">
        <v>2707</v>
      </c>
      <c r="K230" s="265"/>
      <c r="L230" s="265"/>
      <c r="M230" s="270"/>
      <c r="N230" s="271"/>
      <c r="O230" s="271"/>
      <c r="P230" s="117"/>
      <c r="Q230" s="144"/>
      <c r="R230" s="118"/>
      <c r="S230" s="118"/>
      <c r="T230" s="269"/>
      <c r="U230" s="269"/>
      <c r="V230" s="269"/>
      <c r="W230" s="269"/>
      <c r="X230" s="269"/>
      <c r="Y230" s="269"/>
      <c r="Z230" s="269"/>
      <c r="AA230" s="269"/>
      <c r="AB230" s="269"/>
      <c r="AC230" s="269"/>
      <c r="AD230" s="269"/>
      <c r="AE230" s="269"/>
    </row>
    <row r="231" spans="1:31">
      <c r="A231" s="268" t="s">
        <v>2819</v>
      </c>
      <c r="B231" s="272"/>
      <c r="C231" s="272"/>
      <c r="D231" s="271"/>
      <c r="E231" s="271"/>
      <c r="F231" s="271"/>
      <c r="G231" s="265"/>
      <c r="H231" s="271"/>
      <c r="I231" s="265"/>
      <c r="J231" s="265" t="s">
        <v>2707</v>
      </c>
      <c r="K231" s="265"/>
      <c r="L231" s="265"/>
      <c r="M231" s="270"/>
      <c r="N231" s="271"/>
      <c r="O231" s="271"/>
      <c r="P231" s="117"/>
      <c r="Q231" s="145"/>
      <c r="R231" s="118"/>
      <c r="S231" s="118"/>
      <c r="T231" s="269"/>
      <c r="U231" s="269"/>
      <c r="V231" s="269"/>
      <c r="W231" s="269"/>
      <c r="X231" s="269"/>
      <c r="Y231" s="269"/>
      <c r="Z231" s="269"/>
      <c r="AA231" s="269"/>
      <c r="AB231" s="269"/>
      <c r="AC231" s="269"/>
      <c r="AD231" s="269"/>
      <c r="AE231" s="269"/>
    </row>
    <row r="232" spans="1:31">
      <c r="A232" s="268" t="s">
        <v>2818</v>
      </c>
      <c r="B232" s="272"/>
      <c r="C232" s="272"/>
      <c r="D232" s="271"/>
      <c r="E232" s="271"/>
      <c r="F232" s="271"/>
      <c r="G232" s="265"/>
      <c r="H232" s="271"/>
      <c r="I232" s="265"/>
      <c r="J232" s="265" t="s">
        <v>2707</v>
      </c>
      <c r="K232" s="265"/>
      <c r="L232" s="265"/>
      <c r="M232" s="270"/>
      <c r="N232" s="271"/>
      <c r="O232" s="271"/>
      <c r="P232" s="117"/>
      <c r="Q232" s="144"/>
      <c r="R232" s="118"/>
      <c r="S232" s="118"/>
      <c r="T232" s="269"/>
      <c r="U232" s="269"/>
      <c r="V232" s="269"/>
      <c r="W232" s="269"/>
      <c r="X232" s="269"/>
      <c r="Y232" s="269"/>
      <c r="Z232" s="269"/>
      <c r="AA232" s="269"/>
      <c r="AB232" s="269"/>
      <c r="AC232" s="269"/>
      <c r="AD232" s="269"/>
      <c r="AE232" s="269"/>
    </row>
    <row r="233" spans="1:31">
      <c r="A233" s="268" t="s">
        <v>2817</v>
      </c>
      <c r="B233" s="272"/>
      <c r="C233" s="272"/>
      <c r="D233" s="271"/>
      <c r="E233" s="271"/>
      <c r="F233" s="271"/>
      <c r="G233" s="265"/>
      <c r="H233" s="271"/>
      <c r="I233" s="265"/>
      <c r="J233" s="265" t="s">
        <v>2707</v>
      </c>
      <c r="K233" s="265"/>
      <c r="L233" s="265"/>
      <c r="M233" s="270"/>
      <c r="N233" s="271"/>
      <c r="O233" s="271"/>
      <c r="P233" s="13"/>
      <c r="Q233" s="146"/>
      <c r="R233" s="13"/>
      <c r="S233" s="13"/>
      <c r="T233" s="269"/>
      <c r="U233" s="269"/>
      <c r="V233" s="269"/>
      <c r="W233" s="269"/>
      <c r="X233" s="269"/>
      <c r="Y233" s="269"/>
      <c r="Z233" s="269"/>
      <c r="AA233" s="269"/>
      <c r="AB233" s="269"/>
      <c r="AC233" s="269"/>
      <c r="AD233" s="269"/>
      <c r="AE233" s="269"/>
    </row>
    <row r="234" spans="1:31">
      <c r="A234" s="268" t="s">
        <v>2816</v>
      </c>
      <c r="B234" s="272"/>
      <c r="C234" s="272"/>
      <c r="D234" s="271"/>
      <c r="E234" s="271"/>
      <c r="F234" s="271"/>
      <c r="G234" s="265"/>
      <c r="H234" s="271"/>
      <c r="I234" s="265"/>
      <c r="J234" s="265" t="s">
        <v>2707</v>
      </c>
      <c r="K234" s="265"/>
      <c r="L234" s="265"/>
      <c r="M234" s="270"/>
      <c r="N234" s="271"/>
      <c r="O234" s="271"/>
      <c r="P234" s="117"/>
      <c r="Q234" s="145"/>
      <c r="R234" s="118"/>
      <c r="S234" s="118"/>
      <c r="T234" s="269"/>
      <c r="U234" s="269"/>
      <c r="V234" s="269"/>
      <c r="W234" s="269"/>
      <c r="X234" s="269"/>
      <c r="Y234" s="269"/>
      <c r="Z234" s="269"/>
      <c r="AA234" s="269"/>
      <c r="AB234" s="269"/>
      <c r="AC234" s="269"/>
      <c r="AD234" s="269"/>
      <c r="AE234" s="269"/>
    </row>
    <row r="235" spans="1:31">
      <c r="A235" s="268" t="s">
        <v>2815</v>
      </c>
      <c r="B235" s="272"/>
      <c r="C235" s="272"/>
      <c r="D235" s="271"/>
      <c r="E235" s="271"/>
      <c r="F235" s="271"/>
      <c r="G235" s="265"/>
      <c r="H235" s="271"/>
      <c r="I235" s="265"/>
      <c r="J235" s="265"/>
      <c r="K235" s="265"/>
      <c r="L235" s="265"/>
      <c r="M235" s="270"/>
      <c r="N235" s="271"/>
      <c r="O235" s="271"/>
      <c r="P235" s="117"/>
      <c r="Q235" s="144"/>
      <c r="R235" s="118"/>
      <c r="S235" s="118"/>
      <c r="T235" s="269"/>
      <c r="U235" s="269"/>
      <c r="V235" s="269"/>
      <c r="W235" s="269"/>
      <c r="X235" s="269"/>
      <c r="Y235" s="269"/>
      <c r="Z235" s="269"/>
      <c r="AA235" s="269"/>
      <c r="AB235" s="269"/>
      <c r="AC235" s="269"/>
      <c r="AD235" s="269"/>
      <c r="AE235" s="269"/>
    </row>
    <row r="236" spans="1:31">
      <c r="A236" s="268" t="s">
        <v>2814</v>
      </c>
      <c r="B236" s="272" t="s">
        <v>2813</v>
      </c>
      <c r="C236" s="272"/>
      <c r="D236" s="271"/>
      <c r="E236" s="271"/>
      <c r="F236" s="271"/>
      <c r="G236" s="265"/>
      <c r="H236" s="271"/>
      <c r="I236" s="265"/>
      <c r="J236" s="265" t="s">
        <v>2707</v>
      </c>
      <c r="K236" s="265"/>
      <c r="L236" s="265"/>
      <c r="M236" s="270"/>
      <c r="N236" s="271"/>
      <c r="O236" s="271"/>
      <c r="P236" s="117"/>
      <c r="Q236" s="144"/>
      <c r="R236" s="118"/>
      <c r="S236" s="118"/>
      <c r="T236" s="269"/>
      <c r="U236" s="269"/>
      <c r="V236" s="269"/>
      <c r="W236" s="269"/>
      <c r="X236" s="269"/>
      <c r="Y236" s="269"/>
      <c r="Z236" s="269"/>
      <c r="AA236" s="269"/>
      <c r="AB236" s="269"/>
      <c r="AC236" s="269"/>
      <c r="AD236" s="269"/>
      <c r="AE236" s="269"/>
    </row>
    <row r="237" spans="1:31">
      <c r="A237" s="268" t="s">
        <v>2812</v>
      </c>
      <c r="B237" s="272" t="s">
        <v>2807</v>
      </c>
      <c r="C237" s="272"/>
      <c r="D237" s="271"/>
      <c r="E237" s="271"/>
      <c r="F237" s="271"/>
      <c r="G237" s="265"/>
      <c r="H237" s="271"/>
      <c r="I237" s="265"/>
      <c r="J237" s="265" t="s">
        <v>2707</v>
      </c>
      <c r="K237" s="265"/>
      <c r="L237" s="265"/>
      <c r="M237" s="270"/>
      <c r="N237" s="271"/>
      <c r="O237" s="271"/>
      <c r="P237" s="117"/>
      <c r="Q237" s="144"/>
      <c r="R237" s="118"/>
      <c r="S237" s="118"/>
      <c r="T237" s="269"/>
      <c r="U237" s="269"/>
      <c r="V237" s="269"/>
      <c r="W237" s="269"/>
      <c r="X237" s="269"/>
      <c r="Y237" s="269"/>
      <c r="Z237" s="269"/>
      <c r="AA237" s="269"/>
      <c r="AB237" s="269"/>
      <c r="AC237" s="269"/>
      <c r="AD237" s="269"/>
      <c r="AE237" s="269"/>
    </row>
    <row r="238" spans="1:31">
      <c r="A238" s="268" t="s">
        <v>2811</v>
      </c>
      <c r="B238" s="272" t="s">
        <v>2807</v>
      </c>
      <c r="C238" s="272"/>
      <c r="D238" s="271"/>
      <c r="E238" s="271"/>
      <c r="F238" s="271"/>
      <c r="G238" s="265"/>
      <c r="H238" s="271"/>
      <c r="I238" s="265"/>
      <c r="J238" s="265" t="s">
        <v>2707</v>
      </c>
      <c r="K238" s="265"/>
      <c r="L238" s="265"/>
      <c r="M238" s="270"/>
      <c r="N238" s="271"/>
      <c r="O238" s="271"/>
      <c r="P238" s="117"/>
      <c r="Q238" s="144"/>
      <c r="R238" s="118"/>
      <c r="S238" s="118"/>
      <c r="T238" s="269"/>
      <c r="U238" s="269"/>
      <c r="V238" s="269"/>
      <c r="W238" s="269"/>
      <c r="X238" s="269"/>
      <c r="Y238" s="269"/>
      <c r="Z238" s="269"/>
      <c r="AA238" s="269"/>
      <c r="AB238" s="269"/>
      <c r="AC238" s="269"/>
      <c r="AD238" s="269"/>
      <c r="AE238" s="269"/>
    </row>
    <row r="239" spans="1:31">
      <c r="A239" s="268" t="s">
        <v>2810</v>
      </c>
      <c r="B239" s="272" t="s">
        <v>2807</v>
      </c>
      <c r="C239" s="272"/>
      <c r="D239" s="271"/>
      <c r="E239" s="271"/>
      <c r="F239" s="271"/>
      <c r="G239" s="265"/>
      <c r="H239" s="271"/>
      <c r="I239" s="265"/>
      <c r="J239" s="265" t="s">
        <v>2707</v>
      </c>
      <c r="K239" s="265"/>
      <c r="L239" s="265"/>
      <c r="M239" s="270"/>
      <c r="N239" s="271"/>
      <c r="O239" s="271"/>
      <c r="P239" s="117"/>
      <c r="Q239" s="144"/>
      <c r="R239" s="118"/>
      <c r="S239" s="118"/>
      <c r="T239" s="269"/>
      <c r="U239" s="269"/>
      <c r="V239" s="269"/>
      <c r="W239" s="269"/>
      <c r="X239" s="269"/>
      <c r="Y239" s="269"/>
      <c r="Z239" s="269"/>
      <c r="AA239" s="269"/>
      <c r="AB239" s="269"/>
      <c r="AC239" s="269"/>
      <c r="AD239" s="269"/>
      <c r="AE239" s="269"/>
    </row>
    <row r="240" spans="1:31">
      <c r="A240" s="268" t="s">
        <v>2809</v>
      </c>
      <c r="B240" s="272" t="s">
        <v>2807</v>
      </c>
      <c r="C240" s="272"/>
      <c r="D240" s="271"/>
      <c r="E240" s="271"/>
      <c r="F240" s="271"/>
      <c r="G240" s="265"/>
      <c r="H240" s="271"/>
      <c r="I240" s="265"/>
      <c r="J240" s="265" t="s">
        <v>2707</v>
      </c>
      <c r="K240" s="265"/>
      <c r="L240" s="265"/>
      <c r="M240" s="270"/>
      <c r="N240" s="271"/>
      <c r="O240" s="271"/>
      <c r="P240" s="117"/>
      <c r="Q240" s="144"/>
      <c r="R240" s="118"/>
      <c r="S240" s="118"/>
      <c r="T240" s="269"/>
      <c r="U240" s="269"/>
      <c r="V240" s="269"/>
      <c r="W240" s="269"/>
      <c r="X240" s="269"/>
      <c r="Y240" s="269"/>
      <c r="Z240" s="269"/>
      <c r="AA240" s="269"/>
      <c r="AB240" s="269"/>
      <c r="AC240" s="269"/>
      <c r="AD240" s="269"/>
      <c r="AE240" s="269"/>
    </row>
    <row r="241" spans="1:31">
      <c r="A241" s="268" t="s">
        <v>2808</v>
      </c>
      <c r="B241" s="272" t="s">
        <v>2807</v>
      </c>
      <c r="C241" s="272"/>
      <c r="D241" s="265"/>
      <c r="E241" s="271"/>
      <c r="F241" s="265"/>
      <c r="G241" s="265"/>
      <c r="H241" s="265"/>
      <c r="I241" s="265"/>
      <c r="J241" s="265" t="s">
        <v>2707</v>
      </c>
      <c r="K241" s="265"/>
      <c r="L241" s="265"/>
      <c r="M241" s="270"/>
      <c r="N241" s="265"/>
      <c r="O241" s="265"/>
      <c r="P241" s="117"/>
      <c r="Q241" s="144"/>
      <c r="R241" s="118"/>
      <c r="S241" s="118"/>
      <c r="T241" s="269"/>
      <c r="U241" s="269"/>
      <c r="V241" s="269"/>
      <c r="W241" s="269"/>
      <c r="X241" s="269"/>
      <c r="Y241" s="269"/>
      <c r="Z241" s="269"/>
      <c r="AA241" s="269"/>
      <c r="AB241" s="269"/>
      <c r="AC241" s="269"/>
      <c r="AD241" s="269"/>
      <c r="AE241" s="269"/>
    </row>
    <row r="242" spans="1:31">
      <c r="A242" s="268"/>
      <c r="B242" s="272"/>
      <c r="C242" s="272"/>
      <c r="D242" s="265"/>
      <c r="E242" s="271"/>
      <c r="F242" s="265"/>
      <c r="G242" s="265"/>
      <c r="H242" s="265"/>
      <c r="I242" s="265"/>
      <c r="J242" s="265"/>
      <c r="K242" s="265"/>
      <c r="L242" s="265"/>
      <c r="M242" s="270"/>
      <c r="N242" s="265"/>
      <c r="O242" s="265"/>
      <c r="P242" s="117"/>
      <c r="Q242" s="144"/>
      <c r="R242" s="118"/>
      <c r="S242" s="118"/>
      <c r="T242" s="269"/>
      <c r="U242" s="269"/>
      <c r="V242" s="269"/>
      <c r="W242" s="269"/>
      <c r="X242" s="269"/>
      <c r="Y242" s="269"/>
      <c r="Z242" s="269"/>
      <c r="AA242" s="269"/>
      <c r="AB242" s="269"/>
      <c r="AC242" s="269"/>
      <c r="AD242" s="269"/>
      <c r="AE242" s="269"/>
    </row>
    <row r="243" spans="1:31">
      <c r="A243" s="268"/>
      <c r="B243" s="272"/>
      <c r="C243" s="272"/>
      <c r="D243" s="265"/>
      <c r="E243" s="271"/>
      <c r="F243" s="265"/>
      <c r="G243" s="265"/>
      <c r="H243" s="265"/>
      <c r="I243" s="265"/>
      <c r="J243" s="265"/>
      <c r="K243" s="265"/>
      <c r="L243" s="265"/>
      <c r="M243" s="270"/>
      <c r="N243" s="265"/>
      <c r="O243" s="265"/>
      <c r="P243" s="117"/>
      <c r="Q243" s="144"/>
      <c r="R243" s="118"/>
      <c r="S243" s="118"/>
      <c r="T243" s="269"/>
      <c r="U243" s="269"/>
      <c r="V243" s="269"/>
      <c r="W243" s="269"/>
      <c r="X243" s="269"/>
      <c r="Y243" s="269"/>
      <c r="Z243" s="269"/>
      <c r="AA243" s="269"/>
      <c r="AB243" s="269"/>
      <c r="AC243" s="269"/>
      <c r="AD243" s="269"/>
      <c r="AE243" s="269"/>
    </row>
    <row r="244" spans="1:31">
      <c r="A244" s="268" t="s">
        <v>2806</v>
      </c>
      <c r="B244" s="272"/>
      <c r="C244" s="272"/>
      <c r="D244" s="271"/>
      <c r="E244" s="271"/>
      <c r="F244" s="271"/>
      <c r="G244" s="265"/>
      <c r="H244" s="271"/>
      <c r="I244" s="265"/>
      <c r="J244" s="265"/>
      <c r="K244" s="265"/>
      <c r="L244" s="265"/>
      <c r="M244" s="270"/>
      <c r="N244" s="271"/>
      <c r="O244" s="271"/>
      <c r="P244" s="117"/>
      <c r="Q244" s="144"/>
      <c r="R244" s="118"/>
      <c r="S244" s="118"/>
      <c r="T244" s="269"/>
      <c r="U244" s="269"/>
      <c r="V244" s="269"/>
      <c r="W244" s="269"/>
      <c r="X244" s="269"/>
      <c r="Y244" s="269"/>
      <c r="Z244" s="269"/>
      <c r="AA244" s="269"/>
      <c r="AB244" s="269"/>
      <c r="AC244" s="269"/>
      <c r="AD244" s="269"/>
      <c r="AE244" s="269"/>
    </row>
    <row r="245" spans="1:31">
      <c r="A245" s="268"/>
      <c r="B245" s="272"/>
      <c r="C245" s="272"/>
      <c r="D245" s="265"/>
      <c r="E245" s="271"/>
      <c r="F245" s="265"/>
      <c r="G245" s="265"/>
      <c r="H245" s="265"/>
      <c r="I245" s="265"/>
      <c r="J245" s="265"/>
      <c r="K245" s="265"/>
      <c r="L245" s="265"/>
      <c r="M245" s="270"/>
      <c r="N245" s="265"/>
      <c r="O245" s="265"/>
      <c r="P245" s="117"/>
      <c r="Q245" s="144"/>
      <c r="R245" s="118"/>
      <c r="S245" s="118"/>
      <c r="T245" s="269"/>
      <c r="U245" s="269"/>
      <c r="V245" s="269"/>
      <c r="W245" s="269"/>
      <c r="X245" s="269"/>
      <c r="Y245" s="269"/>
      <c r="Z245" s="269"/>
      <c r="AA245" s="269"/>
      <c r="AB245" s="269"/>
      <c r="AC245" s="269"/>
      <c r="AD245" s="269"/>
      <c r="AE245" s="269"/>
    </row>
    <row r="246" spans="1:31">
      <c r="A246" s="268" t="s">
        <v>2805</v>
      </c>
      <c r="B246" s="272"/>
      <c r="C246" s="272"/>
      <c r="D246" s="265"/>
      <c r="E246" s="271"/>
      <c r="F246" s="265"/>
      <c r="G246" s="265"/>
      <c r="H246" s="265"/>
      <c r="I246" s="265"/>
      <c r="J246" s="265"/>
      <c r="K246" s="265" t="s">
        <v>2750</v>
      </c>
      <c r="L246" s="265"/>
      <c r="M246" s="270"/>
      <c r="N246" s="265"/>
      <c r="O246" s="265"/>
      <c r="P246" s="117"/>
      <c r="Q246" s="144"/>
      <c r="R246" s="118"/>
      <c r="S246" s="118"/>
      <c r="T246" s="269"/>
      <c r="U246" s="269"/>
      <c r="V246" s="269"/>
      <c r="W246" s="269"/>
      <c r="X246" s="269"/>
      <c r="Y246" s="269"/>
      <c r="Z246" s="269"/>
      <c r="AA246" s="269"/>
      <c r="AB246" s="269"/>
      <c r="AC246" s="269"/>
      <c r="AD246" s="269"/>
      <c r="AE246" s="269"/>
    </row>
    <row r="247" spans="1:31">
      <c r="A247" s="274" t="s">
        <v>2804</v>
      </c>
      <c r="B247" s="272"/>
      <c r="C247" s="272"/>
      <c r="D247" s="265"/>
      <c r="E247" s="271"/>
      <c r="F247" s="271"/>
      <c r="G247" s="265"/>
      <c r="H247" s="265"/>
      <c r="I247" s="265"/>
      <c r="J247" s="265"/>
      <c r="K247" s="265" t="s">
        <v>2750</v>
      </c>
      <c r="L247" s="265"/>
      <c r="M247" s="270"/>
      <c r="N247" s="271"/>
      <c r="O247" s="271"/>
      <c r="P247" s="117"/>
      <c r="Q247" s="144"/>
      <c r="R247" s="118"/>
      <c r="S247" s="118"/>
      <c r="T247" s="269"/>
      <c r="U247" s="269"/>
      <c r="V247" s="269"/>
      <c r="W247" s="269"/>
      <c r="X247" s="269"/>
      <c r="Y247" s="269"/>
      <c r="Z247" s="269"/>
      <c r="AA247" s="269"/>
      <c r="AB247" s="269"/>
      <c r="AC247" s="269"/>
      <c r="AD247" s="269"/>
      <c r="AE247" s="269"/>
    </row>
    <row r="248" spans="1:31">
      <c r="A248" s="274" t="s">
        <v>2803</v>
      </c>
      <c r="B248" s="272" t="s">
        <v>2801</v>
      </c>
      <c r="C248" s="272"/>
      <c r="D248" s="265"/>
      <c r="E248" s="271"/>
      <c r="F248" s="265"/>
      <c r="G248" s="265"/>
      <c r="H248" s="265"/>
      <c r="I248" s="265"/>
      <c r="J248" s="265"/>
      <c r="K248" s="265" t="s">
        <v>2707</v>
      </c>
      <c r="L248" s="265"/>
      <c r="M248" s="270"/>
      <c r="N248" s="265"/>
      <c r="O248" s="265"/>
      <c r="P248" s="117"/>
      <c r="Q248" s="144"/>
      <c r="R248" s="118"/>
      <c r="S248" s="118"/>
      <c r="T248" s="269"/>
      <c r="U248" s="269"/>
      <c r="V248" s="269"/>
      <c r="W248" s="269"/>
      <c r="X248" s="269"/>
      <c r="Y248" s="269"/>
      <c r="Z248" s="269"/>
      <c r="AA248" s="269"/>
      <c r="AB248" s="269"/>
      <c r="AC248" s="269"/>
      <c r="AD248" s="269"/>
      <c r="AE248" s="269"/>
    </row>
    <row r="249" spans="1:31">
      <c r="A249" s="274" t="s">
        <v>2802</v>
      </c>
      <c r="B249" s="272" t="s">
        <v>2801</v>
      </c>
      <c r="C249" s="272"/>
      <c r="D249" s="265"/>
      <c r="E249" s="271"/>
      <c r="F249" s="265"/>
      <c r="G249" s="265"/>
      <c r="H249" s="265"/>
      <c r="I249" s="265"/>
      <c r="J249" s="265"/>
      <c r="K249" s="265" t="s">
        <v>2707</v>
      </c>
      <c r="L249" s="265"/>
      <c r="M249" s="270"/>
      <c r="N249" s="265"/>
      <c r="O249" s="265"/>
      <c r="P249" s="117"/>
      <c r="Q249" s="144"/>
      <c r="R249" s="118"/>
      <c r="S249" s="118"/>
      <c r="T249" s="269"/>
      <c r="U249" s="269"/>
      <c r="V249" s="269"/>
      <c r="W249" s="269"/>
      <c r="X249" s="269"/>
      <c r="Y249" s="269"/>
      <c r="Z249" s="269"/>
      <c r="AA249" s="269"/>
      <c r="AB249" s="269"/>
      <c r="AC249" s="269"/>
      <c r="AD249" s="269"/>
      <c r="AE249" s="269"/>
    </row>
    <row r="250" spans="1:31">
      <c r="A250" s="274" t="s">
        <v>2800</v>
      </c>
      <c r="B250" s="272"/>
      <c r="C250" s="272"/>
      <c r="D250" s="265"/>
      <c r="E250" s="271"/>
      <c r="F250" s="265"/>
      <c r="G250" s="265"/>
      <c r="H250" s="265"/>
      <c r="I250" s="265"/>
      <c r="J250" s="265"/>
      <c r="K250" s="265" t="s">
        <v>2707</v>
      </c>
      <c r="L250" s="265"/>
      <c r="M250" s="270"/>
      <c r="N250" s="265"/>
      <c r="O250" s="265"/>
      <c r="P250" s="117"/>
      <c r="Q250" s="144"/>
      <c r="R250" s="118"/>
      <c r="S250" s="118"/>
      <c r="T250" s="269"/>
      <c r="U250" s="269"/>
      <c r="V250" s="269"/>
      <c r="W250" s="269"/>
      <c r="X250" s="269"/>
      <c r="Y250" s="269"/>
      <c r="Z250" s="269"/>
      <c r="AA250" s="269"/>
      <c r="AB250" s="269"/>
      <c r="AC250" s="269"/>
      <c r="AD250" s="269"/>
      <c r="AE250" s="269"/>
    </row>
    <row r="251" spans="1:31">
      <c r="A251" s="274" t="s">
        <v>2799</v>
      </c>
      <c r="B251" s="272"/>
      <c r="C251" s="272"/>
      <c r="D251" s="265"/>
      <c r="E251" s="271"/>
      <c r="F251" s="265"/>
      <c r="G251" s="271"/>
      <c r="H251" s="265"/>
      <c r="I251" s="269"/>
      <c r="J251" s="271"/>
      <c r="K251" s="265" t="s">
        <v>2707</v>
      </c>
      <c r="L251" s="271"/>
      <c r="M251" s="270"/>
      <c r="N251" s="265"/>
      <c r="O251" s="265"/>
      <c r="P251" s="117"/>
      <c r="Q251" s="144"/>
      <c r="R251" s="118"/>
      <c r="S251" s="118"/>
      <c r="T251" s="269"/>
      <c r="U251" s="269"/>
      <c r="V251" s="269"/>
      <c r="W251" s="269"/>
      <c r="X251" s="269"/>
      <c r="Y251" s="269"/>
      <c r="Z251" s="269"/>
      <c r="AA251" s="269"/>
      <c r="AB251" s="269"/>
      <c r="AC251" s="269"/>
      <c r="AD251" s="269"/>
      <c r="AE251" s="269"/>
    </row>
    <row r="252" spans="1:31">
      <c r="A252" s="274" t="s">
        <v>2798</v>
      </c>
      <c r="B252" s="276" t="s">
        <v>2771</v>
      </c>
      <c r="C252" s="272"/>
      <c r="D252" s="265"/>
      <c r="E252" s="271"/>
      <c r="F252" s="265"/>
      <c r="G252" s="265"/>
      <c r="H252" s="265"/>
      <c r="I252" s="271"/>
      <c r="J252" s="265"/>
      <c r="K252" s="265" t="s">
        <v>2707</v>
      </c>
      <c r="L252" s="265"/>
      <c r="M252" s="270"/>
      <c r="N252" s="265"/>
      <c r="O252" s="265"/>
      <c r="P252" s="117"/>
      <c r="Q252" s="144"/>
      <c r="R252" s="118"/>
      <c r="S252" s="118"/>
      <c r="T252" s="269"/>
      <c r="U252" s="269"/>
      <c r="V252" s="269"/>
      <c r="W252" s="269"/>
      <c r="X252" s="269"/>
      <c r="Y252" s="269"/>
      <c r="Z252" s="269"/>
      <c r="AA252" s="269"/>
      <c r="AB252" s="269"/>
      <c r="AC252" s="269"/>
      <c r="AD252" s="269"/>
      <c r="AE252" s="269"/>
    </row>
    <row r="253" spans="1:31">
      <c r="A253" s="274" t="s">
        <v>2797</v>
      </c>
      <c r="B253" s="276" t="s">
        <v>2771</v>
      </c>
      <c r="C253" s="277"/>
      <c r="D253" s="271"/>
      <c r="E253" s="271"/>
      <c r="F253" s="271"/>
      <c r="G253" s="271"/>
      <c r="H253" s="271"/>
      <c r="I253" s="271"/>
      <c r="J253" s="271"/>
      <c r="K253" s="265" t="s">
        <v>2707</v>
      </c>
      <c r="L253" s="271"/>
      <c r="M253" s="270"/>
      <c r="N253" s="271"/>
      <c r="O253" s="271"/>
      <c r="P253" s="117"/>
      <c r="Q253" s="144"/>
      <c r="R253" s="118"/>
      <c r="S253" s="118"/>
      <c r="T253" s="269"/>
      <c r="U253" s="269"/>
      <c r="V253" s="269"/>
      <c r="W253" s="269"/>
      <c r="X253" s="269"/>
      <c r="Y253" s="269"/>
      <c r="Z253" s="269"/>
      <c r="AA253" s="269"/>
      <c r="AB253" s="269"/>
      <c r="AC253" s="269"/>
      <c r="AD253" s="269"/>
      <c r="AE253" s="269"/>
    </row>
    <row r="254" spans="1:31">
      <c r="A254" s="274" t="s">
        <v>2796</v>
      </c>
      <c r="B254" s="276" t="s">
        <v>2771</v>
      </c>
      <c r="C254" s="277"/>
      <c r="D254" s="271"/>
      <c r="E254" s="271"/>
      <c r="F254" s="271"/>
      <c r="G254" s="271"/>
      <c r="H254" s="271"/>
      <c r="I254" s="271"/>
      <c r="J254" s="271"/>
      <c r="K254" s="265" t="s">
        <v>2707</v>
      </c>
      <c r="L254" s="271"/>
      <c r="M254" s="270"/>
      <c r="N254" s="271"/>
      <c r="O254" s="271"/>
      <c r="P254" s="117"/>
      <c r="Q254" s="144"/>
      <c r="R254" s="118"/>
      <c r="S254" s="118"/>
      <c r="T254" s="269"/>
      <c r="U254" s="269"/>
      <c r="V254" s="269"/>
      <c r="W254" s="269"/>
      <c r="X254" s="269"/>
      <c r="Y254" s="269"/>
      <c r="Z254" s="269"/>
      <c r="AA254" s="269"/>
      <c r="AB254" s="269"/>
      <c r="AC254" s="269"/>
      <c r="AD254" s="269"/>
      <c r="AE254" s="269"/>
    </row>
    <row r="255" spans="1:31">
      <c r="A255" s="274" t="s">
        <v>2795</v>
      </c>
      <c r="B255" s="276" t="s">
        <v>2771</v>
      </c>
      <c r="C255" s="277"/>
      <c r="D255" s="271"/>
      <c r="E255" s="271"/>
      <c r="F255" s="271"/>
      <c r="G255" s="271"/>
      <c r="H255" s="271"/>
      <c r="I255" s="271"/>
      <c r="J255" s="271"/>
      <c r="K255" s="265" t="s">
        <v>2707</v>
      </c>
      <c r="L255" s="271"/>
      <c r="M255" s="270"/>
      <c r="N255" s="271"/>
      <c r="O255" s="271"/>
      <c r="P255" s="117"/>
      <c r="Q255" s="144"/>
      <c r="R255" s="118"/>
      <c r="S255" s="118"/>
      <c r="T255" s="269"/>
      <c r="U255" s="269"/>
      <c r="V255" s="269"/>
      <c r="W255" s="269"/>
      <c r="X255" s="269"/>
      <c r="Y255" s="269"/>
      <c r="Z255" s="269"/>
      <c r="AA255" s="269"/>
      <c r="AB255" s="269"/>
      <c r="AC255" s="269"/>
      <c r="AD255" s="269"/>
      <c r="AE255" s="269"/>
    </row>
    <row r="256" spans="1:31">
      <c r="A256" s="274" t="s">
        <v>2794</v>
      </c>
      <c r="B256" s="276" t="s">
        <v>2771</v>
      </c>
      <c r="C256" s="277"/>
      <c r="D256" s="271"/>
      <c r="E256" s="271"/>
      <c r="F256" s="271"/>
      <c r="G256" s="271"/>
      <c r="H256" s="271"/>
      <c r="I256" s="271"/>
      <c r="J256" s="271"/>
      <c r="K256" s="265" t="s">
        <v>2707</v>
      </c>
      <c r="L256" s="271"/>
      <c r="M256" s="270"/>
      <c r="N256" s="271"/>
      <c r="O256" s="271"/>
      <c r="P256" s="117"/>
      <c r="Q256" s="144"/>
      <c r="R256" s="118"/>
      <c r="S256" s="118"/>
      <c r="T256" s="269"/>
      <c r="U256" s="269"/>
      <c r="V256" s="269"/>
      <c r="W256" s="269"/>
      <c r="X256" s="269"/>
      <c r="Y256" s="269"/>
      <c r="Z256" s="269"/>
      <c r="AA256" s="269"/>
      <c r="AB256" s="269"/>
      <c r="AC256" s="269"/>
      <c r="AD256" s="269"/>
      <c r="AE256" s="269"/>
    </row>
    <row r="257" spans="1:31">
      <c r="A257" s="274" t="s">
        <v>2793</v>
      </c>
      <c r="B257" s="276" t="s">
        <v>2771</v>
      </c>
      <c r="C257" s="277"/>
      <c r="D257" s="271"/>
      <c r="E257" s="271"/>
      <c r="F257" s="271"/>
      <c r="G257" s="271"/>
      <c r="H257" s="271"/>
      <c r="I257" s="271"/>
      <c r="J257" s="271"/>
      <c r="K257" s="265" t="s">
        <v>2707</v>
      </c>
      <c r="L257" s="271"/>
      <c r="M257" s="270"/>
      <c r="N257" s="271"/>
      <c r="O257" s="271"/>
      <c r="P257" s="117"/>
      <c r="Q257" s="144"/>
      <c r="R257" s="118"/>
      <c r="S257" s="118"/>
      <c r="T257" s="269"/>
      <c r="U257" s="269"/>
      <c r="V257" s="269"/>
      <c r="W257" s="269"/>
      <c r="X257" s="269"/>
      <c r="Y257" s="269"/>
      <c r="Z257" s="269"/>
      <c r="AA257" s="269"/>
      <c r="AB257" s="269"/>
      <c r="AC257" s="269"/>
      <c r="AD257" s="269"/>
      <c r="AE257" s="269"/>
    </row>
    <row r="258" spans="1:31">
      <c r="A258" s="274" t="s">
        <v>2792</v>
      </c>
      <c r="B258" s="276" t="s">
        <v>2771</v>
      </c>
      <c r="C258" s="277"/>
      <c r="D258" s="271"/>
      <c r="E258" s="271"/>
      <c r="F258" s="271"/>
      <c r="G258" s="271"/>
      <c r="H258" s="271"/>
      <c r="I258" s="271"/>
      <c r="J258" s="271"/>
      <c r="K258" s="265" t="s">
        <v>2707</v>
      </c>
      <c r="L258" s="271"/>
      <c r="M258" s="270"/>
      <c r="N258" s="271"/>
      <c r="O258" s="271"/>
      <c r="P258" s="117"/>
      <c r="Q258" s="144"/>
      <c r="R258" s="118"/>
      <c r="S258" s="118"/>
      <c r="T258" s="269"/>
      <c r="U258" s="269"/>
      <c r="V258" s="269"/>
      <c r="W258" s="269"/>
      <c r="X258" s="269"/>
      <c r="Y258" s="269"/>
      <c r="Z258" s="269"/>
      <c r="AA258" s="269"/>
      <c r="AB258" s="269"/>
      <c r="AC258" s="269"/>
      <c r="AD258" s="269"/>
      <c r="AE258" s="269"/>
    </row>
    <row r="259" spans="1:31">
      <c r="A259" s="274" t="s">
        <v>2791</v>
      </c>
      <c r="B259" s="276" t="s">
        <v>2771</v>
      </c>
      <c r="C259" s="277"/>
      <c r="D259" s="271"/>
      <c r="E259" s="271"/>
      <c r="F259" s="271"/>
      <c r="G259" s="271"/>
      <c r="H259" s="271"/>
      <c r="I259" s="271"/>
      <c r="J259" s="271"/>
      <c r="K259" s="265" t="s">
        <v>2707</v>
      </c>
      <c r="L259" s="271"/>
      <c r="M259" s="270"/>
      <c r="N259" s="271"/>
      <c r="O259" s="271"/>
      <c r="P259" s="117"/>
      <c r="Q259" s="144"/>
      <c r="R259" s="118"/>
      <c r="S259" s="118"/>
      <c r="T259" s="269"/>
      <c r="U259" s="269"/>
      <c r="V259" s="269"/>
      <c r="W259" s="269"/>
      <c r="X259" s="269"/>
      <c r="Y259" s="269"/>
      <c r="Z259" s="269"/>
      <c r="AA259" s="269"/>
      <c r="AB259" s="269"/>
      <c r="AC259" s="269"/>
      <c r="AD259" s="269"/>
      <c r="AE259" s="269"/>
    </row>
    <row r="260" spans="1:31">
      <c r="A260" s="274" t="s">
        <v>2790</v>
      </c>
      <c r="B260" s="276" t="s">
        <v>2771</v>
      </c>
      <c r="C260" s="277"/>
      <c r="D260" s="271"/>
      <c r="E260" s="271"/>
      <c r="F260" s="271"/>
      <c r="G260" s="271"/>
      <c r="H260" s="271"/>
      <c r="I260" s="271"/>
      <c r="J260" s="271"/>
      <c r="K260" s="265" t="s">
        <v>2707</v>
      </c>
      <c r="L260" s="271"/>
      <c r="M260" s="270"/>
      <c r="N260" s="271"/>
      <c r="O260" s="271"/>
      <c r="P260" s="117"/>
      <c r="Q260" s="145"/>
      <c r="R260" s="118"/>
      <c r="S260" s="118"/>
      <c r="T260" s="269"/>
      <c r="U260" s="269"/>
      <c r="V260" s="269"/>
      <c r="W260" s="269"/>
      <c r="X260" s="269"/>
      <c r="Y260" s="269"/>
      <c r="Z260" s="269"/>
      <c r="AA260" s="269"/>
      <c r="AB260" s="269"/>
      <c r="AC260" s="269"/>
      <c r="AD260" s="269"/>
      <c r="AE260" s="269"/>
    </row>
    <row r="261" spans="1:31">
      <c r="A261" s="268" t="s">
        <v>2789</v>
      </c>
      <c r="B261" s="276" t="s">
        <v>2771</v>
      </c>
      <c r="C261" s="277"/>
      <c r="D261" s="271"/>
      <c r="E261" s="271"/>
      <c r="F261" s="271"/>
      <c r="G261" s="271"/>
      <c r="H261" s="271"/>
      <c r="I261" s="271"/>
      <c r="J261" s="271"/>
      <c r="K261" s="265" t="s">
        <v>2707</v>
      </c>
      <c r="L261" s="271"/>
      <c r="M261" s="270"/>
      <c r="N261" s="271"/>
      <c r="O261" s="271"/>
      <c r="P261" s="117"/>
      <c r="Q261" s="144"/>
      <c r="R261" s="118"/>
      <c r="S261" s="118"/>
      <c r="T261" s="269"/>
      <c r="U261" s="269"/>
      <c r="V261" s="269"/>
      <c r="W261" s="269"/>
      <c r="X261" s="269"/>
      <c r="Y261" s="269"/>
      <c r="Z261" s="269"/>
      <c r="AA261" s="269"/>
      <c r="AB261" s="269"/>
      <c r="AC261" s="269"/>
      <c r="AD261" s="269"/>
      <c r="AE261" s="269"/>
    </row>
    <row r="262" spans="1:31">
      <c r="A262" s="274" t="s">
        <v>2788</v>
      </c>
      <c r="B262" s="276" t="s">
        <v>2771</v>
      </c>
      <c r="C262" s="277"/>
      <c r="D262" s="271"/>
      <c r="E262" s="271"/>
      <c r="F262" s="271"/>
      <c r="G262" s="271"/>
      <c r="H262" s="271"/>
      <c r="I262" s="271"/>
      <c r="J262" s="271"/>
      <c r="K262" s="265" t="s">
        <v>2707</v>
      </c>
      <c r="L262" s="271"/>
      <c r="M262" s="270"/>
      <c r="N262" s="271"/>
      <c r="O262" s="271"/>
      <c r="P262" s="117"/>
      <c r="Q262" s="144"/>
      <c r="R262" s="118"/>
      <c r="S262" s="118"/>
      <c r="T262" s="269"/>
      <c r="U262" s="269"/>
      <c r="V262" s="269"/>
      <c r="W262" s="269"/>
      <c r="X262" s="269"/>
      <c r="Y262" s="269"/>
      <c r="Z262" s="269"/>
      <c r="AA262" s="269"/>
      <c r="AB262" s="269"/>
      <c r="AC262" s="269"/>
      <c r="AD262" s="269"/>
      <c r="AE262" s="269"/>
    </row>
    <row r="263" spans="1:31">
      <c r="A263" s="268" t="s">
        <v>2787</v>
      </c>
      <c r="B263" s="276" t="s">
        <v>2771</v>
      </c>
      <c r="C263" s="277"/>
      <c r="D263" s="271"/>
      <c r="E263" s="271"/>
      <c r="F263" s="271"/>
      <c r="G263" s="271"/>
      <c r="H263" s="271"/>
      <c r="I263" s="271"/>
      <c r="J263" s="271"/>
      <c r="K263" s="265" t="s">
        <v>2707</v>
      </c>
      <c r="L263" s="271"/>
      <c r="M263" s="270"/>
      <c r="N263" s="271"/>
      <c r="O263" s="271"/>
      <c r="P263" s="117"/>
      <c r="Q263" s="144"/>
      <c r="R263" s="118"/>
      <c r="S263" s="118"/>
      <c r="T263" s="269"/>
      <c r="U263" s="269"/>
      <c r="V263" s="269"/>
      <c r="W263" s="269"/>
      <c r="X263" s="269"/>
      <c r="Y263" s="269"/>
      <c r="Z263" s="269"/>
      <c r="AA263" s="269"/>
      <c r="AB263" s="269"/>
      <c r="AC263" s="269"/>
      <c r="AD263" s="269"/>
      <c r="AE263" s="269"/>
    </row>
    <row r="264" spans="1:31">
      <c r="A264" s="268" t="s">
        <v>2786</v>
      </c>
      <c r="B264" s="276" t="s">
        <v>2771</v>
      </c>
      <c r="C264" s="277"/>
      <c r="D264" s="271"/>
      <c r="E264" s="271"/>
      <c r="F264" s="271"/>
      <c r="G264" s="271"/>
      <c r="H264" s="271"/>
      <c r="I264" s="271"/>
      <c r="J264" s="271"/>
      <c r="K264" s="265" t="s">
        <v>2707</v>
      </c>
      <c r="L264" s="271"/>
      <c r="M264" s="270"/>
      <c r="N264" s="271"/>
      <c r="O264" s="271"/>
      <c r="P264" s="117"/>
      <c r="Q264" s="144"/>
      <c r="R264" s="118"/>
      <c r="S264" s="118"/>
      <c r="T264" s="269"/>
      <c r="U264" s="269"/>
      <c r="V264" s="269"/>
      <c r="W264" s="269"/>
      <c r="X264" s="269"/>
      <c r="Y264" s="269"/>
      <c r="Z264" s="269"/>
      <c r="AA264" s="269"/>
      <c r="AB264" s="269"/>
      <c r="AC264" s="269"/>
      <c r="AD264" s="269"/>
      <c r="AE264" s="269"/>
    </row>
    <row r="265" spans="1:31">
      <c r="A265" s="268" t="s">
        <v>2785</v>
      </c>
      <c r="B265" s="276" t="s">
        <v>2771</v>
      </c>
      <c r="C265" s="277"/>
      <c r="D265" s="271"/>
      <c r="E265" s="271"/>
      <c r="F265" s="271"/>
      <c r="G265" s="271"/>
      <c r="H265" s="271"/>
      <c r="I265" s="271"/>
      <c r="J265" s="271"/>
      <c r="K265" s="265" t="s">
        <v>2707</v>
      </c>
      <c r="L265" s="271"/>
      <c r="M265" s="270"/>
      <c r="N265" s="271"/>
      <c r="O265" s="271"/>
      <c r="P265" s="117"/>
      <c r="Q265" s="144"/>
      <c r="R265" s="118"/>
      <c r="S265" s="118"/>
      <c r="T265" s="269"/>
      <c r="U265" s="269"/>
      <c r="V265" s="269"/>
      <c r="W265" s="269"/>
      <c r="X265" s="269"/>
      <c r="Y265" s="269"/>
      <c r="Z265" s="269"/>
      <c r="AA265" s="269"/>
      <c r="AB265" s="269"/>
      <c r="AC265" s="269"/>
      <c r="AD265" s="269"/>
      <c r="AE265" s="269"/>
    </row>
    <row r="266" spans="1:31">
      <c r="A266" s="268" t="s">
        <v>2784</v>
      </c>
      <c r="B266" s="276" t="s">
        <v>2771</v>
      </c>
      <c r="C266" s="272"/>
      <c r="D266" s="265"/>
      <c r="E266" s="271"/>
      <c r="F266" s="271"/>
      <c r="G266" s="271"/>
      <c r="H266" s="265"/>
      <c r="I266" s="271"/>
      <c r="J266" s="271"/>
      <c r="K266" s="265" t="s">
        <v>2707</v>
      </c>
      <c r="L266" s="271"/>
      <c r="M266" s="270"/>
      <c r="N266" s="271"/>
      <c r="O266" s="271"/>
      <c r="P266" s="117"/>
      <c r="Q266" s="145"/>
      <c r="R266" s="118"/>
      <c r="S266" s="118"/>
      <c r="T266" s="269"/>
      <c r="U266" s="269"/>
      <c r="V266" s="269"/>
      <c r="W266" s="269"/>
      <c r="X266" s="269"/>
      <c r="Y266" s="269"/>
      <c r="Z266" s="269"/>
      <c r="AA266" s="269"/>
      <c r="AB266" s="269"/>
      <c r="AC266" s="269"/>
      <c r="AD266" s="269"/>
      <c r="AE266" s="269"/>
    </row>
    <row r="267" spans="1:31">
      <c r="A267" s="268" t="s">
        <v>2783</v>
      </c>
      <c r="B267" s="276" t="s">
        <v>2771</v>
      </c>
      <c r="C267" s="272"/>
      <c r="D267" s="265"/>
      <c r="E267" s="271"/>
      <c r="F267" s="271"/>
      <c r="G267" s="271"/>
      <c r="H267" s="265"/>
      <c r="I267" s="271"/>
      <c r="J267" s="271"/>
      <c r="K267" s="265" t="s">
        <v>2707</v>
      </c>
      <c r="L267" s="271"/>
      <c r="M267" s="270"/>
      <c r="N267" s="271"/>
      <c r="O267" s="271"/>
      <c r="P267" s="117"/>
      <c r="Q267" s="144"/>
      <c r="R267" s="118"/>
      <c r="S267" s="118"/>
      <c r="T267" s="269"/>
      <c r="U267" s="269"/>
      <c r="V267" s="269"/>
      <c r="W267" s="269"/>
      <c r="X267" s="269"/>
      <c r="Y267" s="269"/>
      <c r="Z267" s="269"/>
      <c r="AA267" s="269"/>
      <c r="AB267" s="269"/>
      <c r="AC267" s="269"/>
      <c r="AD267" s="269"/>
      <c r="AE267" s="269"/>
    </row>
    <row r="268" spans="1:31">
      <c r="A268" s="268" t="s">
        <v>2782</v>
      </c>
      <c r="B268" s="276" t="s">
        <v>2771</v>
      </c>
      <c r="C268" s="272"/>
      <c r="D268" s="265"/>
      <c r="E268" s="271"/>
      <c r="F268" s="271"/>
      <c r="G268" s="271"/>
      <c r="H268" s="265"/>
      <c r="I268" s="271"/>
      <c r="J268" s="271"/>
      <c r="K268" s="265" t="s">
        <v>2707</v>
      </c>
      <c r="L268" s="271"/>
      <c r="M268" s="270"/>
      <c r="N268" s="271"/>
      <c r="O268" s="271"/>
      <c r="P268" s="117"/>
      <c r="Q268" s="145"/>
      <c r="R268" s="118"/>
      <c r="S268" s="118"/>
      <c r="T268" s="269"/>
      <c r="U268" s="269"/>
      <c r="V268" s="269"/>
      <c r="W268" s="269"/>
      <c r="X268" s="269"/>
      <c r="Y268" s="269"/>
      <c r="Z268" s="269"/>
      <c r="AA268" s="269"/>
      <c r="AB268" s="269"/>
      <c r="AC268" s="269"/>
      <c r="AD268" s="269"/>
      <c r="AE268" s="269"/>
    </row>
    <row r="269" spans="1:31">
      <c r="A269" s="268" t="s">
        <v>2781</v>
      </c>
      <c r="B269" s="276" t="s">
        <v>2771</v>
      </c>
      <c r="C269" s="272"/>
      <c r="D269" s="265"/>
      <c r="E269" s="271"/>
      <c r="F269" s="271"/>
      <c r="G269" s="271"/>
      <c r="H269" s="265"/>
      <c r="I269" s="271"/>
      <c r="J269" s="271"/>
      <c r="K269" s="265" t="s">
        <v>2707</v>
      </c>
      <c r="L269" s="271"/>
      <c r="M269" s="270"/>
      <c r="N269" s="271"/>
      <c r="O269" s="271"/>
      <c r="P269" s="117"/>
      <c r="Q269" s="144"/>
      <c r="R269" s="118"/>
      <c r="S269" s="118"/>
      <c r="T269" s="269"/>
      <c r="U269" s="269"/>
      <c r="V269" s="269"/>
      <c r="W269" s="269"/>
      <c r="X269" s="269"/>
      <c r="Y269" s="269"/>
      <c r="Z269" s="269"/>
      <c r="AA269" s="269"/>
      <c r="AB269" s="269"/>
      <c r="AC269" s="269"/>
      <c r="AD269" s="269"/>
      <c r="AE269" s="269"/>
    </row>
    <row r="270" spans="1:31">
      <c r="A270" s="268" t="s">
        <v>2780</v>
      </c>
      <c r="B270" s="276" t="s">
        <v>2771</v>
      </c>
      <c r="C270" s="272"/>
      <c r="D270" s="265"/>
      <c r="E270" s="271"/>
      <c r="F270" s="271"/>
      <c r="G270" s="271"/>
      <c r="H270" s="265"/>
      <c r="I270" s="271"/>
      <c r="J270" s="271"/>
      <c r="K270" s="265" t="s">
        <v>2707</v>
      </c>
      <c r="L270" s="271"/>
      <c r="M270" s="270"/>
      <c r="N270" s="271"/>
      <c r="O270" s="271"/>
      <c r="P270" s="117"/>
      <c r="Q270" s="144"/>
      <c r="R270" s="118"/>
      <c r="S270" s="118"/>
      <c r="T270" s="269"/>
      <c r="U270" s="269"/>
      <c r="V270" s="269"/>
      <c r="W270" s="269"/>
      <c r="X270" s="269"/>
      <c r="Y270" s="269"/>
      <c r="Z270" s="269"/>
      <c r="AA270" s="269"/>
      <c r="AB270" s="269"/>
      <c r="AC270" s="269"/>
      <c r="AD270" s="269"/>
      <c r="AE270" s="269"/>
    </row>
    <row r="271" spans="1:31">
      <c r="A271" s="268" t="s">
        <v>2779</v>
      </c>
      <c r="B271" s="276" t="s">
        <v>2771</v>
      </c>
      <c r="C271" s="272"/>
      <c r="D271" s="265"/>
      <c r="E271" s="271"/>
      <c r="F271" s="271"/>
      <c r="G271" s="271"/>
      <c r="H271" s="265"/>
      <c r="I271" s="271"/>
      <c r="J271" s="271"/>
      <c r="K271" s="265" t="s">
        <v>2707</v>
      </c>
      <c r="L271" s="271"/>
      <c r="M271" s="270"/>
      <c r="N271" s="271"/>
      <c r="O271" s="271"/>
      <c r="P271" s="117"/>
      <c r="Q271" s="144"/>
      <c r="R271" s="118"/>
      <c r="S271" s="118"/>
      <c r="T271" s="269"/>
      <c r="U271" s="269"/>
      <c r="V271" s="269"/>
      <c r="W271" s="269"/>
      <c r="X271" s="269"/>
      <c r="Y271" s="269"/>
      <c r="Z271" s="269"/>
      <c r="AA271" s="269"/>
      <c r="AB271" s="269"/>
      <c r="AC271" s="269"/>
      <c r="AD271" s="269"/>
      <c r="AE271" s="269"/>
    </row>
    <row r="272" spans="1:31">
      <c r="A272" s="268" t="s">
        <v>2778</v>
      </c>
      <c r="B272" s="276" t="s">
        <v>2771</v>
      </c>
      <c r="C272" s="272"/>
      <c r="D272" s="265"/>
      <c r="E272" s="271"/>
      <c r="F272" s="271"/>
      <c r="G272" s="271"/>
      <c r="H272" s="265"/>
      <c r="I272" s="271"/>
      <c r="J272" s="271"/>
      <c r="K272" s="265" t="s">
        <v>2707</v>
      </c>
      <c r="L272" s="271"/>
      <c r="M272" s="270"/>
      <c r="N272" s="271"/>
      <c r="O272" s="271"/>
      <c r="P272" s="117"/>
      <c r="Q272" s="144"/>
      <c r="R272" s="118"/>
      <c r="S272" s="118"/>
      <c r="T272" s="269"/>
      <c r="U272" s="269"/>
      <c r="V272" s="269"/>
      <c r="W272" s="269"/>
      <c r="X272" s="269"/>
      <c r="Y272" s="269"/>
      <c r="Z272" s="269"/>
      <c r="AA272" s="269"/>
      <c r="AB272" s="269"/>
      <c r="AC272" s="269"/>
      <c r="AD272" s="269"/>
      <c r="AE272" s="269"/>
    </row>
    <row r="273" spans="1:31">
      <c r="A273" s="268" t="s">
        <v>2777</v>
      </c>
      <c r="B273" s="276" t="s">
        <v>2771</v>
      </c>
      <c r="C273" s="272"/>
      <c r="D273" s="265"/>
      <c r="E273" s="271"/>
      <c r="F273" s="271"/>
      <c r="G273" s="271"/>
      <c r="H273" s="265"/>
      <c r="I273" s="271"/>
      <c r="J273" s="271"/>
      <c r="K273" s="265" t="s">
        <v>2707</v>
      </c>
      <c r="L273" s="271"/>
      <c r="M273" s="270"/>
      <c r="N273" s="271"/>
      <c r="O273" s="271"/>
      <c r="P273" s="117"/>
      <c r="Q273" s="145"/>
      <c r="R273" s="118"/>
      <c r="S273" s="118"/>
      <c r="T273" s="269"/>
      <c r="U273" s="269"/>
      <c r="V273" s="269"/>
      <c r="W273" s="269"/>
      <c r="X273" s="269"/>
      <c r="Y273" s="269"/>
      <c r="Z273" s="269"/>
      <c r="AA273" s="269"/>
      <c r="AB273" s="269"/>
      <c r="AC273" s="269"/>
      <c r="AD273" s="269"/>
      <c r="AE273" s="269"/>
    </row>
    <row r="274" spans="1:31">
      <c r="A274" s="268" t="s">
        <v>2776</v>
      </c>
      <c r="B274" s="276" t="s">
        <v>2771</v>
      </c>
      <c r="C274" s="272"/>
      <c r="D274" s="265"/>
      <c r="E274" s="271"/>
      <c r="F274" s="271"/>
      <c r="G274" s="271"/>
      <c r="H274" s="265"/>
      <c r="I274" s="271"/>
      <c r="J274" s="271"/>
      <c r="K274" s="265" t="s">
        <v>2707</v>
      </c>
      <c r="L274" s="271"/>
      <c r="M274" s="270"/>
      <c r="N274" s="271"/>
      <c r="O274" s="271"/>
      <c r="P274" s="117"/>
      <c r="Q274" s="145"/>
      <c r="R274" s="118"/>
      <c r="S274" s="118"/>
      <c r="T274" s="269"/>
      <c r="U274" s="269"/>
      <c r="V274" s="269"/>
      <c r="W274" s="269"/>
      <c r="X274" s="269"/>
      <c r="Y274" s="269"/>
      <c r="Z274" s="269"/>
      <c r="AA274" s="269"/>
      <c r="AB274" s="269"/>
      <c r="AC274" s="269"/>
      <c r="AD274" s="269"/>
      <c r="AE274" s="269"/>
    </row>
    <row r="275" spans="1:31">
      <c r="A275" s="268" t="s">
        <v>2775</v>
      </c>
      <c r="B275" s="276" t="s">
        <v>2771</v>
      </c>
      <c r="C275" s="272"/>
      <c r="D275" s="265"/>
      <c r="E275" s="271"/>
      <c r="F275" s="271"/>
      <c r="G275" s="271"/>
      <c r="H275" s="265"/>
      <c r="I275" s="271"/>
      <c r="J275" s="271"/>
      <c r="K275" s="265" t="s">
        <v>2707</v>
      </c>
      <c r="L275" s="271"/>
      <c r="M275" s="270"/>
      <c r="N275" s="271"/>
      <c r="O275" s="271"/>
      <c r="P275" s="117"/>
      <c r="Q275" s="144"/>
      <c r="R275" s="118"/>
      <c r="S275" s="118"/>
      <c r="T275" s="269"/>
      <c r="U275" s="269"/>
      <c r="V275" s="269"/>
      <c r="W275" s="269"/>
      <c r="X275" s="269"/>
      <c r="Y275" s="269"/>
      <c r="Z275" s="269"/>
      <c r="AA275" s="269"/>
      <c r="AB275" s="269"/>
      <c r="AC275" s="269"/>
      <c r="AD275" s="269"/>
      <c r="AE275" s="269"/>
    </row>
    <row r="276" spans="1:31">
      <c r="A276" s="268" t="s">
        <v>2774</v>
      </c>
      <c r="B276" s="276" t="s">
        <v>2771</v>
      </c>
      <c r="C276" s="272"/>
      <c r="D276" s="265"/>
      <c r="E276" s="271"/>
      <c r="F276" s="271"/>
      <c r="G276" s="271"/>
      <c r="H276" s="265"/>
      <c r="I276" s="271"/>
      <c r="J276" s="271"/>
      <c r="K276" s="265" t="s">
        <v>2707</v>
      </c>
      <c r="L276" s="271"/>
      <c r="M276" s="270"/>
      <c r="N276" s="271"/>
      <c r="O276" s="271"/>
      <c r="P276" s="117"/>
      <c r="Q276" s="144"/>
      <c r="R276" s="118"/>
      <c r="S276" s="118"/>
      <c r="T276" s="269"/>
      <c r="U276" s="269"/>
      <c r="V276" s="269"/>
      <c r="W276" s="269"/>
      <c r="X276" s="269"/>
      <c r="Y276" s="269"/>
      <c r="Z276" s="269"/>
      <c r="AA276" s="269"/>
      <c r="AB276" s="269"/>
      <c r="AC276" s="269"/>
      <c r="AD276" s="269"/>
      <c r="AE276" s="269"/>
    </row>
    <row r="277" spans="1:31">
      <c r="A277" s="268" t="s">
        <v>2773</v>
      </c>
      <c r="B277" s="276"/>
      <c r="C277" s="272"/>
      <c r="D277" s="265"/>
      <c r="E277" s="271"/>
      <c r="F277" s="271"/>
      <c r="G277" s="271"/>
      <c r="H277" s="265"/>
      <c r="I277" s="271"/>
      <c r="J277" s="271"/>
      <c r="K277" s="265" t="s">
        <v>2707</v>
      </c>
      <c r="L277" s="271"/>
      <c r="M277" s="270"/>
      <c r="N277" s="271"/>
      <c r="O277" s="271"/>
      <c r="P277" s="117"/>
      <c r="Q277" s="144"/>
      <c r="R277" s="118"/>
      <c r="S277" s="118"/>
      <c r="T277" s="269"/>
      <c r="U277" s="269"/>
      <c r="V277" s="269"/>
      <c r="W277" s="269"/>
      <c r="X277" s="269"/>
      <c r="Y277" s="269"/>
      <c r="Z277" s="269"/>
      <c r="AA277" s="269"/>
      <c r="AB277" s="269"/>
      <c r="AC277" s="269"/>
      <c r="AD277" s="269"/>
      <c r="AE277" s="269"/>
    </row>
    <row r="278" spans="1:31">
      <c r="A278" s="268" t="s">
        <v>2772</v>
      </c>
      <c r="B278" s="276" t="s">
        <v>2771</v>
      </c>
      <c r="C278" s="272"/>
      <c r="D278" s="265"/>
      <c r="E278" s="271"/>
      <c r="F278" s="271"/>
      <c r="G278" s="271"/>
      <c r="H278" s="265"/>
      <c r="I278" s="271"/>
      <c r="J278" s="271"/>
      <c r="K278" s="265" t="s">
        <v>2707</v>
      </c>
      <c r="L278" s="271"/>
      <c r="M278" s="270"/>
      <c r="N278" s="271"/>
      <c r="O278" s="271"/>
      <c r="P278" s="117"/>
      <c r="Q278" s="144"/>
      <c r="R278" s="118"/>
      <c r="S278" s="118"/>
      <c r="T278" s="269"/>
      <c r="U278" s="269"/>
      <c r="V278" s="269"/>
      <c r="W278" s="269"/>
      <c r="X278" s="269"/>
      <c r="Y278" s="269"/>
      <c r="Z278" s="269"/>
      <c r="AA278" s="269"/>
      <c r="AB278" s="269"/>
      <c r="AC278" s="269"/>
      <c r="AD278" s="269"/>
      <c r="AE278" s="269"/>
    </row>
    <row r="279" spans="1:31">
      <c r="A279" s="268" t="s">
        <v>2770</v>
      </c>
      <c r="B279" s="272"/>
      <c r="C279" s="272"/>
      <c r="D279" s="265"/>
      <c r="E279" s="271"/>
      <c r="F279" s="271"/>
      <c r="G279" s="271"/>
      <c r="H279" s="265"/>
      <c r="I279" s="271"/>
      <c r="J279" s="271"/>
      <c r="K279" s="265" t="s">
        <v>2707</v>
      </c>
      <c r="L279" s="271"/>
      <c r="M279" s="270"/>
      <c r="N279" s="271"/>
      <c r="O279" s="271"/>
      <c r="P279" s="117"/>
      <c r="Q279" s="144"/>
      <c r="R279" s="118"/>
      <c r="S279" s="118"/>
      <c r="T279" s="269"/>
      <c r="U279" s="269"/>
      <c r="V279" s="269"/>
      <c r="W279" s="269"/>
      <c r="X279" s="269"/>
      <c r="Y279" s="269"/>
      <c r="Z279" s="269"/>
      <c r="AA279" s="269"/>
      <c r="AB279" s="269"/>
      <c r="AC279" s="269"/>
      <c r="AD279" s="269"/>
      <c r="AE279" s="269"/>
    </row>
    <row r="280" spans="1:31">
      <c r="A280" s="268" t="s">
        <v>2769</v>
      </c>
      <c r="B280" s="272"/>
      <c r="C280" s="272"/>
      <c r="D280" s="265"/>
      <c r="E280" s="271"/>
      <c r="F280" s="271"/>
      <c r="G280" s="271"/>
      <c r="H280" s="265"/>
      <c r="I280" s="271"/>
      <c r="J280" s="271"/>
      <c r="K280" s="265" t="s">
        <v>2707</v>
      </c>
      <c r="L280" s="271"/>
      <c r="M280" s="270"/>
      <c r="N280" s="271"/>
      <c r="O280" s="271"/>
      <c r="P280" s="117"/>
      <c r="Q280" s="144"/>
      <c r="R280" s="118"/>
      <c r="S280" s="118"/>
      <c r="T280" s="269"/>
      <c r="U280" s="269"/>
      <c r="V280" s="269"/>
      <c r="W280" s="269"/>
      <c r="X280" s="269"/>
      <c r="Y280" s="269"/>
      <c r="Z280" s="269"/>
      <c r="AA280" s="269"/>
      <c r="AB280" s="269"/>
      <c r="AC280" s="269"/>
      <c r="AD280" s="269"/>
      <c r="AE280" s="269"/>
    </row>
    <row r="281" spans="1:31">
      <c r="A281" s="268" t="s">
        <v>2768</v>
      </c>
      <c r="B281" s="272"/>
      <c r="C281" s="272"/>
      <c r="D281" s="265"/>
      <c r="E281" s="271"/>
      <c r="F281" s="271"/>
      <c r="G281" s="271"/>
      <c r="H281" s="265"/>
      <c r="I281" s="271"/>
      <c r="J281" s="271"/>
      <c r="K281" s="265" t="s">
        <v>2707</v>
      </c>
      <c r="L281" s="271"/>
      <c r="M281" s="270"/>
      <c r="N281" s="271"/>
      <c r="O281" s="271"/>
      <c r="P281" s="117"/>
      <c r="Q281" s="144"/>
      <c r="R281" s="118"/>
      <c r="S281" s="118"/>
      <c r="T281" s="269"/>
      <c r="U281" s="269"/>
      <c r="V281" s="269"/>
      <c r="W281" s="269"/>
      <c r="X281" s="269"/>
      <c r="Y281" s="269"/>
      <c r="Z281" s="269"/>
      <c r="AA281" s="269"/>
      <c r="AB281" s="269"/>
      <c r="AC281" s="269"/>
      <c r="AD281" s="269"/>
      <c r="AE281" s="269"/>
    </row>
    <row r="282" spans="1:31">
      <c r="A282" s="268" t="s">
        <v>2767</v>
      </c>
      <c r="B282" s="272"/>
      <c r="C282" s="272"/>
      <c r="D282" s="265"/>
      <c r="E282" s="271"/>
      <c r="F282" s="271"/>
      <c r="G282" s="271"/>
      <c r="H282" s="265"/>
      <c r="I282" s="271"/>
      <c r="J282" s="271"/>
      <c r="K282" s="265" t="s">
        <v>2707</v>
      </c>
      <c r="L282" s="271"/>
      <c r="M282" s="270"/>
      <c r="N282" s="271"/>
      <c r="O282" s="271"/>
      <c r="P282" s="117"/>
      <c r="Q282" s="144"/>
      <c r="R282" s="118"/>
      <c r="S282" s="118"/>
      <c r="T282" s="269"/>
      <c r="U282" s="269"/>
      <c r="V282" s="269"/>
      <c r="W282" s="269"/>
      <c r="X282" s="269"/>
      <c r="Y282" s="269"/>
      <c r="Z282" s="269"/>
      <c r="AA282" s="269"/>
      <c r="AB282" s="269"/>
      <c r="AC282" s="269"/>
      <c r="AD282" s="269"/>
      <c r="AE282" s="269"/>
    </row>
    <row r="283" spans="1:31">
      <c r="A283" s="268" t="s">
        <v>2766</v>
      </c>
      <c r="B283" s="272"/>
      <c r="C283" s="272"/>
      <c r="D283" s="265"/>
      <c r="E283" s="271"/>
      <c r="F283" s="271"/>
      <c r="G283" s="271"/>
      <c r="H283" s="265"/>
      <c r="I283" s="271"/>
      <c r="J283" s="271"/>
      <c r="K283" s="265" t="s">
        <v>2707</v>
      </c>
      <c r="L283" s="271"/>
      <c r="M283" s="270"/>
      <c r="N283" s="271"/>
      <c r="O283" s="271"/>
      <c r="P283" s="117"/>
      <c r="Q283" s="144"/>
      <c r="R283" s="118"/>
      <c r="S283" s="118"/>
      <c r="T283" s="269"/>
      <c r="U283" s="269"/>
      <c r="V283" s="269"/>
      <c r="W283" s="269"/>
      <c r="X283" s="269"/>
      <c r="Y283" s="269"/>
      <c r="Z283" s="269"/>
      <c r="AA283" s="269"/>
      <c r="AB283" s="269"/>
      <c r="AC283" s="269"/>
      <c r="AD283" s="269"/>
      <c r="AE283" s="269"/>
    </row>
    <row r="284" spans="1:31">
      <c r="A284" s="268" t="s">
        <v>2765</v>
      </c>
      <c r="B284" s="272"/>
      <c r="C284" s="272"/>
      <c r="D284" s="265"/>
      <c r="E284" s="271"/>
      <c r="F284" s="271"/>
      <c r="G284" s="271"/>
      <c r="H284" s="265"/>
      <c r="I284" s="271"/>
      <c r="J284" s="271"/>
      <c r="K284" s="265" t="s">
        <v>2707</v>
      </c>
      <c r="L284" s="271"/>
      <c r="M284" s="270"/>
      <c r="N284" s="271"/>
      <c r="O284" s="271"/>
      <c r="P284" s="117"/>
      <c r="Q284" s="144"/>
      <c r="R284" s="118"/>
      <c r="S284" s="118"/>
      <c r="T284" s="269"/>
      <c r="U284" s="269"/>
      <c r="V284" s="269"/>
      <c r="W284" s="269"/>
      <c r="X284" s="269"/>
      <c r="Y284" s="269"/>
      <c r="Z284" s="269"/>
      <c r="AA284" s="269"/>
      <c r="AB284" s="269"/>
      <c r="AC284" s="269"/>
      <c r="AD284" s="269"/>
      <c r="AE284" s="269"/>
    </row>
    <row r="285" spans="1:31">
      <c r="A285" s="268" t="s">
        <v>2764</v>
      </c>
      <c r="B285" s="272"/>
      <c r="C285" s="272"/>
      <c r="D285" s="265"/>
      <c r="E285" s="271"/>
      <c r="F285" s="271"/>
      <c r="G285" s="271"/>
      <c r="H285" s="265"/>
      <c r="I285" s="271"/>
      <c r="J285" s="271"/>
      <c r="K285" s="265" t="s">
        <v>2707</v>
      </c>
      <c r="L285" s="271"/>
      <c r="M285" s="270"/>
      <c r="N285" s="271"/>
      <c r="O285" s="271"/>
      <c r="P285" s="117"/>
      <c r="Q285" s="144"/>
      <c r="R285" s="118"/>
      <c r="S285" s="118"/>
      <c r="T285" s="269"/>
      <c r="U285" s="269"/>
      <c r="V285" s="269"/>
      <c r="W285" s="269"/>
      <c r="X285" s="269"/>
      <c r="Y285" s="269"/>
      <c r="Z285" s="269"/>
      <c r="AA285" s="269"/>
      <c r="AB285" s="269"/>
      <c r="AC285" s="269"/>
      <c r="AD285" s="269"/>
      <c r="AE285" s="269"/>
    </row>
    <row r="286" spans="1:31">
      <c r="A286" s="268" t="s">
        <v>2763</v>
      </c>
      <c r="B286" s="272"/>
      <c r="C286" s="272"/>
      <c r="D286" s="265"/>
      <c r="E286" s="271"/>
      <c r="F286" s="271"/>
      <c r="G286" s="271"/>
      <c r="H286" s="265"/>
      <c r="I286" s="271"/>
      <c r="J286" s="271"/>
      <c r="K286" s="265" t="s">
        <v>2707</v>
      </c>
      <c r="L286" s="271"/>
      <c r="M286" s="270"/>
      <c r="N286" s="271"/>
      <c r="O286" s="271"/>
      <c r="P286" s="117"/>
      <c r="Q286" s="144"/>
      <c r="R286" s="118"/>
      <c r="S286" s="118"/>
      <c r="T286" s="269"/>
      <c r="U286" s="269"/>
      <c r="V286" s="269"/>
      <c r="W286" s="269"/>
      <c r="X286" s="269"/>
      <c r="Y286" s="269"/>
      <c r="Z286" s="269"/>
      <c r="AA286" s="269"/>
      <c r="AB286" s="269"/>
      <c r="AC286" s="269"/>
      <c r="AD286" s="269"/>
      <c r="AE286" s="269"/>
    </row>
    <row r="287" spans="1:31">
      <c r="A287" s="268" t="s">
        <v>2762</v>
      </c>
      <c r="B287" s="272"/>
      <c r="C287" s="272"/>
      <c r="D287" s="265"/>
      <c r="E287" s="271"/>
      <c r="F287" s="271"/>
      <c r="G287" s="271"/>
      <c r="H287" s="265"/>
      <c r="I287" s="271"/>
      <c r="J287" s="271"/>
      <c r="K287" s="265" t="s">
        <v>2707</v>
      </c>
      <c r="L287" s="271"/>
      <c r="M287" s="270"/>
      <c r="N287" s="271"/>
      <c r="O287" s="271"/>
      <c r="P287" s="117"/>
      <c r="Q287" s="144"/>
      <c r="R287" s="118"/>
      <c r="S287" s="118"/>
      <c r="T287" s="269"/>
      <c r="U287" s="269"/>
      <c r="V287" s="269"/>
      <c r="W287" s="269"/>
      <c r="X287" s="269"/>
      <c r="Y287" s="269"/>
      <c r="Z287" s="269"/>
      <c r="AA287" s="269"/>
      <c r="AB287" s="269"/>
      <c r="AC287" s="269"/>
      <c r="AD287" s="269"/>
      <c r="AE287" s="269"/>
    </row>
    <row r="288" spans="1:31">
      <c r="A288" s="268" t="s">
        <v>2761</v>
      </c>
      <c r="B288" s="272"/>
      <c r="C288" s="272"/>
      <c r="D288" s="265"/>
      <c r="E288" s="271"/>
      <c r="F288" s="271"/>
      <c r="G288" s="271"/>
      <c r="H288" s="265"/>
      <c r="I288" s="271"/>
      <c r="J288" s="271"/>
      <c r="K288" s="265" t="s">
        <v>2707</v>
      </c>
      <c r="L288" s="271"/>
      <c r="M288" s="270"/>
      <c r="N288" s="271"/>
      <c r="O288" s="271"/>
      <c r="P288" s="117"/>
      <c r="Q288" s="144"/>
      <c r="R288" s="118"/>
      <c r="S288" s="118"/>
      <c r="T288" s="269"/>
      <c r="U288" s="269"/>
      <c r="V288" s="269"/>
      <c r="W288" s="269"/>
      <c r="X288" s="269"/>
      <c r="Y288" s="269"/>
      <c r="Z288" s="269"/>
      <c r="AA288" s="269"/>
      <c r="AB288" s="269"/>
      <c r="AC288" s="269"/>
      <c r="AD288" s="269"/>
      <c r="AE288" s="269"/>
    </row>
    <row r="289" spans="1:31">
      <c r="A289" s="268" t="s">
        <v>2760</v>
      </c>
      <c r="B289" s="272"/>
      <c r="C289" s="272"/>
      <c r="D289" s="265"/>
      <c r="E289" s="271"/>
      <c r="F289" s="271"/>
      <c r="G289" s="271"/>
      <c r="H289" s="265"/>
      <c r="I289" s="271"/>
      <c r="J289" s="271"/>
      <c r="K289" s="265" t="s">
        <v>2707</v>
      </c>
      <c r="L289" s="271"/>
      <c r="M289" s="270"/>
      <c r="N289" s="271"/>
      <c r="O289" s="271"/>
      <c r="P289" s="117"/>
      <c r="Q289" s="144"/>
      <c r="R289" s="118"/>
      <c r="S289" s="118"/>
      <c r="T289" s="269"/>
      <c r="U289" s="269"/>
      <c r="V289" s="269"/>
      <c r="W289" s="269"/>
      <c r="X289" s="269"/>
      <c r="Y289" s="269"/>
      <c r="Z289" s="269"/>
      <c r="AA289" s="269"/>
      <c r="AB289" s="269"/>
      <c r="AC289" s="269"/>
      <c r="AD289" s="269"/>
      <c r="AE289" s="269"/>
    </row>
    <row r="290" spans="1:31">
      <c r="A290" s="268" t="s">
        <v>2759</v>
      </c>
      <c r="B290" s="272"/>
      <c r="C290" s="272"/>
      <c r="D290" s="265"/>
      <c r="E290" s="271"/>
      <c r="F290" s="271"/>
      <c r="G290" s="271"/>
      <c r="H290" s="265"/>
      <c r="I290" s="271"/>
      <c r="J290" s="271"/>
      <c r="K290" s="265" t="s">
        <v>2707</v>
      </c>
      <c r="L290" s="271"/>
      <c r="M290" s="270"/>
      <c r="N290" s="271"/>
      <c r="O290" s="271"/>
      <c r="P290" s="117"/>
      <c r="Q290" s="144"/>
      <c r="R290" s="118"/>
      <c r="S290" s="118"/>
      <c r="T290" s="269"/>
      <c r="U290" s="269"/>
      <c r="V290" s="269"/>
      <c r="W290" s="269"/>
      <c r="X290" s="269"/>
      <c r="Y290" s="269"/>
      <c r="Z290" s="269"/>
      <c r="AA290" s="269"/>
      <c r="AB290" s="269"/>
      <c r="AC290" s="269"/>
      <c r="AD290" s="269"/>
      <c r="AE290" s="269"/>
    </row>
    <row r="291" spans="1:31">
      <c r="A291" s="268" t="s">
        <v>2758</v>
      </c>
      <c r="B291" s="272"/>
      <c r="C291" s="272"/>
      <c r="D291" s="265"/>
      <c r="E291" s="271"/>
      <c r="F291" s="271"/>
      <c r="G291" s="271"/>
      <c r="H291" s="275"/>
      <c r="I291" s="271"/>
      <c r="J291" s="271"/>
      <c r="K291" s="271"/>
      <c r="L291" s="271"/>
      <c r="M291" s="270"/>
      <c r="N291" s="271"/>
      <c r="O291" s="271"/>
      <c r="P291" s="117"/>
      <c r="Q291" s="144"/>
      <c r="R291" s="118"/>
      <c r="S291" s="118"/>
      <c r="T291" s="269"/>
      <c r="U291" s="269"/>
      <c r="V291" s="269"/>
      <c r="W291" s="269"/>
      <c r="X291" s="269"/>
      <c r="Y291" s="269"/>
      <c r="Z291" s="269"/>
      <c r="AA291" s="269"/>
      <c r="AB291" s="269"/>
      <c r="AC291" s="269"/>
      <c r="AD291" s="269"/>
      <c r="AE291" s="269"/>
    </row>
    <row r="292" spans="1:31">
      <c r="A292" s="268" t="s">
        <v>2757</v>
      </c>
      <c r="B292" s="272" t="s">
        <v>2756</v>
      </c>
      <c r="C292" s="272"/>
      <c r="D292" s="265"/>
      <c r="E292" s="271"/>
      <c r="F292" s="271"/>
      <c r="G292" s="271"/>
      <c r="H292" s="265"/>
      <c r="I292" s="265" t="s">
        <v>2707</v>
      </c>
      <c r="J292" s="271"/>
      <c r="K292" s="265"/>
      <c r="L292" s="271"/>
      <c r="M292" s="270"/>
      <c r="N292" s="271"/>
      <c r="O292" s="271"/>
      <c r="P292" s="117"/>
      <c r="Q292" s="144"/>
      <c r="R292" s="118"/>
      <c r="S292" s="118"/>
      <c r="T292" s="269"/>
      <c r="U292" s="269"/>
      <c r="V292" s="269"/>
      <c r="W292" s="269"/>
      <c r="X292" s="269"/>
      <c r="Y292" s="269"/>
      <c r="Z292" s="269"/>
      <c r="AA292" s="269"/>
      <c r="AB292" s="269"/>
      <c r="AC292" s="269"/>
      <c r="AD292" s="269"/>
      <c r="AE292" s="269"/>
    </row>
    <row r="293" spans="1:31">
      <c r="A293" s="274" t="s">
        <v>2755</v>
      </c>
      <c r="B293" s="272"/>
      <c r="C293" s="272"/>
      <c r="D293" s="265"/>
      <c r="E293" s="271"/>
      <c r="F293" s="271"/>
      <c r="G293" s="271"/>
      <c r="H293" s="265"/>
      <c r="I293" s="271"/>
      <c r="J293" s="271"/>
      <c r="K293" s="265" t="s">
        <v>2707</v>
      </c>
      <c r="L293" s="271"/>
      <c r="M293" s="270"/>
      <c r="N293" s="271"/>
      <c r="O293" s="271"/>
      <c r="P293" s="117"/>
      <c r="Q293" s="144"/>
      <c r="R293" s="118"/>
      <c r="S293" s="118"/>
      <c r="T293" s="269"/>
      <c r="U293" s="269"/>
      <c r="V293" s="269"/>
      <c r="W293" s="269"/>
      <c r="X293" s="269"/>
      <c r="Y293" s="269"/>
      <c r="Z293" s="269"/>
      <c r="AA293" s="269"/>
      <c r="AB293" s="269"/>
      <c r="AC293" s="269"/>
      <c r="AD293" s="269"/>
      <c r="AE293" s="269"/>
    </row>
    <row r="294" spans="1:31">
      <c r="A294" s="268" t="s">
        <v>2754</v>
      </c>
      <c r="B294" s="272"/>
      <c r="C294" s="272"/>
      <c r="D294" s="265"/>
      <c r="E294" s="271"/>
      <c r="F294" s="271"/>
      <c r="G294" s="271"/>
      <c r="H294" s="265"/>
      <c r="I294" s="271"/>
      <c r="J294" s="271"/>
      <c r="K294" s="265" t="s">
        <v>2707</v>
      </c>
      <c r="L294" s="271"/>
      <c r="M294" s="270"/>
      <c r="N294" s="271"/>
      <c r="O294" s="271"/>
      <c r="P294" s="117"/>
      <c r="Q294" s="145"/>
      <c r="R294" s="118"/>
      <c r="S294" s="118"/>
      <c r="T294" s="269"/>
      <c r="U294" s="269"/>
      <c r="V294" s="269"/>
      <c r="W294" s="269"/>
      <c r="X294" s="269"/>
      <c r="Y294" s="269"/>
      <c r="Z294" s="269"/>
      <c r="AA294" s="269"/>
      <c r="AB294" s="269"/>
      <c r="AC294" s="269"/>
      <c r="AD294" s="269"/>
      <c r="AE294" s="269"/>
    </row>
    <row r="295" spans="1:31">
      <c r="A295" s="268" t="s">
        <v>2753</v>
      </c>
      <c r="B295" s="272"/>
      <c r="C295" s="272"/>
      <c r="D295" s="265"/>
      <c r="E295" s="271"/>
      <c r="F295" s="271"/>
      <c r="G295" s="271"/>
      <c r="H295" s="265"/>
      <c r="I295" s="271"/>
      <c r="J295" s="271"/>
      <c r="K295" s="265" t="s">
        <v>2707</v>
      </c>
      <c r="L295" s="271"/>
      <c r="M295" s="270"/>
      <c r="N295" s="271"/>
      <c r="O295" s="271"/>
      <c r="P295" s="117"/>
      <c r="Q295" s="144"/>
      <c r="R295" s="118"/>
      <c r="S295" s="118"/>
      <c r="T295" s="269"/>
      <c r="U295" s="269"/>
      <c r="V295" s="269"/>
      <c r="W295" s="269"/>
      <c r="X295" s="269"/>
      <c r="Y295" s="269"/>
      <c r="Z295" s="269"/>
      <c r="AA295" s="269"/>
      <c r="AB295" s="269"/>
      <c r="AC295" s="269"/>
      <c r="AD295" s="269"/>
      <c r="AE295" s="269"/>
    </row>
    <row r="296" spans="1:31">
      <c r="A296" s="274" t="s">
        <v>2752</v>
      </c>
      <c r="B296" s="272"/>
      <c r="C296" s="272"/>
      <c r="D296" s="265"/>
      <c r="E296" s="271"/>
      <c r="F296" s="265"/>
      <c r="G296" s="271"/>
      <c r="H296" s="265"/>
      <c r="I296" s="271"/>
      <c r="J296" s="271"/>
      <c r="K296" s="265" t="s">
        <v>2750</v>
      </c>
      <c r="L296" s="271"/>
      <c r="M296" s="270"/>
      <c r="N296" s="265"/>
      <c r="O296" s="265"/>
      <c r="P296" s="117"/>
      <c r="Q296" s="144"/>
      <c r="R296" s="118"/>
      <c r="S296" s="118"/>
      <c r="T296" s="269"/>
      <c r="U296" s="269"/>
      <c r="V296" s="269"/>
      <c r="W296" s="269"/>
      <c r="X296" s="269"/>
      <c r="Y296" s="269"/>
      <c r="Z296" s="269"/>
      <c r="AA296" s="269"/>
      <c r="AB296" s="269"/>
      <c r="AC296" s="269"/>
      <c r="AD296" s="269"/>
      <c r="AE296" s="269"/>
    </row>
    <row r="297" spans="1:31">
      <c r="A297" s="268" t="s">
        <v>2751</v>
      </c>
      <c r="B297" s="272"/>
      <c r="C297" s="272"/>
      <c r="D297" s="265"/>
      <c r="E297" s="271"/>
      <c r="F297" s="265"/>
      <c r="G297" s="271"/>
      <c r="H297" s="265"/>
      <c r="I297" s="271"/>
      <c r="J297" s="271"/>
      <c r="K297" s="265" t="s">
        <v>2750</v>
      </c>
      <c r="L297" s="271"/>
      <c r="M297" s="270"/>
      <c r="N297" s="265"/>
      <c r="O297" s="265"/>
      <c r="P297" s="117"/>
      <c r="Q297" s="144"/>
      <c r="R297" s="118"/>
      <c r="S297" s="118"/>
      <c r="T297" s="269"/>
      <c r="U297" s="269"/>
      <c r="V297" s="269"/>
      <c r="W297" s="269"/>
      <c r="X297" s="269"/>
      <c r="Y297" s="269"/>
      <c r="Z297" s="269"/>
      <c r="AA297" s="269"/>
      <c r="AB297" s="269"/>
      <c r="AC297" s="269"/>
      <c r="AD297" s="269"/>
      <c r="AE297" s="269"/>
    </row>
    <row r="298" spans="1:31">
      <c r="A298" s="274"/>
      <c r="B298" s="272"/>
      <c r="C298" s="272"/>
      <c r="D298" s="265"/>
      <c r="E298" s="271"/>
      <c r="F298" s="265"/>
      <c r="G298" s="271"/>
      <c r="H298" s="265"/>
      <c r="I298" s="271"/>
      <c r="J298" s="271"/>
      <c r="K298" s="271"/>
      <c r="L298" s="271"/>
      <c r="M298" s="270"/>
      <c r="N298" s="265"/>
      <c r="O298" s="265"/>
      <c r="P298" s="117"/>
      <c r="Q298" s="145"/>
      <c r="R298" s="118"/>
      <c r="S298" s="118"/>
      <c r="T298" s="269"/>
      <c r="U298" s="269"/>
      <c r="V298" s="269"/>
      <c r="W298" s="269"/>
      <c r="X298" s="269"/>
      <c r="Y298" s="269"/>
      <c r="Z298" s="269"/>
      <c r="AA298" s="269"/>
      <c r="AB298" s="269"/>
      <c r="AC298" s="269"/>
      <c r="AD298" s="269"/>
      <c r="AE298" s="269"/>
    </row>
    <row r="299" spans="1:31">
      <c r="A299" s="274"/>
      <c r="B299" s="272"/>
      <c r="C299" s="272"/>
      <c r="D299" s="265"/>
      <c r="E299" s="271"/>
      <c r="F299" s="265"/>
      <c r="G299" s="271"/>
      <c r="H299" s="265"/>
      <c r="I299" s="271"/>
      <c r="J299" s="271"/>
      <c r="K299" s="271"/>
      <c r="L299" s="271"/>
      <c r="M299" s="270"/>
      <c r="N299" s="265"/>
      <c r="O299" s="265"/>
      <c r="P299" s="117"/>
      <c r="Q299" s="145"/>
      <c r="R299" s="118"/>
      <c r="S299" s="118"/>
      <c r="T299" s="269"/>
      <c r="U299" s="269"/>
      <c r="V299" s="269"/>
      <c r="W299" s="269"/>
      <c r="X299" s="269"/>
      <c r="Y299" s="269"/>
      <c r="Z299" s="269"/>
      <c r="AA299" s="269"/>
      <c r="AB299" s="269"/>
      <c r="AC299" s="269"/>
      <c r="AD299" s="269"/>
      <c r="AE299" s="269"/>
    </row>
    <row r="300" spans="1:31">
      <c r="A300" s="274" t="s">
        <v>2749</v>
      </c>
      <c r="B300" s="272" t="s">
        <v>2731</v>
      </c>
      <c r="C300" s="272"/>
      <c r="D300" s="265"/>
      <c r="E300" s="271"/>
      <c r="F300" s="265" t="s">
        <v>2738</v>
      </c>
      <c r="G300" s="271"/>
      <c r="H300" s="265"/>
      <c r="I300" s="271"/>
      <c r="J300" s="271"/>
      <c r="K300" s="271"/>
      <c r="L300" s="271"/>
      <c r="M300" s="270"/>
      <c r="N300" s="265"/>
      <c r="O300" s="265"/>
      <c r="P300" s="117"/>
      <c r="Q300" s="144"/>
      <c r="R300" s="118"/>
      <c r="S300" s="118"/>
      <c r="T300" s="269"/>
      <c r="U300" s="269"/>
      <c r="V300" s="269"/>
      <c r="W300" s="269"/>
      <c r="X300" s="269"/>
      <c r="Y300" s="269"/>
      <c r="Z300" s="269"/>
      <c r="AA300" s="269"/>
      <c r="AB300" s="269"/>
      <c r="AC300" s="269"/>
      <c r="AD300" s="269"/>
      <c r="AE300" s="269"/>
    </row>
    <row r="301" spans="1:31">
      <c r="A301" s="274" t="s">
        <v>2748</v>
      </c>
      <c r="B301" s="272" t="s">
        <v>2731</v>
      </c>
      <c r="C301" s="272"/>
      <c r="D301" s="265"/>
      <c r="E301" s="271"/>
      <c r="F301" s="265" t="s">
        <v>2738</v>
      </c>
      <c r="G301" s="271"/>
      <c r="H301" s="265"/>
      <c r="I301" s="271"/>
      <c r="J301" s="271"/>
      <c r="K301" s="271"/>
      <c r="L301" s="271"/>
      <c r="M301" s="270"/>
      <c r="N301" s="271"/>
      <c r="O301" s="271"/>
      <c r="P301" s="117"/>
      <c r="Q301" s="145"/>
      <c r="R301" s="118"/>
      <c r="S301" s="118"/>
      <c r="T301" s="269"/>
      <c r="U301" s="269"/>
      <c r="V301" s="269"/>
      <c r="W301" s="269"/>
      <c r="X301" s="269"/>
      <c r="Y301" s="269"/>
      <c r="Z301" s="269"/>
      <c r="AA301" s="269"/>
      <c r="AB301" s="269"/>
      <c r="AC301" s="269"/>
      <c r="AD301" s="269"/>
      <c r="AE301" s="269"/>
    </row>
    <row r="302" spans="1:31">
      <c r="A302" s="274" t="s">
        <v>2747</v>
      </c>
      <c r="B302" s="272" t="s">
        <v>2731</v>
      </c>
      <c r="C302" s="272"/>
      <c r="D302" s="265"/>
      <c r="E302" s="271"/>
      <c r="F302" s="265" t="s">
        <v>2707</v>
      </c>
      <c r="G302" s="271"/>
      <c r="H302" s="265"/>
      <c r="I302" s="271"/>
      <c r="J302" s="271"/>
      <c r="K302" s="271"/>
      <c r="L302" s="271"/>
      <c r="M302" s="270"/>
      <c r="N302" s="271"/>
      <c r="O302" s="271"/>
      <c r="P302" s="117"/>
      <c r="Q302" s="144"/>
      <c r="R302" s="118"/>
      <c r="S302" s="118"/>
      <c r="T302" s="269"/>
      <c r="U302" s="269"/>
      <c r="V302" s="269"/>
      <c r="W302" s="269"/>
      <c r="X302" s="269"/>
      <c r="Y302" s="269"/>
      <c r="Z302" s="269"/>
      <c r="AA302" s="269"/>
      <c r="AB302" s="269"/>
      <c r="AC302" s="269"/>
      <c r="AD302" s="269"/>
      <c r="AE302" s="269"/>
    </row>
    <row r="303" spans="1:31">
      <c r="A303" s="274" t="s">
        <v>2746</v>
      </c>
      <c r="B303" s="272" t="s">
        <v>2731</v>
      </c>
      <c r="C303" s="272"/>
      <c r="D303" s="265"/>
      <c r="E303" s="271"/>
      <c r="F303" s="265" t="s">
        <v>2738</v>
      </c>
      <c r="G303" s="271"/>
      <c r="H303" s="265"/>
      <c r="I303" s="271"/>
      <c r="J303" s="271"/>
      <c r="K303" s="271"/>
      <c r="L303" s="271"/>
      <c r="M303" s="270"/>
      <c r="N303" s="271"/>
      <c r="O303" s="271"/>
      <c r="P303" s="117"/>
      <c r="Q303" s="144"/>
      <c r="R303" s="118"/>
      <c r="S303" s="118"/>
      <c r="T303" s="269"/>
      <c r="U303" s="269"/>
      <c r="V303" s="269"/>
      <c r="W303" s="269"/>
      <c r="X303" s="269"/>
      <c r="Y303" s="269"/>
      <c r="Z303" s="269"/>
      <c r="AA303" s="269"/>
      <c r="AB303" s="269"/>
      <c r="AC303" s="269"/>
      <c r="AD303" s="269"/>
      <c r="AE303" s="269"/>
    </row>
    <row r="304" spans="1:31">
      <c r="A304" s="274" t="s">
        <v>2745</v>
      </c>
      <c r="B304" s="272" t="s">
        <v>2731</v>
      </c>
      <c r="C304" s="272"/>
      <c r="D304" s="265"/>
      <c r="E304" s="271"/>
      <c r="F304" s="265" t="s">
        <v>2741</v>
      </c>
      <c r="G304" s="271"/>
      <c r="H304" s="265"/>
      <c r="I304" s="271"/>
      <c r="J304" s="271"/>
      <c r="K304" s="271"/>
      <c r="L304" s="271"/>
      <c r="M304" s="270"/>
      <c r="N304" s="271"/>
      <c r="O304" s="271"/>
      <c r="P304" s="117"/>
      <c r="Q304" s="144"/>
      <c r="R304" s="118"/>
      <c r="S304" s="118"/>
      <c r="T304" s="269"/>
      <c r="U304" s="269"/>
      <c r="V304" s="269"/>
      <c r="W304" s="269"/>
      <c r="X304" s="269"/>
      <c r="Y304" s="269"/>
      <c r="Z304" s="269"/>
      <c r="AA304" s="269"/>
      <c r="AB304" s="269"/>
      <c r="AC304" s="269"/>
      <c r="AD304" s="269"/>
      <c r="AE304" s="269"/>
    </row>
    <row r="305" spans="1:31">
      <c r="A305" s="274" t="s">
        <v>2744</v>
      </c>
      <c r="B305" s="272" t="s">
        <v>2731</v>
      </c>
      <c r="C305" s="272"/>
      <c r="D305" s="265"/>
      <c r="E305" s="271"/>
      <c r="F305" s="265" t="s">
        <v>2741</v>
      </c>
      <c r="G305" s="271"/>
      <c r="H305" s="265"/>
      <c r="I305" s="271"/>
      <c r="J305" s="271"/>
      <c r="K305" s="271"/>
      <c r="L305" s="271"/>
      <c r="M305" s="270"/>
      <c r="N305" s="271"/>
      <c r="O305" s="271"/>
      <c r="P305" s="117"/>
      <c r="Q305" s="144"/>
      <c r="R305" s="118"/>
      <c r="S305" s="118"/>
      <c r="T305" s="269"/>
      <c r="U305" s="269"/>
      <c r="V305" s="269"/>
      <c r="W305" s="269"/>
      <c r="X305" s="269"/>
      <c r="Y305" s="269"/>
      <c r="Z305" s="269"/>
      <c r="AA305" s="269"/>
      <c r="AB305" s="269"/>
      <c r="AC305" s="269"/>
      <c r="AD305" s="269"/>
      <c r="AE305" s="269"/>
    </row>
    <row r="306" spans="1:31" ht="28.5">
      <c r="A306" s="274" t="s">
        <v>2743</v>
      </c>
      <c r="B306" s="272" t="s">
        <v>2731</v>
      </c>
      <c r="C306" s="272"/>
      <c r="D306" s="265"/>
      <c r="E306" s="271"/>
      <c r="F306" s="265" t="s">
        <v>2741</v>
      </c>
      <c r="G306" s="271"/>
      <c r="H306" s="265"/>
      <c r="I306" s="271"/>
      <c r="J306" s="271"/>
      <c r="K306" s="271"/>
      <c r="L306" s="271"/>
      <c r="M306" s="270"/>
      <c r="N306" s="265"/>
      <c r="O306" s="265"/>
      <c r="P306" s="117"/>
      <c r="Q306" s="144"/>
      <c r="R306" s="118"/>
      <c r="S306" s="118"/>
      <c r="T306" s="269"/>
      <c r="U306" s="269"/>
      <c r="V306" s="269"/>
      <c r="W306" s="269"/>
      <c r="X306" s="269"/>
      <c r="Y306" s="269"/>
      <c r="Z306" s="269"/>
      <c r="AA306" s="269"/>
      <c r="AB306" s="269"/>
      <c r="AC306" s="269"/>
      <c r="AD306" s="269"/>
      <c r="AE306" s="269"/>
    </row>
    <row r="307" spans="1:31">
      <c r="A307" s="274" t="s">
        <v>2742</v>
      </c>
      <c r="B307" s="272" t="s">
        <v>2731</v>
      </c>
      <c r="C307" s="272"/>
      <c r="D307" s="265"/>
      <c r="E307" s="271"/>
      <c r="F307" s="265" t="s">
        <v>2741</v>
      </c>
      <c r="G307" s="271"/>
      <c r="H307" s="265"/>
      <c r="I307" s="271"/>
      <c r="J307" s="271"/>
      <c r="K307" s="271"/>
      <c r="L307" s="271"/>
      <c r="M307" s="270"/>
      <c r="N307" s="265"/>
      <c r="O307" s="265"/>
      <c r="P307" s="117"/>
      <c r="Q307" s="144"/>
      <c r="R307" s="118"/>
      <c r="S307" s="118"/>
      <c r="T307" s="269"/>
      <c r="U307" s="269"/>
      <c r="V307" s="269"/>
      <c r="W307" s="269"/>
      <c r="X307" s="269"/>
      <c r="Y307" s="269"/>
      <c r="Z307" s="269"/>
      <c r="AA307" s="269"/>
      <c r="AB307" s="269"/>
      <c r="AC307" s="269"/>
      <c r="AD307" s="269"/>
      <c r="AE307" s="269"/>
    </row>
    <row r="308" spans="1:31">
      <c r="A308" s="268" t="s">
        <v>2740</v>
      </c>
      <c r="B308" s="272" t="s">
        <v>2731</v>
      </c>
      <c r="C308" s="272"/>
      <c r="D308" s="265"/>
      <c r="E308" s="271"/>
      <c r="F308" s="265" t="s">
        <v>2738</v>
      </c>
      <c r="G308" s="271"/>
      <c r="H308" s="269"/>
      <c r="I308" s="271"/>
      <c r="J308" s="271"/>
      <c r="K308" s="271"/>
      <c r="L308" s="271"/>
      <c r="M308" s="270"/>
      <c r="N308" s="265"/>
      <c r="O308" s="265"/>
      <c r="P308" s="117"/>
      <c r="Q308" s="145"/>
      <c r="R308" s="118"/>
      <c r="S308" s="118"/>
      <c r="T308" s="269"/>
      <c r="U308" s="269"/>
      <c r="V308" s="269"/>
      <c r="W308" s="269"/>
      <c r="X308" s="269"/>
      <c r="Y308" s="269"/>
      <c r="Z308" s="269"/>
      <c r="AA308" s="269"/>
      <c r="AB308" s="269"/>
      <c r="AC308" s="269"/>
      <c r="AD308" s="269"/>
      <c r="AE308" s="269"/>
    </row>
    <row r="309" spans="1:31">
      <c r="A309" s="268" t="s">
        <v>2739</v>
      </c>
      <c r="B309" s="272" t="s">
        <v>2731</v>
      </c>
      <c r="C309" s="272"/>
      <c r="D309" s="265"/>
      <c r="E309" s="271"/>
      <c r="F309" s="265" t="s">
        <v>2738</v>
      </c>
      <c r="G309" s="271"/>
      <c r="H309" s="269"/>
      <c r="I309" s="271"/>
      <c r="J309" s="271"/>
      <c r="K309" s="271"/>
      <c r="L309" s="271"/>
      <c r="M309" s="270"/>
      <c r="N309" s="265"/>
      <c r="O309" s="265"/>
      <c r="P309" s="117"/>
      <c r="Q309" s="145"/>
      <c r="R309" s="118"/>
      <c r="S309" s="118"/>
      <c r="T309" s="269"/>
      <c r="U309" s="269"/>
      <c r="V309" s="269"/>
      <c r="W309" s="269"/>
      <c r="X309" s="269"/>
      <c r="Y309" s="269"/>
      <c r="Z309" s="269"/>
      <c r="AA309" s="269"/>
      <c r="AB309" s="269"/>
      <c r="AC309" s="269"/>
      <c r="AD309" s="269"/>
      <c r="AE309" s="269"/>
    </row>
    <row r="310" spans="1:31">
      <c r="A310" s="268" t="s">
        <v>2737</v>
      </c>
      <c r="B310" s="272" t="s">
        <v>2731</v>
      </c>
      <c r="C310" s="272"/>
      <c r="D310" s="265"/>
      <c r="E310" s="271"/>
      <c r="F310" s="265"/>
      <c r="G310" s="271"/>
      <c r="H310" s="269"/>
      <c r="I310" s="271"/>
      <c r="J310" s="271"/>
      <c r="K310" s="271"/>
      <c r="L310" s="271"/>
      <c r="M310" s="270"/>
      <c r="N310" s="265"/>
      <c r="O310" s="265"/>
      <c r="P310" s="117"/>
      <c r="Q310" s="144"/>
      <c r="R310" s="118"/>
      <c r="S310" s="118"/>
      <c r="T310" s="269"/>
      <c r="U310" s="269"/>
      <c r="V310" s="269"/>
      <c r="W310" s="269"/>
      <c r="X310" s="269"/>
      <c r="Y310" s="269"/>
      <c r="Z310" s="269"/>
      <c r="AA310" s="269"/>
      <c r="AB310" s="269"/>
      <c r="AC310" s="269"/>
      <c r="AD310" s="269"/>
      <c r="AE310" s="269"/>
    </row>
    <row r="311" spans="1:31">
      <c r="A311" s="268" t="s">
        <v>2736</v>
      </c>
      <c r="B311" s="272" t="s">
        <v>2731</v>
      </c>
      <c r="C311" s="272"/>
      <c r="D311" s="265"/>
      <c r="E311" s="271"/>
      <c r="F311" s="265"/>
      <c r="G311" s="271"/>
      <c r="H311" s="269"/>
      <c r="I311" s="271"/>
      <c r="J311" s="271"/>
      <c r="K311" s="271"/>
      <c r="L311" s="271"/>
      <c r="M311" s="270"/>
      <c r="N311" s="265"/>
      <c r="O311" s="265"/>
      <c r="P311" s="117"/>
      <c r="Q311" s="144"/>
      <c r="R311" s="118"/>
      <c r="S311" s="118"/>
      <c r="T311" s="269"/>
      <c r="U311" s="269"/>
      <c r="V311" s="269"/>
      <c r="W311" s="269"/>
      <c r="X311" s="269"/>
      <c r="Y311" s="269"/>
      <c r="Z311" s="269"/>
      <c r="AA311" s="269"/>
      <c r="AB311" s="269"/>
      <c r="AC311" s="269"/>
      <c r="AD311" s="269"/>
      <c r="AE311" s="269"/>
    </row>
    <row r="312" spans="1:31">
      <c r="A312" s="268" t="s">
        <v>2735</v>
      </c>
      <c r="B312" s="272" t="s">
        <v>2731</v>
      </c>
      <c r="C312" s="272"/>
      <c r="D312" s="265"/>
      <c r="E312" s="271"/>
      <c r="F312" s="265"/>
      <c r="G312" s="271"/>
      <c r="H312" s="269"/>
      <c r="I312" s="271"/>
      <c r="J312" s="271"/>
      <c r="K312" s="271"/>
      <c r="L312" s="271"/>
      <c r="M312" s="270"/>
      <c r="N312" s="265"/>
      <c r="O312" s="265"/>
      <c r="P312" s="117"/>
      <c r="Q312" s="144"/>
      <c r="R312" s="118"/>
      <c r="S312" s="118"/>
      <c r="T312" s="269"/>
      <c r="U312" s="269"/>
      <c r="V312" s="269"/>
      <c r="W312" s="269"/>
      <c r="X312" s="269"/>
      <c r="Y312" s="269"/>
      <c r="Z312" s="269"/>
      <c r="AA312" s="269"/>
      <c r="AB312" s="269"/>
      <c r="AC312" s="269"/>
      <c r="AD312" s="269"/>
      <c r="AE312" s="269"/>
    </row>
    <row r="313" spans="1:31">
      <c r="A313" s="268" t="s">
        <v>2734</v>
      </c>
      <c r="B313" s="272" t="s">
        <v>2731</v>
      </c>
      <c r="C313" s="272"/>
      <c r="D313" s="265"/>
      <c r="E313" s="271"/>
      <c r="F313" s="265"/>
      <c r="G313" s="271"/>
      <c r="H313" s="269"/>
      <c r="I313" s="271"/>
      <c r="J313" s="271"/>
      <c r="K313" s="271"/>
      <c r="L313" s="271"/>
      <c r="M313" s="270"/>
      <c r="N313" s="265"/>
      <c r="O313" s="265"/>
      <c r="P313" s="117"/>
      <c r="Q313" s="144"/>
      <c r="R313" s="118"/>
      <c r="S313" s="118"/>
      <c r="T313" s="269"/>
      <c r="U313" s="269"/>
      <c r="V313" s="269"/>
      <c r="W313" s="269"/>
      <c r="X313" s="269"/>
      <c r="Y313" s="269"/>
      <c r="Z313" s="269"/>
      <c r="AA313" s="269"/>
      <c r="AB313" s="269"/>
      <c r="AC313" s="269"/>
      <c r="AD313" s="269"/>
      <c r="AE313" s="269"/>
    </row>
    <row r="314" spans="1:31">
      <c r="A314" s="268" t="s">
        <v>2733</v>
      </c>
      <c r="B314" s="272" t="s">
        <v>2731</v>
      </c>
      <c r="C314" s="272"/>
      <c r="D314" s="265"/>
      <c r="E314" s="271"/>
      <c r="F314" s="265"/>
      <c r="G314" s="271"/>
      <c r="H314" s="269"/>
      <c r="I314" s="271"/>
      <c r="J314" s="271"/>
      <c r="K314" s="271"/>
      <c r="L314" s="271"/>
      <c r="M314" s="270"/>
      <c r="N314" s="265"/>
      <c r="O314" s="265"/>
      <c r="P314" s="117"/>
      <c r="Q314" s="144"/>
      <c r="R314" s="118"/>
      <c r="S314" s="118"/>
      <c r="T314" s="269"/>
      <c r="U314" s="269"/>
      <c r="V314" s="269"/>
      <c r="W314" s="269"/>
      <c r="X314" s="269"/>
      <c r="Y314" s="269"/>
      <c r="Z314" s="269"/>
      <c r="AA314" s="269"/>
      <c r="AB314" s="269"/>
      <c r="AC314" s="269"/>
      <c r="AD314" s="269"/>
      <c r="AE314" s="269"/>
    </row>
    <row r="315" spans="1:31">
      <c r="A315" s="268" t="s">
        <v>2732</v>
      </c>
      <c r="B315" s="272" t="s">
        <v>2731</v>
      </c>
      <c r="C315" s="272"/>
      <c r="D315" s="265"/>
      <c r="E315" s="271"/>
      <c r="F315" s="265"/>
      <c r="G315" s="271"/>
      <c r="H315" s="269"/>
      <c r="I315" s="271"/>
      <c r="J315" s="271"/>
      <c r="K315" s="271"/>
      <c r="L315" s="271"/>
      <c r="M315" s="270"/>
      <c r="N315" s="265"/>
      <c r="O315" s="265"/>
      <c r="P315" s="117"/>
      <c r="Q315" s="144"/>
      <c r="R315" s="118"/>
      <c r="S315" s="118"/>
      <c r="T315" s="269"/>
      <c r="U315" s="269"/>
      <c r="V315" s="269"/>
      <c r="W315" s="269"/>
      <c r="X315" s="269"/>
      <c r="Y315" s="269"/>
      <c r="Z315" s="269"/>
      <c r="AA315" s="269"/>
      <c r="AB315" s="269"/>
      <c r="AC315" s="269"/>
      <c r="AD315" s="269"/>
      <c r="AE315" s="269"/>
    </row>
    <row r="316" spans="1:31">
      <c r="A316" s="268"/>
      <c r="B316" s="272"/>
      <c r="C316" s="272"/>
      <c r="D316" s="265"/>
      <c r="E316" s="271"/>
      <c r="F316" s="265"/>
      <c r="G316" s="271"/>
      <c r="H316" s="269"/>
      <c r="I316" s="271"/>
      <c r="J316" s="271"/>
      <c r="K316" s="271"/>
      <c r="L316" s="271"/>
      <c r="M316" s="270"/>
      <c r="N316" s="265"/>
      <c r="O316" s="265"/>
      <c r="P316" s="117"/>
      <c r="Q316" s="144"/>
      <c r="R316" s="118"/>
      <c r="S316" s="118"/>
      <c r="T316" s="269"/>
      <c r="U316" s="269"/>
      <c r="V316" s="269"/>
      <c r="W316" s="269"/>
      <c r="X316" s="269"/>
      <c r="Y316" s="269"/>
      <c r="Z316" s="269"/>
      <c r="AA316" s="269"/>
      <c r="AB316" s="269"/>
      <c r="AC316" s="269"/>
      <c r="AD316" s="269"/>
      <c r="AE316" s="269"/>
    </row>
    <row r="317" spans="1:31">
      <c r="A317" s="268" t="s">
        <v>2730</v>
      </c>
      <c r="B317" s="272"/>
      <c r="C317" s="272"/>
      <c r="D317" s="265"/>
      <c r="E317" s="271"/>
      <c r="F317" s="265"/>
      <c r="G317" s="271"/>
      <c r="H317" s="269"/>
      <c r="I317" s="271"/>
      <c r="J317" s="271"/>
      <c r="K317" s="271"/>
      <c r="L317" s="271"/>
      <c r="M317" s="270"/>
      <c r="N317" s="265"/>
      <c r="O317" s="273" t="s">
        <v>2729</v>
      </c>
      <c r="P317" s="117"/>
      <c r="Q317" s="144"/>
      <c r="R317" s="118"/>
      <c r="S317" s="118"/>
      <c r="T317" s="269"/>
      <c r="U317" s="269"/>
      <c r="V317" s="269"/>
      <c r="W317" s="269"/>
      <c r="X317" s="269"/>
      <c r="Y317" s="269"/>
      <c r="Z317" s="269"/>
      <c r="AA317" s="269"/>
      <c r="AB317" s="269"/>
      <c r="AC317" s="269"/>
      <c r="AD317" s="269"/>
      <c r="AE317" s="269"/>
    </row>
    <row r="318" spans="1:31">
      <c r="A318" s="268"/>
      <c r="B318" s="272"/>
      <c r="C318" s="272"/>
      <c r="D318" s="265"/>
      <c r="E318" s="271"/>
      <c r="F318" s="265"/>
      <c r="G318" s="271"/>
      <c r="H318" s="269"/>
      <c r="I318" s="271"/>
      <c r="J318" s="271"/>
      <c r="K318" s="271"/>
      <c r="L318" s="271"/>
      <c r="M318" s="270"/>
      <c r="N318" s="265"/>
      <c r="O318" s="265"/>
      <c r="P318" s="117"/>
      <c r="Q318" s="144"/>
      <c r="R318" s="118"/>
      <c r="S318" s="118"/>
      <c r="T318" s="269"/>
      <c r="U318" s="269"/>
      <c r="V318" s="269"/>
      <c r="W318" s="269"/>
      <c r="X318" s="269"/>
      <c r="Y318" s="269"/>
      <c r="Z318" s="269"/>
      <c r="AA318" s="269"/>
      <c r="AB318" s="269"/>
      <c r="AC318" s="269"/>
      <c r="AD318" s="269"/>
      <c r="AE318" s="269"/>
    </row>
    <row r="319" spans="1:31">
      <c r="A319" s="268" t="s">
        <v>2728</v>
      </c>
      <c r="B319" s="272" t="s">
        <v>2726</v>
      </c>
      <c r="C319" s="272"/>
      <c r="D319" s="265"/>
      <c r="E319" s="271"/>
      <c r="F319" s="265"/>
      <c r="G319" s="271"/>
      <c r="H319" s="265" t="s">
        <v>2707</v>
      </c>
      <c r="I319" s="271"/>
      <c r="J319" s="271"/>
      <c r="K319" s="271"/>
      <c r="L319" s="271"/>
      <c r="M319" s="270"/>
      <c r="N319" s="265"/>
      <c r="O319" s="265"/>
      <c r="P319" s="117"/>
      <c r="Q319" s="144"/>
      <c r="R319" s="118"/>
      <c r="S319" s="118"/>
      <c r="T319" s="269"/>
      <c r="U319" s="269"/>
      <c r="V319" s="269"/>
      <c r="W319" s="269"/>
      <c r="X319" s="269"/>
      <c r="Y319" s="269"/>
      <c r="Z319" s="269"/>
      <c r="AA319" s="269"/>
      <c r="AB319" s="269"/>
      <c r="AC319" s="269"/>
      <c r="AD319" s="269"/>
      <c r="AE319" s="269"/>
    </row>
    <row r="320" spans="1:31">
      <c r="A320" s="268" t="s">
        <v>2727</v>
      </c>
      <c r="B320" s="272" t="s">
        <v>2726</v>
      </c>
      <c r="C320" s="272"/>
      <c r="D320" s="265"/>
      <c r="E320" s="271"/>
      <c r="F320" s="265"/>
      <c r="G320" s="271"/>
      <c r="H320" s="265" t="s">
        <v>2707</v>
      </c>
      <c r="I320" s="271"/>
      <c r="J320" s="271"/>
      <c r="K320" s="271"/>
      <c r="L320" s="271"/>
      <c r="M320" s="270"/>
      <c r="N320" s="265"/>
      <c r="O320" s="265"/>
      <c r="P320" s="117"/>
      <c r="Q320" s="144"/>
      <c r="R320" s="118"/>
      <c r="S320" s="118"/>
      <c r="T320" s="269"/>
      <c r="U320" s="269"/>
      <c r="V320" s="269"/>
      <c r="W320" s="269"/>
      <c r="X320" s="269"/>
      <c r="Y320" s="269"/>
      <c r="Z320" s="269"/>
      <c r="AA320" s="269"/>
      <c r="AB320" s="269"/>
      <c r="AC320" s="269"/>
      <c r="AD320" s="269"/>
      <c r="AE320" s="269"/>
    </row>
    <row r="321" spans="1:19">
      <c r="A321" s="268" t="s">
        <v>2725</v>
      </c>
      <c r="H321" s="265" t="s">
        <v>2707</v>
      </c>
      <c r="P321" s="117"/>
      <c r="Q321" s="144"/>
      <c r="R321" s="118"/>
      <c r="S321" s="118"/>
    </row>
    <row r="322" spans="1:19">
      <c r="A322" s="268" t="s">
        <v>2724</v>
      </c>
      <c r="H322" s="265" t="s">
        <v>2707</v>
      </c>
      <c r="P322" s="117"/>
      <c r="Q322" s="144"/>
      <c r="R322" s="118"/>
      <c r="S322" s="118"/>
    </row>
    <row r="323" spans="1:19">
      <c r="A323" s="268" t="s">
        <v>2723</v>
      </c>
      <c r="H323" s="265" t="s">
        <v>2707</v>
      </c>
      <c r="P323" s="117"/>
      <c r="Q323" s="144"/>
      <c r="R323" s="118"/>
      <c r="S323" s="118"/>
    </row>
    <row r="324" spans="1:19">
      <c r="A324" s="268" t="s">
        <v>2722</v>
      </c>
      <c r="H324" s="265" t="s">
        <v>2707</v>
      </c>
      <c r="P324" s="117"/>
      <c r="Q324" s="144"/>
      <c r="R324" s="118"/>
      <c r="S324" s="118"/>
    </row>
    <row r="325" spans="1:19">
      <c r="A325" s="268" t="s">
        <v>2721</v>
      </c>
      <c r="H325" s="265" t="s">
        <v>2707</v>
      </c>
      <c r="P325" s="117"/>
      <c r="Q325" s="144"/>
      <c r="R325" s="118"/>
      <c r="S325" s="118"/>
    </row>
    <row r="326" spans="1:19">
      <c r="A326" s="268" t="s">
        <v>2720</v>
      </c>
      <c r="H326" s="265" t="s">
        <v>2707</v>
      </c>
      <c r="P326" s="117"/>
      <c r="Q326" s="144"/>
      <c r="R326" s="118"/>
      <c r="S326" s="118"/>
    </row>
    <row r="327" spans="1:19">
      <c r="A327" s="268" t="s">
        <v>2719</v>
      </c>
      <c r="H327" s="265" t="s">
        <v>2707</v>
      </c>
      <c r="P327" s="117"/>
      <c r="Q327" s="144"/>
      <c r="R327" s="118"/>
      <c r="S327" s="118"/>
    </row>
    <row r="328" spans="1:19">
      <c r="A328" s="268" t="s">
        <v>2718</v>
      </c>
      <c r="H328" s="265" t="s">
        <v>2707</v>
      </c>
      <c r="P328" s="117"/>
      <c r="Q328" s="144"/>
      <c r="R328" s="118"/>
      <c r="S328" s="118"/>
    </row>
    <row r="329" spans="1:19">
      <c r="A329" s="268" t="s">
        <v>2717</v>
      </c>
      <c r="H329" s="265" t="s">
        <v>2707</v>
      </c>
      <c r="P329" s="117"/>
      <c r="Q329" s="144"/>
      <c r="R329" s="118"/>
      <c r="S329" s="118"/>
    </row>
    <row r="330" spans="1:19">
      <c r="P330" s="117"/>
      <c r="Q330" s="144"/>
      <c r="R330" s="118"/>
      <c r="S330" s="118"/>
    </row>
    <row r="331" spans="1:19">
      <c r="P331" s="117"/>
      <c r="Q331" s="144"/>
      <c r="R331" s="118"/>
      <c r="S331" s="118"/>
    </row>
    <row r="332" spans="1:19">
      <c r="P332" s="117"/>
      <c r="Q332" s="144"/>
      <c r="R332" s="118"/>
      <c r="S332" s="118"/>
    </row>
    <row r="333" spans="1:19">
      <c r="P333" s="117"/>
      <c r="Q333" s="144"/>
      <c r="R333" s="118"/>
      <c r="S333" s="118"/>
    </row>
    <row r="334" spans="1:19">
      <c r="P334" s="117"/>
      <c r="Q334" s="144"/>
      <c r="R334" s="118"/>
      <c r="S334" s="118"/>
    </row>
    <row r="335" spans="1:19">
      <c r="P335" s="117"/>
      <c r="Q335" s="144"/>
      <c r="R335" s="118"/>
      <c r="S335" s="118"/>
    </row>
    <row r="336" spans="1:19">
      <c r="P336" s="117"/>
      <c r="Q336" s="144"/>
      <c r="R336" s="118"/>
      <c r="S336" s="118"/>
    </row>
    <row r="337" spans="1:19">
      <c r="P337" s="117"/>
      <c r="Q337" s="144"/>
      <c r="R337" s="118"/>
      <c r="S337" s="118"/>
    </row>
    <row r="338" spans="1:19">
      <c r="A338" s="264" t="s">
        <v>2716</v>
      </c>
      <c r="P338" s="117"/>
      <c r="Q338" s="144"/>
      <c r="R338" s="118"/>
      <c r="S338" s="118"/>
    </row>
    <row r="339" spans="1:19">
      <c r="A339" s="268" t="s">
        <v>2715</v>
      </c>
      <c r="P339" s="117"/>
      <c r="Q339" s="144"/>
      <c r="R339" s="118"/>
      <c r="S339" s="118"/>
    </row>
    <row r="340" spans="1:19">
      <c r="P340" s="117"/>
      <c r="Q340" s="144"/>
      <c r="R340" s="118"/>
      <c r="S340" s="118"/>
    </row>
    <row r="341" spans="1:19">
      <c r="P341" s="117"/>
      <c r="Q341" s="144"/>
      <c r="R341" s="118"/>
      <c r="S341" s="118"/>
    </row>
    <row r="342" spans="1:19">
      <c r="A342" s="267" t="s">
        <v>2714</v>
      </c>
      <c r="J342" s="265" t="s">
        <v>2707</v>
      </c>
      <c r="P342" s="117"/>
      <c r="Q342" s="144"/>
      <c r="R342" s="118"/>
      <c r="S342" s="118"/>
    </row>
    <row r="343" spans="1:19">
      <c r="A343" s="266" t="s">
        <v>2713</v>
      </c>
      <c r="J343" s="265" t="s">
        <v>2707</v>
      </c>
      <c r="P343" s="117"/>
      <c r="Q343" s="144"/>
      <c r="R343" s="118"/>
      <c r="S343" s="118"/>
    </row>
    <row r="344" spans="1:19">
      <c r="A344" s="264" t="s">
        <v>2712</v>
      </c>
      <c r="J344" s="265" t="s">
        <v>2707</v>
      </c>
      <c r="P344" s="117"/>
      <c r="Q344" s="144"/>
      <c r="R344" s="118"/>
      <c r="S344" s="118"/>
    </row>
    <row r="345" spans="1:19">
      <c r="P345" s="117"/>
      <c r="Q345" s="144"/>
      <c r="R345" s="118"/>
      <c r="S345" s="118"/>
    </row>
    <row r="346" spans="1:19">
      <c r="P346" s="117"/>
      <c r="Q346" s="144"/>
      <c r="R346" s="118"/>
      <c r="S346" s="118"/>
    </row>
    <row r="347" spans="1:19">
      <c r="A347" s="264" t="s">
        <v>2711</v>
      </c>
      <c r="H347" s="265" t="s">
        <v>2707</v>
      </c>
      <c r="P347" s="117"/>
      <c r="Q347" s="144"/>
      <c r="R347" s="118"/>
      <c r="S347" s="118"/>
    </row>
    <row r="348" spans="1:19">
      <c r="A348" s="264" t="s">
        <v>2710</v>
      </c>
      <c r="H348" s="265" t="s">
        <v>2707</v>
      </c>
      <c r="P348" s="117"/>
      <c r="Q348" s="144"/>
      <c r="R348" s="118"/>
      <c r="S348" s="118"/>
    </row>
    <row r="349" spans="1:19">
      <c r="P349" s="117"/>
      <c r="Q349" s="144"/>
      <c r="R349" s="118"/>
      <c r="S349" s="118"/>
    </row>
    <row r="350" spans="1:19">
      <c r="P350" s="117"/>
      <c r="Q350" s="144"/>
      <c r="R350" s="118"/>
      <c r="S350" s="118"/>
    </row>
    <row r="351" spans="1:19">
      <c r="A351" s="264" t="s">
        <v>2709</v>
      </c>
      <c r="E351" s="265" t="s">
        <v>2707</v>
      </c>
      <c r="P351" s="117"/>
      <c r="Q351" s="144"/>
      <c r="R351" s="118"/>
      <c r="S351" s="118"/>
    </row>
    <row r="352" spans="1:19">
      <c r="A352" s="264" t="s">
        <v>2708</v>
      </c>
      <c r="E352" s="265" t="s">
        <v>2707</v>
      </c>
      <c r="P352" s="117"/>
      <c r="Q352" s="144"/>
      <c r="R352" s="118"/>
      <c r="S352" s="118"/>
    </row>
    <row r="353" spans="1:19">
      <c r="P353" s="117"/>
      <c r="Q353" s="144"/>
      <c r="R353" s="118"/>
      <c r="S353" s="118"/>
    </row>
    <row r="354" spans="1:19">
      <c r="P354" s="117"/>
      <c r="Q354" s="144"/>
      <c r="R354" s="118"/>
      <c r="S354" s="118"/>
    </row>
    <row r="355" spans="1:19">
      <c r="A355" s="264" t="s">
        <v>2706</v>
      </c>
      <c r="P355" s="117"/>
      <c r="Q355" s="145"/>
      <c r="R355" s="118"/>
      <c r="S355" s="118"/>
    </row>
    <row r="356" spans="1:19">
      <c r="P356" s="117"/>
      <c r="Q356" s="144"/>
      <c r="R356" s="118"/>
      <c r="S356" s="118"/>
    </row>
    <row r="357" spans="1:19">
      <c r="P357" s="117"/>
      <c r="Q357" s="144"/>
      <c r="R357" s="118"/>
      <c r="S357" s="118"/>
    </row>
    <row r="358" spans="1:19">
      <c r="P358" s="117"/>
      <c r="Q358" s="144"/>
      <c r="R358" s="118"/>
      <c r="S358" s="118"/>
    </row>
    <row r="359" spans="1:19">
      <c r="P359" s="117"/>
      <c r="Q359" s="144"/>
      <c r="R359" s="118"/>
      <c r="S359" s="118"/>
    </row>
    <row r="360" spans="1:19">
      <c r="P360" s="117"/>
      <c r="Q360" s="144"/>
      <c r="R360" s="118"/>
      <c r="S360" s="118"/>
    </row>
    <row r="361" spans="1:19">
      <c r="P361" s="117"/>
      <c r="Q361" s="144"/>
      <c r="R361" s="118"/>
      <c r="S361" s="118"/>
    </row>
    <row r="362" spans="1:19">
      <c r="P362" s="117"/>
      <c r="Q362" s="144"/>
      <c r="R362" s="118"/>
      <c r="S362" s="118"/>
    </row>
    <row r="363" spans="1:19">
      <c r="P363" s="117"/>
      <c r="Q363" s="144"/>
      <c r="R363" s="118"/>
      <c r="S363" s="118"/>
    </row>
    <row r="364" spans="1:19">
      <c r="P364" s="117"/>
      <c r="Q364" s="144"/>
      <c r="R364" s="118"/>
      <c r="S364" s="118"/>
    </row>
    <row r="365" spans="1:19">
      <c r="P365" s="117"/>
      <c r="Q365" s="144"/>
      <c r="R365" s="118"/>
      <c r="S365" s="118"/>
    </row>
    <row r="366" spans="1:19">
      <c r="P366" s="117"/>
      <c r="Q366" s="144"/>
      <c r="R366" s="118"/>
      <c r="S366" s="118"/>
    </row>
    <row r="367" spans="1:19">
      <c r="P367" s="117"/>
      <c r="Q367" s="144"/>
      <c r="R367" s="118"/>
      <c r="S367" s="118"/>
    </row>
    <row r="368" spans="1:19">
      <c r="P368" s="117"/>
      <c r="Q368" s="144"/>
      <c r="R368" s="118"/>
      <c r="S368" s="118"/>
    </row>
    <row r="369" spans="16:19">
      <c r="P369" s="117"/>
      <c r="Q369" s="144"/>
      <c r="R369" s="118"/>
      <c r="S369" s="118"/>
    </row>
    <row r="370" spans="16:19">
      <c r="P370" s="117"/>
      <c r="Q370" s="144"/>
      <c r="R370" s="118"/>
      <c r="S370" s="118"/>
    </row>
    <row r="371" spans="16:19">
      <c r="P371" s="117"/>
      <c r="Q371" s="144"/>
      <c r="R371" s="118"/>
      <c r="S371" s="118"/>
    </row>
    <row r="372" spans="16:19">
      <c r="P372" s="117"/>
      <c r="Q372" s="144"/>
      <c r="R372" s="118"/>
      <c r="S372" s="118"/>
    </row>
    <row r="373" spans="16:19">
      <c r="P373" s="117"/>
      <c r="Q373" s="144"/>
      <c r="R373" s="118"/>
      <c r="S373" s="118"/>
    </row>
    <row r="374" spans="16:19">
      <c r="P374" s="117"/>
      <c r="Q374" s="144"/>
      <c r="R374" s="118"/>
      <c r="S374" s="118"/>
    </row>
    <row r="375" spans="16:19">
      <c r="P375" s="117"/>
      <c r="Q375" s="144"/>
      <c r="R375" s="118"/>
      <c r="S375" s="118"/>
    </row>
    <row r="376" spans="16:19">
      <c r="P376" s="117"/>
      <c r="Q376" s="144"/>
      <c r="R376" s="118"/>
      <c r="S376" s="118"/>
    </row>
    <row r="377" spans="16:19">
      <c r="P377" s="117"/>
      <c r="Q377" s="144"/>
      <c r="R377" s="118"/>
      <c r="S377" s="118"/>
    </row>
    <row r="378" spans="16:19">
      <c r="P378" s="117"/>
      <c r="Q378" s="144"/>
      <c r="R378" s="118"/>
      <c r="S378" s="118"/>
    </row>
    <row r="379" spans="16:19">
      <c r="P379" s="117"/>
      <c r="Q379" s="144"/>
      <c r="R379" s="118"/>
      <c r="S379" s="118"/>
    </row>
    <row r="380" spans="16:19">
      <c r="P380" s="117"/>
      <c r="Q380" s="144"/>
      <c r="R380" s="118"/>
      <c r="S380" s="118"/>
    </row>
    <row r="381" spans="16:19">
      <c r="P381" s="117"/>
      <c r="Q381" s="144"/>
      <c r="R381" s="118"/>
      <c r="S381" s="118"/>
    </row>
    <row r="382" spans="16:19">
      <c r="P382" s="117"/>
      <c r="Q382" s="144"/>
      <c r="R382" s="118"/>
      <c r="S382" s="118"/>
    </row>
    <row r="383" spans="16:19">
      <c r="P383" s="117"/>
      <c r="Q383" s="144"/>
      <c r="R383" s="118"/>
      <c r="S383" s="118"/>
    </row>
    <row r="384" spans="16:19">
      <c r="P384" s="117"/>
      <c r="Q384" s="144"/>
      <c r="R384" s="118"/>
      <c r="S384" s="118"/>
    </row>
    <row r="385" spans="16:19">
      <c r="P385" s="117"/>
      <c r="Q385" s="144"/>
      <c r="R385" s="118"/>
      <c r="S385" s="118"/>
    </row>
    <row r="386" spans="16:19">
      <c r="P386" s="117"/>
      <c r="Q386" s="144"/>
      <c r="R386" s="118"/>
      <c r="S386" s="118"/>
    </row>
    <row r="387" spans="16:19">
      <c r="P387" s="117"/>
      <c r="Q387" s="144"/>
      <c r="R387" s="118"/>
      <c r="S387" s="118"/>
    </row>
    <row r="388" spans="16:19">
      <c r="P388" s="117"/>
      <c r="Q388" s="144"/>
      <c r="R388" s="118"/>
      <c r="S388" s="118"/>
    </row>
    <row r="389" spans="16:19">
      <c r="P389" s="117"/>
      <c r="Q389" s="144"/>
      <c r="R389" s="118"/>
      <c r="S389" s="118"/>
    </row>
    <row r="390" spans="16:19">
      <c r="P390" s="117"/>
      <c r="Q390" s="144"/>
      <c r="R390" s="118"/>
      <c r="S390" s="118"/>
    </row>
    <row r="391" spans="16:19">
      <c r="P391" s="117"/>
      <c r="Q391" s="144"/>
      <c r="R391" s="118"/>
      <c r="S391" s="118"/>
    </row>
    <row r="392" spans="16:19">
      <c r="P392" s="117"/>
      <c r="Q392" s="144"/>
      <c r="R392" s="118"/>
      <c r="S392" s="118"/>
    </row>
    <row r="393" spans="16:19">
      <c r="P393" s="117"/>
      <c r="Q393" s="144"/>
      <c r="R393" s="118"/>
      <c r="S393" s="118"/>
    </row>
    <row r="394" spans="16:19">
      <c r="P394" s="117"/>
      <c r="Q394" s="144"/>
      <c r="R394" s="118"/>
      <c r="S394" s="118"/>
    </row>
    <row r="395" spans="16:19">
      <c r="P395" s="117"/>
      <c r="Q395" s="144"/>
      <c r="R395" s="118"/>
      <c r="S395" s="118"/>
    </row>
    <row r="396" spans="16:19">
      <c r="P396" s="117"/>
      <c r="Q396" s="144"/>
      <c r="R396" s="118"/>
      <c r="S396" s="118"/>
    </row>
    <row r="397" spans="16:19">
      <c r="P397" s="117"/>
      <c r="Q397" s="144"/>
      <c r="R397" s="118"/>
      <c r="S397" s="118"/>
    </row>
    <row r="398" spans="16:19">
      <c r="P398" s="117"/>
      <c r="Q398" s="144"/>
      <c r="R398" s="118"/>
      <c r="S398" s="118"/>
    </row>
    <row r="399" spans="16:19">
      <c r="P399" s="117"/>
      <c r="Q399" s="144"/>
      <c r="R399" s="118"/>
      <c r="S399" s="118"/>
    </row>
    <row r="400" spans="16:19">
      <c r="P400" s="117"/>
      <c r="Q400" s="144"/>
      <c r="R400" s="118"/>
      <c r="S400" s="118"/>
    </row>
    <row r="401" spans="16:19">
      <c r="P401" s="117"/>
      <c r="Q401" s="144"/>
      <c r="R401" s="118"/>
      <c r="S401" s="118"/>
    </row>
    <row r="402" spans="16:19">
      <c r="P402" s="117"/>
      <c r="Q402" s="144"/>
      <c r="R402" s="118"/>
      <c r="S402" s="118"/>
    </row>
    <row r="403" spans="16:19">
      <c r="P403" s="117"/>
      <c r="Q403" s="144"/>
      <c r="R403" s="118"/>
      <c r="S403" s="118"/>
    </row>
    <row r="404" spans="16:19">
      <c r="P404" s="117"/>
      <c r="Q404" s="144"/>
      <c r="R404" s="118"/>
      <c r="S404" s="118"/>
    </row>
    <row r="405" spans="16:19">
      <c r="P405" s="117"/>
      <c r="Q405" s="144"/>
      <c r="R405" s="118"/>
      <c r="S405" s="118"/>
    </row>
    <row r="406" spans="16:19">
      <c r="P406" s="117"/>
      <c r="Q406" s="144"/>
      <c r="R406" s="118"/>
      <c r="S406" s="118"/>
    </row>
    <row r="407" spans="16:19">
      <c r="P407" s="117"/>
      <c r="Q407" s="144"/>
      <c r="R407" s="118"/>
      <c r="S407" s="118"/>
    </row>
    <row r="408" spans="16:19">
      <c r="P408" s="117"/>
      <c r="Q408" s="144"/>
      <c r="R408" s="118"/>
      <c r="S408" s="118"/>
    </row>
    <row r="409" spans="16:19">
      <c r="P409" s="117"/>
      <c r="Q409" s="144"/>
      <c r="R409" s="118"/>
      <c r="S409" s="118"/>
    </row>
    <row r="410" spans="16:19">
      <c r="P410" s="117"/>
      <c r="Q410" s="144"/>
      <c r="R410" s="118"/>
      <c r="S410" s="118"/>
    </row>
    <row r="411" spans="16:19">
      <c r="P411" s="117"/>
      <c r="Q411" s="144"/>
      <c r="R411" s="118"/>
      <c r="S411" s="118"/>
    </row>
    <row r="412" spans="16:19">
      <c r="P412" s="117"/>
      <c r="Q412" s="144"/>
      <c r="R412" s="118"/>
      <c r="S412" s="118"/>
    </row>
    <row r="413" spans="16:19">
      <c r="P413" s="117"/>
      <c r="Q413" s="144"/>
      <c r="R413" s="118"/>
      <c r="S413" s="118"/>
    </row>
    <row r="414" spans="16:19">
      <c r="P414" s="117"/>
      <c r="Q414" s="144"/>
      <c r="R414" s="118"/>
      <c r="S414" s="118"/>
    </row>
    <row r="415" spans="16:19">
      <c r="P415" s="117"/>
      <c r="Q415" s="144"/>
      <c r="R415" s="118"/>
      <c r="S415" s="118"/>
    </row>
    <row r="416" spans="16:19">
      <c r="P416" s="117"/>
      <c r="Q416" s="144"/>
      <c r="R416" s="118"/>
      <c r="S416" s="118"/>
    </row>
    <row r="417" spans="16:19">
      <c r="P417" s="117"/>
      <c r="Q417" s="144"/>
      <c r="R417" s="118"/>
      <c r="S417" s="118"/>
    </row>
    <row r="418" spans="16:19">
      <c r="P418" s="117"/>
      <c r="Q418" s="144"/>
      <c r="R418" s="118"/>
      <c r="S418" s="118"/>
    </row>
    <row r="419" spans="16:19">
      <c r="P419" s="117"/>
      <c r="Q419" s="144"/>
      <c r="R419" s="118"/>
      <c r="S419" s="118"/>
    </row>
    <row r="420" spans="16:19">
      <c r="P420" s="117"/>
      <c r="Q420" s="144"/>
      <c r="R420" s="118"/>
      <c r="S420" s="118"/>
    </row>
    <row r="421" spans="16:19">
      <c r="P421" s="117"/>
      <c r="Q421" s="144"/>
      <c r="R421" s="118"/>
      <c r="S421" s="118"/>
    </row>
    <row r="422" spans="16:19">
      <c r="P422" s="117"/>
      <c r="Q422" s="144"/>
      <c r="R422" s="118"/>
      <c r="S422" s="118"/>
    </row>
    <row r="423" spans="16:19">
      <c r="P423" s="117"/>
      <c r="Q423" s="144"/>
      <c r="R423" s="118"/>
      <c r="S423" s="118"/>
    </row>
    <row r="424" spans="16:19">
      <c r="P424" s="117"/>
      <c r="Q424" s="144"/>
      <c r="R424" s="118"/>
      <c r="S424" s="118"/>
    </row>
    <row r="425" spans="16:19">
      <c r="P425" s="117"/>
      <c r="Q425" s="144"/>
      <c r="R425" s="118"/>
      <c r="S425" s="118"/>
    </row>
    <row r="426" spans="16:19">
      <c r="P426" s="117"/>
      <c r="Q426" s="144"/>
      <c r="R426" s="118"/>
      <c r="S426" s="118"/>
    </row>
    <row r="427" spans="16:19">
      <c r="P427" s="117"/>
      <c r="Q427" s="144"/>
      <c r="R427" s="118"/>
      <c r="S427" s="118"/>
    </row>
    <row r="428" spans="16:19">
      <c r="P428" s="117"/>
      <c r="Q428" s="144"/>
      <c r="R428" s="118"/>
      <c r="S428" s="118"/>
    </row>
    <row r="429" spans="16:19">
      <c r="P429" s="117"/>
      <c r="Q429" s="144"/>
      <c r="R429" s="118"/>
      <c r="S429" s="118"/>
    </row>
    <row r="430" spans="16:19">
      <c r="P430" s="117"/>
      <c r="Q430" s="144"/>
      <c r="R430" s="118"/>
      <c r="S430" s="118"/>
    </row>
    <row r="431" spans="16:19">
      <c r="P431" s="117"/>
      <c r="Q431" s="144"/>
      <c r="R431" s="118"/>
      <c r="S431" s="118"/>
    </row>
    <row r="432" spans="16:19">
      <c r="P432" s="117"/>
      <c r="Q432" s="144"/>
      <c r="R432" s="118"/>
      <c r="S432" s="118"/>
    </row>
    <row r="433" spans="16:19">
      <c r="P433" s="117"/>
      <c r="Q433" s="144"/>
      <c r="R433" s="118"/>
      <c r="S433" s="118"/>
    </row>
    <row r="434" spans="16:19">
      <c r="P434" s="117"/>
      <c r="Q434" s="144"/>
      <c r="R434" s="118"/>
      <c r="S434" s="118"/>
    </row>
    <row r="435" spans="16:19">
      <c r="P435" s="117"/>
      <c r="Q435" s="144"/>
      <c r="R435" s="118"/>
      <c r="S435" s="118"/>
    </row>
    <row r="436" spans="16:19">
      <c r="P436" s="117"/>
      <c r="Q436" s="144"/>
      <c r="R436" s="118"/>
      <c r="S436" s="118"/>
    </row>
    <row r="437" spans="16:19">
      <c r="P437" s="117"/>
      <c r="Q437" s="144"/>
      <c r="R437" s="118"/>
      <c r="S437" s="118"/>
    </row>
    <row r="438" spans="16:19">
      <c r="P438" s="117"/>
      <c r="Q438" s="144"/>
      <c r="R438" s="118"/>
      <c r="S438" s="118"/>
    </row>
    <row r="439" spans="16:19">
      <c r="P439" s="117"/>
      <c r="Q439" s="144"/>
      <c r="R439" s="118"/>
      <c r="S439" s="118"/>
    </row>
    <row r="440" spans="16:19">
      <c r="P440" s="13"/>
      <c r="Q440" s="146"/>
      <c r="R440" s="13"/>
      <c r="S440" s="13"/>
    </row>
    <row r="441" spans="16:19">
      <c r="P441" s="13"/>
      <c r="Q441" s="146"/>
      <c r="R441" s="13"/>
      <c r="S441" s="13"/>
    </row>
    <row r="442" spans="16:19">
      <c r="P442" s="117"/>
      <c r="Q442" s="145"/>
      <c r="R442" s="118"/>
      <c r="S442" s="118"/>
    </row>
    <row r="443" spans="16:19">
      <c r="P443" s="117"/>
      <c r="Q443" s="144"/>
      <c r="R443" s="118"/>
      <c r="S443" s="118"/>
    </row>
    <row r="444" spans="16:19">
      <c r="P444" s="117"/>
      <c r="Q444" s="144"/>
      <c r="R444" s="118"/>
      <c r="S444" s="118"/>
    </row>
    <row r="445" spans="16:19">
      <c r="P445" s="117"/>
      <c r="Q445" s="144"/>
      <c r="R445" s="118"/>
      <c r="S445" s="118"/>
    </row>
    <row r="446" spans="16:19">
      <c r="P446" s="117"/>
      <c r="Q446" s="144"/>
      <c r="R446" s="118"/>
      <c r="S446" s="118"/>
    </row>
    <row r="447" spans="16:19">
      <c r="P447" s="117"/>
      <c r="Q447" s="144"/>
      <c r="R447" s="118"/>
      <c r="S447" s="118"/>
    </row>
    <row r="448" spans="16:19">
      <c r="P448" s="117"/>
      <c r="Q448" s="144"/>
      <c r="R448" s="118"/>
      <c r="S448" s="118"/>
    </row>
    <row r="449" spans="16:19">
      <c r="P449" s="117"/>
      <c r="Q449" s="144"/>
      <c r="R449" s="118"/>
      <c r="S449" s="118"/>
    </row>
    <row r="450" spans="16:19">
      <c r="P450" s="117"/>
      <c r="Q450" s="144"/>
      <c r="R450" s="118"/>
      <c r="S450" s="118"/>
    </row>
    <row r="451" spans="16:19">
      <c r="P451" s="117"/>
      <c r="Q451" s="144"/>
      <c r="R451" s="118"/>
      <c r="S451" s="118"/>
    </row>
    <row r="452" spans="16:19">
      <c r="P452" s="117"/>
      <c r="Q452" s="144"/>
      <c r="R452" s="118"/>
      <c r="S452" s="118"/>
    </row>
    <row r="454" spans="16:19">
      <c r="P454" s="117"/>
      <c r="Q454" s="144"/>
      <c r="R454" s="118"/>
      <c r="S454" s="118"/>
    </row>
    <row r="455" spans="16:19">
      <c r="P455" s="117"/>
      <c r="Q455" s="144"/>
      <c r="R455" s="118"/>
      <c r="S455" s="118"/>
    </row>
    <row r="456" spans="16:19">
      <c r="P456" s="117"/>
      <c r="Q456" s="144"/>
      <c r="R456" s="118"/>
      <c r="S456" s="118"/>
    </row>
    <row r="457" spans="16:19">
      <c r="P457" s="117"/>
      <c r="Q457" s="144"/>
      <c r="R457" s="118"/>
      <c r="S457" s="118"/>
    </row>
    <row r="458" spans="16:19">
      <c r="P458" s="117"/>
      <c r="Q458" s="144"/>
      <c r="R458" s="118"/>
      <c r="S458" s="118"/>
    </row>
    <row r="459" spans="16:19">
      <c r="P459" s="117"/>
      <c r="Q459" s="144"/>
      <c r="R459" s="118"/>
      <c r="S459" s="118"/>
    </row>
    <row r="460" spans="16:19">
      <c r="P460" s="117"/>
      <c r="Q460" s="144"/>
      <c r="R460" s="118"/>
      <c r="S460" s="118"/>
    </row>
    <row r="461" spans="16:19">
      <c r="P461" s="117"/>
      <c r="Q461" s="144"/>
      <c r="R461" s="118"/>
      <c r="S461" s="118"/>
    </row>
    <row r="462" spans="16:19">
      <c r="P462" s="117"/>
      <c r="Q462" s="144"/>
      <c r="R462" s="118"/>
      <c r="S462" s="118"/>
    </row>
    <row r="463" spans="16:19">
      <c r="P463" s="117"/>
      <c r="Q463" s="144"/>
      <c r="R463" s="118"/>
      <c r="S463" s="118"/>
    </row>
    <row r="464" spans="16:19">
      <c r="P464" s="117"/>
      <c r="Q464" s="144"/>
      <c r="R464" s="118"/>
      <c r="S464" s="118"/>
    </row>
    <row r="465" spans="16:19">
      <c r="P465" s="117"/>
      <c r="Q465" s="144"/>
      <c r="R465" s="118"/>
      <c r="S465" s="118"/>
    </row>
    <row r="466" spans="16:19">
      <c r="P466" s="117"/>
      <c r="Q466" s="144"/>
      <c r="R466" s="118"/>
      <c r="S466" s="118"/>
    </row>
    <row r="467" spans="16:19">
      <c r="P467" s="117"/>
      <c r="Q467" s="144"/>
      <c r="R467" s="118"/>
      <c r="S467" s="118"/>
    </row>
    <row r="468" spans="16:19">
      <c r="P468" s="117"/>
      <c r="Q468" s="144"/>
      <c r="R468" s="118"/>
      <c r="S468" s="118"/>
    </row>
    <row r="469" spans="16:19">
      <c r="P469" s="117"/>
      <c r="Q469" s="144"/>
      <c r="R469" s="118"/>
      <c r="S469" s="118"/>
    </row>
    <row r="470" spans="16:19">
      <c r="P470" s="117"/>
      <c r="Q470" s="144"/>
      <c r="R470" s="118"/>
      <c r="S470" s="118"/>
    </row>
    <row r="471" spans="16:19">
      <c r="P471" s="117"/>
      <c r="Q471" s="144"/>
      <c r="R471" s="118"/>
      <c r="S471" s="118"/>
    </row>
    <row r="472" spans="16:19">
      <c r="P472" s="117"/>
      <c r="Q472" s="144"/>
      <c r="R472" s="118"/>
      <c r="S472" s="118"/>
    </row>
    <row r="473" spans="16:19">
      <c r="P473" s="117"/>
      <c r="Q473" s="144"/>
      <c r="R473" s="118"/>
      <c r="S473" s="118"/>
    </row>
    <row r="474" spans="16:19">
      <c r="P474" s="117"/>
      <c r="Q474" s="144"/>
      <c r="R474" s="118"/>
      <c r="S474" s="118"/>
    </row>
    <row r="475" spans="16:19">
      <c r="P475" s="117"/>
      <c r="Q475" s="144"/>
      <c r="R475" s="118"/>
      <c r="S475" s="118"/>
    </row>
    <row r="476" spans="16:19">
      <c r="P476" s="117"/>
      <c r="Q476" s="144"/>
      <c r="R476" s="118"/>
      <c r="S476" s="118"/>
    </row>
    <row r="477" spans="16:19">
      <c r="P477" s="117"/>
      <c r="Q477" s="144"/>
      <c r="R477" s="118"/>
      <c r="S477" s="118"/>
    </row>
    <row r="478" spans="16:19">
      <c r="P478" s="117"/>
      <c r="Q478" s="144"/>
      <c r="R478" s="118"/>
      <c r="S478" s="118"/>
    </row>
    <row r="479" spans="16:19">
      <c r="P479" s="117"/>
      <c r="Q479" s="144"/>
      <c r="R479" s="118"/>
      <c r="S479" s="118"/>
    </row>
    <row r="480" spans="16:19">
      <c r="P480" s="117"/>
      <c r="Q480" s="144"/>
      <c r="R480" s="118"/>
      <c r="S480" s="118"/>
    </row>
    <row r="481" spans="16:19">
      <c r="P481" s="117"/>
      <c r="Q481" s="144"/>
      <c r="R481" s="118"/>
      <c r="S481" s="118"/>
    </row>
    <row r="482" spans="16:19">
      <c r="P482" s="117"/>
      <c r="Q482" s="144"/>
      <c r="R482" s="118"/>
      <c r="S482" s="118"/>
    </row>
    <row r="483" spans="16:19">
      <c r="P483" s="117"/>
      <c r="Q483" s="144"/>
      <c r="R483" s="118"/>
      <c r="S483" s="118"/>
    </row>
    <row r="484" spans="16:19">
      <c r="P484" s="117"/>
      <c r="Q484" s="144"/>
      <c r="R484" s="118"/>
      <c r="S484" s="118"/>
    </row>
    <row r="485" spans="16:19">
      <c r="P485" s="117"/>
      <c r="Q485" s="144"/>
      <c r="R485" s="118"/>
      <c r="S485" s="118"/>
    </row>
    <row r="486" spans="16:19">
      <c r="P486" s="117"/>
      <c r="Q486" s="144"/>
      <c r="R486" s="118"/>
      <c r="S486" s="118"/>
    </row>
    <row r="487" spans="16:19">
      <c r="P487" s="117"/>
      <c r="Q487" s="144"/>
      <c r="R487" s="118"/>
      <c r="S487" s="118"/>
    </row>
    <row r="488" spans="16:19">
      <c r="P488" s="117"/>
      <c r="Q488" s="144"/>
      <c r="R488" s="118"/>
      <c r="S488" s="118"/>
    </row>
    <row r="489" spans="16:19">
      <c r="P489" s="117"/>
      <c r="Q489" s="144"/>
      <c r="R489" s="118"/>
      <c r="S489" s="118"/>
    </row>
    <row r="490" spans="16:19">
      <c r="P490" s="117"/>
      <c r="Q490" s="144"/>
      <c r="R490" s="118"/>
      <c r="S490" s="118"/>
    </row>
    <row r="491" spans="16:19">
      <c r="P491" s="117"/>
      <c r="Q491" s="144"/>
      <c r="R491" s="118"/>
      <c r="S491" s="118"/>
    </row>
    <row r="492" spans="16:19">
      <c r="P492" s="117"/>
      <c r="Q492" s="144"/>
      <c r="R492" s="118"/>
      <c r="S492" s="118"/>
    </row>
    <row r="493" spans="16:19">
      <c r="P493" s="117"/>
      <c r="Q493" s="144"/>
      <c r="R493" s="118"/>
      <c r="S493" s="118"/>
    </row>
    <row r="494" spans="16:19">
      <c r="P494" s="117"/>
      <c r="Q494" s="144"/>
      <c r="R494" s="118"/>
      <c r="S494" s="118"/>
    </row>
    <row r="495" spans="16:19">
      <c r="P495" s="117"/>
      <c r="Q495" s="144"/>
      <c r="R495" s="118"/>
      <c r="S495" s="118"/>
    </row>
    <row r="496" spans="16:19">
      <c r="P496" s="117"/>
      <c r="Q496" s="144"/>
      <c r="R496" s="118"/>
      <c r="S496" s="118"/>
    </row>
    <row r="497" spans="16:19">
      <c r="P497" s="117"/>
      <c r="Q497" s="144"/>
      <c r="R497" s="118"/>
      <c r="S497" s="118"/>
    </row>
    <row r="498" spans="16:19">
      <c r="P498" s="117"/>
      <c r="Q498" s="144"/>
      <c r="R498" s="118"/>
      <c r="S498" s="118"/>
    </row>
    <row r="499" spans="16:19">
      <c r="P499" s="117"/>
      <c r="Q499" s="144"/>
      <c r="R499" s="118"/>
      <c r="S499" s="118"/>
    </row>
    <row r="500" spans="16:19">
      <c r="P500" s="117"/>
      <c r="Q500" s="144"/>
      <c r="R500" s="118"/>
      <c r="S500" s="118"/>
    </row>
    <row r="501" spans="16:19">
      <c r="P501" s="117"/>
      <c r="Q501" s="144"/>
      <c r="R501" s="118"/>
      <c r="S501" s="118"/>
    </row>
    <row r="502" spans="16:19">
      <c r="P502" s="117"/>
      <c r="Q502" s="144"/>
      <c r="R502" s="118"/>
      <c r="S502" s="118"/>
    </row>
    <row r="503" spans="16:19">
      <c r="P503" s="117"/>
      <c r="Q503" s="144"/>
      <c r="R503" s="118"/>
      <c r="S503" s="118"/>
    </row>
    <row r="504" spans="16:19">
      <c r="P504" s="117"/>
      <c r="Q504" s="144"/>
      <c r="R504" s="118"/>
      <c r="S504" s="118"/>
    </row>
    <row r="505" spans="16:19">
      <c r="P505" s="117"/>
      <c r="Q505" s="144"/>
      <c r="R505" s="118"/>
      <c r="S505" s="118"/>
    </row>
    <row r="506" spans="16:19">
      <c r="P506" s="117"/>
      <c r="Q506" s="144"/>
      <c r="R506" s="118"/>
      <c r="S506" s="118"/>
    </row>
    <row r="507" spans="16:19">
      <c r="P507" s="117"/>
      <c r="Q507" s="144"/>
      <c r="R507" s="118"/>
      <c r="S507" s="118"/>
    </row>
    <row r="508" spans="16:19">
      <c r="P508" s="60"/>
      <c r="R508" s="57"/>
      <c r="S508" s="57"/>
    </row>
    <row r="509" spans="16:19">
      <c r="P509" s="60"/>
      <c r="R509" s="57"/>
      <c r="S509" s="57"/>
    </row>
    <row r="510" spans="16:19">
      <c r="P510" s="13"/>
      <c r="Q510" s="33"/>
      <c r="R510" s="13"/>
      <c r="S510" s="13"/>
    </row>
    <row r="511" spans="16:19">
      <c r="P511" s="13"/>
      <c r="Q511" s="33"/>
      <c r="R511" s="13"/>
      <c r="S511" s="13"/>
    </row>
    <row r="512" spans="16:19">
      <c r="P512" s="13"/>
      <c r="Q512" s="33"/>
      <c r="R512" s="13"/>
      <c r="S512" s="13"/>
    </row>
    <row r="513" spans="16:19">
      <c r="P513" s="13"/>
      <c r="Q513" s="33"/>
      <c r="R513" s="13"/>
      <c r="S513" s="13"/>
    </row>
    <row r="514" spans="16:19">
      <c r="P514" s="13"/>
      <c r="Q514" s="33"/>
      <c r="R514" s="13"/>
      <c r="S514" s="13"/>
    </row>
    <row r="515" spans="16:19">
      <c r="P515" s="13"/>
      <c r="Q515" s="33"/>
      <c r="R515" s="13"/>
      <c r="S515" s="13"/>
    </row>
    <row r="516" spans="16:19">
      <c r="P516" s="13"/>
      <c r="Q516" s="33"/>
      <c r="R516" s="13"/>
      <c r="S516" s="13"/>
    </row>
    <row r="517" spans="16:19">
      <c r="P517" s="13"/>
      <c r="Q517" s="33"/>
      <c r="R517" s="13"/>
      <c r="S517" s="13"/>
    </row>
    <row r="518" spans="16:19">
      <c r="P518" s="13"/>
      <c r="Q518" s="33"/>
      <c r="R518" s="13"/>
      <c r="S518" s="13"/>
    </row>
    <row r="519" spans="16:19">
      <c r="P519" s="13"/>
      <c r="Q519" s="33"/>
      <c r="R519" s="13"/>
      <c r="S519" s="13"/>
    </row>
    <row r="520" spans="16:19">
      <c r="P520" s="13"/>
      <c r="Q520" s="33"/>
      <c r="R520" s="13"/>
      <c r="S520" s="13"/>
    </row>
    <row r="521" spans="16:19">
      <c r="P521" s="13"/>
      <c r="Q521" s="33"/>
      <c r="R521" s="13"/>
      <c r="S521" s="13"/>
    </row>
    <row r="522" spans="16:19">
      <c r="P522" s="13"/>
      <c r="Q522" s="33"/>
      <c r="R522" s="13"/>
      <c r="S522" s="13"/>
    </row>
    <row r="523" spans="16:19">
      <c r="P523" s="13"/>
      <c r="Q523" s="33"/>
      <c r="R523" s="13"/>
      <c r="S523" s="13"/>
    </row>
    <row r="524" spans="16:19">
      <c r="P524" s="13"/>
      <c r="Q524" s="33"/>
      <c r="R524" s="13"/>
      <c r="S524" s="13"/>
    </row>
    <row r="525" spans="16:19">
      <c r="P525" s="13"/>
      <c r="Q525" s="33"/>
      <c r="R525" s="13"/>
      <c r="S525" s="13"/>
    </row>
    <row r="526" spans="16:19">
      <c r="P526" s="13"/>
      <c r="Q526" s="33"/>
      <c r="R526" s="13"/>
      <c r="S526" s="13"/>
    </row>
    <row r="527" spans="16:19">
      <c r="P527" s="13"/>
      <c r="Q527" s="33"/>
      <c r="R527" s="13"/>
      <c r="S527" s="13"/>
    </row>
    <row r="528" spans="16:19">
      <c r="P528" s="13"/>
      <c r="Q528" s="33"/>
      <c r="R528" s="13"/>
      <c r="S528" s="13"/>
    </row>
    <row r="529" spans="16:19">
      <c r="P529" s="13"/>
      <c r="Q529" s="33"/>
      <c r="R529" s="13"/>
      <c r="S529" s="13"/>
    </row>
    <row r="530" spans="16:19">
      <c r="P530" s="13"/>
      <c r="Q530" s="33"/>
      <c r="R530" s="13"/>
      <c r="S530" s="13"/>
    </row>
    <row r="531" spans="16:19">
      <c r="P531" s="13"/>
      <c r="Q531" s="33"/>
      <c r="R531" s="13"/>
      <c r="S531" s="13"/>
    </row>
    <row r="532" spans="16:19">
      <c r="P532" s="13"/>
      <c r="Q532" s="33"/>
      <c r="R532" s="13"/>
      <c r="S532" s="13"/>
    </row>
    <row r="533" spans="16:19">
      <c r="P533" s="13"/>
      <c r="Q533" s="33"/>
      <c r="R533" s="13"/>
      <c r="S533" s="13"/>
    </row>
    <row r="534" spans="16:19">
      <c r="P534" s="13"/>
      <c r="Q534" s="33"/>
      <c r="R534" s="13"/>
      <c r="S534" s="13"/>
    </row>
    <row r="535" spans="16:19">
      <c r="P535" s="13"/>
      <c r="Q535" s="33"/>
      <c r="R535" s="13"/>
      <c r="S535" s="13"/>
    </row>
    <row r="536" spans="16:19">
      <c r="P536" s="13"/>
      <c r="Q536" s="33"/>
      <c r="R536" s="13"/>
      <c r="S536" s="13"/>
    </row>
    <row r="537" spans="16:19">
      <c r="P537" s="13"/>
      <c r="Q537" s="33"/>
      <c r="R537" s="13"/>
      <c r="S537" s="13"/>
    </row>
    <row r="538" spans="16:19">
      <c r="P538" s="13"/>
      <c r="Q538" s="33"/>
      <c r="R538" s="13"/>
      <c r="S538" s="13"/>
    </row>
    <row r="539" spans="16:19">
      <c r="P539" s="13"/>
      <c r="Q539" s="33"/>
      <c r="R539" s="13"/>
      <c r="S539" s="13"/>
    </row>
    <row r="540" spans="16:19">
      <c r="P540" s="13"/>
      <c r="Q540" s="33"/>
      <c r="R540" s="13"/>
      <c r="S540" s="13"/>
    </row>
    <row r="541" spans="16:19">
      <c r="P541" s="13"/>
      <c r="Q541" s="33"/>
      <c r="R541" s="13"/>
      <c r="S541" s="13"/>
    </row>
    <row r="542" spans="16:19">
      <c r="P542" s="13"/>
      <c r="Q542" s="33"/>
      <c r="R542" s="13"/>
      <c r="S542" s="13"/>
    </row>
    <row r="543" spans="16:19">
      <c r="P543" s="13"/>
      <c r="Q543" s="33"/>
      <c r="R543" s="13"/>
      <c r="S543" s="13"/>
    </row>
    <row r="544" spans="16:19">
      <c r="P544" s="13"/>
      <c r="Q544" s="33"/>
      <c r="R544" s="13"/>
      <c r="S544" s="13"/>
    </row>
    <row r="545" spans="16:19">
      <c r="P545" s="13"/>
      <c r="Q545" s="33"/>
      <c r="R545" s="13"/>
      <c r="S545" s="13"/>
    </row>
    <row r="546" spans="16:19">
      <c r="P546" s="13"/>
      <c r="Q546" s="33"/>
      <c r="R546" s="13"/>
      <c r="S546" s="13"/>
    </row>
    <row r="547" spans="16:19">
      <c r="P547" s="13"/>
      <c r="Q547" s="33"/>
      <c r="R547" s="13"/>
      <c r="S547" s="13"/>
    </row>
    <row r="548" spans="16:19">
      <c r="P548" s="13"/>
      <c r="Q548" s="33"/>
      <c r="R548" s="13"/>
      <c r="S548" s="13"/>
    </row>
    <row r="549" spans="16:19">
      <c r="P549" s="13"/>
      <c r="Q549" s="33"/>
      <c r="R549" s="13"/>
      <c r="S549" s="13"/>
    </row>
    <row r="550" spans="16:19">
      <c r="P550" s="13"/>
      <c r="Q550" s="33"/>
      <c r="R550" s="13"/>
      <c r="S550" s="13"/>
    </row>
    <row r="551" spans="16:19">
      <c r="P551" s="13"/>
      <c r="Q551" s="33"/>
      <c r="R551" s="13"/>
      <c r="S551" s="13"/>
    </row>
    <row r="552" spans="16:19">
      <c r="P552" s="13"/>
      <c r="Q552" s="33"/>
      <c r="R552" s="13"/>
      <c r="S552" s="13"/>
    </row>
    <row r="553" spans="16:19">
      <c r="P553" s="13"/>
      <c r="Q553" s="33"/>
      <c r="R553" s="13"/>
      <c r="S553" s="13"/>
    </row>
    <row r="554" spans="16:19">
      <c r="P554" s="13"/>
      <c r="Q554" s="33"/>
      <c r="R554" s="13"/>
      <c r="S554" s="13"/>
    </row>
    <row r="555" spans="16:19">
      <c r="P555" s="13"/>
      <c r="Q555" s="33"/>
      <c r="R555" s="13"/>
      <c r="S555" s="13"/>
    </row>
    <row r="556" spans="16:19">
      <c r="P556" s="13"/>
      <c r="Q556" s="33"/>
      <c r="R556" s="13"/>
      <c r="S556" s="13"/>
    </row>
    <row r="557" spans="16:19">
      <c r="P557" s="13"/>
      <c r="Q557" s="33"/>
      <c r="R557" s="13"/>
      <c r="S557" s="13"/>
    </row>
    <row r="558" spans="16:19">
      <c r="P558" s="13"/>
      <c r="Q558" s="33"/>
      <c r="R558" s="13"/>
      <c r="S558" s="13"/>
    </row>
    <row r="559" spans="16:19">
      <c r="P559" s="13"/>
      <c r="Q559" s="33"/>
      <c r="R559" s="13"/>
      <c r="S559" s="13"/>
    </row>
    <row r="560" spans="16:19">
      <c r="P560" s="13"/>
      <c r="Q560" s="33"/>
      <c r="R560" s="13"/>
      <c r="S560" s="13"/>
    </row>
    <row r="561" spans="16:19">
      <c r="P561" s="13"/>
      <c r="Q561" s="33"/>
      <c r="R561" s="13"/>
      <c r="S561" s="13"/>
    </row>
    <row r="562" spans="16:19">
      <c r="P562" s="13"/>
      <c r="Q562" s="33"/>
      <c r="R562" s="13"/>
      <c r="S562" s="13"/>
    </row>
    <row r="563" spans="16:19">
      <c r="P563" s="13"/>
      <c r="Q563" s="33"/>
      <c r="R563" s="13"/>
      <c r="S563" s="13"/>
    </row>
    <row r="564" spans="16:19">
      <c r="P564" s="13"/>
      <c r="Q564" s="33"/>
      <c r="R564" s="13"/>
      <c r="S564" s="13"/>
    </row>
    <row r="565" spans="16:19">
      <c r="P565" s="13"/>
      <c r="Q565" s="33"/>
      <c r="R565" s="13"/>
      <c r="S565" s="13"/>
    </row>
    <row r="566" spans="16:19">
      <c r="P566" s="13"/>
      <c r="Q566" s="33"/>
      <c r="R566" s="13"/>
      <c r="S566" s="13"/>
    </row>
    <row r="567" spans="16:19">
      <c r="P567" s="13"/>
      <c r="Q567" s="33"/>
      <c r="R567" s="13"/>
      <c r="S567" s="13"/>
    </row>
    <row r="568" spans="16:19">
      <c r="P568" s="13"/>
      <c r="Q568" s="33"/>
      <c r="R568" s="13"/>
      <c r="S568" s="13"/>
    </row>
    <row r="569" spans="16:19">
      <c r="P569" s="13"/>
      <c r="Q569" s="33"/>
      <c r="R569" s="13"/>
      <c r="S569" s="13"/>
    </row>
    <row r="570" spans="16:19">
      <c r="P570" s="13"/>
      <c r="Q570" s="33"/>
      <c r="R570" s="13"/>
      <c r="S570" s="13"/>
    </row>
    <row r="571" spans="16:19">
      <c r="P571" s="13"/>
      <c r="Q571" s="33"/>
      <c r="R571" s="13"/>
      <c r="S571" s="13"/>
    </row>
    <row r="572" spans="16:19">
      <c r="P572" s="13"/>
      <c r="Q572" s="33"/>
      <c r="R572" s="13"/>
      <c r="S572" s="13"/>
    </row>
    <row r="573" spans="16:19">
      <c r="P573" s="13"/>
      <c r="Q573" s="33"/>
      <c r="R573" s="13"/>
      <c r="S573" s="13"/>
    </row>
    <row r="574" spans="16:19">
      <c r="P574" s="13"/>
      <c r="Q574" s="33"/>
      <c r="R574" s="13"/>
      <c r="S574" s="13"/>
    </row>
    <row r="575" spans="16:19">
      <c r="P575" s="13"/>
      <c r="Q575" s="33"/>
      <c r="R575" s="13"/>
      <c r="S575" s="13"/>
    </row>
    <row r="576" spans="16:19">
      <c r="P576" s="13"/>
      <c r="Q576" s="33"/>
      <c r="R576" s="13"/>
      <c r="S576" s="13"/>
    </row>
    <row r="577" spans="16:19">
      <c r="P577" s="13"/>
      <c r="Q577" s="33"/>
      <c r="R577" s="13"/>
      <c r="S577" s="13"/>
    </row>
    <row r="578" spans="16:19">
      <c r="P578" s="13"/>
      <c r="Q578" s="33"/>
      <c r="R578" s="13"/>
      <c r="S578" s="13"/>
    </row>
    <row r="579" spans="16:19">
      <c r="P579" s="13"/>
      <c r="Q579" s="33"/>
      <c r="R579" s="13"/>
      <c r="S579" s="13"/>
    </row>
    <row r="580" spans="16:19">
      <c r="P580" s="13"/>
      <c r="Q580" s="33"/>
      <c r="R580" s="13"/>
      <c r="S580" s="13"/>
    </row>
    <row r="581" spans="16:19">
      <c r="P581" s="13"/>
      <c r="Q581" s="33"/>
      <c r="R581" s="13"/>
      <c r="S581" s="13"/>
    </row>
    <row r="582" spans="16:19">
      <c r="P582" s="13"/>
      <c r="Q582" s="33"/>
      <c r="R582" s="13"/>
      <c r="S582" s="13"/>
    </row>
    <row r="583" spans="16:19">
      <c r="P583" s="13"/>
      <c r="Q583" s="33"/>
      <c r="R583" s="13"/>
      <c r="S583" s="13"/>
    </row>
    <row r="584" spans="16:19">
      <c r="P584" s="13"/>
      <c r="Q584" s="33"/>
      <c r="R584" s="13"/>
      <c r="S584" s="13"/>
    </row>
    <row r="585" spans="16:19">
      <c r="P585" s="13"/>
      <c r="Q585" s="33"/>
      <c r="R585" s="13"/>
      <c r="S585" s="13"/>
    </row>
    <row r="586" spans="16:19">
      <c r="P586" s="13"/>
      <c r="Q586" s="33"/>
      <c r="R586" s="13"/>
      <c r="S586" s="13"/>
    </row>
    <row r="587" spans="16:19">
      <c r="P587" s="13"/>
      <c r="Q587" s="33"/>
      <c r="R587" s="13"/>
      <c r="S587" s="13"/>
    </row>
    <row r="588" spans="16:19">
      <c r="P588" s="13"/>
      <c r="Q588" s="33"/>
      <c r="R588" s="13"/>
      <c r="S588" s="13"/>
    </row>
    <row r="589" spans="16:19">
      <c r="P589" s="13"/>
      <c r="Q589" s="33"/>
      <c r="R589" s="13"/>
      <c r="S589" s="13"/>
    </row>
    <row r="590" spans="16:19">
      <c r="P590" s="13"/>
      <c r="Q590" s="33"/>
      <c r="R590" s="13"/>
      <c r="S590" s="13"/>
    </row>
    <row r="591" spans="16:19">
      <c r="P591" s="13"/>
      <c r="Q591" s="33"/>
      <c r="R591" s="13"/>
      <c r="S591" s="13"/>
    </row>
    <row r="592" spans="16:19">
      <c r="P592" s="13"/>
      <c r="Q592" s="33"/>
      <c r="R592" s="13"/>
      <c r="S592" s="13"/>
    </row>
    <row r="593" spans="16:19">
      <c r="P593" s="13"/>
      <c r="Q593" s="33"/>
      <c r="R593" s="13"/>
      <c r="S593" s="13"/>
    </row>
    <row r="594" spans="16:19">
      <c r="P594" s="13"/>
      <c r="Q594" s="33"/>
      <c r="R594" s="13"/>
      <c r="S594" s="13"/>
    </row>
    <row r="595" spans="16:19">
      <c r="P595" s="13"/>
      <c r="Q595" s="33"/>
      <c r="R595" s="13"/>
      <c r="S595" s="13"/>
    </row>
    <row r="596" spans="16:19">
      <c r="P596" s="13"/>
      <c r="Q596" s="33"/>
      <c r="R596" s="13"/>
      <c r="S596" s="13"/>
    </row>
    <row r="597" spans="16:19">
      <c r="P597" s="13"/>
      <c r="Q597" s="33"/>
      <c r="R597" s="13"/>
      <c r="S597" s="13"/>
    </row>
    <row r="598" spans="16:19">
      <c r="P598" s="13"/>
      <c r="Q598" s="33"/>
      <c r="R598" s="13"/>
      <c r="S598" s="13"/>
    </row>
    <row r="599" spans="16:19">
      <c r="P599" s="13"/>
      <c r="Q599" s="33"/>
      <c r="R599" s="13"/>
      <c r="S599" s="13"/>
    </row>
    <row r="600" spans="16:19">
      <c r="P600" s="13"/>
      <c r="Q600" s="33"/>
      <c r="R600" s="13"/>
      <c r="S600" s="13"/>
    </row>
    <row r="601" spans="16:19">
      <c r="P601" s="13"/>
      <c r="Q601" s="33"/>
      <c r="R601" s="13"/>
      <c r="S601" s="13"/>
    </row>
    <row r="602" spans="16:19">
      <c r="P602" s="13"/>
      <c r="Q602" s="33"/>
      <c r="R602" s="13"/>
      <c r="S602" s="13"/>
    </row>
    <row r="603" spans="16:19">
      <c r="P603" s="13"/>
      <c r="Q603" s="33"/>
      <c r="R603" s="13"/>
      <c r="S603" s="13"/>
    </row>
    <row r="604" spans="16:19">
      <c r="P604" s="13"/>
      <c r="Q604" s="33"/>
      <c r="R604" s="13"/>
      <c r="S604" s="13"/>
    </row>
    <row r="605" spans="16:19">
      <c r="P605" s="13"/>
      <c r="Q605" s="146"/>
      <c r="R605" s="13"/>
      <c r="S605" s="13"/>
    </row>
    <row r="606" spans="16:19">
      <c r="P606" s="13"/>
      <c r="Q606" s="33"/>
      <c r="R606" s="13"/>
      <c r="S606" s="13"/>
    </row>
    <row r="607" spans="16:19">
      <c r="P607" s="13"/>
      <c r="Q607" s="33"/>
      <c r="R607" s="13"/>
      <c r="S607" s="13"/>
    </row>
    <row r="608" spans="16:19">
      <c r="P608" s="13"/>
      <c r="Q608" s="33"/>
      <c r="R608" s="13"/>
      <c r="S608" s="13"/>
    </row>
    <row r="609" spans="16:19">
      <c r="P609" s="13"/>
      <c r="Q609" s="33"/>
      <c r="R609" s="13"/>
      <c r="S609" s="13"/>
    </row>
    <row r="610" spans="16:19">
      <c r="P610" s="13"/>
      <c r="Q610" s="33"/>
      <c r="R610" s="13"/>
      <c r="S610" s="13"/>
    </row>
    <row r="611" spans="16:19">
      <c r="P611" s="13"/>
      <c r="Q611" s="33"/>
      <c r="R611" s="13"/>
      <c r="S611" s="13"/>
    </row>
    <row r="612" spans="16:19">
      <c r="P612" s="13"/>
      <c r="Q612" s="33"/>
      <c r="R612" s="13"/>
      <c r="S612" s="13"/>
    </row>
    <row r="613" spans="16:19">
      <c r="P613" s="13"/>
      <c r="Q613" s="33"/>
      <c r="R613" s="13"/>
      <c r="S613" s="13"/>
    </row>
    <row r="614" spans="16:19">
      <c r="P614" s="13"/>
      <c r="Q614" s="33"/>
      <c r="R614" s="13"/>
      <c r="S614" s="13"/>
    </row>
    <row r="615" spans="16:19">
      <c r="P615" s="13"/>
      <c r="Q615" s="33"/>
      <c r="R615" s="13"/>
      <c r="S615" s="13"/>
    </row>
    <row r="616" spans="16:19">
      <c r="P616" s="13"/>
      <c r="Q616" s="33"/>
      <c r="R616" s="13"/>
      <c r="S616" s="13"/>
    </row>
    <row r="617" spans="16:19">
      <c r="P617" s="13"/>
      <c r="Q617" s="33"/>
      <c r="R617" s="13"/>
      <c r="S617" s="13"/>
    </row>
    <row r="618" spans="16:19">
      <c r="P618" s="13"/>
      <c r="Q618" s="33"/>
      <c r="R618" s="13"/>
      <c r="S618" s="13"/>
    </row>
    <row r="619" spans="16:19">
      <c r="P619" s="13"/>
      <c r="Q619" s="33"/>
      <c r="R619" s="13"/>
      <c r="S619" s="13"/>
    </row>
    <row r="620" spans="16:19">
      <c r="P620" s="13"/>
      <c r="Q620" s="33"/>
      <c r="R620" s="13"/>
      <c r="S620" s="13"/>
    </row>
    <row r="621" spans="16:19">
      <c r="P621" s="13"/>
      <c r="Q621" s="33"/>
      <c r="R621" s="13"/>
      <c r="S621" s="13"/>
    </row>
    <row r="622" spans="16:19">
      <c r="P622" s="13"/>
      <c r="Q622" s="33"/>
      <c r="R622" s="13"/>
      <c r="S622" s="13"/>
    </row>
    <row r="623" spans="16:19">
      <c r="P623" s="13"/>
      <c r="Q623" s="33"/>
      <c r="R623" s="13"/>
      <c r="S623" s="13"/>
    </row>
    <row r="624" spans="16:19">
      <c r="P624" s="13"/>
      <c r="Q624" s="33"/>
      <c r="R624" s="13"/>
      <c r="S624" s="13"/>
    </row>
    <row r="625" spans="16:19">
      <c r="P625" s="13"/>
      <c r="Q625" s="146"/>
      <c r="R625" s="13"/>
      <c r="S625" s="13"/>
    </row>
    <row r="626" spans="16:19">
      <c r="P626" s="13"/>
      <c r="Q626" s="33"/>
      <c r="R626" s="13"/>
      <c r="S626" s="13"/>
    </row>
    <row r="627" spans="16:19">
      <c r="P627" s="13"/>
      <c r="Q627" s="33"/>
      <c r="R627" s="13"/>
      <c r="S627" s="13"/>
    </row>
    <row r="628" spans="16:19">
      <c r="P628" s="13"/>
      <c r="Q628" s="33"/>
      <c r="R628" s="13"/>
      <c r="S628" s="13"/>
    </row>
    <row r="629" spans="16:19">
      <c r="P629" s="13"/>
      <c r="Q629" s="33"/>
      <c r="R629" s="13"/>
      <c r="S629" s="13"/>
    </row>
    <row r="630" spans="16:19">
      <c r="P630" s="13"/>
      <c r="Q630" s="33"/>
      <c r="R630" s="13"/>
      <c r="S630" s="13"/>
    </row>
    <row r="631" spans="16:19">
      <c r="P631" s="13"/>
      <c r="Q631" s="33"/>
      <c r="R631" s="13"/>
      <c r="S631" s="13"/>
    </row>
    <row r="632" spans="16:19">
      <c r="P632" s="13"/>
      <c r="Q632" s="33"/>
      <c r="R632" s="13"/>
      <c r="S632" s="13"/>
    </row>
    <row r="633" spans="16:19">
      <c r="P633" s="13"/>
      <c r="Q633" s="33"/>
      <c r="R633" s="13"/>
      <c r="S633" s="13"/>
    </row>
    <row r="634" spans="16:19">
      <c r="P634" s="13"/>
      <c r="Q634" s="33"/>
      <c r="R634" s="13"/>
      <c r="S634" s="13"/>
    </row>
    <row r="635" spans="16:19">
      <c r="P635" s="13"/>
      <c r="Q635" s="33"/>
      <c r="R635" s="13"/>
      <c r="S635" s="13"/>
    </row>
    <row r="636" spans="16:19">
      <c r="P636" s="13"/>
      <c r="Q636" s="33"/>
      <c r="R636" s="13"/>
      <c r="S636" s="13"/>
    </row>
    <row r="637" spans="16:19">
      <c r="P637" s="13"/>
      <c r="Q637" s="33"/>
      <c r="R637" s="13"/>
      <c r="S637" s="13"/>
    </row>
    <row r="638" spans="16:19">
      <c r="P638" s="13"/>
      <c r="Q638" s="33"/>
      <c r="R638" s="13"/>
      <c r="S638" s="13"/>
    </row>
    <row r="639" spans="16:19">
      <c r="P639" s="13"/>
      <c r="Q639" s="33"/>
      <c r="R639" s="13"/>
      <c r="S639" s="13"/>
    </row>
    <row r="640" spans="16:19">
      <c r="P640" s="13"/>
      <c r="Q640" s="33"/>
      <c r="R640" s="13"/>
      <c r="S640" s="13"/>
    </row>
    <row r="641" spans="16:19">
      <c r="P641" s="13"/>
      <c r="Q641" s="33"/>
      <c r="R641" s="13"/>
      <c r="S641" s="13"/>
    </row>
    <row r="642" spans="16:19">
      <c r="P642" s="13"/>
      <c r="Q642" s="33"/>
      <c r="R642" s="13"/>
      <c r="S642" s="13"/>
    </row>
    <row r="643" spans="16:19">
      <c r="P643" s="13"/>
      <c r="Q643" s="33"/>
      <c r="R643" s="13"/>
      <c r="S643" s="13"/>
    </row>
    <row r="644" spans="16:19">
      <c r="P644" s="13"/>
      <c r="Q644" s="33"/>
      <c r="R644" s="13"/>
      <c r="S644" s="13"/>
    </row>
    <row r="645" spans="16:19">
      <c r="P645" s="13"/>
      <c r="Q645" s="33"/>
      <c r="R645" s="13"/>
      <c r="S645" s="13"/>
    </row>
    <row r="646" spans="16:19">
      <c r="P646" s="13"/>
      <c r="Q646" s="33"/>
      <c r="R646" s="13"/>
      <c r="S646" s="13"/>
    </row>
    <row r="647" spans="16:19">
      <c r="P647" s="13"/>
      <c r="Q647" s="33"/>
      <c r="R647" s="13"/>
      <c r="S647" s="13"/>
    </row>
    <row r="648" spans="16:19">
      <c r="P648" s="13"/>
      <c r="Q648" s="33"/>
      <c r="R648" s="13"/>
      <c r="S648" s="13"/>
    </row>
    <row r="649" spans="16:19">
      <c r="P649" s="13"/>
      <c r="Q649" s="33"/>
      <c r="R649" s="13"/>
      <c r="S649" s="13"/>
    </row>
    <row r="650" spans="16:19">
      <c r="P650" s="13"/>
      <c r="Q650" s="33"/>
      <c r="R650" s="13"/>
      <c r="S650" s="13"/>
    </row>
    <row r="651" spans="16:19">
      <c r="P651" s="13"/>
      <c r="Q651" s="33"/>
      <c r="R651" s="13"/>
      <c r="S651" s="13"/>
    </row>
    <row r="652" spans="16:19">
      <c r="P652" s="13"/>
      <c r="Q652" s="33"/>
      <c r="R652" s="13"/>
      <c r="S652" s="13"/>
    </row>
    <row r="653" spans="16:19">
      <c r="P653" s="13"/>
      <c r="Q653" s="33"/>
      <c r="R653" s="13"/>
      <c r="S653" s="13"/>
    </row>
    <row r="654" spans="16:19">
      <c r="P654" s="13"/>
      <c r="Q654" s="33"/>
      <c r="R654" s="13"/>
      <c r="S654" s="13"/>
    </row>
    <row r="655" spans="16:19">
      <c r="P655" s="13"/>
      <c r="Q655" s="33"/>
      <c r="R655" s="13"/>
      <c r="S655" s="13"/>
    </row>
    <row r="656" spans="16:19">
      <c r="P656" s="13"/>
      <c r="Q656" s="33"/>
      <c r="R656" s="13"/>
      <c r="S656" s="13"/>
    </row>
    <row r="657" spans="16:19">
      <c r="P657" s="13"/>
      <c r="Q657" s="33"/>
      <c r="R657" s="13"/>
      <c r="S657" s="13"/>
    </row>
    <row r="658" spans="16:19">
      <c r="P658" s="13"/>
      <c r="Q658" s="33"/>
      <c r="R658" s="13"/>
      <c r="S658" s="13"/>
    </row>
    <row r="659" spans="16:19">
      <c r="P659" s="13"/>
      <c r="Q659" s="33"/>
      <c r="R659" s="13"/>
      <c r="S659" s="13"/>
    </row>
    <row r="660" spans="16:19">
      <c r="P660" s="13"/>
      <c r="Q660" s="33"/>
      <c r="R660" s="13"/>
      <c r="S660" s="13"/>
    </row>
    <row r="661" spans="16:19">
      <c r="P661" s="13"/>
      <c r="Q661" s="33"/>
      <c r="R661" s="13"/>
      <c r="S661" s="13"/>
    </row>
    <row r="662" spans="16:19">
      <c r="P662" s="13"/>
      <c r="Q662" s="33"/>
      <c r="R662" s="13"/>
      <c r="S662" s="13"/>
    </row>
    <row r="663" spans="16:19">
      <c r="P663" s="13"/>
      <c r="Q663" s="33"/>
      <c r="R663" s="13"/>
      <c r="S663" s="13"/>
    </row>
    <row r="664" spans="16:19">
      <c r="P664" s="13"/>
      <c r="Q664" s="33"/>
      <c r="R664" s="13"/>
      <c r="S664" s="13"/>
    </row>
    <row r="665" spans="16:19">
      <c r="P665" s="13"/>
      <c r="Q665" s="33"/>
      <c r="R665" s="13"/>
      <c r="S665" s="13"/>
    </row>
    <row r="666" spans="16:19">
      <c r="P666" s="13"/>
      <c r="Q666" s="33"/>
      <c r="R666" s="13"/>
      <c r="S666" s="13"/>
    </row>
    <row r="667" spans="16:19">
      <c r="P667" s="13"/>
      <c r="Q667" s="33"/>
      <c r="R667" s="13"/>
      <c r="S667" s="13"/>
    </row>
    <row r="668" spans="16:19">
      <c r="P668" s="13"/>
      <c r="Q668" s="33"/>
      <c r="R668" s="13"/>
      <c r="S668" s="13"/>
    </row>
    <row r="669" spans="16:19">
      <c r="P669" s="13"/>
      <c r="Q669" s="146"/>
      <c r="R669" s="13"/>
      <c r="S669" s="13"/>
    </row>
    <row r="670" spans="16:19">
      <c r="P670" s="13"/>
      <c r="Q670" s="33"/>
      <c r="R670" s="13"/>
      <c r="S670" s="13"/>
    </row>
    <row r="671" spans="16:19">
      <c r="P671" s="13"/>
      <c r="Q671" s="146"/>
      <c r="R671" s="13"/>
      <c r="S671" s="13"/>
    </row>
    <row r="672" spans="16:19">
      <c r="P672" s="13"/>
      <c r="Q672" s="33"/>
      <c r="R672" s="13"/>
      <c r="S672" s="13"/>
    </row>
    <row r="673" spans="16:19">
      <c r="P673" s="13"/>
      <c r="Q673" s="33"/>
      <c r="R673" s="13"/>
      <c r="S673" s="13"/>
    </row>
    <row r="674" spans="16:19">
      <c r="P674" s="13"/>
      <c r="Q674" s="146"/>
      <c r="R674" s="13"/>
      <c r="S674" s="13"/>
    </row>
    <row r="675" spans="16:19">
      <c r="P675" s="13"/>
      <c r="Q675" s="146"/>
      <c r="R675" s="13"/>
      <c r="S675" s="13"/>
    </row>
    <row r="676" spans="16:19">
      <c r="P676" s="13"/>
      <c r="Q676" s="146"/>
      <c r="R676" s="221"/>
      <c r="S676" s="13"/>
    </row>
    <row r="677" spans="16:19">
      <c r="P677" s="13"/>
      <c r="Q677" s="33"/>
      <c r="R677" s="13"/>
      <c r="S677" s="13"/>
    </row>
    <row r="678" spans="16:19">
      <c r="P678" s="13"/>
      <c r="Q678" s="33"/>
      <c r="R678" s="13"/>
      <c r="S678" s="13"/>
    </row>
    <row r="679" spans="16:19">
      <c r="P679" s="13"/>
      <c r="Q679" s="33"/>
      <c r="R679" s="13"/>
      <c r="S679" s="13"/>
    </row>
    <row r="680" spans="16:19">
      <c r="P680" s="13"/>
      <c r="Q680" s="33"/>
      <c r="R680" s="13"/>
      <c r="S680" s="13"/>
    </row>
    <row r="681" spans="16:19">
      <c r="P681" s="13"/>
      <c r="Q681" s="33"/>
      <c r="R681" s="13"/>
      <c r="S681" s="13"/>
    </row>
    <row r="682" spans="16:19">
      <c r="P682" s="13"/>
      <c r="Q682" s="33"/>
      <c r="R682" s="13"/>
      <c r="S682" s="13"/>
    </row>
    <row r="683" spans="16:19">
      <c r="P683" s="13"/>
      <c r="Q683" s="33"/>
      <c r="R683" s="13"/>
      <c r="S683" s="13"/>
    </row>
    <row r="684" spans="16:19">
      <c r="P684" s="13"/>
      <c r="Q684" s="33"/>
      <c r="R684" s="13"/>
      <c r="S684" s="13"/>
    </row>
    <row r="685" spans="16:19">
      <c r="P685" s="13"/>
      <c r="Q685" s="33"/>
      <c r="R685" s="13"/>
      <c r="S685" s="13"/>
    </row>
    <row r="686" spans="16:19">
      <c r="P686" s="13"/>
      <c r="Q686" s="33"/>
      <c r="R686" s="13"/>
      <c r="S686" s="13"/>
    </row>
    <row r="687" spans="16:19">
      <c r="P687" s="13"/>
      <c r="Q687" s="33"/>
      <c r="R687" s="13"/>
      <c r="S687" s="13"/>
    </row>
    <row r="688" spans="16:19">
      <c r="P688" s="13"/>
      <c r="Q688" s="33"/>
      <c r="R688" s="13"/>
      <c r="S688" s="13"/>
    </row>
    <row r="689" spans="16:19">
      <c r="P689" s="13"/>
      <c r="Q689" s="33"/>
      <c r="R689" s="13"/>
      <c r="S689" s="13"/>
    </row>
    <row r="690" spans="16:19">
      <c r="P690" s="13"/>
      <c r="Q690" s="33"/>
      <c r="R690" s="13"/>
      <c r="S690" s="13"/>
    </row>
    <row r="691" spans="16:19">
      <c r="P691" s="13"/>
      <c r="Q691" s="33"/>
      <c r="R691" s="13"/>
      <c r="S691" s="13"/>
    </row>
    <row r="692" spans="16:19">
      <c r="P692" s="13"/>
      <c r="Q692" s="33"/>
      <c r="R692" s="13"/>
      <c r="S692" s="13"/>
    </row>
    <row r="693" spans="16:19">
      <c r="P693" s="13"/>
      <c r="Q693" s="33"/>
      <c r="R693" s="13"/>
      <c r="S693" s="13"/>
    </row>
    <row r="694" spans="16:19">
      <c r="P694" s="13"/>
      <c r="Q694" s="33"/>
      <c r="R694" s="13"/>
      <c r="S694" s="13"/>
    </row>
    <row r="695" spans="16:19">
      <c r="P695" s="13"/>
      <c r="Q695" s="33"/>
      <c r="R695" s="13"/>
      <c r="S695" s="13"/>
    </row>
    <row r="696" spans="16:19">
      <c r="P696" s="13"/>
      <c r="Q696" s="33"/>
      <c r="R696" s="13"/>
      <c r="S696" s="13"/>
    </row>
    <row r="697" spans="16:19">
      <c r="P697" s="13"/>
      <c r="Q697" s="33"/>
      <c r="R697" s="13"/>
      <c r="S697" s="13"/>
    </row>
    <row r="698" spans="16:19">
      <c r="P698" s="13"/>
      <c r="Q698" s="33"/>
      <c r="R698" s="13"/>
      <c r="S698" s="13"/>
    </row>
    <row r="699" spans="16:19">
      <c r="P699" s="13"/>
      <c r="Q699" s="33"/>
      <c r="R699" s="13"/>
      <c r="S699" s="13"/>
    </row>
    <row r="700" spans="16:19">
      <c r="P700" s="13"/>
      <c r="Q700" s="33"/>
      <c r="R700" s="13"/>
      <c r="S700" s="13"/>
    </row>
    <row r="701" spans="16:19">
      <c r="P701" s="13"/>
      <c r="Q701" s="33"/>
      <c r="R701" s="13"/>
      <c r="S701" s="13"/>
    </row>
    <row r="702" spans="16:19">
      <c r="P702" s="13"/>
      <c r="Q702" s="33"/>
      <c r="R702" s="13"/>
      <c r="S702" s="13"/>
    </row>
    <row r="703" spans="16:19">
      <c r="P703" s="13"/>
      <c r="Q703" s="33"/>
      <c r="R703" s="13"/>
      <c r="S703" s="13"/>
    </row>
    <row r="704" spans="16:19">
      <c r="P704" s="13"/>
      <c r="Q704" s="33"/>
      <c r="R704" s="13"/>
      <c r="S704" s="13"/>
    </row>
    <row r="705" spans="16:19">
      <c r="P705" s="13"/>
      <c r="Q705" s="33"/>
      <c r="R705" s="13"/>
      <c r="S705" s="13"/>
    </row>
    <row r="706" spans="16:19">
      <c r="P706" s="13"/>
      <c r="Q706" s="33"/>
      <c r="R706" s="13"/>
      <c r="S706" s="13"/>
    </row>
    <row r="707" spans="16:19">
      <c r="P707" s="13"/>
      <c r="Q707" s="33"/>
      <c r="R707" s="13"/>
      <c r="S707" s="13"/>
    </row>
    <row r="708" spans="16:19">
      <c r="P708" s="13"/>
      <c r="Q708" s="33"/>
      <c r="R708" s="13"/>
      <c r="S708" s="13"/>
    </row>
    <row r="709" spans="16:19">
      <c r="P709" s="13"/>
      <c r="Q709" s="33"/>
      <c r="R709" s="13"/>
      <c r="S709" s="13"/>
    </row>
    <row r="710" spans="16:19">
      <c r="P710" s="13"/>
      <c r="Q710" s="33"/>
      <c r="R710" s="13"/>
      <c r="S710" s="13"/>
    </row>
    <row r="711" spans="16:19">
      <c r="P711" s="13"/>
      <c r="Q711" s="33"/>
      <c r="R711" s="13"/>
      <c r="S711" s="13"/>
    </row>
    <row r="712" spans="16:19">
      <c r="P712" s="13"/>
      <c r="Q712" s="33"/>
      <c r="R712" s="13"/>
      <c r="S712" s="13"/>
    </row>
    <row r="713" spans="16:19">
      <c r="P713" s="13"/>
      <c r="Q713" s="33"/>
      <c r="R713" s="13"/>
      <c r="S713" s="13"/>
    </row>
    <row r="714" spans="16:19">
      <c r="P714" s="13"/>
      <c r="Q714" s="33"/>
      <c r="R714" s="13"/>
      <c r="S714" s="13"/>
    </row>
    <row r="715" spans="16:19">
      <c r="P715" s="13"/>
      <c r="Q715" s="33"/>
      <c r="R715" s="13"/>
      <c r="S715" s="13"/>
    </row>
    <row r="716" spans="16:19">
      <c r="P716" s="13"/>
      <c r="Q716" s="33"/>
      <c r="R716" s="13"/>
      <c r="S716" s="13"/>
    </row>
    <row r="717" spans="16:19">
      <c r="P717" s="13"/>
      <c r="Q717" s="33"/>
      <c r="R717" s="13"/>
      <c r="S717" s="13"/>
    </row>
    <row r="718" spans="16:19">
      <c r="P718" s="13"/>
      <c r="Q718" s="33"/>
      <c r="R718" s="13"/>
      <c r="S718" s="13"/>
    </row>
    <row r="719" spans="16:19">
      <c r="P719" s="13"/>
      <c r="Q719" s="33"/>
      <c r="R719" s="13"/>
      <c r="S719" s="13"/>
    </row>
    <row r="720" spans="16:19">
      <c r="P720" s="13"/>
      <c r="Q720" s="33"/>
      <c r="R720" s="13"/>
      <c r="S720" s="13"/>
    </row>
    <row r="721" spans="16:19">
      <c r="P721" s="13"/>
      <c r="Q721" s="33"/>
      <c r="R721" s="13"/>
      <c r="S721" s="13"/>
    </row>
    <row r="722" spans="16:19">
      <c r="P722" s="13"/>
      <c r="Q722" s="33"/>
      <c r="R722" s="13"/>
      <c r="S722" s="13"/>
    </row>
    <row r="723" spans="16:19">
      <c r="P723" s="13"/>
      <c r="Q723" s="33"/>
      <c r="R723" s="13"/>
      <c r="S723" s="13"/>
    </row>
    <row r="724" spans="16:19">
      <c r="P724" s="13"/>
      <c r="Q724" s="33"/>
      <c r="R724" s="13"/>
      <c r="S724" s="13"/>
    </row>
    <row r="725" spans="16:19">
      <c r="P725" s="13"/>
      <c r="Q725" s="33"/>
      <c r="R725" s="13"/>
      <c r="S725" s="13"/>
    </row>
    <row r="726" spans="16:19">
      <c r="P726" s="13"/>
      <c r="Q726" s="33"/>
      <c r="R726" s="13"/>
      <c r="S726" s="13"/>
    </row>
    <row r="727" spans="16:19">
      <c r="P727" s="13"/>
      <c r="Q727" s="33"/>
      <c r="R727" s="13"/>
      <c r="S727" s="13"/>
    </row>
    <row r="728" spans="16:19">
      <c r="P728" s="13"/>
      <c r="Q728" s="33"/>
      <c r="R728" s="13"/>
      <c r="S728" s="13"/>
    </row>
    <row r="729" spans="16:19">
      <c r="P729" s="13"/>
      <c r="Q729" s="33"/>
      <c r="R729" s="13"/>
      <c r="S729" s="13"/>
    </row>
    <row r="730" spans="16:19">
      <c r="P730" s="13"/>
      <c r="Q730" s="33"/>
      <c r="R730" s="13"/>
      <c r="S730" s="13"/>
    </row>
    <row r="731" spans="16:19">
      <c r="P731" s="13"/>
      <c r="Q731" s="33"/>
      <c r="R731" s="13"/>
      <c r="S731" s="13"/>
    </row>
    <row r="732" spans="16:19">
      <c r="P732" s="13"/>
      <c r="Q732" s="33"/>
      <c r="R732" s="13"/>
      <c r="S732" s="13"/>
    </row>
    <row r="733" spans="16:19">
      <c r="P733" s="13"/>
      <c r="Q733" s="33"/>
      <c r="R733" s="13"/>
      <c r="S733" s="13"/>
    </row>
    <row r="734" spans="16:19">
      <c r="P734" s="13"/>
      <c r="Q734" s="33"/>
      <c r="R734" s="13"/>
      <c r="S734" s="13"/>
    </row>
    <row r="735" spans="16:19">
      <c r="P735" s="13"/>
      <c r="Q735" s="33"/>
      <c r="R735" s="13"/>
      <c r="S735" s="13"/>
    </row>
    <row r="736" spans="16:19">
      <c r="P736" s="13"/>
      <c r="Q736" s="33"/>
      <c r="R736" s="13"/>
      <c r="S736" s="13"/>
    </row>
    <row r="737" spans="16:19">
      <c r="P737" s="13"/>
      <c r="Q737" s="33"/>
      <c r="R737" s="13"/>
      <c r="S737" s="13"/>
    </row>
    <row r="738" spans="16:19">
      <c r="P738" s="13"/>
      <c r="Q738" s="33"/>
      <c r="R738" s="13"/>
      <c r="S738" s="13"/>
    </row>
    <row r="739" spans="16:19">
      <c r="P739" s="13"/>
      <c r="Q739" s="33"/>
      <c r="R739" s="13"/>
      <c r="S739" s="13"/>
    </row>
    <row r="740" spans="16:19">
      <c r="P740" s="13"/>
      <c r="Q740" s="33"/>
      <c r="R740" s="13"/>
      <c r="S740" s="13"/>
    </row>
    <row r="741" spans="16:19">
      <c r="P741" s="13"/>
      <c r="Q741" s="33"/>
      <c r="R741" s="13"/>
      <c r="S741" s="13"/>
    </row>
    <row r="742" spans="16:19">
      <c r="P742" s="13"/>
      <c r="Q742" s="33"/>
      <c r="R742" s="13"/>
      <c r="S742" s="13"/>
    </row>
    <row r="743" spans="16:19">
      <c r="P743" s="13"/>
      <c r="Q743" s="33"/>
      <c r="R743" s="13"/>
      <c r="S743" s="13"/>
    </row>
    <row r="744" spans="16:19">
      <c r="P744" s="13"/>
      <c r="Q744" s="33"/>
      <c r="R744" s="13"/>
      <c r="S744" s="13"/>
    </row>
    <row r="745" spans="16:19">
      <c r="P745" s="13"/>
      <c r="Q745" s="33"/>
      <c r="R745" s="13"/>
      <c r="S745" s="13"/>
    </row>
    <row r="746" spans="16:19">
      <c r="P746" s="13"/>
      <c r="Q746" s="33"/>
      <c r="R746" s="13"/>
      <c r="S746" s="13"/>
    </row>
    <row r="747" spans="16:19">
      <c r="P747" s="13"/>
      <c r="Q747" s="33"/>
      <c r="R747" s="13"/>
      <c r="S747" s="13"/>
    </row>
    <row r="748" spans="16:19">
      <c r="P748" s="13"/>
      <c r="Q748" s="33"/>
      <c r="R748" s="13"/>
      <c r="S748" s="13"/>
    </row>
    <row r="749" spans="16:19">
      <c r="P749" s="13"/>
      <c r="Q749" s="33"/>
      <c r="R749" s="13"/>
      <c r="S749" s="13"/>
    </row>
    <row r="750" spans="16:19">
      <c r="P750" s="13"/>
      <c r="Q750" s="33"/>
      <c r="R750" s="13"/>
      <c r="S750" s="13"/>
    </row>
    <row r="751" spans="16:19">
      <c r="P751" s="13"/>
      <c r="Q751" s="33"/>
      <c r="R751" s="13"/>
      <c r="S751" s="13"/>
    </row>
    <row r="752" spans="16:19">
      <c r="P752" s="13"/>
      <c r="Q752" s="33"/>
      <c r="R752" s="13"/>
      <c r="S752" s="13"/>
    </row>
    <row r="753" spans="16:19">
      <c r="P753" s="13"/>
      <c r="Q753" s="33"/>
      <c r="R753" s="13"/>
      <c r="S753" s="13"/>
    </row>
    <row r="754" spans="16:19">
      <c r="P754" s="13"/>
      <c r="Q754" s="33"/>
      <c r="R754" s="13"/>
      <c r="S754" s="13"/>
    </row>
    <row r="755" spans="16:19">
      <c r="P755" s="13"/>
      <c r="Q755" s="33"/>
      <c r="R755" s="13"/>
      <c r="S755" s="13"/>
    </row>
    <row r="756" spans="16:19">
      <c r="P756" s="13"/>
      <c r="Q756" s="33"/>
      <c r="R756" s="13"/>
      <c r="S756" s="13"/>
    </row>
    <row r="757" spans="16:19">
      <c r="P757" s="13"/>
      <c r="Q757" s="33"/>
      <c r="R757" s="13"/>
      <c r="S757" s="13"/>
    </row>
    <row r="758" spans="16:19">
      <c r="P758" s="13"/>
      <c r="Q758" s="33"/>
      <c r="R758" s="13"/>
      <c r="S758" s="13"/>
    </row>
    <row r="759" spans="16:19">
      <c r="P759" s="13"/>
      <c r="Q759" s="33"/>
      <c r="R759" s="13"/>
      <c r="S759" s="13"/>
    </row>
    <row r="760" spans="16:19">
      <c r="P760" s="13"/>
      <c r="Q760" s="33"/>
      <c r="R760" s="13"/>
      <c r="S760" s="13"/>
    </row>
    <row r="761" spans="16:19">
      <c r="P761" s="13"/>
      <c r="Q761" s="33"/>
      <c r="R761" s="13"/>
      <c r="S761" s="13"/>
    </row>
    <row r="762" spans="16:19">
      <c r="P762" s="13"/>
      <c r="Q762" s="33"/>
      <c r="R762" s="13"/>
      <c r="S762" s="13"/>
    </row>
    <row r="763" spans="16:19">
      <c r="P763" s="13"/>
      <c r="Q763" s="33"/>
      <c r="R763" s="13"/>
      <c r="S763" s="13"/>
    </row>
    <row r="764" spans="16:19">
      <c r="P764" s="13"/>
      <c r="Q764" s="33"/>
      <c r="R764" s="13"/>
      <c r="S764" s="13"/>
    </row>
    <row r="765" spans="16:19">
      <c r="P765" s="13"/>
      <c r="Q765" s="33"/>
      <c r="R765" s="13"/>
      <c r="S765" s="13"/>
    </row>
    <row r="766" spans="16:19">
      <c r="P766" s="13"/>
      <c r="Q766" s="33"/>
      <c r="R766" s="13"/>
      <c r="S766" s="13"/>
    </row>
    <row r="767" spans="16:19">
      <c r="P767" s="13"/>
      <c r="Q767" s="33"/>
      <c r="R767" s="13"/>
      <c r="S767" s="13"/>
    </row>
    <row r="768" spans="16:19">
      <c r="P768" s="13"/>
      <c r="Q768" s="33"/>
      <c r="R768" s="13"/>
      <c r="S768" s="13"/>
    </row>
    <row r="769" spans="16:19">
      <c r="P769" s="13"/>
      <c r="Q769" s="33"/>
      <c r="R769" s="13"/>
      <c r="S769" s="13"/>
    </row>
    <row r="770" spans="16:19">
      <c r="P770" s="13"/>
      <c r="Q770" s="33"/>
      <c r="R770" s="13"/>
      <c r="S770" s="13"/>
    </row>
    <row r="771" spans="16:19">
      <c r="P771" s="13"/>
      <c r="Q771" s="33"/>
      <c r="R771" s="13"/>
      <c r="S771" s="13"/>
    </row>
    <row r="772" spans="16:19">
      <c r="P772" s="13"/>
      <c r="Q772" s="33"/>
      <c r="R772" s="13"/>
      <c r="S772" s="13"/>
    </row>
    <row r="773" spans="16:19">
      <c r="P773" s="13"/>
      <c r="Q773" s="33"/>
      <c r="R773" s="13"/>
      <c r="S773" s="13"/>
    </row>
    <row r="774" spans="16:19">
      <c r="P774" s="13"/>
      <c r="Q774" s="33"/>
      <c r="R774" s="13"/>
      <c r="S774" s="13"/>
    </row>
    <row r="775" spans="16:19">
      <c r="P775" s="13"/>
      <c r="Q775" s="33"/>
      <c r="R775" s="13"/>
      <c r="S775" s="13"/>
    </row>
    <row r="776" spans="16:19">
      <c r="P776" s="13"/>
      <c r="Q776" s="33"/>
      <c r="R776" s="13"/>
      <c r="S776" s="13"/>
    </row>
    <row r="777" spans="16:19">
      <c r="P777" s="13"/>
      <c r="Q777" s="33"/>
      <c r="R777" s="13"/>
      <c r="S777" s="13"/>
    </row>
    <row r="778" spans="16:19">
      <c r="P778" s="13"/>
      <c r="Q778" s="33"/>
      <c r="R778" s="13"/>
      <c r="S778" s="13"/>
    </row>
    <row r="779" spans="16:19">
      <c r="P779" s="13"/>
      <c r="Q779" s="33"/>
      <c r="R779" s="13"/>
      <c r="S779" s="13"/>
    </row>
    <row r="780" spans="16:19">
      <c r="P780" s="13"/>
      <c r="Q780" s="33"/>
      <c r="R780" s="13"/>
      <c r="S780" s="13"/>
    </row>
    <row r="781" spans="16:19">
      <c r="P781" s="13"/>
      <c r="Q781" s="33"/>
      <c r="R781" s="13"/>
      <c r="S781" s="13"/>
    </row>
    <row r="782" spans="16:19">
      <c r="P782" s="13"/>
      <c r="Q782" s="33"/>
      <c r="R782" s="13"/>
      <c r="S782" s="13"/>
    </row>
    <row r="783" spans="16:19">
      <c r="P783" s="13"/>
      <c r="Q783" s="33"/>
      <c r="R783" s="13"/>
      <c r="S783" s="13"/>
    </row>
    <row r="784" spans="16:19">
      <c r="P784" s="13"/>
      <c r="Q784" s="33"/>
      <c r="R784" s="13"/>
      <c r="S784" s="13"/>
    </row>
    <row r="785" spans="16:19">
      <c r="P785" s="13"/>
      <c r="Q785" s="33"/>
      <c r="R785" s="13"/>
      <c r="S785" s="13"/>
    </row>
    <row r="786" spans="16:19">
      <c r="P786" s="13"/>
      <c r="Q786" s="33"/>
      <c r="R786" s="13"/>
      <c r="S786" s="13"/>
    </row>
    <row r="787" spans="16:19">
      <c r="P787" s="13"/>
      <c r="Q787" s="33"/>
      <c r="R787" s="13"/>
      <c r="S787" s="13"/>
    </row>
    <row r="788" spans="16:19">
      <c r="P788" s="13"/>
      <c r="Q788" s="33"/>
      <c r="R788" s="13"/>
      <c r="S788" s="13"/>
    </row>
    <row r="789" spans="16:19">
      <c r="P789" s="13"/>
      <c r="Q789" s="33"/>
      <c r="R789" s="13"/>
      <c r="S789" s="13"/>
    </row>
    <row r="790" spans="16:19">
      <c r="P790" s="13"/>
      <c r="Q790" s="33"/>
      <c r="R790" s="13"/>
      <c r="S790" s="13"/>
    </row>
    <row r="791" spans="16:19">
      <c r="P791" s="13"/>
      <c r="Q791" s="33"/>
      <c r="R791" s="13"/>
      <c r="S791" s="13"/>
    </row>
    <row r="792" spans="16:19">
      <c r="P792" s="13"/>
      <c r="Q792" s="33"/>
      <c r="R792" s="13"/>
      <c r="S792" s="13"/>
    </row>
    <row r="793" spans="16:19">
      <c r="P793" s="13"/>
      <c r="Q793" s="33"/>
      <c r="R793" s="13"/>
      <c r="S793" s="13"/>
    </row>
    <row r="794" spans="16:19">
      <c r="P794" s="13"/>
      <c r="Q794" s="33"/>
      <c r="R794" s="13"/>
      <c r="S794" s="13"/>
    </row>
    <row r="795" spans="16:19">
      <c r="P795" s="13"/>
      <c r="Q795" s="33"/>
      <c r="R795" s="13"/>
      <c r="S795" s="13"/>
    </row>
    <row r="796" spans="16:19">
      <c r="P796" s="13"/>
      <c r="Q796" s="33"/>
      <c r="R796" s="13"/>
      <c r="S796" s="13"/>
    </row>
    <row r="797" spans="16:19">
      <c r="P797" s="13"/>
      <c r="Q797" s="33"/>
      <c r="R797" s="13"/>
      <c r="S797" s="13"/>
    </row>
    <row r="798" spans="16:19">
      <c r="P798" s="13"/>
      <c r="Q798" s="33"/>
      <c r="R798" s="13"/>
      <c r="S798" s="13"/>
    </row>
    <row r="799" spans="16:19">
      <c r="P799" s="13"/>
      <c r="Q799" s="33"/>
      <c r="R799" s="13"/>
      <c r="S799" s="13"/>
    </row>
    <row r="800" spans="16:19">
      <c r="P800" s="13"/>
      <c r="Q800" s="33"/>
      <c r="R800" s="13"/>
      <c r="S800" s="13"/>
    </row>
    <row r="801" spans="16:19">
      <c r="P801" s="13"/>
      <c r="Q801" s="33"/>
      <c r="R801" s="13"/>
      <c r="S801" s="13"/>
    </row>
    <row r="802" spans="16:19">
      <c r="P802" s="13"/>
      <c r="Q802" s="33"/>
      <c r="R802" s="13"/>
      <c r="S802" s="13"/>
    </row>
    <row r="803" spans="16:19">
      <c r="P803" s="13"/>
      <c r="Q803" s="33"/>
      <c r="R803" s="13"/>
      <c r="S803" s="13"/>
    </row>
    <row r="804" spans="16:19">
      <c r="P804" s="13"/>
      <c r="Q804" s="33"/>
      <c r="R804" s="13"/>
      <c r="S804" s="13"/>
    </row>
    <row r="805" spans="16:19">
      <c r="P805" s="13"/>
      <c r="Q805" s="33"/>
      <c r="R805" s="13"/>
      <c r="S805" s="13"/>
    </row>
    <row r="806" spans="16:19">
      <c r="P806" s="13"/>
      <c r="Q806" s="33"/>
      <c r="R806" s="13"/>
      <c r="S806" s="13"/>
    </row>
    <row r="807" spans="16:19">
      <c r="P807" s="13"/>
      <c r="Q807" s="33"/>
      <c r="R807" s="13"/>
      <c r="S807" s="13"/>
    </row>
    <row r="808" spans="16:19">
      <c r="P808" s="13"/>
      <c r="Q808" s="33"/>
      <c r="R808" s="13"/>
      <c r="S808" s="13"/>
    </row>
    <row r="809" spans="16:19">
      <c r="P809" s="13"/>
      <c r="Q809" s="33"/>
      <c r="R809" s="13"/>
      <c r="S809" s="13"/>
    </row>
    <row r="810" spans="16:19">
      <c r="P810" s="13"/>
      <c r="Q810" s="33"/>
      <c r="R810" s="13"/>
      <c r="S810" s="13"/>
    </row>
    <row r="811" spans="16:19">
      <c r="P811" s="13"/>
      <c r="Q811" s="33"/>
      <c r="R811" s="13"/>
      <c r="S811" s="13"/>
    </row>
    <row r="812" spans="16:19">
      <c r="P812" s="13"/>
      <c r="Q812" s="33"/>
      <c r="R812" s="13"/>
      <c r="S812" s="13"/>
    </row>
    <row r="813" spans="16:19">
      <c r="P813" s="13"/>
      <c r="Q813" s="33"/>
      <c r="R813" s="13"/>
      <c r="S813" s="13"/>
    </row>
    <row r="814" spans="16:19">
      <c r="P814" s="13"/>
      <c r="Q814" s="33"/>
      <c r="R814" s="13"/>
      <c r="S814" s="13"/>
    </row>
    <row r="815" spans="16:19">
      <c r="P815" s="13"/>
      <c r="Q815" s="33"/>
      <c r="R815" s="13"/>
      <c r="S815" s="13"/>
    </row>
    <row r="816" spans="16:19">
      <c r="P816" s="13"/>
      <c r="Q816" s="33"/>
      <c r="R816" s="13"/>
      <c r="S816" s="13"/>
    </row>
    <row r="817" spans="16:19">
      <c r="P817" s="13"/>
      <c r="Q817" s="33"/>
      <c r="R817" s="13"/>
      <c r="S817" s="13"/>
    </row>
    <row r="818" spans="16:19">
      <c r="P818" s="13"/>
      <c r="Q818" s="33"/>
      <c r="R818" s="13"/>
      <c r="S818" s="13"/>
    </row>
    <row r="819" spans="16:19">
      <c r="P819" s="13"/>
      <c r="Q819" s="33"/>
      <c r="R819" s="13"/>
      <c r="S819" s="13"/>
    </row>
    <row r="820" spans="16:19">
      <c r="P820" s="13"/>
      <c r="Q820" s="33"/>
      <c r="R820" s="13"/>
      <c r="S820" s="13"/>
    </row>
    <row r="821" spans="16:19">
      <c r="P821" s="13"/>
      <c r="Q821" s="33"/>
      <c r="R821" s="13"/>
      <c r="S821" s="13"/>
    </row>
    <row r="822" spans="16:19">
      <c r="P822" s="13"/>
      <c r="Q822" s="33"/>
      <c r="R822" s="13"/>
      <c r="S822" s="13"/>
    </row>
    <row r="823" spans="16:19">
      <c r="P823" s="13"/>
      <c r="Q823" s="33"/>
      <c r="R823" s="13"/>
      <c r="S823" s="13"/>
    </row>
    <row r="824" spans="16:19">
      <c r="P824" s="13"/>
      <c r="Q824" s="33"/>
      <c r="R824" s="13"/>
      <c r="S824" s="13"/>
    </row>
    <row r="825" spans="16:19">
      <c r="P825" s="13"/>
      <c r="Q825" s="33"/>
      <c r="R825" s="13"/>
      <c r="S825" s="13"/>
    </row>
    <row r="826" spans="16:19">
      <c r="P826" s="13"/>
      <c r="Q826" s="33"/>
      <c r="R826" s="13"/>
      <c r="S826" s="13"/>
    </row>
    <row r="827" spans="16:19">
      <c r="P827" s="13"/>
      <c r="Q827" s="33"/>
      <c r="R827" s="13"/>
      <c r="S827" s="13"/>
    </row>
    <row r="828" spans="16:19">
      <c r="P828" s="13"/>
      <c r="Q828" s="33"/>
      <c r="R828" s="13"/>
      <c r="S828" s="13"/>
    </row>
    <row r="829" spans="16:19">
      <c r="P829" s="13"/>
      <c r="Q829" s="33"/>
      <c r="R829" s="13"/>
      <c r="S829" s="13"/>
    </row>
    <row r="830" spans="16:19">
      <c r="P830" s="13"/>
      <c r="Q830" s="33"/>
      <c r="R830" s="13"/>
      <c r="S830" s="13"/>
    </row>
    <row r="831" spans="16:19">
      <c r="P831" s="13"/>
      <c r="Q831" s="33"/>
      <c r="R831" s="13"/>
      <c r="S831" s="13"/>
    </row>
    <row r="832" spans="16:19">
      <c r="P832" s="13"/>
      <c r="Q832" s="33"/>
      <c r="R832" s="13"/>
      <c r="S832" s="13"/>
    </row>
    <row r="833" spans="16:19">
      <c r="P833" s="13"/>
      <c r="Q833" s="33"/>
      <c r="R833" s="13"/>
      <c r="S833" s="13"/>
    </row>
    <row r="834" spans="16:19">
      <c r="P834" s="13"/>
      <c r="Q834" s="33"/>
      <c r="R834" s="13"/>
      <c r="S834" s="13"/>
    </row>
    <row r="835" spans="16:19">
      <c r="P835" s="20"/>
      <c r="Q835" s="149"/>
      <c r="R835" s="20"/>
      <c r="S835" s="20"/>
    </row>
    <row r="836" spans="16:19">
      <c r="P836" s="20"/>
      <c r="Q836" s="149"/>
      <c r="R836" s="20"/>
      <c r="S836" s="20"/>
    </row>
    <row r="837" spans="16:19">
      <c r="P837" s="20"/>
      <c r="Q837" s="149"/>
      <c r="R837" s="20"/>
      <c r="S837" s="20"/>
    </row>
    <row r="838" spans="16:19">
      <c r="P838" s="20"/>
      <c r="Q838" s="149"/>
      <c r="R838" s="20"/>
      <c r="S838" s="20"/>
    </row>
    <row r="839" spans="16:19">
      <c r="P839" s="20"/>
      <c r="Q839" s="149"/>
      <c r="R839" s="20"/>
      <c r="S839" s="20"/>
    </row>
    <row r="840" spans="16:19">
      <c r="P840" s="20"/>
      <c r="Q840" s="149"/>
      <c r="R840" s="20"/>
      <c r="S840" s="20"/>
    </row>
    <row r="841" spans="16:19">
      <c r="P841" s="20"/>
      <c r="Q841" s="149"/>
      <c r="R841" s="20"/>
      <c r="S841" s="20"/>
    </row>
    <row r="842" spans="16:19">
      <c r="P842" s="20"/>
      <c r="Q842" s="149"/>
      <c r="R842" s="20"/>
      <c r="S842" s="20"/>
    </row>
    <row r="843" spans="16:19">
      <c r="P843" s="20"/>
      <c r="Q843" s="149"/>
      <c r="R843" s="20"/>
      <c r="S843" s="20"/>
    </row>
    <row r="844" spans="16:19">
      <c r="P844" s="20"/>
      <c r="Q844" s="149"/>
      <c r="R844" s="20"/>
      <c r="S844" s="20"/>
    </row>
    <row r="845" spans="16:19">
      <c r="P845" s="20"/>
      <c r="Q845" s="149"/>
      <c r="R845" s="20"/>
      <c r="S845" s="20"/>
    </row>
    <row r="846" spans="16:19">
      <c r="P846" s="20"/>
      <c r="Q846" s="149"/>
      <c r="R846" s="20"/>
      <c r="S846" s="20"/>
    </row>
    <row r="847" spans="16:19">
      <c r="P847" s="20"/>
      <c r="Q847" s="149"/>
      <c r="R847" s="20"/>
      <c r="S847" s="20"/>
    </row>
    <row r="848" spans="16:19">
      <c r="P848" s="20"/>
      <c r="Q848" s="149"/>
      <c r="R848" s="20"/>
      <c r="S848" s="20"/>
    </row>
    <row r="849" spans="16:19">
      <c r="P849" s="20"/>
      <c r="Q849" s="149"/>
      <c r="R849" s="20"/>
      <c r="S849" s="20"/>
    </row>
    <row r="850" spans="16:19">
      <c r="P850" s="20"/>
      <c r="Q850" s="149"/>
      <c r="R850" s="20"/>
      <c r="S850" s="20"/>
    </row>
    <row r="851" spans="16:19">
      <c r="P851" s="20"/>
      <c r="Q851" s="149"/>
      <c r="R851" s="20"/>
      <c r="S851" s="20"/>
    </row>
    <row r="852" spans="16:19">
      <c r="P852" s="20"/>
      <c r="Q852" s="149"/>
      <c r="R852" s="20"/>
      <c r="S852" s="20"/>
    </row>
    <row r="853" spans="16:19">
      <c r="P853" s="20"/>
      <c r="Q853" s="149"/>
      <c r="R853" s="20"/>
      <c r="S853" s="20"/>
    </row>
    <row r="854" spans="16:19">
      <c r="P854" s="20"/>
      <c r="Q854" s="149"/>
      <c r="R854" s="20"/>
      <c r="S854" s="20"/>
    </row>
    <row r="855" spans="16:19">
      <c r="P855" s="20"/>
      <c r="Q855" s="149"/>
      <c r="R855" s="20"/>
      <c r="S855" s="20"/>
    </row>
    <row r="856" spans="16:19">
      <c r="P856" s="20"/>
      <c r="Q856" s="149"/>
      <c r="R856" s="20"/>
      <c r="S856" s="20"/>
    </row>
    <row r="857" spans="16:19">
      <c r="P857" s="20"/>
      <c r="Q857" s="149"/>
      <c r="R857" s="20"/>
      <c r="S857" s="20"/>
    </row>
    <row r="858" spans="16:19">
      <c r="P858" s="20"/>
      <c r="Q858" s="149"/>
      <c r="R858" s="20"/>
      <c r="S858" s="20"/>
    </row>
    <row r="859" spans="16:19">
      <c r="P859" s="20"/>
      <c r="Q859" s="149"/>
      <c r="R859" s="20"/>
      <c r="S859" s="20"/>
    </row>
    <row r="860" spans="16:19">
      <c r="P860" s="20"/>
      <c r="Q860" s="149"/>
      <c r="R860" s="20"/>
      <c r="S860" s="20"/>
    </row>
    <row r="861" spans="16:19">
      <c r="P861" s="20"/>
      <c r="Q861" s="149"/>
      <c r="R861" s="20"/>
      <c r="S861" s="20"/>
    </row>
    <row r="862" spans="16:19">
      <c r="P862" s="20"/>
      <c r="Q862" s="149"/>
      <c r="R862" s="20"/>
      <c r="S862" s="20"/>
    </row>
    <row r="863" spans="16:19">
      <c r="P863" s="20"/>
      <c r="Q863" s="149"/>
      <c r="R863" s="20"/>
      <c r="S863" s="20"/>
    </row>
    <row r="864" spans="16:19">
      <c r="P864" s="20"/>
      <c r="Q864" s="149"/>
      <c r="R864" s="20"/>
      <c r="S864" s="20"/>
    </row>
    <row r="865" spans="16:19">
      <c r="P865" s="20"/>
      <c r="Q865" s="149"/>
      <c r="R865" s="20"/>
      <c r="S865" s="20"/>
    </row>
    <row r="866" spans="16:19">
      <c r="P866" s="20"/>
      <c r="Q866" s="149"/>
      <c r="R866" s="20"/>
      <c r="S866" s="20"/>
    </row>
    <row r="867" spans="16:19">
      <c r="P867" s="20"/>
      <c r="Q867" s="149"/>
      <c r="R867" s="20"/>
      <c r="S867" s="20"/>
    </row>
    <row r="868" spans="16:19">
      <c r="P868" s="20"/>
      <c r="Q868" s="149"/>
      <c r="R868" s="20"/>
      <c r="S868" s="20"/>
    </row>
    <row r="869" spans="16:19">
      <c r="P869" s="20"/>
      <c r="Q869" s="149"/>
      <c r="R869" s="20"/>
      <c r="S869" s="20"/>
    </row>
    <row r="870" spans="16:19">
      <c r="P870" s="20"/>
      <c r="Q870" s="149"/>
      <c r="R870" s="20"/>
      <c r="S870" s="20"/>
    </row>
    <row r="871" spans="16:19">
      <c r="P871" s="20"/>
      <c r="Q871" s="149"/>
      <c r="R871" s="20"/>
      <c r="S871" s="20"/>
    </row>
    <row r="872" spans="16:19">
      <c r="P872" s="20"/>
      <c r="Q872" s="149"/>
      <c r="R872" s="20"/>
      <c r="S872" s="20"/>
    </row>
    <row r="873" spans="16:19">
      <c r="P873" s="20"/>
      <c r="Q873" s="149"/>
      <c r="R873" s="20"/>
      <c r="S873" s="20"/>
    </row>
    <row r="874" spans="16:19">
      <c r="P874" s="20"/>
      <c r="Q874" s="149"/>
      <c r="R874" s="20"/>
      <c r="S874" s="20"/>
    </row>
    <row r="875" spans="16:19">
      <c r="P875" s="20"/>
      <c r="Q875" s="149"/>
      <c r="R875" s="20"/>
      <c r="S875" s="20"/>
    </row>
    <row r="876" spans="16:19">
      <c r="P876" s="20"/>
      <c r="Q876" s="149"/>
      <c r="R876" s="20"/>
      <c r="S876" s="20"/>
    </row>
    <row r="877" spans="16:19">
      <c r="P877" s="20"/>
      <c r="Q877" s="149"/>
      <c r="R877" s="20"/>
      <c r="S877" s="20"/>
    </row>
    <row r="878" spans="16:19">
      <c r="P878" s="20"/>
      <c r="Q878" s="149"/>
      <c r="R878" s="20"/>
      <c r="S878" s="20"/>
    </row>
    <row r="879" spans="16:19">
      <c r="P879" s="20"/>
      <c r="Q879" s="149"/>
      <c r="R879" s="20"/>
      <c r="S879" s="20"/>
    </row>
    <row r="880" spans="16:19">
      <c r="P880" s="20"/>
      <c r="Q880" s="149"/>
      <c r="R880" s="20"/>
      <c r="S880" s="20"/>
    </row>
    <row r="881" spans="16:19">
      <c r="P881" s="20"/>
      <c r="Q881" s="149"/>
      <c r="R881" s="20"/>
      <c r="S881" s="20"/>
    </row>
    <row r="882" spans="16:19">
      <c r="P882" s="20"/>
      <c r="Q882" s="149"/>
      <c r="R882" s="20"/>
      <c r="S882" s="20"/>
    </row>
    <row r="883" spans="16:19">
      <c r="P883" s="20"/>
      <c r="Q883" s="149"/>
      <c r="R883" s="20"/>
      <c r="S883" s="20"/>
    </row>
    <row r="884" spans="16:19">
      <c r="P884" s="20"/>
      <c r="Q884" s="149"/>
      <c r="R884" s="20"/>
      <c r="S884" s="20"/>
    </row>
    <row r="885" spans="16:19">
      <c r="P885" s="20"/>
      <c r="Q885" s="149"/>
      <c r="R885" s="20"/>
      <c r="S885" s="20"/>
    </row>
    <row r="886" spans="16:19">
      <c r="P886" s="20"/>
      <c r="Q886" s="149"/>
      <c r="R886" s="20"/>
      <c r="S886" s="20"/>
    </row>
    <row r="887" spans="16:19">
      <c r="P887" s="20"/>
      <c r="Q887" s="149"/>
      <c r="R887" s="20"/>
      <c r="S887" s="20"/>
    </row>
    <row r="888" spans="16:19">
      <c r="P888" s="20"/>
      <c r="Q888" s="149"/>
      <c r="R888" s="20"/>
      <c r="S888" s="20"/>
    </row>
    <row r="889" spans="16:19">
      <c r="P889" s="20"/>
      <c r="Q889" s="149"/>
      <c r="R889" s="20"/>
      <c r="S889" s="20"/>
    </row>
    <row r="890" spans="16:19">
      <c r="P890" s="20"/>
      <c r="Q890" s="149"/>
      <c r="R890" s="20"/>
      <c r="S890" s="20"/>
    </row>
    <row r="891" spans="16:19">
      <c r="P891" s="20"/>
      <c r="Q891" s="149"/>
      <c r="R891" s="20"/>
      <c r="S891" s="20"/>
    </row>
    <row r="892" spans="16:19">
      <c r="P892" s="20"/>
      <c r="Q892" s="149"/>
      <c r="R892" s="20"/>
      <c r="S892" s="20"/>
    </row>
    <row r="893" spans="16:19">
      <c r="P893" s="20"/>
      <c r="Q893" s="149"/>
      <c r="R893" s="20"/>
      <c r="S893" s="20"/>
    </row>
    <row r="894" spans="16:19">
      <c r="P894" s="20"/>
      <c r="Q894" s="149"/>
      <c r="R894" s="20"/>
      <c r="S894" s="20"/>
    </row>
    <row r="895" spans="16:19">
      <c r="P895" s="20"/>
      <c r="Q895" s="149"/>
      <c r="R895" s="20"/>
      <c r="S895" s="20"/>
    </row>
    <row r="896" spans="16:19">
      <c r="P896" s="20"/>
      <c r="Q896" s="149"/>
      <c r="R896" s="20"/>
      <c r="S896" s="20"/>
    </row>
    <row r="897" spans="16:19">
      <c r="P897" s="20"/>
      <c r="Q897" s="149"/>
      <c r="R897" s="20"/>
      <c r="S897" s="20"/>
    </row>
    <row r="898" spans="16:19">
      <c r="P898" s="20"/>
      <c r="Q898" s="149"/>
      <c r="R898" s="20"/>
      <c r="S898" s="20"/>
    </row>
    <row r="899" spans="16:19">
      <c r="P899" s="20"/>
      <c r="Q899" s="149"/>
      <c r="R899" s="20"/>
      <c r="S899" s="20"/>
    </row>
    <row r="900" spans="16:19">
      <c r="P900" s="20"/>
      <c r="Q900" s="149"/>
      <c r="R900" s="20"/>
      <c r="S900" s="20"/>
    </row>
    <row r="901" spans="16:19">
      <c r="P901" s="20"/>
      <c r="Q901" s="149"/>
      <c r="R901" s="20"/>
      <c r="S901" s="20"/>
    </row>
    <row r="902" spans="16:19">
      <c r="P902" s="20"/>
      <c r="Q902" s="149"/>
      <c r="R902" s="20"/>
      <c r="S902" s="20"/>
    </row>
    <row r="903" spans="16:19">
      <c r="P903" s="20"/>
      <c r="Q903" s="149"/>
      <c r="R903" s="20"/>
      <c r="S903" s="20"/>
    </row>
    <row r="904" spans="16:19">
      <c r="P904" s="20"/>
      <c r="Q904" s="149"/>
      <c r="R904" s="20"/>
      <c r="S904" s="20"/>
    </row>
    <row r="905" spans="16:19">
      <c r="P905" s="20"/>
      <c r="Q905" s="149"/>
      <c r="R905" s="20"/>
      <c r="S905" s="20"/>
    </row>
    <row r="906" spans="16:19">
      <c r="P906" s="20"/>
      <c r="Q906" s="149"/>
      <c r="R906" s="20"/>
      <c r="S906" s="20"/>
    </row>
    <row r="907" spans="16:19">
      <c r="P907" s="20"/>
      <c r="Q907" s="149"/>
      <c r="R907" s="20"/>
      <c r="S907" s="20"/>
    </row>
    <row r="908" spans="16:19">
      <c r="P908" s="20"/>
      <c r="Q908" s="149"/>
      <c r="R908" s="20"/>
      <c r="S908" s="20"/>
    </row>
    <row r="909" spans="16:19">
      <c r="P909" s="20"/>
      <c r="Q909" s="149"/>
      <c r="R909" s="20"/>
      <c r="S909" s="20"/>
    </row>
    <row r="910" spans="16:19">
      <c r="P910" s="20"/>
      <c r="Q910" s="149"/>
      <c r="R910" s="20"/>
      <c r="S910" s="20"/>
    </row>
    <row r="911" spans="16:19">
      <c r="P911" s="20"/>
      <c r="Q911" s="149"/>
      <c r="R911" s="20"/>
      <c r="S911" s="20"/>
    </row>
    <row r="912" spans="16:19">
      <c r="P912" s="20"/>
      <c r="Q912" s="149"/>
      <c r="R912" s="20"/>
      <c r="S912" s="20"/>
    </row>
    <row r="913" spans="16:19">
      <c r="P913" s="20"/>
      <c r="Q913" s="149"/>
      <c r="R913" s="20"/>
      <c r="S913" s="20"/>
    </row>
    <row r="914" spans="16:19">
      <c r="P914" s="20"/>
      <c r="Q914" s="149"/>
      <c r="R914" s="20"/>
      <c r="S914" s="20"/>
    </row>
    <row r="915" spans="16:19">
      <c r="P915" s="20"/>
      <c r="Q915" s="149"/>
      <c r="R915" s="20"/>
      <c r="S915" s="20"/>
    </row>
    <row r="916" spans="16:19">
      <c r="P916" s="20"/>
      <c r="Q916" s="149"/>
      <c r="R916" s="20"/>
      <c r="S916" s="20"/>
    </row>
    <row r="917" spans="16:19">
      <c r="P917" s="20"/>
      <c r="Q917" s="149"/>
      <c r="R917" s="20"/>
      <c r="S917" s="20"/>
    </row>
    <row r="918" spans="16:19">
      <c r="P918" s="20"/>
      <c r="Q918" s="149"/>
      <c r="R918" s="20"/>
      <c r="S918" s="20"/>
    </row>
    <row r="919" spans="16:19">
      <c r="P919" s="20"/>
      <c r="Q919" s="149"/>
      <c r="R919" s="20"/>
      <c r="S919" s="20"/>
    </row>
    <row r="920" spans="16:19">
      <c r="P920" s="20"/>
      <c r="Q920" s="149"/>
      <c r="R920" s="20"/>
      <c r="S920" s="20"/>
    </row>
    <row r="921" spans="16:19">
      <c r="P921" s="20"/>
      <c r="Q921" s="149"/>
      <c r="R921" s="20"/>
      <c r="S921" s="20"/>
    </row>
    <row r="922" spans="16:19">
      <c r="P922" s="20"/>
      <c r="Q922" s="149"/>
      <c r="R922" s="20"/>
      <c r="S922" s="20"/>
    </row>
    <row r="923" spans="16:19">
      <c r="P923" s="20"/>
      <c r="Q923" s="149"/>
      <c r="R923" s="20"/>
      <c r="S923" s="20"/>
    </row>
    <row r="924" spans="16:19">
      <c r="P924" s="20"/>
      <c r="Q924" s="149"/>
      <c r="R924" s="20"/>
      <c r="S924" s="20"/>
    </row>
    <row r="925" spans="16:19">
      <c r="P925" s="20"/>
      <c r="Q925" s="149"/>
      <c r="R925" s="20"/>
      <c r="S925" s="20"/>
    </row>
    <row r="926" spans="16:19">
      <c r="P926" s="20"/>
      <c r="Q926" s="149"/>
      <c r="R926" s="20"/>
      <c r="S926" s="20"/>
    </row>
    <row r="927" spans="16:19">
      <c r="P927" s="20"/>
      <c r="Q927" s="149"/>
      <c r="R927" s="20"/>
      <c r="S927" s="20"/>
    </row>
    <row r="928" spans="16:19">
      <c r="P928" s="20"/>
      <c r="Q928" s="149"/>
      <c r="R928" s="20"/>
      <c r="S928" s="20"/>
    </row>
    <row r="929" spans="16:19">
      <c r="P929" s="20"/>
      <c r="Q929" s="149"/>
      <c r="R929" s="20"/>
      <c r="S929" s="20"/>
    </row>
    <row r="930" spans="16:19">
      <c r="P930" s="20"/>
      <c r="Q930" s="149"/>
      <c r="R930" s="20"/>
      <c r="S930" s="20"/>
    </row>
    <row r="931" spans="16:19">
      <c r="P931" s="20"/>
      <c r="Q931" s="149"/>
      <c r="R931" s="20"/>
      <c r="S931" s="20"/>
    </row>
    <row r="932" spans="16:19">
      <c r="P932" s="20"/>
      <c r="Q932" s="149"/>
      <c r="R932" s="20"/>
      <c r="S932" s="20"/>
    </row>
    <row r="933" spans="16:19">
      <c r="P933" s="20"/>
      <c r="Q933" s="149"/>
      <c r="R933" s="20"/>
      <c r="S933" s="20"/>
    </row>
    <row r="934" spans="16:19">
      <c r="P934" s="20"/>
      <c r="Q934" s="149"/>
      <c r="R934" s="20"/>
      <c r="S934" s="20"/>
    </row>
    <row r="935" spans="16:19">
      <c r="P935" s="20"/>
      <c r="Q935" s="149"/>
      <c r="R935" s="20"/>
      <c r="S935" s="20"/>
    </row>
    <row r="936" spans="16:19">
      <c r="P936" s="20"/>
      <c r="Q936" s="149"/>
      <c r="R936" s="20"/>
      <c r="S936" s="20"/>
    </row>
    <row r="937" spans="16:19">
      <c r="P937" s="20"/>
      <c r="Q937" s="149"/>
      <c r="R937" s="20"/>
      <c r="S937" s="20"/>
    </row>
    <row r="938" spans="16:19">
      <c r="P938" s="20"/>
      <c r="Q938" s="149"/>
      <c r="R938" s="20"/>
      <c r="S938" s="20"/>
    </row>
    <row r="939" spans="16:19">
      <c r="P939" s="20"/>
      <c r="Q939" s="149"/>
      <c r="R939" s="20"/>
      <c r="S939" s="20"/>
    </row>
    <row r="940" spans="16:19">
      <c r="P940" s="20"/>
      <c r="Q940" s="149"/>
      <c r="R940" s="20"/>
      <c r="S940" s="20"/>
    </row>
    <row r="941" spans="16:19">
      <c r="P941" s="20"/>
      <c r="Q941" s="149"/>
      <c r="R941" s="20"/>
      <c r="S941" s="20"/>
    </row>
    <row r="942" spans="16:19">
      <c r="P942" s="20"/>
      <c r="Q942" s="149"/>
      <c r="R942" s="20"/>
      <c r="S942" s="20"/>
    </row>
    <row r="943" spans="16:19">
      <c r="P943" s="20"/>
      <c r="Q943" s="149"/>
      <c r="R943" s="20"/>
      <c r="S943" s="20"/>
    </row>
    <row r="944" spans="16:19">
      <c r="P944" s="20"/>
      <c r="Q944" s="149"/>
      <c r="R944" s="20"/>
      <c r="S944" s="20"/>
    </row>
    <row r="945" spans="16:19">
      <c r="P945" s="20"/>
      <c r="Q945" s="149"/>
      <c r="R945" s="20"/>
      <c r="S945" s="20"/>
    </row>
    <row r="946" spans="16:19">
      <c r="P946" s="20"/>
      <c r="Q946" s="149"/>
      <c r="R946" s="20"/>
      <c r="S946" s="20"/>
    </row>
    <row r="947" spans="16:19">
      <c r="P947" s="20"/>
      <c r="Q947" s="149"/>
      <c r="R947" s="20"/>
      <c r="S947" s="20"/>
    </row>
    <row r="948" spans="16:19">
      <c r="P948" s="20"/>
      <c r="Q948" s="149"/>
      <c r="R948" s="20"/>
      <c r="S948" s="20"/>
    </row>
    <row r="949" spans="16:19">
      <c r="P949" s="20"/>
      <c r="Q949" s="149"/>
      <c r="R949" s="20"/>
      <c r="S949" s="20"/>
    </row>
    <row r="950" spans="16:19">
      <c r="P950" s="20"/>
      <c r="Q950" s="149"/>
      <c r="R950" s="20"/>
      <c r="S950" s="20"/>
    </row>
    <row r="951" spans="16:19">
      <c r="P951" s="20"/>
      <c r="Q951" s="149"/>
      <c r="R951" s="20"/>
      <c r="S951" s="20"/>
    </row>
    <row r="952" spans="16:19">
      <c r="P952" s="20"/>
      <c r="Q952" s="149"/>
      <c r="R952" s="20"/>
      <c r="S952" s="20"/>
    </row>
    <row r="953" spans="16:19">
      <c r="P953" s="20"/>
      <c r="Q953" s="149"/>
      <c r="R953" s="20"/>
      <c r="S953" s="20"/>
    </row>
    <row r="954" spans="16:19">
      <c r="P954" s="20"/>
      <c r="Q954" s="149"/>
      <c r="R954" s="20"/>
      <c r="S954" s="20"/>
    </row>
    <row r="955" spans="16:19">
      <c r="P955" s="20"/>
      <c r="Q955" s="149"/>
      <c r="R955" s="20"/>
      <c r="S955" s="20"/>
    </row>
    <row r="956" spans="16:19">
      <c r="P956" s="20"/>
      <c r="Q956" s="149"/>
      <c r="R956" s="20"/>
      <c r="S956" s="20"/>
    </row>
    <row r="957" spans="16:19">
      <c r="P957" s="20"/>
      <c r="Q957" s="149"/>
      <c r="R957" s="20"/>
      <c r="S957" s="20"/>
    </row>
    <row r="958" spans="16:19">
      <c r="P958" s="25"/>
      <c r="Q958" s="150"/>
      <c r="R958" s="25"/>
      <c r="S958" s="25"/>
    </row>
    <row r="959" spans="16:19">
      <c r="P959" s="25"/>
      <c r="Q959" s="150"/>
      <c r="R959" s="25"/>
      <c r="S959" s="25"/>
    </row>
    <row r="960" spans="16:19">
      <c r="P960" s="25"/>
      <c r="Q960" s="150"/>
      <c r="R960" s="25"/>
      <c r="S960" s="25"/>
    </row>
    <row r="961" spans="16:19">
      <c r="P961" s="25"/>
      <c r="Q961" s="150"/>
      <c r="R961" s="25"/>
      <c r="S961" s="25"/>
    </row>
    <row r="962" spans="16:19">
      <c r="P962" s="25"/>
      <c r="Q962" s="150"/>
      <c r="R962" s="25"/>
      <c r="S962" s="25"/>
    </row>
    <row r="963" spans="16:19">
      <c r="P963" s="25"/>
      <c r="Q963" s="150"/>
      <c r="R963" s="25"/>
      <c r="S963" s="25"/>
    </row>
    <row r="964" spans="16:19">
      <c r="P964" s="25"/>
      <c r="Q964" s="150"/>
      <c r="R964" s="25"/>
      <c r="S964" s="25"/>
    </row>
    <row r="965" spans="16:19">
      <c r="P965" s="25"/>
      <c r="Q965" s="150"/>
      <c r="R965" s="25"/>
      <c r="S965" s="25"/>
    </row>
    <row r="966" spans="16:19">
      <c r="P966" s="25"/>
      <c r="Q966" s="150"/>
      <c r="R966" s="25"/>
      <c r="S966" s="25"/>
    </row>
    <row r="967" spans="16:19">
      <c r="P967" s="25"/>
      <c r="Q967" s="150"/>
      <c r="R967" s="25"/>
      <c r="S967" s="25"/>
    </row>
    <row r="968" spans="16:19">
      <c r="P968" s="25"/>
      <c r="Q968" s="150"/>
      <c r="R968" s="25"/>
      <c r="S968" s="25"/>
    </row>
    <row r="969" spans="16:19">
      <c r="P969" s="25"/>
      <c r="Q969" s="150"/>
      <c r="R969" s="25"/>
      <c r="S969" s="25"/>
    </row>
    <row r="970" spans="16:19">
      <c r="P970" s="25"/>
      <c r="Q970" s="150"/>
      <c r="R970" s="25"/>
      <c r="S970" s="25"/>
    </row>
    <row r="971" spans="16:19">
      <c r="P971" s="25"/>
      <c r="Q971" s="150"/>
      <c r="R971" s="25"/>
      <c r="S971" s="25"/>
    </row>
    <row r="972" spans="16:19">
      <c r="P972" s="19"/>
      <c r="Q972" s="151"/>
      <c r="R972" s="19"/>
      <c r="S972" s="19"/>
    </row>
    <row r="973" spans="16:19">
      <c r="P973" s="19"/>
      <c r="Q973" s="151"/>
      <c r="R973" s="19"/>
      <c r="S973" s="19"/>
    </row>
    <row r="974" spans="16:19">
      <c r="P974" s="19"/>
      <c r="Q974" s="151"/>
      <c r="R974" s="19"/>
      <c r="S974" s="19"/>
    </row>
    <row r="975" spans="16:19">
      <c r="P975" s="19"/>
      <c r="Q975" s="151"/>
      <c r="R975" s="19"/>
      <c r="S975" s="19"/>
    </row>
    <row r="976" spans="16:19">
      <c r="P976" s="19"/>
      <c r="Q976" s="151"/>
      <c r="R976" s="19"/>
      <c r="S976" s="19"/>
    </row>
    <row r="977" spans="16:19">
      <c r="P977" s="19"/>
      <c r="Q977" s="151"/>
      <c r="R977" s="19"/>
      <c r="S977" s="19"/>
    </row>
    <row r="978" spans="16:19">
      <c r="P978" s="19"/>
      <c r="Q978" s="151"/>
      <c r="R978" s="19"/>
      <c r="S978" s="19"/>
    </row>
    <row r="979" spans="16:19">
      <c r="P979" s="19"/>
      <c r="Q979" s="151"/>
      <c r="R979" s="19"/>
      <c r="S979" s="19"/>
    </row>
    <row r="980" spans="16:19">
      <c r="P980" s="19"/>
      <c r="Q980" s="151"/>
      <c r="R980" s="19"/>
      <c r="S980" s="19"/>
    </row>
    <row r="981" spans="16:19">
      <c r="P981" s="19"/>
      <c r="Q981" s="151"/>
      <c r="R981" s="19"/>
      <c r="S981" s="19"/>
    </row>
    <row r="982" spans="16:19">
      <c r="P982" s="19"/>
      <c r="Q982" s="151"/>
      <c r="R982" s="19"/>
      <c r="S982" s="19"/>
    </row>
    <row r="983" spans="16:19">
      <c r="P983" s="19"/>
      <c r="Q983" s="151"/>
      <c r="R983" s="19"/>
      <c r="S983" s="19"/>
    </row>
    <row r="984" spans="16:19">
      <c r="P984" s="19"/>
      <c r="Q984" s="151"/>
      <c r="R984" s="19"/>
      <c r="S984" s="19"/>
    </row>
    <row r="985" spans="16:19">
      <c r="P985" s="19"/>
      <c r="Q985" s="151"/>
      <c r="R985" s="19"/>
      <c r="S985" s="19"/>
    </row>
    <row r="986" spans="16:19">
      <c r="P986" s="20"/>
      <c r="Q986" s="149"/>
      <c r="R986" s="20"/>
      <c r="S986" s="20"/>
    </row>
    <row r="987" spans="16:19">
      <c r="P987" s="20"/>
      <c r="Q987" s="149"/>
      <c r="R987" s="20"/>
      <c r="S987" s="20"/>
    </row>
    <row r="988" spans="16:19">
      <c r="P988" s="20"/>
      <c r="Q988" s="149"/>
      <c r="R988" s="20"/>
      <c r="S988" s="20"/>
    </row>
    <row r="989" spans="16:19">
      <c r="P989" s="20"/>
      <c r="Q989" s="149"/>
      <c r="R989" s="20"/>
      <c r="S989" s="20"/>
    </row>
    <row r="990" spans="16:19">
      <c r="P990" s="20"/>
      <c r="Q990" s="149"/>
      <c r="R990" s="20"/>
      <c r="S990" s="20"/>
    </row>
    <row r="991" spans="16:19">
      <c r="P991" s="20"/>
      <c r="Q991" s="149"/>
      <c r="R991" s="20"/>
      <c r="S991" s="20"/>
    </row>
    <row r="992" spans="16:19">
      <c r="P992" s="20"/>
      <c r="Q992" s="149"/>
      <c r="R992" s="20"/>
      <c r="S992" s="20"/>
    </row>
    <row r="993" spans="16:19">
      <c r="P993" s="20"/>
      <c r="Q993" s="149"/>
      <c r="R993" s="20"/>
      <c r="S993" s="20"/>
    </row>
    <row r="994" spans="16:19">
      <c r="P994" s="20"/>
      <c r="Q994" s="149"/>
      <c r="R994" s="20"/>
      <c r="S994" s="20"/>
    </row>
    <row r="995" spans="16:19">
      <c r="P995" s="20"/>
      <c r="Q995" s="149"/>
      <c r="R995" s="20"/>
      <c r="S995" s="20"/>
    </row>
    <row r="996" spans="16:19">
      <c r="P996" s="20"/>
      <c r="Q996" s="149"/>
      <c r="R996" s="20"/>
      <c r="S996" s="20"/>
    </row>
    <row r="997" spans="16:19">
      <c r="P997" s="20"/>
      <c r="Q997" s="149"/>
      <c r="R997" s="20"/>
      <c r="S997" s="20"/>
    </row>
    <row r="998" spans="16:19">
      <c r="P998" s="20"/>
      <c r="Q998" s="149"/>
      <c r="R998" s="20"/>
      <c r="S998" s="20"/>
    </row>
    <row r="999" spans="16:19">
      <c r="P999" s="20"/>
      <c r="Q999" s="149"/>
      <c r="R999" s="20"/>
      <c r="S999" s="20"/>
    </row>
    <row r="1000" spans="16:19">
      <c r="P1000" s="20"/>
      <c r="Q1000" s="149"/>
      <c r="R1000" s="20"/>
      <c r="S1000" s="20"/>
    </row>
    <row r="1001" spans="16:19">
      <c r="P1001" s="20"/>
      <c r="Q1001" s="149"/>
      <c r="R1001" s="20"/>
      <c r="S1001" s="20"/>
    </row>
    <row r="1002" spans="16:19">
      <c r="P1002" s="20"/>
      <c r="Q1002" s="149"/>
      <c r="R1002" s="20"/>
      <c r="S1002" s="20"/>
    </row>
    <row r="1003" spans="16:19">
      <c r="P1003" s="20"/>
      <c r="Q1003" s="149"/>
      <c r="R1003" s="20"/>
      <c r="S1003" s="20"/>
    </row>
    <row r="1004" spans="16:19">
      <c r="P1004" s="20"/>
      <c r="Q1004" s="149"/>
      <c r="R1004" s="20"/>
      <c r="S1004" s="20"/>
    </row>
    <row r="1005" spans="16:19">
      <c r="P1005" s="20"/>
      <c r="Q1005" s="149"/>
      <c r="R1005" s="20"/>
      <c r="S1005" s="20"/>
    </row>
    <row r="1006" spans="16:19">
      <c r="P1006" s="20"/>
      <c r="Q1006" s="149"/>
      <c r="R1006" s="20"/>
      <c r="S1006" s="20"/>
    </row>
    <row r="1007" spans="16:19">
      <c r="P1007" s="20"/>
      <c r="Q1007" s="149"/>
      <c r="R1007" s="20"/>
      <c r="S1007" s="20"/>
    </row>
    <row r="1008" spans="16:19">
      <c r="P1008" s="20"/>
      <c r="Q1008" s="149"/>
      <c r="R1008" s="20"/>
      <c r="S1008" s="20"/>
    </row>
    <row r="1009" spans="16:19">
      <c r="P1009" s="20"/>
      <c r="Q1009" s="149"/>
      <c r="R1009" s="20"/>
      <c r="S1009" s="20"/>
    </row>
    <row r="1010" spans="16:19">
      <c r="P1010" s="20"/>
      <c r="Q1010" s="149"/>
      <c r="R1010" s="20"/>
      <c r="S1010" s="20"/>
    </row>
    <row r="1011" spans="16:19">
      <c r="P1011" s="20"/>
      <c r="Q1011" s="149"/>
      <c r="R1011" s="20"/>
      <c r="S1011" s="20"/>
    </row>
    <row r="1012" spans="16:19">
      <c r="P1012" s="20"/>
      <c r="Q1012" s="149"/>
      <c r="R1012" s="20"/>
      <c r="S1012" s="20"/>
    </row>
    <row r="1013" spans="16:19">
      <c r="P1013" s="20"/>
      <c r="Q1013" s="149"/>
      <c r="R1013" s="20"/>
      <c r="S1013" s="20"/>
    </row>
    <row r="1014" spans="16:19">
      <c r="P1014" s="20"/>
      <c r="Q1014" s="149"/>
      <c r="R1014" s="20"/>
      <c r="S1014" s="20"/>
    </row>
    <row r="1015" spans="16:19">
      <c r="P1015" s="19"/>
      <c r="Q1015" s="151"/>
      <c r="R1015" s="19"/>
      <c r="S1015" s="19"/>
    </row>
    <row r="1016" spans="16:19">
      <c r="P1016" s="19"/>
      <c r="Q1016" s="151"/>
      <c r="R1016" s="19"/>
      <c r="S1016" s="19"/>
    </row>
    <row r="1017" spans="16:19">
      <c r="P1017" s="19"/>
      <c r="Q1017" s="151"/>
      <c r="R1017" s="19"/>
      <c r="S1017" s="19"/>
    </row>
    <row r="1018" spans="16:19">
      <c r="P1018" s="19"/>
      <c r="Q1018" s="151"/>
      <c r="R1018" s="19"/>
      <c r="S1018" s="19"/>
    </row>
    <row r="1019" spans="16:19">
      <c r="P1019" s="19"/>
      <c r="Q1019" s="151"/>
      <c r="R1019" s="19"/>
      <c r="S1019" s="19"/>
    </row>
    <row r="1020" spans="16:19">
      <c r="P1020" s="19"/>
      <c r="Q1020" s="151"/>
      <c r="R1020" s="19"/>
      <c r="S1020" s="19"/>
    </row>
    <row r="1021" spans="16:19">
      <c r="P1021" s="19"/>
      <c r="Q1021" s="151"/>
      <c r="R1021" s="19"/>
      <c r="S1021" s="19"/>
    </row>
    <row r="1022" spans="16:19">
      <c r="P1022" s="19"/>
      <c r="Q1022" s="151"/>
      <c r="R1022" s="19"/>
      <c r="S1022" s="19"/>
    </row>
    <row r="1023" spans="16:19">
      <c r="P1023" s="19"/>
      <c r="Q1023" s="151"/>
      <c r="R1023" s="19"/>
      <c r="S1023" s="19"/>
    </row>
    <row r="1024" spans="16:19">
      <c r="P1024" s="19"/>
      <c r="Q1024" s="151"/>
      <c r="R1024" s="19"/>
      <c r="S1024" s="19"/>
    </row>
    <row r="1025" spans="16:19">
      <c r="P1025" s="19"/>
      <c r="Q1025" s="151"/>
      <c r="R1025" s="19"/>
      <c r="S1025" s="19"/>
    </row>
    <row r="1026" spans="16:19">
      <c r="P1026" s="19"/>
      <c r="Q1026" s="151"/>
      <c r="R1026" s="19"/>
      <c r="S1026" s="19"/>
    </row>
    <row r="1027" spans="16:19">
      <c r="P1027" s="19"/>
      <c r="Q1027" s="151"/>
      <c r="R1027" s="19"/>
      <c r="S1027" s="19"/>
    </row>
    <row r="1028" spans="16:19">
      <c r="P1028" s="19"/>
      <c r="Q1028" s="151"/>
      <c r="R1028" s="19"/>
      <c r="S1028" s="19"/>
    </row>
    <row r="1029" spans="16:19">
      <c r="P1029" s="19"/>
      <c r="Q1029" s="151"/>
      <c r="R1029" s="19"/>
      <c r="S1029" s="19"/>
    </row>
    <row r="1030" spans="16:19">
      <c r="P1030" s="19"/>
      <c r="Q1030" s="151"/>
      <c r="R1030" s="19"/>
      <c r="S1030" s="19"/>
    </row>
    <row r="1031" spans="16:19">
      <c r="P1031" s="19"/>
      <c r="Q1031" s="151"/>
      <c r="R1031" s="19"/>
      <c r="S1031" s="19"/>
    </row>
    <row r="1032" spans="16:19">
      <c r="P1032" s="19"/>
      <c r="Q1032" s="151"/>
      <c r="R1032" s="19"/>
      <c r="S1032" s="19"/>
    </row>
    <row r="1033" spans="16:19">
      <c r="P1033" s="19"/>
      <c r="Q1033" s="151"/>
      <c r="R1033" s="19"/>
      <c r="S1033" s="19"/>
    </row>
    <row r="1034" spans="16:19">
      <c r="P1034" s="19"/>
      <c r="Q1034" s="151"/>
      <c r="R1034" s="19"/>
      <c r="S1034" s="19"/>
    </row>
    <row r="1035" spans="16:19">
      <c r="P1035" s="19"/>
      <c r="Q1035" s="151"/>
      <c r="R1035" s="19"/>
      <c r="S1035" s="19"/>
    </row>
    <row r="1036" spans="16:19">
      <c r="P1036" s="19"/>
      <c r="Q1036" s="151"/>
      <c r="R1036" s="19"/>
      <c r="S1036" s="19"/>
    </row>
    <row r="1037" spans="16:19">
      <c r="P1037" s="19"/>
      <c r="Q1037" s="151"/>
      <c r="R1037" s="19"/>
      <c r="S1037" s="19"/>
    </row>
    <row r="1038" spans="16:19">
      <c r="P1038" s="19"/>
      <c r="Q1038" s="151"/>
      <c r="R1038" s="19"/>
      <c r="S1038" s="19"/>
    </row>
    <row r="1039" spans="16:19">
      <c r="P1039" s="19"/>
      <c r="Q1039" s="151"/>
      <c r="R1039" s="19"/>
      <c r="S1039" s="19"/>
    </row>
    <row r="1040" spans="16:19">
      <c r="P1040" s="19"/>
      <c r="Q1040" s="151"/>
      <c r="R1040" s="19"/>
      <c r="S1040" s="19"/>
    </row>
    <row r="1041" spans="16:19">
      <c r="P1041" s="19"/>
      <c r="Q1041" s="151"/>
      <c r="R1041" s="19"/>
      <c r="S1041" s="19"/>
    </row>
    <row r="1042" spans="16:19">
      <c r="P1042" s="19"/>
      <c r="Q1042" s="151"/>
      <c r="R1042" s="19"/>
      <c r="S1042" s="19"/>
    </row>
    <row r="1043" spans="16:19">
      <c r="P1043" s="19"/>
      <c r="Q1043" s="151"/>
      <c r="R1043" s="19"/>
      <c r="S1043" s="19"/>
    </row>
    <row r="1044" spans="16:19">
      <c r="P1044" s="19"/>
      <c r="Q1044" s="151"/>
      <c r="R1044" s="19"/>
      <c r="S1044" s="19"/>
    </row>
    <row r="1045" spans="16:19">
      <c r="P1045" s="19"/>
      <c r="Q1045" s="151"/>
      <c r="R1045" s="19"/>
      <c r="S1045" s="19"/>
    </row>
    <row r="1046" spans="16:19">
      <c r="P1046" s="19"/>
      <c r="Q1046" s="151"/>
      <c r="R1046" s="19"/>
      <c r="S1046" s="19"/>
    </row>
    <row r="1047" spans="16:19">
      <c r="P1047" s="19"/>
      <c r="Q1047" s="151"/>
      <c r="R1047" s="19"/>
      <c r="S1047" s="19"/>
    </row>
    <row r="1048" spans="16:19">
      <c r="P1048" s="19"/>
      <c r="Q1048" s="151"/>
      <c r="R1048" s="19"/>
      <c r="S1048" s="19"/>
    </row>
    <row r="1049" spans="16:19">
      <c r="P1049" s="19"/>
      <c r="Q1049" s="151"/>
      <c r="R1049" s="19"/>
      <c r="S1049" s="19"/>
    </row>
    <row r="1050" spans="16:19">
      <c r="P1050" s="19"/>
      <c r="Q1050" s="151"/>
      <c r="R1050" s="19"/>
      <c r="S1050" s="19"/>
    </row>
    <row r="1051" spans="16:19">
      <c r="P1051" s="19"/>
      <c r="Q1051" s="151"/>
      <c r="R1051" s="19"/>
      <c r="S1051" s="19"/>
    </row>
    <row r="1052" spans="16:19">
      <c r="P1052" s="19"/>
      <c r="Q1052" s="151"/>
      <c r="R1052" s="19"/>
      <c r="S1052" s="19"/>
    </row>
    <row r="1053" spans="16:19">
      <c r="P1053" s="19"/>
      <c r="Q1053" s="151"/>
      <c r="R1053" s="19"/>
      <c r="S1053" s="19"/>
    </row>
    <row r="1054" spans="16:19">
      <c r="P1054" s="19"/>
      <c r="Q1054" s="151"/>
      <c r="R1054" s="19"/>
      <c r="S1054" s="19"/>
    </row>
    <row r="1055" spans="16:19">
      <c r="P1055" s="19"/>
      <c r="Q1055" s="151"/>
      <c r="R1055" s="19"/>
      <c r="S1055" s="19"/>
    </row>
    <row r="1056" spans="16:19">
      <c r="P1056" s="19"/>
      <c r="Q1056" s="151"/>
      <c r="R1056" s="19"/>
      <c r="S1056" s="19"/>
    </row>
    <row r="1057" spans="16:19">
      <c r="P1057" s="19"/>
      <c r="Q1057" s="151"/>
      <c r="R1057" s="19"/>
      <c r="S1057" s="19"/>
    </row>
    <row r="1058" spans="16:19">
      <c r="P1058" s="19"/>
      <c r="Q1058" s="151"/>
      <c r="R1058" s="19"/>
      <c r="S1058" s="19"/>
    </row>
    <row r="1059" spans="16:19">
      <c r="P1059" s="19"/>
      <c r="Q1059" s="151"/>
      <c r="R1059" s="19"/>
      <c r="S1059" s="19"/>
    </row>
    <row r="1060" spans="16:19">
      <c r="P1060" s="19"/>
      <c r="Q1060" s="151"/>
      <c r="R1060" s="19"/>
      <c r="S1060" s="19"/>
    </row>
    <row r="1061" spans="16:19">
      <c r="P1061" s="19"/>
      <c r="Q1061" s="151"/>
      <c r="R1061" s="19"/>
      <c r="S1061" s="19"/>
    </row>
    <row r="1062" spans="16:19">
      <c r="P1062" s="19"/>
      <c r="Q1062" s="151"/>
      <c r="R1062" s="19"/>
      <c r="S1062" s="19"/>
    </row>
    <row r="1063" spans="16:19">
      <c r="P1063" s="19"/>
      <c r="Q1063" s="151"/>
      <c r="R1063" s="19"/>
      <c r="S1063" s="19"/>
    </row>
    <row r="1064" spans="16:19">
      <c r="P1064" s="19"/>
      <c r="Q1064" s="151"/>
      <c r="R1064" s="19"/>
      <c r="S1064" s="19"/>
    </row>
    <row r="1065" spans="16:19">
      <c r="P1065" s="19"/>
      <c r="Q1065" s="151"/>
      <c r="R1065" s="19"/>
      <c r="S1065" s="19"/>
    </row>
    <row r="1066" spans="16:19">
      <c r="P1066" s="19"/>
      <c r="Q1066" s="151"/>
      <c r="R1066" s="19"/>
      <c r="S1066" s="19"/>
    </row>
    <row r="1067" spans="16:19">
      <c r="P1067" s="19"/>
      <c r="Q1067" s="151"/>
      <c r="R1067" s="19"/>
      <c r="S1067" s="19"/>
    </row>
    <row r="1068" spans="16:19">
      <c r="P1068" s="19"/>
      <c r="Q1068" s="151"/>
      <c r="R1068" s="19"/>
      <c r="S1068" s="19"/>
    </row>
    <row r="1069" spans="16:19">
      <c r="P1069" s="19"/>
      <c r="Q1069" s="151"/>
      <c r="R1069" s="19"/>
      <c r="S1069" s="19"/>
    </row>
    <row r="1070" spans="16:19">
      <c r="P1070" s="19"/>
      <c r="Q1070" s="151"/>
      <c r="R1070" s="19"/>
      <c r="S1070" s="19"/>
    </row>
    <row r="1071" spans="16:19">
      <c r="P1071" s="19"/>
      <c r="Q1071" s="151"/>
      <c r="R1071" s="19"/>
      <c r="S1071" s="19"/>
    </row>
    <row r="1072" spans="16:19">
      <c r="P1072" s="19"/>
      <c r="Q1072" s="151"/>
      <c r="R1072" s="19"/>
      <c r="S1072" s="19"/>
    </row>
    <row r="1073" spans="16:19">
      <c r="P1073" s="19"/>
      <c r="Q1073" s="151"/>
      <c r="R1073" s="19"/>
      <c r="S1073" s="19"/>
    </row>
    <row r="1074" spans="16:19">
      <c r="P1074" s="19"/>
      <c r="Q1074" s="151"/>
      <c r="R1074" s="19"/>
      <c r="S1074" s="19"/>
    </row>
    <row r="1075" spans="16:19">
      <c r="P1075" s="19"/>
      <c r="Q1075" s="151"/>
      <c r="R1075" s="19"/>
      <c r="S1075" s="19"/>
    </row>
    <row r="1076" spans="16:19">
      <c r="P1076" s="19"/>
      <c r="Q1076" s="151"/>
      <c r="R1076" s="19"/>
      <c r="S1076" s="19"/>
    </row>
    <row r="1077" spans="16:19">
      <c r="P1077" s="19"/>
      <c r="Q1077" s="151"/>
      <c r="R1077" s="19"/>
      <c r="S1077" s="19"/>
    </row>
    <row r="1078" spans="16:19">
      <c r="P1078" s="19"/>
      <c r="Q1078" s="151"/>
      <c r="R1078" s="19"/>
      <c r="S1078" s="19"/>
    </row>
    <row r="1079" spans="16:19">
      <c r="P1079" s="19"/>
      <c r="Q1079" s="151"/>
      <c r="R1079" s="19"/>
      <c r="S1079" s="19"/>
    </row>
    <row r="1080" spans="16:19">
      <c r="P1080" s="19"/>
      <c r="Q1080" s="151"/>
      <c r="R1080" s="19"/>
      <c r="S1080" s="19"/>
    </row>
    <row r="1081" spans="16:19">
      <c r="P1081" s="19"/>
      <c r="Q1081" s="151"/>
      <c r="R1081" s="19"/>
      <c r="S1081" s="19"/>
    </row>
    <row r="1082" spans="16:19">
      <c r="P1082" s="19"/>
      <c r="Q1082" s="151"/>
      <c r="R1082" s="19"/>
      <c r="S1082" s="19"/>
    </row>
    <row r="1083" spans="16:19">
      <c r="P1083" s="19"/>
      <c r="Q1083" s="151"/>
      <c r="R1083" s="19"/>
      <c r="S1083" s="19"/>
    </row>
    <row r="1084" spans="16:19">
      <c r="P1084" s="19"/>
      <c r="Q1084" s="151"/>
      <c r="R1084" s="19"/>
      <c r="S1084" s="19"/>
    </row>
    <row r="1085" spans="16:19">
      <c r="P1085" s="19"/>
      <c r="Q1085" s="151"/>
      <c r="R1085" s="19"/>
      <c r="S1085" s="19"/>
    </row>
    <row r="1086" spans="16:19">
      <c r="P1086" s="19"/>
      <c r="Q1086" s="151"/>
      <c r="R1086" s="19"/>
      <c r="S1086" s="19"/>
    </row>
    <row r="1087" spans="16:19">
      <c r="P1087" s="19"/>
      <c r="Q1087" s="151"/>
      <c r="R1087" s="19"/>
      <c r="S1087" s="19"/>
    </row>
    <row r="1088" spans="16:19">
      <c r="P1088" s="19"/>
      <c r="Q1088" s="151"/>
      <c r="R1088" s="19"/>
      <c r="S1088" s="19"/>
    </row>
    <row r="1089" spans="16:19">
      <c r="P1089" s="19"/>
      <c r="Q1089" s="151"/>
      <c r="R1089" s="19"/>
      <c r="S1089" s="19"/>
    </row>
    <row r="1090" spans="16:19">
      <c r="P1090" s="19"/>
      <c r="Q1090" s="151"/>
      <c r="R1090" s="19"/>
      <c r="S1090" s="19"/>
    </row>
    <row r="1091" spans="16:19">
      <c r="P1091" s="19"/>
      <c r="Q1091" s="151"/>
      <c r="R1091" s="19"/>
      <c r="S1091" s="19"/>
    </row>
    <row r="1092" spans="16:19">
      <c r="P1092" s="19"/>
      <c r="Q1092" s="151"/>
      <c r="R1092" s="19"/>
      <c r="S1092" s="19"/>
    </row>
    <row r="1093" spans="16:19">
      <c r="P1093" s="19"/>
      <c r="Q1093" s="151"/>
      <c r="R1093" s="19"/>
      <c r="S1093" s="19"/>
    </row>
    <row r="1094" spans="16:19">
      <c r="P1094" s="19"/>
      <c r="Q1094" s="151"/>
      <c r="R1094" s="19"/>
      <c r="S1094" s="19"/>
    </row>
    <row r="1095" spans="16:19">
      <c r="P1095" s="19"/>
      <c r="Q1095" s="151"/>
      <c r="R1095" s="19"/>
      <c r="S1095" s="19"/>
    </row>
    <row r="1096" spans="16:19">
      <c r="P1096" s="19"/>
      <c r="Q1096" s="151"/>
      <c r="R1096" s="19"/>
      <c r="S1096" s="19"/>
    </row>
    <row r="1097" spans="16:19">
      <c r="P1097" s="19"/>
      <c r="Q1097" s="151"/>
      <c r="R1097" s="19"/>
      <c r="S1097" s="19"/>
    </row>
    <row r="1098" spans="16:19">
      <c r="P1098" s="19"/>
      <c r="Q1098" s="151"/>
      <c r="R1098" s="19"/>
      <c r="S1098" s="19"/>
    </row>
    <row r="1099" spans="16:19">
      <c r="P1099" s="19"/>
      <c r="Q1099" s="151"/>
      <c r="R1099" s="19"/>
      <c r="S1099" s="19"/>
    </row>
    <row r="1100" spans="16:19">
      <c r="P1100" s="19"/>
      <c r="Q1100" s="151"/>
      <c r="R1100" s="19"/>
      <c r="S1100" s="19"/>
    </row>
    <row r="1101" spans="16:19">
      <c r="P1101" s="19"/>
      <c r="Q1101" s="151"/>
      <c r="R1101" s="19"/>
      <c r="S1101" s="19"/>
    </row>
    <row r="1102" spans="16:19">
      <c r="P1102" s="19"/>
      <c r="Q1102" s="151"/>
      <c r="R1102" s="19"/>
      <c r="S1102" s="19"/>
    </row>
    <row r="1103" spans="16:19">
      <c r="P1103" s="19"/>
      <c r="Q1103" s="151"/>
      <c r="R1103" s="19"/>
      <c r="S1103" s="19"/>
    </row>
    <row r="1104" spans="16:19">
      <c r="P1104" s="19"/>
      <c r="Q1104" s="151"/>
      <c r="R1104" s="19"/>
      <c r="S1104" s="19"/>
    </row>
    <row r="1105" spans="16:19">
      <c r="P1105" s="19"/>
      <c r="Q1105" s="151"/>
      <c r="R1105" s="19"/>
      <c r="S1105" s="19"/>
    </row>
    <row r="1106" spans="16:19">
      <c r="P1106" s="19"/>
      <c r="Q1106" s="151"/>
      <c r="R1106" s="19"/>
      <c r="S1106" s="19"/>
    </row>
    <row r="1107" spans="16:19">
      <c r="P1107" s="19"/>
      <c r="Q1107" s="151"/>
      <c r="R1107" s="19"/>
      <c r="S1107" s="19"/>
    </row>
    <row r="1108" spans="16:19">
      <c r="P1108" s="19"/>
      <c r="Q1108" s="151"/>
      <c r="R1108" s="19"/>
      <c r="S1108" s="19"/>
    </row>
    <row r="1109" spans="16:19">
      <c r="P1109" s="19"/>
      <c r="Q1109" s="151"/>
      <c r="R1109" s="19"/>
      <c r="S1109" s="19"/>
    </row>
    <row r="1110" spans="16:19">
      <c r="P1110" s="19"/>
      <c r="Q1110" s="151"/>
      <c r="R1110" s="19"/>
      <c r="S1110" s="19"/>
    </row>
    <row r="1111" spans="16:19">
      <c r="P1111" s="19"/>
      <c r="Q1111" s="151"/>
      <c r="R1111" s="19"/>
      <c r="S1111" s="19"/>
    </row>
    <row r="1112" spans="16:19">
      <c r="P1112" s="19"/>
      <c r="Q1112" s="151"/>
      <c r="R1112" s="19"/>
      <c r="S1112" s="19"/>
    </row>
    <row r="1113" spans="16:19">
      <c r="P1113" s="19"/>
      <c r="Q1113" s="151"/>
      <c r="R1113" s="19"/>
      <c r="S1113" s="19"/>
    </row>
    <row r="1114" spans="16:19">
      <c r="P1114" s="19"/>
      <c r="Q1114" s="151"/>
      <c r="R1114" s="19"/>
      <c r="S1114" s="19"/>
    </row>
    <row r="1115" spans="16:19">
      <c r="P1115" s="19"/>
      <c r="Q1115" s="151"/>
      <c r="R1115" s="19"/>
      <c r="S1115" s="19"/>
    </row>
    <row r="1116" spans="16:19">
      <c r="P1116" s="19"/>
      <c r="Q1116" s="151"/>
      <c r="R1116" s="19"/>
      <c r="S1116" s="19"/>
    </row>
    <row r="1117" spans="16:19">
      <c r="P1117" s="19"/>
      <c r="Q1117" s="151"/>
      <c r="R1117" s="19"/>
      <c r="S1117" s="19"/>
    </row>
    <row r="1118" spans="16:19">
      <c r="P1118" s="19"/>
      <c r="Q1118" s="151"/>
      <c r="R1118" s="19"/>
      <c r="S1118" s="19"/>
    </row>
    <row r="1119" spans="16:19">
      <c r="P1119" s="19"/>
      <c r="Q1119" s="151"/>
      <c r="R1119" s="19"/>
      <c r="S1119" s="19"/>
    </row>
    <row r="1120" spans="16:19">
      <c r="P1120" s="19"/>
      <c r="Q1120" s="151"/>
      <c r="R1120" s="19"/>
      <c r="S1120" s="19"/>
    </row>
    <row r="1121" spans="16:19">
      <c r="P1121" s="19"/>
      <c r="Q1121" s="151"/>
      <c r="R1121" s="19"/>
      <c r="S1121" s="19"/>
    </row>
    <row r="1122" spans="16:19">
      <c r="P1122" s="19"/>
      <c r="Q1122" s="151"/>
      <c r="R1122" s="19"/>
      <c r="S1122" s="19"/>
    </row>
    <row r="1123" spans="16:19">
      <c r="P1123" s="19"/>
      <c r="Q1123" s="151"/>
      <c r="R1123" s="19"/>
      <c r="S1123" s="19"/>
    </row>
    <row r="1124" spans="16:19">
      <c r="P1124" s="19"/>
      <c r="Q1124" s="151"/>
      <c r="R1124" s="19"/>
      <c r="S1124" s="19"/>
    </row>
    <row r="1125" spans="16:19">
      <c r="P1125" s="19"/>
      <c r="Q1125" s="151"/>
      <c r="R1125" s="19"/>
      <c r="S1125" s="19"/>
    </row>
    <row r="1126" spans="16:19">
      <c r="P1126" s="19"/>
      <c r="Q1126" s="151"/>
      <c r="R1126" s="19"/>
      <c r="S1126" s="19"/>
    </row>
    <row r="1127" spans="16:19">
      <c r="P1127" s="19"/>
      <c r="Q1127" s="151"/>
      <c r="R1127" s="19"/>
      <c r="S1127" s="19"/>
    </row>
    <row r="1128" spans="16:19">
      <c r="P1128" s="19"/>
      <c r="Q1128" s="151"/>
      <c r="R1128" s="19"/>
      <c r="S1128" s="19"/>
    </row>
    <row r="1129" spans="16:19">
      <c r="P1129" s="19"/>
      <c r="Q1129" s="151"/>
      <c r="R1129" s="19"/>
      <c r="S1129" s="19"/>
    </row>
    <row r="1130" spans="16:19">
      <c r="P1130" s="19"/>
      <c r="Q1130" s="151"/>
      <c r="R1130" s="19"/>
      <c r="S1130" s="19"/>
    </row>
    <row r="1131" spans="16:19">
      <c r="P1131" s="19"/>
      <c r="Q1131" s="151"/>
      <c r="R1131" s="19"/>
      <c r="S1131" s="19"/>
    </row>
    <row r="1132" spans="16:19">
      <c r="P1132" s="19"/>
      <c r="Q1132" s="151"/>
      <c r="R1132" s="19"/>
      <c r="S1132" s="19"/>
    </row>
    <row r="1133" spans="16:19">
      <c r="P1133" s="19"/>
      <c r="Q1133" s="151"/>
      <c r="R1133" s="19"/>
      <c r="S1133" s="19"/>
    </row>
    <row r="1134" spans="16:19">
      <c r="P1134" s="19"/>
      <c r="Q1134" s="151"/>
      <c r="R1134" s="19"/>
      <c r="S1134" s="19"/>
    </row>
    <row r="1135" spans="16:19">
      <c r="P1135" s="19"/>
      <c r="Q1135" s="151"/>
      <c r="R1135" s="19"/>
      <c r="S1135" s="19"/>
    </row>
    <row r="1136" spans="16:19">
      <c r="P1136" s="19"/>
      <c r="Q1136" s="151"/>
      <c r="R1136" s="19"/>
      <c r="S1136" s="19"/>
    </row>
    <row r="1137" spans="16:19">
      <c r="P1137" s="19"/>
      <c r="Q1137" s="151"/>
      <c r="R1137" s="19"/>
      <c r="S1137" s="19"/>
    </row>
    <row r="1138" spans="16:19">
      <c r="P1138" s="19"/>
      <c r="Q1138" s="151"/>
      <c r="R1138" s="19"/>
      <c r="S1138" s="19"/>
    </row>
    <row r="1139" spans="16:19">
      <c r="P1139" s="19"/>
      <c r="Q1139" s="151"/>
      <c r="R1139" s="19"/>
      <c r="S1139" s="19"/>
    </row>
    <row r="1140" spans="16:19">
      <c r="P1140" s="19"/>
      <c r="Q1140" s="151"/>
      <c r="R1140" s="19"/>
      <c r="S1140" s="19"/>
    </row>
    <row r="1141" spans="16:19">
      <c r="P1141" s="19"/>
      <c r="Q1141" s="151"/>
      <c r="R1141" s="19"/>
      <c r="S1141" s="19"/>
    </row>
    <row r="1142" spans="16:19">
      <c r="P1142" s="19"/>
      <c r="Q1142" s="151"/>
      <c r="R1142" s="19"/>
      <c r="S1142" s="19"/>
    </row>
    <row r="1143" spans="16:19">
      <c r="P1143" s="19"/>
      <c r="Q1143" s="151"/>
      <c r="R1143" s="19"/>
      <c r="S1143" s="19"/>
    </row>
    <row r="1144" spans="16:19">
      <c r="P1144" s="19"/>
      <c r="Q1144" s="151"/>
      <c r="R1144" s="19"/>
      <c r="S1144" s="19"/>
    </row>
    <row r="1145" spans="16:19">
      <c r="P1145" s="19"/>
      <c r="Q1145" s="151"/>
      <c r="R1145" s="19"/>
      <c r="S1145" s="19"/>
    </row>
    <row r="1146" spans="16:19">
      <c r="P1146" s="19"/>
      <c r="Q1146" s="151"/>
      <c r="R1146" s="19"/>
      <c r="S1146" s="19"/>
    </row>
    <row r="1147" spans="16:19">
      <c r="P1147" s="19"/>
      <c r="Q1147" s="151"/>
      <c r="R1147" s="19"/>
      <c r="S1147" s="19"/>
    </row>
    <row r="1148" spans="16:19">
      <c r="P1148" s="19"/>
      <c r="Q1148" s="151"/>
      <c r="R1148" s="19"/>
      <c r="S1148" s="19"/>
    </row>
    <row r="1149" spans="16:19">
      <c r="P1149" s="19"/>
      <c r="Q1149" s="151"/>
      <c r="R1149" s="19"/>
      <c r="S1149" s="19"/>
    </row>
    <row r="1150" spans="16:19">
      <c r="P1150" s="19"/>
      <c r="Q1150" s="151"/>
      <c r="R1150" s="19"/>
      <c r="S1150" s="19"/>
    </row>
    <row r="1151" spans="16:19">
      <c r="P1151" s="19"/>
      <c r="Q1151" s="151"/>
      <c r="R1151" s="19"/>
      <c r="S1151" s="19"/>
    </row>
    <row r="1152" spans="16:19">
      <c r="P1152" s="19"/>
      <c r="Q1152" s="151"/>
      <c r="R1152" s="19"/>
      <c r="S1152" s="19"/>
    </row>
    <row r="1153" spans="16:19">
      <c r="P1153" s="19"/>
      <c r="Q1153" s="151"/>
      <c r="R1153" s="19"/>
      <c r="S1153" s="19"/>
    </row>
    <row r="1154" spans="16:19">
      <c r="P1154" s="19"/>
      <c r="Q1154" s="151"/>
      <c r="R1154" s="19"/>
      <c r="S1154" s="19"/>
    </row>
    <row r="1155" spans="16:19">
      <c r="P1155" s="19"/>
      <c r="Q1155" s="151"/>
      <c r="R1155" s="19"/>
      <c r="S1155" s="19"/>
    </row>
    <row r="1156" spans="16:19">
      <c r="P1156" s="19"/>
      <c r="Q1156" s="151"/>
      <c r="R1156" s="19"/>
      <c r="S1156" s="19"/>
    </row>
    <row r="1157" spans="16:19">
      <c r="P1157" s="19"/>
      <c r="Q1157" s="151"/>
      <c r="R1157" s="19"/>
      <c r="S1157" s="19"/>
    </row>
    <row r="1158" spans="16:19">
      <c r="P1158" s="13"/>
      <c r="Q1158" s="33"/>
      <c r="R1158" s="13"/>
      <c r="S1158" s="13"/>
    </row>
    <row r="1159" spans="16:19">
      <c r="P1159" s="13"/>
      <c r="Q1159" s="33"/>
      <c r="R1159" s="13"/>
      <c r="S1159" s="13"/>
    </row>
    <row r="1160" spans="16:19">
      <c r="P1160" s="13"/>
      <c r="Q1160" s="33"/>
      <c r="R1160" s="13"/>
      <c r="S1160" s="13"/>
    </row>
    <row r="1161" spans="16:19">
      <c r="P1161" s="13"/>
      <c r="Q1161" s="33"/>
      <c r="R1161" s="13"/>
      <c r="S1161" s="13"/>
    </row>
    <row r="1162" spans="16:19">
      <c r="P1162" s="13"/>
      <c r="Q1162" s="33"/>
      <c r="R1162" s="13"/>
      <c r="S1162" s="13"/>
    </row>
    <row r="1163" spans="16:19">
      <c r="P1163" s="13"/>
      <c r="Q1163" s="33"/>
      <c r="R1163" s="13"/>
      <c r="S1163" s="13"/>
    </row>
    <row r="1164" spans="16:19">
      <c r="P1164" s="13"/>
      <c r="Q1164" s="33"/>
      <c r="R1164" s="13"/>
      <c r="S1164" s="13"/>
    </row>
    <row r="1165" spans="16:19">
      <c r="P1165" s="13"/>
      <c r="Q1165" s="33"/>
      <c r="R1165" s="13"/>
      <c r="S1165" s="13"/>
    </row>
    <row r="1166" spans="16:19">
      <c r="P1166" s="13"/>
      <c r="Q1166" s="33"/>
      <c r="R1166" s="13"/>
      <c r="S1166" s="13"/>
    </row>
    <row r="1167" spans="16:19">
      <c r="P1167" s="13"/>
      <c r="Q1167" s="33"/>
      <c r="R1167" s="13"/>
      <c r="S1167" s="13"/>
    </row>
    <row r="1168" spans="16:19">
      <c r="P1168" s="13"/>
      <c r="Q1168" s="33"/>
      <c r="R1168" s="13"/>
      <c r="S1168" s="13"/>
    </row>
    <row r="1169" spans="16:19">
      <c r="P1169" s="13"/>
      <c r="Q1169" s="33"/>
      <c r="R1169" s="13"/>
      <c r="S1169" s="13"/>
    </row>
    <row r="1170" spans="16:19">
      <c r="P1170" s="13"/>
      <c r="Q1170" s="33"/>
      <c r="R1170" s="13"/>
      <c r="S1170" s="13"/>
    </row>
    <row r="1171" spans="16:19">
      <c r="P1171" s="13"/>
      <c r="Q1171" s="33"/>
      <c r="R1171" s="13"/>
      <c r="S1171" s="13"/>
    </row>
    <row r="1172" spans="16:19">
      <c r="P1172" s="13"/>
      <c r="Q1172" s="33"/>
      <c r="R1172" s="13"/>
      <c r="S1172" s="13"/>
    </row>
    <row r="1173" spans="16:19">
      <c r="P1173" s="13"/>
      <c r="Q1173" s="33"/>
      <c r="R1173" s="13"/>
      <c r="S1173" s="13"/>
    </row>
    <row r="1174" spans="16:19">
      <c r="P1174" s="13"/>
      <c r="Q1174" s="33"/>
      <c r="R1174" s="13"/>
      <c r="S1174" s="13"/>
    </row>
    <row r="1175" spans="16:19">
      <c r="P1175" s="13"/>
      <c r="Q1175" s="33"/>
      <c r="R1175" s="13"/>
      <c r="S1175" s="13"/>
    </row>
    <row r="1176" spans="16:19">
      <c r="P1176" s="13"/>
      <c r="Q1176" s="33"/>
      <c r="R1176" s="13"/>
      <c r="S1176" s="13"/>
    </row>
    <row r="1177" spans="16:19">
      <c r="P1177" s="13"/>
      <c r="Q1177" s="33"/>
      <c r="R1177" s="13"/>
      <c r="S1177" s="13"/>
    </row>
    <row r="1178" spans="16:19">
      <c r="P1178" s="13"/>
      <c r="Q1178" s="33"/>
      <c r="R1178" s="13"/>
      <c r="S1178" s="13"/>
    </row>
    <row r="1179" spans="16:19">
      <c r="P1179" s="13"/>
      <c r="Q1179" s="33"/>
      <c r="R1179" s="13"/>
      <c r="S1179" s="13"/>
    </row>
    <row r="1180" spans="16:19">
      <c r="P1180" s="13"/>
      <c r="Q1180" s="33"/>
      <c r="R1180" s="13"/>
      <c r="S1180" s="13"/>
    </row>
    <row r="1181" spans="16:19">
      <c r="P1181" s="13"/>
      <c r="Q1181" s="33"/>
      <c r="R1181" s="13"/>
      <c r="S1181" s="13"/>
    </row>
    <row r="1182" spans="16:19">
      <c r="P1182" s="13"/>
      <c r="Q1182" s="33"/>
      <c r="R1182" s="13"/>
      <c r="S1182" s="13"/>
    </row>
    <row r="1183" spans="16:19">
      <c r="P1183" s="13"/>
      <c r="Q1183" s="33"/>
      <c r="R1183" s="13"/>
      <c r="S1183" s="13"/>
    </row>
    <row r="1184" spans="16:19">
      <c r="P1184" s="13"/>
      <c r="Q1184" s="33"/>
      <c r="R1184" s="13"/>
      <c r="S1184" s="13"/>
    </row>
    <row r="1185" spans="16:19">
      <c r="P1185" s="13"/>
      <c r="Q1185" s="33"/>
      <c r="R1185" s="13"/>
      <c r="S1185" s="13"/>
    </row>
    <row r="1186" spans="16:19">
      <c r="P1186" s="13"/>
      <c r="Q1186" s="33"/>
      <c r="R1186" s="13"/>
      <c r="S1186" s="13"/>
    </row>
    <row r="1187" spans="16:19">
      <c r="P1187" s="13"/>
      <c r="Q1187" s="33"/>
      <c r="R1187" s="13"/>
      <c r="S1187" s="13"/>
    </row>
    <row r="1188" spans="16:19">
      <c r="P1188" s="13"/>
      <c r="Q1188" s="33"/>
      <c r="R1188" s="13"/>
      <c r="S1188" s="13"/>
    </row>
    <row r="1189" spans="16:19">
      <c r="P1189" s="13"/>
      <c r="Q1189" s="33"/>
      <c r="R1189" s="13"/>
      <c r="S1189" s="13"/>
    </row>
    <row r="1190" spans="16:19">
      <c r="P1190" s="13"/>
      <c r="Q1190" s="33"/>
      <c r="R1190" s="13"/>
      <c r="S1190" s="13"/>
    </row>
    <row r="1191" spans="16:19">
      <c r="P1191" s="13"/>
      <c r="Q1191" s="33"/>
      <c r="R1191" s="13"/>
      <c r="S1191" s="13"/>
    </row>
    <row r="1192" spans="16:19">
      <c r="P1192" s="13"/>
      <c r="Q1192" s="33"/>
      <c r="R1192" s="13"/>
      <c r="S1192" s="13"/>
    </row>
    <row r="1193" spans="16:19">
      <c r="P1193" s="13"/>
      <c r="Q1193" s="33"/>
      <c r="R1193" s="13"/>
      <c r="S1193" s="13"/>
    </row>
    <row r="1194" spans="16:19">
      <c r="P1194" s="13"/>
      <c r="Q1194" s="33"/>
      <c r="R1194" s="13"/>
      <c r="S1194" s="13"/>
    </row>
    <row r="1195" spans="16:19">
      <c r="P1195" s="13"/>
      <c r="Q1195" s="33"/>
      <c r="R1195" s="13"/>
      <c r="S1195" s="13"/>
    </row>
    <row r="1196" spans="16:19">
      <c r="P1196" s="13"/>
      <c r="Q1196" s="33"/>
      <c r="R1196" s="13"/>
      <c r="S1196" s="13"/>
    </row>
    <row r="1197" spans="16:19">
      <c r="P1197" s="13"/>
      <c r="Q1197" s="33"/>
      <c r="R1197" s="13"/>
      <c r="S1197" s="13"/>
    </row>
    <row r="1198" spans="16:19">
      <c r="P1198" s="13"/>
      <c r="Q1198" s="33"/>
      <c r="R1198" s="13"/>
      <c r="S1198" s="13"/>
    </row>
    <row r="1199" spans="16:19">
      <c r="P1199" s="13"/>
      <c r="Q1199" s="33"/>
      <c r="R1199" s="13"/>
      <c r="S1199" s="13"/>
    </row>
    <row r="1200" spans="16:19">
      <c r="P1200" s="13"/>
      <c r="Q1200" s="33"/>
      <c r="R1200" s="13"/>
      <c r="S1200" s="13"/>
    </row>
    <row r="1201" spans="16:19">
      <c r="P1201" s="13"/>
      <c r="Q1201" s="33"/>
      <c r="R1201" s="13"/>
      <c r="S1201" s="13"/>
    </row>
    <row r="1202" spans="16:19">
      <c r="P1202" s="13"/>
      <c r="Q1202" s="33"/>
      <c r="R1202" s="13"/>
      <c r="S1202" s="13"/>
    </row>
    <row r="1203" spans="16:19">
      <c r="P1203" s="13"/>
      <c r="Q1203" s="33"/>
      <c r="R1203" s="13"/>
      <c r="S1203" s="13"/>
    </row>
    <row r="1204" spans="16:19">
      <c r="P1204" s="13"/>
      <c r="Q1204" s="33"/>
      <c r="R1204" s="13"/>
      <c r="S1204" s="13"/>
    </row>
    <row r="1205" spans="16:19">
      <c r="P1205" s="13"/>
      <c r="Q1205" s="33"/>
      <c r="R1205" s="13"/>
      <c r="S1205" s="13"/>
    </row>
    <row r="1206" spans="16:19">
      <c r="P1206" s="13"/>
      <c r="Q1206" s="33"/>
      <c r="R1206" s="13"/>
      <c r="S1206" s="13"/>
    </row>
    <row r="1207" spans="16:19">
      <c r="P1207" s="13"/>
      <c r="Q1207" s="33"/>
      <c r="R1207" s="13"/>
      <c r="S1207" s="13"/>
    </row>
    <row r="1208" spans="16:19">
      <c r="P1208" s="13"/>
      <c r="Q1208" s="33"/>
      <c r="R1208" s="13"/>
      <c r="S1208" s="13"/>
    </row>
    <row r="1209" spans="16:19">
      <c r="P1209" s="13"/>
      <c r="Q1209" s="33"/>
      <c r="R1209" s="13"/>
      <c r="S1209" s="13"/>
    </row>
    <row r="1210" spans="16:19">
      <c r="P1210" s="13"/>
      <c r="Q1210" s="33"/>
      <c r="R1210" s="13"/>
      <c r="S1210" s="13"/>
    </row>
    <row r="1211" spans="16:19">
      <c r="P1211" s="13"/>
      <c r="Q1211" s="33"/>
      <c r="R1211" s="13"/>
      <c r="S1211" s="13"/>
    </row>
    <row r="1212" spans="16:19">
      <c r="P1212" s="13"/>
      <c r="Q1212" s="33"/>
      <c r="R1212" s="13"/>
      <c r="S1212" s="13"/>
    </row>
    <row r="1213" spans="16:19">
      <c r="P1213" s="13"/>
      <c r="Q1213" s="33"/>
      <c r="R1213" s="13"/>
      <c r="S1213" s="13"/>
    </row>
    <row r="1214" spans="16:19">
      <c r="P1214" s="13"/>
      <c r="Q1214" s="33"/>
      <c r="R1214" s="13"/>
      <c r="S1214" s="13"/>
    </row>
    <row r="1215" spans="16:19">
      <c r="P1215" s="13"/>
      <c r="Q1215" s="33"/>
      <c r="R1215" s="13"/>
      <c r="S1215" s="13"/>
    </row>
    <row r="1216" spans="16:19">
      <c r="P1216" s="13"/>
      <c r="Q1216" s="33"/>
      <c r="R1216" s="13"/>
      <c r="S1216" s="13"/>
    </row>
    <row r="1217" spans="16:19">
      <c r="P1217" s="13"/>
      <c r="Q1217" s="33"/>
      <c r="R1217" s="13"/>
      <c r="S1217" s="13"/>
    </row>
    <row r="1218" spans="16:19">
      <c r="P1218" s="13"/>
      <c r="Q1218" s="33"/>
      <c r="R1218" s="13"/>
      <c r="S1218" s="13"/>
    </row>
    <row r="1219" spans="16:19">
      <c r="P1219" s="13"/>
      <c r="Q1219" s="33"/>
      <c r="R1219" s="13"/>
      <c r="S1219" s="13"/>
    </row>
    <row r="1220" spans="16:19">
      <c r="P1220" s="13"/>
      <c r="Q1220" s="33"/>
      <c r="R1220" s="13"/>
      <c r="S1220" s="13"/>
    </row>
    <row r="1221" spans="16:19">
      <c r="P1221" s="13"/>
      <c r="Q1221" s="33"/>
      <c r="R1221" s="13"/>
      <c r="S1221" s="13"/>
    </row>
    <row r="1222" spans="16:19">
      <c r="P1222" s="13"/>
      <c r="Q1222" s="33"/>
      <c r="R1222" s="13"/>
      <c r="S1222" s="13"/>
    </row>
    <row r="1223" spans="16:19">
      <c r="P1223" s="13"/>
      <c r="Q1223" s="33"/>
      <c r="R1223" s="13"/>
      <c r="S1223" s="13"/>
    </row>
    <row r="1224" spans="16:19">
      <c r="P1224" s="13"/>
      <c r="Q1224" s="33"/>
      <c r="R1224" s="13"/>
      <c r="S1224" s="13"/>
    </row>
    <row r="1225" spans="16:19">
      <c r="P1225" s="35"/>
      <c r="Q1225" s="33"/>
      <c r="R1225" s="35"/>
      <c r="S1225" s="35"/>
    </row>
    <row r="1226" spans="16:19">
      <c r="P1226" s="13"/>
      <c r="Q1226" s="33"/>
      <c r="R1226" s="13"/>
      <c r="S1226" s="13"/>
    </row>
    <row r="1227" spans="16:19">
      <c r="P1227" s="13"/>
      <c r="Q1227" s="33"/>
      <c r="R1227" s="13"/>
      <c r="S1227" s="13"/>
    </row>
    <row r="1228" spans="16:19">
      <c r="P1228" s="13"/>
      <c r="Q1228" s="33"/>
      <c r="R1228" s="13"/>
      <c r="S1228" s="13"/>
    </row>
    <row r="1229" spans="16:19">
      <c r="P1229" s="13"/>
      <c r="Q1229" s="33"/>
      <c r="R1229" s="13"/>
      <c r="S1229" s="13"/>
    </row>
    <row r="1230" spans="16:19">
      <c r="P1230" s="13"/>
      <c r="Q1230" s="33"/>
      <c r="R1230" s="13"/>
      <c r="S1230" s="13"/>
    </row>
    <row r="1231" spans="16:19">
      <c r="P1231" s="13"/>
      <c r="Q1231" s="33"/>
      <c r="R1231" s="13"/>
      <c r="S1231" s="13"/>
    </row>
    <row r="1232" spans="16:19">
      <c r="P1232" s="13"/>
      <c r="Q1232" s="33"/>
      <c r="R1232" s="13"/>
      <c r="S1232" s="13"/>
    </row>
    <row r="1233" spans="16:19">
      <c r="P1233" s="13"/>
      <c r="Q1233" s="33"/>
      <c r="R1233" s="13"/>
      <c r="S1233" s="13"/>
    </row>
    <row r="1234" spans="16:19">
      <c r="P1234" s="13"/>
      <c r="Q1234" s="33"/>
      <c r="R1234" s="13"/>
      <c r="S1234" s="13"/>
    </row>
    <row r="1235" spans="16:19">
      <c r="P1235" s="13"/>
      <c r="Q1235" s="33"/>
      <c r="R1235" s="13"/>
      <c r="S1235" s="13"/>
    </row>
    <row r="1236" spans="16:19">
      <c r="P1236" s="13"/>
      <c r="Q1236" s="33"/>
      <c r="R1236" s="13"/>
      <c r="S1236" s="13"/>
    </row>
    <row r="1237" spans="16:19">
      <c r="P1237" s="13"/>
      <c r="Q1237" s="33"/>
      <c r="R1237" s="13"/>
      <c r="S1237" s="13"/>
    </row>
    <row r="1238" spans="16:19">
      <c r="P1238" s="13"/>
      <c r="Q1238" s="33"/>
      <c r="R1238" s="13"/>
      <c r="S1238" s="13"/>
    </row>
    <row r="1239" spans="16:19">
      <c r="P1239" s="13"/>
      <c r="Q1239" s="33"/>
      <c r="R1239" s="13"/>
      <c r="S1239" s="13"/>
    </row>
    <row r="1240" spans="16:19">
      <c r="P1240" s="13"/>
      <c r="Q1240" s="33"/>
      <c r="R1240" s="13"/>
      <c r="S1240" s="13"/>
    </row>
    <row r="1241" spans="16:19">
      <c r="P1241" s="13"/>
      <c r="Q1241" s="33"/>
      <c r="R1241" s="13"/>
      <c r="S1241" s="13"/>
    </row>
    <row r="1242" spans="16:19">
      <c r="P1242" s="13"/>
      <c r="Q1242" s="33"/>
      <c r="R1242" s="13"/>
      <c r="S1242" s="13"/>
    </row>
    <row r="1243" spans="16:19">
      <c r="P1243" s="13"/>
      <c r="Q1243" s="33"/>
      <c r="R1243" s="13"/>
      <c r="S1243" s="13"/>
    </row>
    <row r="1244" spans="16:19">
      <c r="P1244" s="13"/>
      <c r="Q1244" s="33"/>
      <c r="R1244" s="13"/>
      <c r="S1244" s="13"/>
    </row>
    <row r="1245" spans="16:19">
      <c r="P1245" s="13"/>
      <c r="Q1245" s="33"/>
      <c r="R1245" s="13"/>
      <c r="S1245" s="13"/>
    </row>
    <row r="1246" spans="16:19">
      <c r="P1246" s="13"/>
      <c r="Q1246" s="33"/>
      <c r="R1246" s="13"/>
      <c r="S1246" s="13"/>
    </row>
    <row r="1247" spans="16:19">
      <c r="P1247" s="13"/>
      <c r="Q1247" s="33"/>
      <c r="R1247" s="13"/>
      <c r="S1247" s="13"/>
    </row>
    <row r="1248" spans="16:19">
      <c r="P1248" s="13"/>
      <c r="Q1248" s="33"/>
      <c r="R1248" s="13"/>
      <c r="S1248" s="13"/>
    </row>
    <row r="1249" spans="16:19">
      <c r="P1249" s="13"/>
      <c r="Q1249" s="33"/>
      <c r="R1249" s="13"/>
      <c r="S1249" s="13"/>
    </row>
    <row r="1250" spans="16:19">
      <c r="P1250" s="13"/>
      <c r="Q1250" s="33"/>
      <c r="R1250" s="13"/>
      <c r="S1250" s="13"/>
    </row>
    <row r="1251" spans="16:19">
      <c r="P1251" s="13"/>
      <c r="Q1251" s="33"/>
      <c r="R1251" s="13"/>
      <c r="S1251" s="13"/>
    </row>
    <row r="1252" spans="16:19">
      <c r="P1252" s="13"/>
      <c r="Q1252" s="33"/>
      <c r="R1252" s="13"/>
      <c r="S1252" s="13"/>
    </row>
    <row r="1253" spans="16:19">
      <c r="P1253" s="13"/>
      <c r="Q1253" s="33"/>
      <c r="R1253" s="13"/>
      <c r="S1253" s="13"/>
    </row>
    <row r="1254" spans="16:19">
      <c r="P1254" s="13"/>
      <c r="Q1254" s="33"/>
      <c r="R1254" s="13"/>
      <c r="S1254" s="13"/>
    </row>
    <row r="1255" spans="16:19">
      <c r="P1255" s="13"/>
      <c r="Q1255" s="33"/>
      <c r="R1255" s="13"/>
      <c r="S1255" s="13"/>
    </row>
    <row r="1256" spans="16:19">
      <c r="P1256" s="13"/>
      <c r="Q1256" s="33"/>
      <c r="R1256" s="13"/>
      <c r="S1256" s="13"/>
    </row>
    <row r="1257" spans="16:19">
      <c r="P1257" s="13"/>
      <c r="Q1257" s="33"/>
      <c r="R1257" s="13"/>
      <c r="S1257" s="13"/>
    </row>
    <row r="1258" spans="16:19">
      <c r="P1258" s="13"/>
      <c r="Q1258" s="33"/>
      <c r="R1258" s="13"/>
      <c r="S1258" s="13"/>
    </row>
    <row r="1259" spans="16:19">
      <c r="P1259" s="13"/>
      <c r="Q1259" s="33"/>
      <c r="R1259" s="13"/>
      <c r="S1259" s="13"/>
    </row>
    <row r="1260" spans="16:19">
      <c r="P1260" s="13"/>
      <c r="Q1260" s="33"/>
      <c r="R1260" s="13"/>
      <c r="S1260" s="13"/>
    </row>
    <row r="1261" spans="16:19">
      <c r="P1261" s="13"/>
      <c r="Q1261" s="33"/>
      <c r="R1261" s="13"/>
      <c r="S1261" s="13"/>
    </row>
    <row r="1262" spans="16:19">
      <c r="P1262" s="13"/>
      <c r="Q1262" s="33"/>
      <c r="R1262" s="13"/>
      <c r="S1262" s="13"/>
    </row>
    <row r="1263" spans="16:19">
      <c r="P1263" s="13"/>
      <c r="Q1263" s="33"/>
      <c r="R1263" s="13"/>
      <c r="S1263" s="13"/>
    </row>
    <row r="1264" spans="16:19">
      <c r="P1264" s="13"/>
      <c r="Q1264" s="33"/>
      <c r="R1264" s="13"/>
      <c r="S1264" s="13"/>
    </row>
    <row r="1265" spans="16:19">
      <c r="P1265" s="13"/>
      <c r="Q1265" s="33"/>
      <c r="R1265" s="13"/>
      <c r="S1265" s="13"/>
    </row>
    <row r="1266" spans="16:19">
      <c r="P1266" s="13"/>
      <c r="Q1266" s="33"/>
      <c r="R1266" s="13"/>
      <c r="S1266" s="13"/>
    </row>
    <row r="1267" spans="16:19">
      <c r="P1267" s="13"/>
      <c r="Q1267" s="33"/>
      <c r="R1267" s="13"/>
      <c r="S1267" s="13"/>
    </row>
    <row r="1268" spans="16:19">
      <c r="P1268" s="13"/>
      <c r="Q1268" s="33"/>
      <c r="R1268" s="13"/>
      <c r="S1268" s="13"/>
    </row>
    <row r="1269" spans="16:19">
      <c r="P1269" s="13"/>
      <c r="Q1269" s="33"/>
      <c r="R1269" s="13"/>
      <c r="S1269" s="13"/>
    </row>
    <row r="1270" spans="16:19">
      <c r="P1270" s="13"/>
      <c r="Q1270" s="33"/>
      <c r="R1270" s="13"/>
      <c r="S1270" s="13"/>
    </row>
    <row r="1271" spans="16:19">
      <c r="P1271" s="13"/>
      <c r="Q1271" s="33"/>
      <c r="R1271" s="13"/>
      <c r="S1271" s="13"/>
    </row>
    <row r="1272" spans="16:19">
      <c r="P1272" s="13"/>
      <c r="Q1272" s="33"/>
      <c r="R1272" s="13"/>
      <c r="S1272" s="13"/>
    </row>
    <row r="1273" spans="16:19">
      <c r="P1273" s="66"/>
      <c r="Q1273" s="152"/>
      <c r="R1273" s="66"/>
      <c r="S1273" s="66"/>
    </row>
    <row r="1274" spans="16:19">
      <c r="P1274" s="66"/>
      <c r="Q1274" s="152"/>
      <c r="R1274" s="66"/>
      <c r="S1274" s="66"/>
    </row>
    <row r="1275" spans="16:19">
      <c r="P1275" s="66"/>
      <c r="Q1275" s="152"/>
      <c r="R1275" s="66"/>
      <c r="S1275" s="66"/>
    </row>
    <row r="1276" spans="16:19">
      <c r="P1276" s="66"/>
      <c r="Q1276" s="152"/>
      <c r="R1276" s="66"/>
      <c r="S1276" s="66"/>
    </row>
    <row r="1277" spans="16:19">
      <c r="P1277" s="66"/>
      <c r="Q1277" s="152"/>
      <c r="R1277" s="66"/>
      <c r="S1277" s="66"/>
    </row>
    <row r="1278" spans="16:19">
      <c r="P1278" s="71" t="s">
        <v>97</v>
      </c>
      <c r="Q1278" s="152"/>
      <c r="R1278" s="66"/>
      <c r="S1278" s="66"/>
    </row>
    <row r="1279" spans="16:19">
      <c r="P1279" s="66"/>
      <c r="Q1279" s="152"/>
      <c r="R1279" s="66"/>
      <c r="S1279" s="66"/>
    </row>
    <row r="1280" spans="16:19">
      <c r="P1280" s="66"/>
      <c r="Q1280" s="152"/>
      <c r="R1280" s="66"/>
      <c r="S1280" s="66"/>
    </row>
    <row r="1281" spans="16:19">
      <c r="P1281" s="71" t="s">
        <v>97</v>
      </c>
      <c r="Q1281" s="152"/>
      <c r="R1281" s="66"/>
      <c r="S1281" s="66"/>
    </row>
    <row r="1282" spans="16:19">
      <c r="P1282" s="71" t="s">
        <v>97</v>
      </c>
      <c r="Q1282" s="152"/>
      <c r="R1282" s="66"/>
      <c r="S1282" s="66"/>
    </row>
    <row r="1283" spans="16:19">
      <c r="P1283" s="66"/>
      <c r="Q1283" s="152"/>
      <c r="R1283" s="66"/>
      <c r="S1283" s="66"/>
    </row>
    <row r="1284" spans="16:19">
      <c r="P1284" s="66"/>
      <c r="Q1284" s="152"/>
      <c r="R1284" s="66"/>
      <c r="S1284" s="66"/>
    </row>
    <row r="1285" spans="16:19">
      <c r="P1285" s="66"/>
      <c r="Q1285" s="152"/>
      <c r="R1285" s="66"/>
      <c r="S1285" s="66"/>
    </row>
    <row r="1286" spans="16:19">
      <c r="P1286" s="66"/>
      <c r="Q1286" s="152"/>
      <c r="R1286" s="66"/>
      <c r="S1286" s="66"/>
    </row>
    <row r="1287" spans="16:19">
      <c r="P1287" s="66"/>
      <c r="Q1287" s="152"/>
      <c r="R1287" s="66"/>
      <c r="S1287" s="66"/>
    </row>
    <row r="1288" spans="16:19">
      <c r="P1288" s="66"/>
      <c r="Q1288" s="152"/>
      <c r="R1288" s="66"/>
      <c r="S1288" s="66"/>
    </row>
    <row r="1289" spans="16:19">
      <c r="P1289" s="66"/>
      <c r="Q1289" s="152"/>
      <c r="R1289" s="66"/>
      <c r="S1289" s="66"/>
    </row>
    <row r="1290" spans="16:19">
      <c r="P1290" s="66"/>
      <c r="Q1290" s="152"/>
      <c r="R1290" s="66"/>
      <c r="S1290" s="66"/>
    </row>
    <row r="1291" spans="16:19">
      <c r="P1291" s="66"/>
      <c r="Q1291" s="152"/>
      <c r="R1291" s="66"/>
      <c r="S1291" s="66"/>
    </row>
    <row r="1292" spans="16:19">
      <c r="P1292" s="66"/>
      <c r="Q1292" s="152"/>
      <c r="R1292" s="66"/>
      <c r="S1292" s="66"/>
    </row>
    <row r="1293" spans="16:19">
      <c r="P1293" s="66"/>
      <c r="Q1293" s="152"/>
      <c r="R1293" s="66"/>
      <c r="S1293" s="66"/>
    </row>
    <row r="1294" spans="16:19">
      <c r="P1294" s="66"/>
      <c r="Q1294" s="152"/>
      <c r="R1294" s="66"/>
      <c r="S1294" s="66"/>
    </row>
    <row r="1295" spans="16:19">
      <c r="P1295" s="66"/>
      <c r="Q1295" s="152"/>
      <c r="R1295" s="66"/>
      <c r="S1295" s="66"/>
    </row>
    <row r="1296" spans="16:19">
      <c r="P1296" s="66"/>
      <c r="Q1296" s="152"/>
      <c r="R1296" s="66"/>
      <c r="S1296" s="66"/>
    </row>
    <row r="1297" spans="16:19">
      <c r="P1297" s="66"/>
      <c r="Q1297" s="152"/>
      <c r="R1297" s="66"/>
      <c r="S1297" s="66"/>
    </row>
    <row r="1298" spans="16:19">
      <c r="P1298" s="66"/>
      <c r="Q1298" s="152"/>
      <c r="R1298" s="66"/>
      <c r="S1298" s="66"/>
    </row>
    <row r="1299" spans="16:19">
      <c r="P1299" s="66"/>
      <c r="Q1299" s="152"/>
      <c r="R1299" s="66"/>
      <c r="S1299" s="66"/>
    </row>
    <row r="1300" spans="16:19">
      <c r="P1300" s="66"/>
      <c r="Q1300" s="152"/>
      <c r="R1300" s="66"/>
      <c r="S1300" s="66"/>
    </row>
    <row r="1301" spans="16:19">
      <c r="P1301" s="66"/>
      <c r="Q1301" s="152"/>
      <c r="R1301" s="66"/>
      <c r="S1301" s="66"/>
    </row>
    <row r="1302" spans="16:19">
      <c r="P1302" s="66"/>
      <c r="Q1302" s="152"/>
      <c r="R1302" s="66"/>
      <c r="S1302" s="66"/>
    </row>
    <row r="1303" spans="16:19">
      <c r="P1303" s="66"/>
      <c r="Q1303" s="152"/>
      <c r="R1303" s="66"/>
      <c r="S1303" s="66"/>
    </row>
    <row r="1304" spans="16:19">
      <c r="P1304" s="66"/>
      <c r="Q1304" s="152"/>
      <c r="R1304" s="66"/>
      <c r="S1304" s="66"/>
    </row>
    <row r="1305" spans="16:19">
      <c r="P1305" s="66"/>
      <c r="Q1305" s="152"/>
      <c r="R1305" s="66"/>
      <c r="S1305" s="66"/>
    </row>
    <row r="1306" spans="16:19">
      <c r="P1306" s="66"/>
      <c r="Q1306" s="152"/>
      <c r="R1306" s="66"/>
      <c r="S1306" s="66"/>
    </row>
    <row r="1307" spans="16:19">
      <c r="P1307" s="66"/>
      <c r="Q1307" s="152"/>
      <c r="R1307" s="66"/>
      <c r="S1307" s="66"/>
    </row>
    <row r="1308" spans="16:19">
      <c r="P1308" s="66"/>
      <c r="Q1308" s="152"/>
      <c r="R1308" s="66"/>
      <c r="S1308" s="66"/>
    </row>
    <row r="1309" spans="16:19">
      <c r="P1309" s="66"/>
      <c r="Q1309" s="152"/>
      <c r="R1309" s="66"/>
      <c r="S1309" s="66"/>
    </row>
    <row r="1310" spans="16:19">
      <c r="P1310" s="66"/>
      <c r="Q1310" s="152"/>
      <c r="R1310" s="66"/>
      <c r="S1310" s="66"/>
    </row>
    <row r="1311" spans="16:19">
      <c r="P1311" s="66"/>
      <c r="Q1311" s="152"/>
      <c r="R1311" s="66"/>
      <c r="S1311" s="66"/>
    </row>
    <row r="1312" spans="16:19">
      <c r="P1312" s="66"/>
      <c r="Q1312" s="152"/>
      <c r="R1312" s="66"/>
      <c r="S1312" s="66"/>
    </row>
    <row r="1313" spans="16:19">
      <c r="P1313" s="66"/>
      <c r="Q1313" s="152"/>
      <c r="R1313" s="66"/>
      <c r="S1313" s="66"/>
    </row>
    <row r="1314" spans="16:19">
      <c r="P1314" s="66"/>
      <c r="Q1314" s="152"/>
      <c r="R1314" s="66"/>
      <c r="S1314" s="66"/>
    </row>
    <row r="1315" spans="16:19">
      <c r="P1315" s="66"/>
      <c r="Q1315" s="152"/>
      <c r="R1315" s="66"/>
      <c r="S1315" s="66"/>
    </row>
    <row r="1316" spans="16:19">
      <c r="P1316" s="66"/>
      <c r="Q1316" s="152"/>
      <c r="R1316" s="66"/>
      <c r="S1316" s="66"/>
    </row>
    <row r="1317" spans="16:19">
      <c r="P1317" s="66"/>
      <c r="Q1317" s="152"/>
      <c r="R1317" s="66"/>
      <c r="S1317" s="66"/>
    </row>
    <row r="1318" spans="16:19">
      <c r="P1318" s="66"/>
      <c r="Q1318" s="152"/>
      <c r="R1318" s="66"/>
      <c r="S1318" s="66"/>
    </row>
    <row r="1319" spans="16:19">
      <c r="P1319" s="66"/>
      <c r="Q1319" s="152"/>
      <c r="R1319" s="66"/>
      <c r="S1319" s="66"/>
    </row>
    <row r="1320" spans="16:19">
      <c r="P1320" s="66"/>
      <c r="Q1320" s="152"/>
      <c r="R1320" s="66"/>
      <c r="S1320" s="66"/>
    </row>
    <row r="1321" spans="16:19">
      <c r="P1321" s="66"/>
      <c r="Q1321" s="152"/>
      <c r="R1321" s="66"/>
      <c r="S1321" s="66"/>
    </row>
    <row r="1322" spans="16:19">
      <c r="P1322" s="66"/>
      <c r="Q1322" s="152"/>
      <c r="R1322" s="66"/>
      <c r="S1322" s="66"/>
    </row>
    <row r="1323" spans="16:19">
      <c r="P1323" s="63"/>
      <c r="Q1323" s="152"/>
      <c r="R1323" s="66"/>
      <c r="S1323" s="66"/>
    </row>
    <row r="1324" spans="16:19">
      <c r="P1324" s="75"/>
    </row>
    <row r="1338" spans="16:16">
      <c r="P1338" s="75"/>
    </row>
    <row r="1339" spans="16:16">
      <c r="P1339" s="75"/>
    </row>
    <row r="1345" spans="16:16">
      <c r="P1345" s="75"/>
    </row>
    <row r="1358" spans="16:16">
      <c r="P1358" s="75"/>
    </row>
    <row r="1359" spans="16:16">
      <c r="P1359" s="75"/>
    </row>
    <row r="1360" spans="16:16">
      <c r="P1360" s="75"/>
    </row>
    <row r="1361" spans="16:16">
      <c r="P1361" s="75"/>
    </row>
    <row r="1362" spans="16:16">
      <c r="P1362" s="75"/>
    </row>
    <row r="1363" spans="16:16">
      <c r="P1363" s="75"/>
    </row>
    <row r="1364" spans="16:16">
      <c r="P1364" s="75"/>
    </row>
    <row r="1365" spans="16:16">
      <c r="P1365" s="75"/>
    </row>
    <row r="1366" spans="16:16">
      <c r="P1366" s="75"/>
    </row>
    <row r="1367" spans="16:16">
      <c r="P1367" s="75"/>
    </row>
    <row r="1368" spans="16:16">
      <c r="P1368" s="75"/>
    </row>
    <row r="1369" spans="16:16">
      <c r="P1369" s="75"/>
    </row>
    <row r="1542" spans="16:19">
      <c r="P1542" s="80"/>
      <c r="Q1542" s="147"/>
      <c r="R1542" s="80"/>
      <c r="S1542" s="80"/>
    </row>
    <row r="1543" spans="16:19">
      <c r="P1543" s="80"/>
      <c r="Q1543" s="147"/>
      <c r="R1543" s="80"/>
      <c r="S1543" s="80"/>
    </row>
    <row r="1544" spans="16:19">
      <c r="P1544" s="80"/>
      <c r="Q1544" s="147"/>
      <c r="R1544" s="80"/>
      <c r="S1544" s="80"/>
    </row>
    <row r="1545" spans="16:19">
      <c r="P1545" s="80"/>
      <c r="Q1545" s="147"/>
      <c r="R1545" s="80"/>
      <c r="S1545" s="80"/>
    </row>
    <row r="1546" spans="16:19">
      <c r="P1546" s="80"/>
      <c r="Q1546" s="147"/>
      <c r="R1546" s="80"/>
      <c r="S1546" s="80"/>
    </row>
    <row r="1547" spans="16:19">
      <c r="P1547" s="80"/>
      <c r="Q1547" s="147"/>
      <c r="R1547" s="80"/>
      <c r="S1547" s="80"/>
    </row>
    <row r="1548" spans="16:19">
      <c r="P1548" s="80"/>
      <c r="Q1548" s="147"/>
      <c r="R1548" s="80"/>
      <c r="S1548" s="80"/>
    </row>
    <row r="1549" spans="16:19">
      <c r="P1549" s="80"/>
      <c r="Q1549" s="147"/>
      <c r="R1549" s="80"/>
      <c r="S1549" s="80"/>
    </row>
    <row r="1550" spans="16:19">
      <c r="P1550" s="80"/>
      <c r="Q1550" s="147"/>
      <c r="R1550" s="80"/>
      <c r="S1550" s="80"/>
    </row>
    <row r="1551" spans="16:19">
      <c r="P1551" s="80"/>
      <c r="Q1551" s="147"/>
      <c r="R1551" s="80"/>
      <c r="S1551" s="80"/>
    </row>
    <row r="1552" spans="16:19">
      <c r="P1552" s="80"/>
      <c r="Q1552" s="147"/>
      <c r="R1552" s="80"/>
      <c r="S1552" s="80"/>
    </row>
    <row r="1553" spans="16:19">
      <c r="P1553" s="80"/>
      <c r="Q1553" s="147"/>
      <c r="R1553" s="80"/>
      <c r="S1553" s="80"/>
    </row>
    <row r="1554" spans="16:19">
      <c r="P1554" s="80"/>
      <c r="Q1554" s="147"/>
      <c r="R1554" s="80"/>
      <c r="S1554" s="80"/>
    </row>
    <row r="1555" spans="16:19">
      <c r="P1555" s="80"/>
      <c r="Q1555" s="147"/>
      <c r="R1555" s="80"/>
      <c r="S1555" s="80"/>
    </row>
    <row r="1556" spans="16:19">
      <c r="P1556" s="80"/>
      <c r="Q1556" s="147"/>
      <c r="R1556" s="80"/>
      <c r="S1556" s="80"/>
    </row>
    <row r="1557" spans="16:19">
      <c r="P1557" s="80"/>
      <c r="Q1557" s="147"/>
      <c r="R1557" s="80"/>
      <c r="S1557" s="80"/>
    </row>
    <row r="1558" spans="16:19">
      <c r="P1558" s="80"/>
      <c r="Q1558" s="147"/>
      <c r="R1558" s="80"/>
      <c r="S1558" s="80"/>
    </row>
    <row r="1559" spans="16:19">
      <c r="P1559" s="80"/>
      <c r="Q1559" s="147"/>
      <c r="R1559" s="80"/>
      <c r="S1559" s="80"/>
    </row>
    <row r="1560" spans="16:19">
      <c r="P1560" s="80"/>
      <c r="Q1560" s="147"/>
      <c r="R1560" s="80"/>
      <c r="S1560" s="80"/>
    </row>
    <row r="1561" spans="16:19">
      <c r="P1561" s="80"/>
      <c r="Q1561" s="147"/>
      <c r="R1561" s="80"/>
      <c r="S1561" s="80"/>
    </row>
    <row r="1562" spans="16:19">
      <c r="P1562" s="80"/>
      <c r="Q1562" s="147"/>
      <c r="R1562" s="80"/>
      <c r="S1562" s="80"/>
    </row>
    <row r="1563" spans="16:19">
      <c r="P1563" s="80"/>
      <c r="Q1563" s="147"/>
      <c r="R1563" s="80"/>
      <c r="S1563" s="80"/>
    </row>
    <row r="1564" spans="16:19">
      <c r="P1564" s="80"/>
      <c r="Q1564" s="147"/>
      <c r="R1564" s="80"/>
      <c r="S1564" s="80"/>
    </row>
    <row r="1565" spans="16:19">
      <c r="P1565" s="80"/>
      <c r="Q1565" s="147"/>
      <c r="R1565" s="80"/>
      <c r="S1565" s="80"/>
    </row>
    <row r="1566" spans="16:19">
      <c r="P1566" s="80"/>
      <c r="Q1566" s="147"/>
      <c r="R1566" s="80"/>
      <c r="S1566" s="80"/>
    </row>
    <row r="1567" spans="16:19">
      <c r="P1567" s="80"/>
      <c r="Q1567" s="147"/>
      <c r="R1567" s="80"/>
      <c r="S1567" s="80"/>
    </row>
    <row r="1568" spans="16:19">
      <c r="P1568" s="80"/>
      <c r="Q1568" s="147"/>
      <c r="R1568" s="80"/>
      <c r="S1568" s="80"/>
    </row>
    <row r="1569" spans="16:19">
      <c r="P1569" s="80"/>
      <c r="Q1569" s="147"/>
      <c r="R1569" s="80"/>
      <c r="S1569" s="80"/>
    </row>
    <row r="1570" spans="16:19">
      <c r="P1570" s="80"/>
      <c r="Q1570" s="147"/>
      <c r="R1570" s="80"/>
      <c r="S1570" s="80"/>
    </row>
    <row r="1571" spans="16:19">
      <c r="P1571" s="80"/>
      <c r="Q1571" s="147"/>
      <c r="R1571" s="80"/>
      <c r="S1571" s="80"/>
    </row>
    <row r="1572" spans="16:19">
      <c r="P1572" s="80"/>
      <c r="Q1572" s="147"/>
      <c r="R1572" s="80"/>
      <c r="S1572" s="80"/>
    </row>
    <row r="1573" spans="16:19">
      <c r="P1573" s="80"/>
      <c r="Q1573" s="147"/>
      <c r="R1573" s="80"/>
      <c r="S1573" s="80"/>
    </row>
    <row r="1574" spans="16:19">
      <c r="P1574" s="80"/>
      <c r="Q1574" s="147"/>
      <c r="R1574" s="80"/>
      <c r="S1574" s="80"/>
    </row>
    <row r="1575" spans="16:19">
      <c r="P1575" s="80"/>
      <c r="Q1575" s="147"/>
      <c r="R1575" s="80"/>
      <c r="S1575" s="80"/>
    </row>
    <row r="1576" spans="16:19">
      <c r="P1576" s="80"/>
      <c r="Q1576" s="147"/>
      <c r="R1576" s="80"/>
      <c r="S1576" s="80"/>
    </row>
    <row r="1577" spans="16:19">
      <c r="P1577" s="80"/>
      <c r="Q1577" s="147"/>
      <c r="R1577" s="80"/>
      <c r="S1577" s="80"/>
    </row>
    <row r="1578" spans="16:19">
      <c r="P1578" s="80"/>
      <c r="Q1578" s="147"/>
      <c r="R1578" s="80"/>
      <c r="S1578" s="80"/>
    </row>
    <row r="1579" spans="16:19">
      <c r="P1579" s="80"/>
      <c r="Q1579" s="147"/>
      <c r="R1579" s="80"/>
      <c r="S1579" s="80"/>
    </row>
    <row r="1580" spans="16:19">
      <c r="P1580" s="80"/>
      <c r="Q1580" s="147"/>
      <c r="R1580" s="80"/>
      <c r="S1580" s="80"/>
    </row>
    <row r="1581" spans="16:19">
      <c r="P1581" s="80"/>
      <c r="Q1581" s="147"/>
      <c r="R1581" s="80"/>
      <c r="S1581" s="80"/>
    </row>
    <row r="1582" spans="16:19">
      <c r="P1582" s="80"/>
      <c r="Q1582" s="147"/>
      <c r="R1582" s="80"/>
      <c r="S1582" s="80"/>
    </row>
    <row r="1583" spans="16:19">
      <c r="P1583" s="80"/>
      <c r="Q1583" s="147"/>
      <c r="R1583" s="80"/>
      <c r="S1583" s="80"/>
    </row>
    <row r="1584" spans="16:19">
      <c r="P1584" s="80"/>
      <c r="Q1584" s="147"/>
      <c r="R1584" s="80"/>
      <c r="S1584" s="80"/>
    </row>
    <row r="1585" spans="16:19">
      <c r="P1585" s="80"/>
      <c r="Q1585" s="147"/>
      <c r="R1585" s="80"/>
      <c r="S1585" s="80"/>
    </row>
    <row r="1586" spans="16:19">
      <c r="P1586" s="80"/>
      <c r="Q1586" s="147"/>
      <c r="R1586" s="80"/>
      <c r="S1586" s="80"/>
    </row>
    <row r="1587" spans="16:19">
      <c r="P1587" s="80"/>
      <c r="Q1587" s="147"/>
      <c r="R1587" s="80"/>
      <c r="S1587" s="80"/>
    </row>
    <row r="1588" spans="16:19">
      <c r="P1588" s="80"/>
      <c r="Q1588" s="147"/>
      <c r="R1588" s="80"/>
      <c r="S1588" s="80"/>
    </row>
    <row r="1589" spans="16:19">
      <c r="P1589" s="80"/>
      <c r="Q1589" s="147"/>
      <c r="R1589" s="80"/>
      <c r="S1589" s="80"/>
    </row>
    <row r="1590" spans="16:19">
      <c r="P1590" s="80"/>
      <c r="Q1590" s="147"/>
      <c r="R1590" s="80"/>
      <c r="S1590" s="80"/>
    </row>
    <row r="1591" spans="16:19">
      <c r="P1591" s="80"/>
      <c r="Q1591" s="147"/>
      <c r="R1591" s="80"/>
      <c r="S1591" s="80"/>
    </row>
    <row r="1592" spans="16:19">
      <c r="P1592" s="80"/>
      <c r="Q1592" s="147"/>
      <c r="R1592" s="80"/>
      <c r="S1592" s="80"/>
    </row>
    <row r="1593" spans="16:19">
      <c r="P1593" s="80"/>
      <c r="Q1593" s="147"/>
      <c r="R1593" s="80"/>
      <c r="S1593" s="80"/>
    </row>
    <row r="1594" spans="16:19">
      <c r="P1594" s="80"/>
      <c r="Q1594" s="147"/>
      <c r="R1594" s="80"/>
      <c r="S1594" s="80"/>
    </row>
    <row r="1595" spans="16:19">
      <c r="P1595" s="80"/>
      <c r="Q1595" s="147"/>
      <c r="R1595" s="80"/>
      <c r="S1595" s="80"/>
    </row>
    <row r="1596" spans="16:19">
      <c r="P1596" s="80"/>
      <c r="Q1596" s="147"/>
      <c r="R1596" s="80"/>
      <c r="S1596" s="80"/>
    </row>
    <row r="1597" spans="16:19">
      <c r="P1597" s="80"/>
      <c r="Q1597" s="147"/>
      <c r="R1597" s="80"/>
      <c r="S1597" s="80"/>
    </row>
    <row r="1598" spans="16:19">
      <c r="P1598" s="80"/>
      <c r="Q1598" s="147"/>
      <c r="R1598" s="80"/>
      <c r="S1598" s="80"/>
    </row>
    <row r="1599" spans="16:19">
      <c r="P1599" s="80"/>
      <c r="Q1599" s="147"/>
      <c r="R1599" s="80"/>
      <c r="S1599" s="80"/>
    </row>
    <row r="1600" spans="16:19">
      <c r="P1600" s="80"/>
      <c r="Q1600" s="147"/>
      <c r="R1600" s="80"/>
      <c r="S1600" s="80"/>
    </row>
    <row r="1601" spans="16:19">
      <c r="P1601" s="80"/>
      <c r="Q1601" s="147"/>
      <c r="R1601" s="80"/>
      <c r="S1601" s="80"/>
    </row>
    <row r="1602" spans="16:19">
      <c r="P1602" s="80"/>
      <c r="Q1602" s="147"/>
      <c r="R1602" s="80"/>
      <c r="S1602" s="80"/>
    </row>
    <row r="1603" spans="16:19">
      <c r="P1603" s="80"/>
      <c r="Q1603" s="147"/>
      <c r="R1603" s="80"/>
      <c r="S1603" s="80"/>
    </row>
    <row r="1604" spans="16:19">
      <c r="P1604" s="80"/>
      <c r="Q1604" s="147"/>
      <c r="R1604" s="80"/>
      <c r="S1604" s="80"/>
    </row>
    <row r="1605" spans="16:19">
      <c r="P1605" s="80"/>
      <c r="Q1605" s="147"/>
      <c r="R1605" s="80"/>
      <c r="S1605" s="80"/>
    </row>
    <row r="1606" spans="16:19">
      <c r="P1606" s="80"/>
      <c r="Q1606" s="147"/>
      <c r="R1606" s="80"/>
      <c r="S1606" s="80"/>
    </row>
    <row r="1607" spans="16:19">
      <c r="P1607" s="80"/>
      <c r="Q1607" s="147"/>
      <c r="R1607" s="80"/>
      <c r="S1607" s="80"/>
    </row>
    <row r="1608" spans="16:19">
      <c r="P1608" s="80"/>
      <c r="Q1608" s="147"/>
      <c r="R1608" s="80"/>
      <c r="S1608" s="80"/>
    </row>
    <row r="1609" spans="16:19">
      <c r="P1609" s="80"/>
      <c r="Q1609" s="147"/>
      <c r="R1609" s="80"/>
      <c r="S1609" s="80"/>
    </row>
    <row r="1610" spans="16:19">
      <c r="P1610" s="80"/>
      <c r="Q1610" s="147"/>
      <c r="R1610" s="80"/>
      <c r="S1610" s="80"/>
    </row>
    <row r="1611" spans="16:19">
      <c r="P1611" s="80"/>
      <c r="Q1611" s="147"/>
      <c r="R1611" s="80"/>
      <c r="S1611" s="80"/>
    </row>
    <row r="1612" spans="16:19">
      <c r="P1612" s="80"/>
      <c r="Q1612" s="147"/>
      <c r="R1612" s="80"/>
      <c r="S1612" s="80"/>
    </row>
    <row r="1613" spans="16:19">
      <c r="P1613" s="80"/>
      <c r="Q1613" s="147"/>
      <c r="R1613" s="80"/>
      <c r="S1613" s="80"/>
    </row>
    <row r="1614" spans="16:19">
      <c r="P1614" s="80"/>
      <c r="Q1614" s="147"/>
      <c r="R1614" s="80"/>
      <c r="S1614" s="80"/>
    </row>
    <row r="1615" spans="16:19">
      <c r="P1615" s="80"/>
      <c r="Q1615" s="147"/>
      <c r="R1615" s="80"/>
      <c r="S1615" s="80"/>
    </row>
    <row r="1616" spans="16:19">
      <c r="P1616" s="80"/>
      <c r="Q1616" s="147"/>
      <c r="R1616" s="80"/>
      <c r="S1616" s="80"/>
    </row>
    <row r="1617" spans="16:19">
      <c r="P1617" s="80"/>
      <c r="Q1617" s="147"/>
      <c r="R1617" s="80"/>
      <c r="S1617" s="80"/>
    </row>
    <row r="1618" spans="16:19">
      <c r="P1618" s="80"/>
      <c r="Q1618" s="147"/>
      <c r="R1618" s="80"/>
      <c r="S1618" s="80"/>
    </row>
    <row r="1619" spans="16:19">
      <c r="P1619" s="80"/>
      <c r="Q1619" s="147"/>
      <c r="R1619" s="80"/>
      <c r="S1619" s="80"/>
    </row>
    <row r="1620" spans="16:19">
      <c r="P1620" s="80"/>
      <c r="Q1620" s="147"/>
      <c r="R1620" s="80"/>
      <c r="S1620" s="80"/>
    </row>
    <row r="1621" spans="16:19">
      <c r="P1621" s="80"/>
      <c r="Q1621" s="147"/>
      <c r="R1621" s="80"/>
      <c r="S1621" s="80"/>
    </row>
    <row r="1622" spans="16:19">
      <c r="P1622" s="80"/>
      <c r="Q1622" s="147"/>
      <c r="R1622" s="80"/>
      <c r="S1622" s="80"/>
    </row>
    <row r="1623" spans="16:19">
      <c r="P1623" s="80"/>
      <c r="Q1623" s="147"/>
      <c r="R1623" s="80"/>
      <c r="S1623" s="80"/>
    </row>
    <row r="1624" spans="16:19">
      <c r="P1624" s="80"/>
      <c r="Q1624" s="147"/>
      <c r="R1624" s="80"/>
      <c r="S1624" s="80"/>
    </row>
    <row r="1625" spans="16:19">
      <c r="P1625" s="80"/>
      <c r="Q1625" s="147"/>
      <c r="R1625" s="80"/>
      <c r="S1625" s="80"/>
    </row>
    <row r="1626" spans="16:19">
      <c r="P1626" s="80"/>
      <c r="Q1626" s="147"/>
      <c r="R1626" s="80"/>
      <c r="S1626" s="80"/>
    </row>
    <row r="1627" spans="16:19">
      <c r="P1627" s="80"/>
      <c r="Q1627" s="147"/>
      <c r="R1627" s="80"/>
      <c r="S1627" s="80"/>
    </row>
    <row r="1628" spans="16:19">
      <c r="P1628" s="80"/>
      <c r="Q1628" s="147"/>
      <c r="R1628" s="80"/>
      <c r="S1628" s="80"/>
    </row>
    <row r="1629" spans="16:19">
      <c r="P1629" s="80"/>
      <c r="Q1629" s="147"/>
      <c r="R1629" s="80"/>
      <c r="S1629" s="80"/>
    </row>
    <row r="1630" spans="16:19">
      <c r="P1630" s="80"/>
      <c r="Q1630" s="147"/>
      <c r="R1630" s="80"/>
      <c r="S1630" s="80"/>
    </row>
    <row r="1631" spans="16:19">
      <c r="P1631" s="80"/>
      <c r="Q1631" s="147"/>
      <c r="R1631" s="80"/>
      <c r="S1631" s="80"/>
    </row>
    <row r="1632" spans="16:19">
      <c r="P1632" s="80"/>
      <c r="Q1632" s="147"/>
      <c r="R1632" s="80"/>
      <c r="S1632" s="80"/>
    </row>
    <row r="1633" spans="16:19">
      <c r="P1633" s="80"/>
      <c r="Q1633" s="147"/>
      <c r="R1633" s="80"/>
      <c r="S1633" s="80"/>
    </row>
    <row r="1634" spans="16:19">
      <c r="P1634" s="80"/>
      <c r="Q1634" s="147"/>
      <c r="R1634" s="80"/>
      <c r="S1634" s="80"/>
    </row>
    <row r="1635" spans="16:19">
      <c r="P1635" s="80"/>
      <c r="Q1635" s="147"/>
      <c r="R1635" s="80"/>
      <c r="S1635" s="80"/>
    </row>
    <row r="1636" spans="16:19">
      <c r="P1636" s="80"/>
      <c r="Q1636" s="147"/>
      <c r="R1636" s="80"/>
      <c r="S1636" s="80"/>
    </row>
    <row r="1637" spans="16:19">
      <c r="P1637" s="80"/>
      <c r="Q1637" s="147"/>
      <c r="R1637" s="80"/>
      <c r="S1637" s="80"/>
    </row>
    <row r="1638" spans="16:19">
      <c r="P1638" s="80"/>
      <c r="Q1638" s="147"/>
      <c r="R1638" s="80"/>
      <c r="S1638" s="80"/>
    </row>
    <row r="1639" spans="16:19">
      <c r="P1639" s="80"/>
      <c r="Q1639" s="147"/>
      <c r="R1639" s="80"/>
      <c r="S1639" s="80"/>
    </row>
    <row r="1640" spans="16:19">
      <c r="P1640" s="80"/>
      <c r="Q1640" s="147"/>
      <c r="R1640" s="80"/>
      <c r="S1640" s="80"/>
    </row>
    <row r="1641" spans="16:19">
      <c r="P1641" s="80"/>
      <c r="Q1641" s="147"/>
      <c r="R1641" s="80"/>
      <c r="S1641" s="80"/>
    </row>
    <row r="1642" spans="16:19">
      <c r="P1642" s="80"/>
      <c r="Q1642" s="147"/>
      <c r="R1642" s="80"/>
      <c r="S1642" s="80"/>
    </row>
    <row r="1643" spans="16:19">
      <c r="P1643" s="80"/>
      <c r="Q1643" s="147"/>
      <c r="R1643" s="80"/>
      <c r="S1643" s="80"/>
    </row>
    <row r="1644" spans="16:19">
      <c r="P1644" s="80"/>
      <c r="Q1644" s="147"/>
      <c r="R1644" s="80"/>
      <c r="S1644" s="80"/>
    </row>
    <row r="1645" spans="16:19">
      <c r="P1645" s="80"/>
      <c r="Q1645" s="147"/>
      <c r="R1645" s="80"/>
      <c r="S1645" s="80"/>
    </row>
    <row r="1646" spans="16:19">
      <c r="P1646" s="80"/>
      <c r="Q1646" s="147"/>
      <c r="R1646" s="80"/>
      <c r="S1646" s="80"/>
    </row>
    <row r="1647" spans="16:19">
      <c r="P1647" s="80"/>
      <c r="Q1647" s="147"/>
      <c r="R1647" s="80"/>
      <c r="S1647" s="80"/>
    </row>
    <row r="1648" spans="16:19">
      <c r="P1648" s="80"/>
      <c r="Q1648" s="147"/>
      <c r="R1648" s="80"/>
      <c r="S1648" s="80"/>
    </row>
    <row r="1649" spans="16:19">
      <c r="P1649" s="80"/>
      <c r="Q1649" s="147"/>
      <c r="R1649" s="80"/>
      <c r="S1649" s="80"/>
    </row>
    <row r="1650" spans="16:19">
      <c r="P1650" s="80"/>
      <c r="Q1650" s="147"/>
      <c r="R1650" s="80"/>
      <c r="S1650" s="80"/>
    </row>
    <row r="1651" spans="16:19">
      <c r="P1651" s="80"/>
      <c r="Q1651" s="147"/>
      <c r="R1651" s="80"/>
      <c r="S1651" s="80"/>
    </row>
    <row r="1652" spans="16:19">
      <c r="P1652" s="80"/>
      <c r="Q1652" s="147"/>
      <c r="R1652" s="80"/>
      <c r="S1652" s="80"/>
    </row>
    <row r="1653" spans="16:19">
      <c r="P1653" s="80"/>
      <c r="Q1653" s="147"/>
      <c r="R1653" s="80"/>
      <c r="S1653" s="80"/>
    </row>
    <row r="1654" spans="16:19">
      <c r="P1654" s="80"/>
      <c r="Q1654" s="147"/>
      <c r="R1654" s="80"/>
      <c r="S1654" s="80"/>
    </row>
    <row r="1655" spans="16:19">
      <c r="P1655" s="80"/>
      <c r="Q1655" s="147"/>
      <c r="R1655" s="80"/>
      <c r="S1655" s="80"/>
    </row>
    <row r="1656" spans="16:19">
      <c r="P1656" s="80"/>
      <c r="Q1656" s="147"/>
      <c r="R1656" s="80"/>
      <c r="S1656" s="80"/>
    </row>
    <row r="1657" spans="16:19">
      <c r="P1657" s="80"/>
      <c r="Q1657" s="147"/>
      <c r="R1657" s="80"/>
      <c r="S1657" s="80"/>
    </row>
    <row r="1658" spans="16:19">
      <c r="P1658" s="80"/>
      <c r="Q1658" s="147"/>
      <c r="R1658" s="80"/>
      <c r="S1658" s="80"/>
    </row>
    <row r="1659" spans="16:19">
      <c r="P1659" s="80"/>
      <c r="Q1659" s="147"/>
      <c r="R1659" s="80"/>
      <c r="S1659" s="80"/>
    </row>
    <row r="1660" spans="16:19">
      <c r="P1660" s="80"/>
      <c r="Q1660" s="147"/>
      <c r="R1660" s="80"/>
      <c r="S1660" s="80"/>
    </row>
    <row r="1661" spans="16:19">
      <c r="P1661" s="80"/>
      <c r="Q1661" s="147"/>
      <c r="R1661" s="80"/>
      <c r="S1661" s="80"/>
    </row>
    <row r="1662" spans="16:19">
      <c r="P1662" s="80"/>
      <c r="Q1662" s="147"/>
      <c r="R1662" s="80"/>
      <c r="S1662" s="80"/>
    </row>
    <row r="1663" spans="16:19">
      <c r="P1663" s="80"/>
      <c r="Q1663" s="147"/>
      <c r="R1663" s="80"/>
      <c r="S1663" s="80"/>
    </row>
    <row r="1664" spans="16:19">
      <c r="P1664" s="80"/>
      <c r="Q1664" s="147"/>
      <c r="R1664" s="80"/>
      <c r="S1664" s="80"/>
    </row>
    <row r="1665" spans="16:19">
      <c r="P1665" s="80"/>
      <c r="Q1665" s="147"/>
      <c r="R1665" s="80"/>
      <c r="S1665" s="80"/>
    </row>
    <row r="1666" spans="16:19">
      <c r="P1666" s="80"/>
      <c r="Q1666" s="147"/>
      <c r="R1666" s="80"/>
      <c r="S1666" s="80"/>
    </row>
    <row r="1667" spans="16:19">
      <c r="P1667" s="83"/>
      <c r="Q1667" s="148"/>
      <c r="R1667" s="83"/>
      <c r="S1667" s="83"/>
    </row>
    <row r="1668" spans="16:19">
      <c r="P1668" s="83"/>
      <c r="Q1668" s="148"/>
      <c r="R1668" s="83"/>
      <c r="S1668" s="83"/>
    </row>
    <row r="1669" spans="16:19">
      <c r="P1669" s="83"/>
      <c r="Q1669" s="148"/>
      <c r="R1669" s="83"/>
      <c r="S1669" s="83"/>
    </row>
    <row r="1670" spans="16:19">
      <c r="P1670" s="83"/>
      <c r="Q1670" s="148"/>
      <c r="R1670" s="83"/>
      <c r="S1670" s="83"/>
    </row>
    <row r="1671" spans="16:19">
      <c r="P1671" s="83"/>
      <c r="Q1671" s="148"/>
      <c r="R1671" s="83"/>
      <c r="S1671" s="83"/>
    </row>
    <row r="1672" spans="16:19">
      <c r="P1672" s="83"/>
      <c r="Q1672" s="148"/>
      <c r="R1672" s="83"/>
      <c r="S1672" s="83"/>
    </row>
    <row r="1673" spans="16:19">
      <c r="P1673" s="83"/>
      <c r="Q1673" s="148"/>
      <c r="R1673" s="83"/>
      <c r="S1673" s="83"/>
    </row>
    <row r="1674" spans="16:19">
      <c r="P1674" s="83"/>
      <c r="Q1674" s="148"/>
      <c r="R1674" s="83"/>
      <c r="S1674" s="83"/>
    </row>
    <row r="1675" spans="16:19">
      <c r="P1675" s="83"/>
      <c r="Q1675" s="148"/>
      <c r="R1675" s="83"/>
      <c r="S1675" s="83"/>
    </row>
    <row r="1676" spans="16:19">
      <c r="P1676" s="83"/>
      <c r="Q1676" s="148"/>
      <c r="R1676" s="83"/>
      <c r="S1676" s="83"/>
    </row>
    <row r="1677" spans="16:19">
      <c r="P1677" s="83"/>
      <c r="Q1677" s="148"/>
      <c r="R1677" s="83"/>
      <c r="S1677" s="83"/>
    </row>
    <row r="1678" spans="16:19">
      <c r="P1678" s="83"/>
      <c r="Q1678" s="148"/>
      <c r="R1678" s="83"/>
      <c r="S1678" s="83"/>
    </row>
    <row r="1679" spans="16:19">
      <c r="P1679" s="83"/>
      <c r="Q1679" s="148"/>
      <c r="R1679" s="83"/>
      <c r="S1679" s="83"/>
    </row>
    <row r="1680" spans="16:19">
      <c r="P1680" s="83"/>
      <c r="Q1680" s="148"/>
      <c r="R1680" s="83"/>
      <c r="S1680" s="83"/>
    </row>
    <row r="1681" spans="16:19">
      <c r="P1681" s="83"/>
      <c r="Q1681" s="148"/>
      <c r="R1681" s="83"/>
      <c r="S1681" s="83"/>
    </row>
    <row r="1682" spans="16:19">
      <c r="P1682" s="83"/>
      <c r="Q1682" s="148"/>
      <c r="R1682" s="83"/>
      <c r="S1682" s="83"/>
    </row>
    <row r="1683" spans="16:19">
      <c r="P1683" s="83"/>
      <c r="Q1683" s="148"/>
      <c r="R1683" s="83"/>
      <c r="S1683" s="83"/>
    </row>
    <row r="1684" spans="16:19">
      <c r="P1684" s="83"/>
      <c r="Q1684" s="148"/>
      <c r="R1684" s="83"/>
      <c r="S1684" s="83"/>
    </row>
    <row r="1685" spans="16:19">
      <c r="P1685" s="83"/>
      <c r="Q1685" s="148"/>
      <c r="R1685" s="83"/>
      <c r="S1685" s="83"/>
    </row>
    <row r="1686" spans="16:19">
      <c r="P1686" s="83"/>
      <c r="Q1686" s="148"/>
      <c r="R1686" s="83"/>
      <c r="S1686" s="83"/>
    </row>
    <row r="1687" spans="16:19">
      <c r="P1687" s="83"/>
      <c r="Q1687" s="148"/>
      <c r="R1687" s="83"/>
      <c r="S1687" s="83"/>
    </row>
    <row r="1689" spans="16:19">
      <c r="P1689" s="92"/>
      <c r="Q1689" s="153"/>
      <c r="R1689" s="92"/>
      <c r="S1689" s="92"/>
    </row>
    <row r="1690" spans="16:19">
      <c r="P1690" s="92"/>
      <c r="Q1690" s="153"/>
      <c r="R1690" s="92"/>
      <c r="S1690" s="92"/>
    </row>
    <row r="1691" spans="16:19">
      <c r="P1691" s="92"/>
      <c r="Q1691" s="153"/>
      <c r="R1691" s="92"/>
      <c r="S1691" s="92"/>
    </row>
    <row r="1692" spans="16:19">
      <c r="P1692" s="92"/>
      <c r="Q1692" s="153"/>
      <c r="R1692" s="92"/>
      <c r="S1692" s="92"/>
    </row>
    <row r="1693" spans="16:19">
      <c r="P1693" s="92"/>
      <c r="Q1693" s="153"/>
      <c r="R1693" s="92"/>
      <c r="S1693" s="92"/>
    </row>
    <row r="1694" spans="16:19">
      <c r="P1694" s="92"/>
      <c r="Q1694" s="153"/>
      <c r="R1694" s="92"/>
      <c r="S1694" s="92"/>
    </row>
    <row r="1695" spans="16:19">
      <c r="P1695" s="92"/>
      <c r="Q1695" s="153"/>
      <c r="R1695" s="92"/>
      <c r="S1695" s="92"/>
    </row>
    <row r="1696" spans="16:19">
      <c r="P1696" s="92"/>
      <c r="Q1696" s="153"/>
      <c r="R1696" s="92"/>
      <c r="S1696" s="92"/>
    </row>
    <row r="1697" spans="16:19">
      <c r="P1697" s="92"/>
      <c r="Q1697" s="153"/>
      <c r="R1697" s="92"/>
      <c r="S1697" s="92"/>
    </row>
    <row r="1698" spans="16:19">
      <c r="P1698" s="92"/>
      <c r="Q1698" s="153"/>
      <c r="R1698" s="92"/>
      <c r="S1698" s="92"/>
    </row>
    <row r="1699" spans="16:19">
      <c r="P1699" s="92"/>
      <c r="Q1699" s="153"/>
      <c r="R1699" s="92"/>
      <c r="S1699" s="92"/>
    </row>
    <row r="1700" spans="16:19">
      <c r="P1700" s="92"/>
      <c r="Q1700" s="153"/>
      <c r="R1700" s="92"/>
      <c r="S1700" s="92"/>
    </row>
    <row r="1701" spans="16:19">
      <c r="P1701" s="92"/>
      <c r="Q1701" s="153"/>
      <c r="R1701" s="92"/>
      <c r="S1701" s="92"/>
    </row>
    <row r="1702" spans="16:19">
      <c r="P1702" s="92"/>
      <c r="Q1702" s="153"/>
      <c r="R1702" s="92"/>
      <c r="S1702" s="92"/>
    </row>
    <row r="1703" spans="16:19">
      <c r="P1703" s="92"/>
      <c r="Q1703" s="153"/>
      <c r="R1703" s="92"/>
      <c r="S1703" s="92"/>
    </row>
    <row r="1704" spans="16:19">
      <c r="P1704" s="92"/>
      <c r="Q1704" s="153"/>
      <c r="R1704" s="92"/>
      <c r="S1704" s="92"/>
    </row>
    <row r="1710" spans="16:19">
      <c r="P1710" s="99"/>
      <c r="Q1710" s="154"/>
      <c r="R1710" s="99"/>
      <c r="S1710" s="99"/>
    </row>
    <row r="1711" spans="16:19">
      <c r="P1711" s="99"/>
      <c r="Q1711" s="154"/>
      <c r="R1711" s="99"/>
      <c r="S1711" s="99"/>
    </row>
    <row r="1712" spans="16:19">
      <c r="P1712" s="99"/>
      <c r="Q1712" s="154"/>
      <c r="R1712" s="99"/>
      <c r="S1712" s="99"/>
    </row>
    <row r="1713" spans="16:19">
      <c r="P1713" s="99"/>
      <c r="Q1713" s="154"/>
      <c r="R1713" s="99"/>
      <c r="S1713" s="99"/>
    </row>
    <row r="1714" spans="16:19">
      <c r="P1714" s="99"/>
      <c r="Q1714" s="154"/>
      <c r="R1714" s="99"/>
      <c r="S1714" s="99"/>
    </row>
    <row r="1715" spans="16:19">
      <c r="P1715" s="99"/>
      <c r="Q1715" s="154"/>
      <c r="R1715" s="99"/>
      <c r="S1715" s="99"/>
    </row>
    <row r="1716" spans="16:19">
      <c r="P1716" s="99"/>
      <c r="Q1716" s="154"/>
      <c r="R1716" s="99"/>
      <c r="S1716" s="99"/>
    </row>
    <row r="1717" spans="16:19">
      <c r="P1717" s="99"/>
      <c r="Q1717" s="154"/>
      <c r="R1717" s="99"/>
      <c r="S1717" s="99"/>
    </row>
    <row r="1718" spans="16:19">
      <c r="P1718" s="99"/>
      <c r="Q1718" s="154"/>
      <c r="R1718" s="99"/>
      <c r="S1718" s="99"/>
    </row>
    <row r="1719" spans="16:19">
      <c r="P1719" s="99"/>
      <c r="Q1719" s="154"/>
      <c r="R1719" s="99"/>
      <c r="S1719" s="99"/>
    </row>
    <row r="1720" spans="16:19">
      <c r="P1720" s="99"/>
      <c r="Q1720" s="154"/>
      <c r="R1720" s="99"/>
      <c r="S1720" s="99"/>
    </row>
    <row r="1721" spans="16:19">
      <c r="P1721" s="99"/>
      <c r="Q1721" s="154"/>
      <c r="R1721" s="99"/>
      <c r="S1721" s="99"/>
    </row>
    <row r="1722" spans="16:19">
      <c r="P1722" s="99"/>
      <c r="Q1722" s="154"/>
      <c r="R1722" s="99"/>
      <c r="S1722" s="99"/>
    </row>
    <row r="1723" spans="16:19">
      <c r="P1723" s="99"/>
      <c r="Q1723" s="154"/>
      <c r="R1723" s="99"/>
      <c r="S1723" s="99"/>
    </row>
    <row r="1724" spans="16:19">
      <c r="P1724" s="99"/>
      <c r="Q1724" s="154"/>
      <c r="R1724" s="99"/>
      <c r="S1724" s="99"/>
    </row>
    <row r="1725" spans="16:19">
      <c r="P1725" s="99"/>
      <c r="Q1725" s="154"/>
      <c r="R1725" s="99"/>
      <c r="S1725" s="99"/>
    </row>
    <row r="1726" spans="16:19">
      <c r="P1726" s="99"/>
      <c r="Q1726" s="154"/>
      <c r="R1726" s="99"/>
      <c r="S1726" s="99"/>
    </row>
    <row r="1727" spans="16:19">
      <c r="P1727" s="99"/>
      <c r="Q1727" s="154"/>
      <c r="R1727" s="99"/>
      <c r="S1727" s="99"/>
    </row>
    <row r="1728" spans="16:19">
      <c r="P1728" s="99"/>
      <c r="Q1728" s="154"/>
      <c r="R1728" s="99"/>
      <c r="S1728" s="99"/>
    </row>
    <row r="1729" spans="16:19">
      <c r="P1729" s="99"/>
      <c r="Q1729" s="154"/>
      <c r="R1729" s="99"/>
      <c r="S1729" s="99"/>
    </row>
    <row r="1730" spans="16:19">
      <c r="P1730" s="99"/>
      <c r="Q1730" s="154"/>
      <c r="R1730" s="99"/>
      <c r="S1730" s="99"/>
    </row>
    <row r="1731" spans="16:19">
      <c r="P1731" s="99"/>
      <c r="Q1731" s="154"/>
      <c r="R1731" s="99"/>
      <c r="S1731" s="99"/>
    </row>
    <row r="1732" spans="16:19">
      <c r="P1732" s="99"/>
      <c r="Q1732" s="154"/>
      <c r="R1732" s="99"/>
      <c r="S1732" s="99"/>
    </row>
    <row r="1733" spans="16:19">
      <c r="P1733" s="99"/>
      <c r="Q1733" s="154"/>
      <c r="R1733" s="99"/>
      <c r="S1733" s="99"/>
    </row>
    <row r="1734" spans="16:19">
      <c r="P1734" s="99"/>
      <c r="Q1734" s="154"/>
      <c r="R1734" s="99"/>
      <c r="S1734" s="99"/>
    </row>
    <row r="1735" spans="16:19">
      <c r="P1735" s="99"/>
      <c r="Q1735" s="154"/>
      <c r="R1735" s="99"/>
      <c r="S1735" s="99"/>
    </row>
    <row r="1736" spans="16:19">
      <c r="P1736" s="99"/>
      <c r="Q1736" s="154"/>
      <c r="R1736" s="99"/>
      <c r="S1736" s="99"/>
    </row>
    <row r="1737" spans="16:19">
      <c r="P1737" s="99"/>
      <c r="Q1737" s="154"/>
      <c r="R1737" s="99"/>
      <c r="S1737" s="99"/>
    </row>
    <row r="1738" spans="16:19">
      <c r="P1738" s="99"/>
      <c r="Q1738" s="154"/>
      <c r="R1738" s="99"/>
      <c r="S1738" s="99"/>
    </row>
    <row r="1739" spans="16:19">
      <c r="P1739" s="99"/>
      <c r="Q1739" s="154"/>
      <c r="R1739" s="99"/>
      <c r="S1739" s="99"/>
    </row>
    <row r="1740" spans="16:19">
      <c r="P1740" s="99"/>
      <c r="Q1740" s="154"/>
      <c r="R1740" s="99"/>
      <c r="S1740" s="99"/>
    </row>
    <row r="1741" spans="16:19">
      <c r="P1741" s="99"/>
      <c r="Q1741" s="154"/>
      <c r="R1741" s="99"/>
      <c r="S1741" s="99"/>
    </row>
    <row r="1742" spans="16:19">
      <c r="P1742" s="99"/>
      <c r="Q1742" s="154"/>
      <c r="R1742" s="99"/>
      <c r="S1742" s="99"/>
    </row>
    <row r="1743" spans="16:19">
      <c r="P1743" s="99"/>
      <c r="Q1743" s="154"/>
      <c r="R1743" s="99"/>
      <c r="S1743" s="99"/>
    </row>
    <row r="1744" spans="16:19">
      <c r="P1744" s="99"/>
      <c r="Q1744" s="154"/>
      <c r="R1744" s="99"/>
      <c r="S1744" s="99"/>
    </row>
    <row r="1745" spans="16:19">
      <c r="P1745" s="99"/>
      <c r="Q1745" s="154"/>
      <c r="R1745" s="99"/>
      <c r="S1745" s="99"/>
    </row>
    <row r="1746" spans="16:19">
      <c r="P1746" s="99"/>
      <c r="Q1746" s="154"/>
      <c r="R1746" s="99"/>
      <c r="S1746" s="99"/>
    </row>
    <row r="1747" spans="16:19">
      <c r="P1747" s="99"/>
      <c r="Q1747" s="154"/>
      <c r="R1747" s="99"/>
      <c r="S1747" s="99"/>
    </row>
    <row r="1748" spans="16:19">
      <c r="P1748" s="99"/>
      <c r="Q1748" s="154"/>
      <c r="R1748" s="99"/>
      <c r="S1748" s="99"/>
    </row>
    <row r="1749" spans="16:19">
      <c r="P1749" s="99"/>
      <c r="Q1749" s="154"/>
      <c r="R1749" s="99"/>
      <c r="S1749" s="99"/>
    </row>
    <row r="1750" spans="16:19">
      <c r="P1750" s="99"/>
      <c r="Q1750" s="154"/>
      <c r="R1750" s="99"/>
      <c r="S1750" s="99"/>
    </row>
    <row r="1751" spans="16:19">
      <c r="P1751" s="99"/>
      <c r="Q1751" s="154"/>
      <c r="R1751" s="99"/>
      <c r="S1751" s="99"/>
    </row>
    <row r="1752" spans="16:19">
      <c r="P1752" s="99"/>
      <c r="Q1752" s="154"/>
      <c r="R1752" s="99"/>
      <c r="S1752" s="99"/>
    </row>
    <row r="1753" spans="16:19">
      <c r="P1753" s="99"/>
      <c r="Q1753" s="154"/>
      <c r="R1753" s="99"/>
      <c r="S1753" s="99"/>
    </row>
    <row r="1754" spans="16:19">
      <c r="P1754" s="99"/>
      <c r="Q1754" s="154"/>
      <c r="R1754" s="99"/>
      <c r="S1754" s="99"/>
    </row>
    <row r="1755" spans="16:19">
      <c r="P1755" s="99"/>
      <c r="Q1755" s="154"/>
      <c r="R1755" s="99"/>
      <c r="S1755" s="99"/>
    </row>
    <row r="1756" spans="16:19">
      <c r="P1756" s="99"/>
      <c r="Q1756" s="154"/>
      <c r="R1756" s="99"/>
      <c r="S1756" s="99"/>
    </row>
    <row r="1757" spans="16:19">
      <c r="P1757" s="99"/>
      <c r="Q1757" s="154"/>
      <c r="R1757" s="99"/>
      <c r="S1757" s="99"/>
    </row>
    <row r="1758" spans="16:19">
      <c r="P1758" s="99"/>
      <c r="Q1758" s="154"/>
      <c r="R1758" s="99"/>
      <c r="S1758" s="99"/>
    </row>
    <row r="1759" spans="16:19">
      <c r="P1759" s="99"/>
      <c r="Q1759" s="154"/>
      <c r="R1759" s="99"/>
      <c r="S1759" s="99"/>
    </row>
    <row r="1760" spans="16:19">
      <c r="P1760" s="99"/>
      <c r="Q1760" s="154"/>
      <c r="R1760" s="99"/>
      <c r="S1760" s="99"/>
    </row>
    <row r="1761" spans="16:19">
      <c r="P1761" s="99"/>
      <c r="Q1761" s="154"/>
      <c r="R1761" s="99"/>
      <c r="S1761" s="99"/>
    </row>
    <row r="1762" spans="16:19">
      <c r="P1762" s="99"/>
      <c r="Q1762" s="154"/>
      <c r="R1762" s="99"/>
      <c r="S1762" s="99"/>
    </row>
    <row r="1763" spans="16:19">
      <c r="P1763" s="99"/>
      <c r="Q1763" s="154"/>
      <c r="R1763" s="99"/>
      <c r="S1763" s="99"/>
    </row>
    <row r="1764" spans="16:19">
      <c r="P1764" s="99"/>
      <c r="Q1764" s="154"/>
      <c r="R1764" s="99"/>
      <c r="S1764" s="99"/>
    </row>
    <row r="1765" spans="16:19">
      <c r="P1765" s="99"/>
      <c r="Q1765" s="154"/>
      <c r="R1765" s="99"/>
      <c r="S1765" s="99"/>
    </row>
    <row r="1766" spans="16:19">
      <c r="P1766" s="99"/>
      <c r="Q1766" s="154"/>
      <c r="R1766" s="99"/>
      <c r="S1766" s="99"/>
    </row>
    <row r="1767" spans="16:19">
      <c r="P1767" s="99"/>
      <c r="Q1767" s="154"/>
      <c r="R1767" s="99"/>
      <c r="S1767" s="99"/>
    </row>
    <row r="1768" spans="16:19">
      <c r="P1768" s="99"/>
      <c r="Q1768" s="154"/>
      <c r="R1768" s="99"/>
      <c r="S1768" s="99"/>
    </row>
    <row r="1769" spans="16:19">
      <c r="P1769" s="99"/>
      <c r="Q1769" s="154"/>
      <c r="R1769" s="99"/>
      <c r="S1769" s="99"/>
    </row>
    <row r="1770" spans="16:19">
      <c r="P1770" s="99"/>
      <c r="Q1770" s="154"/>
      <c r="R1770" s="99"/>
      <c r="S1770" s="99"/>
    </row>
    <row r="1771" spans="16:19">
      <c r="P1771" s="99"/>
      <c r="Q1771" s="154"/>
      <c r="R1771" s="99"/>
      <c r="S1771" s="99"/>
    </row>
    <row r="1772" spans="16:19">
      <c r="P1772" s="99"/>
      <c r="Q1772" s="154"/>
      <c r="R1772" s="99"/>
      <c r="S1772" s="99"/>
    </row>
    <row r="1773" spans="16:19">
      <c r="P1773" s="99"/>
      <c r="Q1773" s="154"/>
      <c r="R1773" s="99"/>
      <c r="S1773" s="99"/>
    </row>
    <row r="1774" spans="16:19">
      <c r="P1774" s="99"/>
      <c r="Q1774" s="154"/>
      <c r="R1774" s="99"/>
      <c r="S1774" s="99"/>
    </row>
    <row r="1775" spans="16:19">
      <c r="P1775" s="99"/>
      <c r="Q1775" s="154"/>
      <c r="R1775" s="99"/>
      <c r="S1775" s="99"/>
    </row>
    <row r="1776" spans="16:19">
      <c r="P1776" s="133"/>
      <c r="Q1776" s="155"/>
      <c r="R1776" s="133"/>
      <c r="S1776" s="133"/>
    </row>
    <row r="1777" spans="16:19">
      <c r="P1777" s="99"/>
      <c r="Q1777" s="154"/>
      <c r="R1777" s="99"/>
      <c r="S1777" s="99"/>
    </row>
    <row r="1778" spans="16:19">
      <c r="P1778" s="99"/>
      <c r="Q1778" s="154"/>
      <c r="R1778" s="99"/>
      <c r="S1778" s="99"/>
    </row>
    <row r="1779" spans="16:19">
      <c r="P1779" s="99"/>
      <c r="Q1779" s="154"/>
      <c r="R1779" s="99"/>
      <c r="S1779" s="99"/>
    </row>
    <row r="1780" spans="16:19">
      <c r="P1780" s="99"/>
      <c r="Q1780" s="154"/>
      <c r="R1780" s="99"/>
      <c r="S1780" s="99"/>
    </row>
    <row r="1781" spans="16:19">
      <c r="P1781" s="99"/>
      <c r="Q1781" s="154"/>
      <c r="R1781" s="99"/>
      <c r="S1781" s="99"/>
    </row>
    <row r="1782" spans="16:19">
      <c r="P1782" s="99"/>
      <c r="Q1782" s="154"/>
      <c r="R1782" s="99"/>
      <c r="S1782" s="99"/>
    </row>
    <row r="1783" spans="16:19">
      <c r="P1783" s="99"/>
      <c r="Q1783" s="154"/>
      <c r="R1783" s="99"/>
      <c r="S1783" s="99"/>
    </row>
    <row r="1784" spans="16:19">
      <c r="P1784" s="99"/>
      <c r="Q1784" s="154"/>
      <c r="R1784" s="99"/>
      <c r="S1784" s="99"/>
    </row>
    <row r="1785" spans="16:19">
      <c r="P1785" s="99"/>
      <c r="Q1785" s="154"/>
      <c r="R1785" s="99"/>
      <c r="S1785" s="99"/>
    </row>
    <row r="1786" spans="16:19">
      <c r="P1786" s="99"/>
      <c r="Q1786" s="154"/>
      <c r="R1786" s="99"/>
      <c r="S1786" s="99"/>
    </row>
    <row r="1787" spans="16:19">
      <c r="P1787" s="99"/>
      <c r="Q1787" s="154"/>
      <c r="R1787" s="99"/>
      <c r="S1787" s="99"/>
    </row>
    <row r="1788" spans="16:19">
      <c r="P1788" s="99"/>
      <c r="Q1788" s="154"/>
      <c r="R1788" s="99"/>
      <c r="S1788" s="99"/>
    </row>
    <row r="1789" spans="16:19">
      <c r="P1789" s="99"/>
      <c r="Q1789" s="154"/>
      <c r="R1789" s="99"/>
      <c r="S1789" s="99"/>
    </row>
    <row r="1790" spans="16:19">
      <c r="P1790" s="99"/>
      <c r="Q1790" s="154"/>
      <c r="R1790" s="99"/>
      <c r="S1790" s="99"/>
    </row>
    <row r="1791" spans="16:19">
      <c r="P1791" s="99"/>
      <c r="Q1791" s="154"/>
      <c r="R1791" s="99"/>
      <c r="S1791" s="99"/>
    </row>
    <row r="1792" spans="16:19">
      <c r="P1792" s="99"/>
      <c r="Q1792" s="154"/>
      <c r="R1792" s="99"/>
      <c r="S1792" s="99"/>
    </row>
    <row r="1793" spans="16:19">
      <c r="P1793" s="99"/>
      <c r="Q1793" s="154"/>
      <c r="R1793" s="99"/>
      <c r="S1793" s="99"/>
    </row>
    <row r="1794" spans="16:19">
      <c r="P1794" s="99"/>
      <c r="Q1794" s="154"/>
      <c r="R1794" s="99"/>
      <c r="S1794" s="99"/>
    </row>
    <row r="1795" spans="16:19">
      <c r="P1795" s="99"/>
      <c r="Q1795" s="154"/>
      <c r="R1795" s="99"/>
      <c r="S1795" s="99"/>
    </row>
    <row r="1796" spans="16:19">
      <c r="P1796" s="99"/>
      <c r="Q1796" s="154"/>
      <c r="R1796" s="99"/>
      <c r="S1796" s="99"/>
    </row>
    <row r="1797" spans="16:19">
      <c r="P1797" s="99"/>
      <c r="Q1797" s="154"/>
      <c r="R1797" s="99"/>
      <c r="S1797" s="99"/>
    </row>
    <row r="1798" spans="16:19">
      <c r="P1798" s="99"/>
      <c r="Q1798" s="154"/>
      <c r="R1798" s="99"/>
      <c r="S1798" s="99"/>
    </row>
    <row r="1799" spans="16:19">
      <c r="P1799" s="99"/>
      <c r="Q1799" s="154"/>
      <c r="R1799" s="99"/>
      <c r="S1799" s="99"/>
    </row>
    <row r="1800" spans="16:19">
      <c r="P1800" s="99"/>
      <c r="Q1800" s="154"/>
      <c r="R1800" s="99"/>
      <c r="S1800" s="99"/>
    </row>
    <row r="1801" spans="16:19">
      <c r="P1801" s="99"/>
      <c r="Q1801" s="154"/>
      <c r="R1801" s="99"/>
      <c r="S1801" s="99"/>
    </row>
    <row r="1802" spans="16:19">
      <c r="P1802" s="99"/>
      <c r="Q1802" s="154"/>
      <c r="R1802" s="99"/>
      <c r="S1802" s="99"/>
    </row>
    <row r="1803" spans="16:19">
      <c r="P1803" s="99"/>
      <c r="Q1803" s="154"/>
      <c r="R1803" s="99"/>
      <c r="S1803" s="99"/>
    </row>
    <row r="1804" spans="16:19">
      <c r="P1804" s="99"/>
      <c r="Q1804" s="154"/>
      <c r="R1804" s="99"/>
      <c r="S1804" s="99"/>
    </row>
    <row r="1805" spans="16:19">
      <c r="P1805" s="99"/>
      <c r="Q1805" s="154"/>
      <c r="R1805" s="99"/>
      <c r="S1805" s="99"/>
    </row>
    <row r="1806" spans="16:19">
      <c r="P1806" s="99"/>
      <c r="Q1806" s="154"/>
      <c r="R1806" s="99"/>
      <c r="S1806" s="99"/>
    </row>
    <row r="1807" spans="16:19">
      <c r="P1807" s="99"/>
      <c r="Q1807" s="154"/>
      <c r="R1807" s="99"/>
      <c r="S1807" s="99"/>
    </row>
    <row r="1808" spans="16:19">
      <c r="P1808" s="99"/>
      <c r="Q1808" s="154"/>
      <c r="R1808" s="99"/>
      <c r="S1808" s="99"/>
    </row>
    <row r="1809" spans="16:19">
      <c r="P1809" s="99"/>
      <c r="Q1809" s="154"/>
      <c r="R1809" s="99"/>
      <c r="S1809" s="99"/>
    </row>
    <row r="1810" spans="16:19">
      <c r="P1810" s="99"/>
      <c r="Q1810" s="154"/>
      <c r="R1810" s="99"/>
      <c r="S1810" s="99"/>
    </row>
    <row r="1811" spans="16:19">
      <c r="P1811" s="99"/>
      <c r="Q1811" s="154"/>
      <c r="R1811" s="99"/>
      <c r="S1811" s="99"/>
    </row>
    <row r="1812" spans="16:19">
      <c r="P1812" s="99"/>
      <c r="Q1812" s="154"/>
      <c r="R1812" s="99"/>
      <c r="S1812" s="99"/>
    </row>
    <row r="1813" spans="16:19">
      <c r="P1813" s="99"/>
      <c r="Q1813" s="154"/>
      <c r="R1813" s="99"/>
      <c r="S1813" s="99"/>
    </row>
    <row r="1814" spans="16:19">
      <c r="P1814" s="99"/>
      <c r="Q1814" s="154"/>
      <c r="R1814" s="99"/>
      <c r="S1814" s="99"/>
    </row>
    <row r="1815" spans="16:19">
      <c r="P1815" s="99"/>
      <c r="Q1815" s="154"/>
      <c r="R1815" s="99"/>
      <c r="S1815" s="99"/>
    </row>
    <row r="1816" spans="16:19">
      <c r="P1816" s="99"/>
      <c r="Q1816" s="154"/>
      <c r="R1816" s="99"/>
      <c r="S1816" s="99"/>
    </row>
    <row r="1817" spans="16:19">
      <c r="P1817" s="99"/>
      <c r="Q1817" s="154"/>
      <c r="R1817" s="99"/>
      <c r="S1817" s="99"/>
    </row>
    <row r="1818" spans="16:19">
      <c r="P1818" s="99"/>
      <c r="Q1818" s="154"/>
      <c r="R1818" s="99"/>
      <c r="S1818" s="99"/>
    </row>
    <row r="1819" spans="16:19">
      <c r="P1819" s="99"/>
      <c r="Q1819" s="154"/>
      <c r="R1819" s="99"/>
      <c r="S1819" s="99"/>
    </row>
    <row r="1820" spans="16:19">
      <c r="P1820" s="99"/>
      <c r="Q1820" s="154"/>
      <c r="R1820" s="99"/>
      <c r="S1820" s="99"/>
    </row>
    <row r="1821" spans="16:19">
      <c r="P1821" s="99"/>
      <c r="Q1821" s="154"/>
      <c r="R1821" s="99"/>
      <c r="S1821" s="99"/>
    </row>
    <row r="1822" spans="16:19">
      <c r="P1822" s="99"/>
      <c r="Q1822" s="154"/>
      <c r="R1822" s="99"/>
      <c r="S1822" s="99"/>
    </row>
    <row r="1823" spans="16:19">
      <c r="P1823" s="99"/>
      <c r="Q1823" s="154"/>
      <c r="R1823" s="99"/>
      <c r="S1823" s="99"/>
    </row>
    <row r="1824" spans="16:19">
      <c r="P1824" s="99"/>
      <c r="Q1824" s="154"/>
      <c r="R1824" s="99"/>
      <c r="S1824" s="99"/>
    </row>
    <row r="1825" spans="16:19">
      <c r="P1825" s="99"/>
      <c r="Q1825" s="154"/>
      <c r="R1825" s="99"/>
      <c r="S1825" s="99"/>
    </row>
    <row r="1826" spans="16:19">
      <c r="P1826" s="99"/>
      <c r="Q1826" s="154"/>
      <c r="R1826" s="99"/>
      <c r="S1826" s="99"/>
    </row>
    <row r="1827" spans="16:19">
      <c r="P1827" s="99"/>
      <c r="Q1827" s="154"/>
      <c r="R1827" s="99"/>
      <c r="S1827" s="99"/>
    </row>
    <row r="1828" spans="16:19">
      <c r="P1828" s="99"/>
      <c r="Q1828" s="154"/>
      <c r="R1828" s="99"/>
      <c r="S1828" s="99"/>
    </row>
    <row r="1829" spans="16:19">
      <c r="P1829" s="99"/>
      <c r="Q1829" s="154"/>
      <c r="R1829" s="99"/>
      <c r="S1829" s="99"/>
    </row>
    <row r="1830" spans="16:19">
      <c r="P1830" s="99"/>
      <c r="Q1830" s="154"/>
      <c r="R1830" s="99"/>
      <c r="S1830" s="99"/>
    </row>
    <row r="1831" spans="16:19">
      <c r="P1831" s="103"/>
      <c r="Q1831" s="156"/>
      <c r="R1831" s="103"/>
      <c r="S1831" s="103"/>
    </row>
    <row r="1832" spans="16:19">
      <c r="P1832" s="105"/>
      <c r="Q1832" s="156"/>
      <c r="R1832" s="105"/>
      <c r="S1832" s="105"/>
    </row>
    <row r="1833" spans="16:19">
      <c r="P1833" s="105"/>
      <c r="Q1833" s="156"/>
      <c r="R1833" s="105"/>
      <c r="S1833" s="105"/>
    </row>
    <row r="1834" spans="16:19">
      <c r="P1834" s="105"/>
      <c r="Q1834" s="156"/>
      <c r="R1834" s="105"/>
      <c r="S1834" s="105"/>
    </row>
    <row r="1835" spans="16:19">
      <c r="P1835" s="105"/>
      <c r="Q1835" s="156"/>
      <c r="R1835" s="105"/>
      <c r="S1835" s="105"/>
    </row>
    <row r="1836" spans="16:19">
      <c r="P1836" s="105"/>
      <c r="Q1836" s="156"/>
      <c r="R1836" s="105"/>
      <c r="S1836" s="105"/>
    </row>
    <row r="1837" spans="16:19">
      <c r="P1837" s="105"/>
      <c r="Q1837" s="156"/>
      <c r="R1837" s="105"/>
      <c r="S1837" s="105"/>
    </row>
    <row r="1838" spans="16:19">
      <c r="P1838" s="105"/>
      <c r="Q1838" s="156"/>
      <c r="R1838" s="105"/>
      <c r="S1838" s="105"/>
    </row>
    <row r="1839" spans="16:19">
      <c r="P1839" s="105"/>
      <c r="Q1839" s="156"/>
      <c r="R1839" s="105"/>
      <c r="S1839" s="105"/>
    </row>
    <row r="1840" spans="16:19">
      <c r="P1840" s="105"/>
      <c r="Q1840" s="156"/>
      <c r="R1840" s="105"/>
      <c r="S1840" s="105"/>
    </row>
    <row r="1841" spans="16:19">
      <c r="P1841" s="105"/>
      <c r="Q1841" s="156"/>
      <c r="R1841" s="105"/>
      <c r="S1841" s="105"/>
    </row>
    <row r="1842" spans="16:19">
      <c r="P1842" s="105"/>
      <c r="Q1842" s="156"/>
      <c r="R1842" s="105"/>
      <c r="S1842" s="105"/>
    </row>
    <row r="1843" spans="16:19">
      <c r="P1843" s="105"/>
      <c r="Q1843" s="156"/>
      <c r="R1843" s="105"/>
      <c r="S1843" s="105"/>
    </row>
    <row r="1844" spans="16:19">
      <c r="P1844" s="105"/>
      <c r="Q1844" s="156"/>
      <c r="R1844" s="105"/>
      <c r="S1844" s="105"/>
    </row>
    <row r="1845" spans="16:19">
      <c r="P1845" s="105"/>
      <c r="Q1845" s="156"/>
      <c r="R1845" s="105"/>
      <c r="S1845" s="105"/>
    </row>
    <row r="1846" spans="16:19">
      <c r="P1846" s="105"/>
      <c r="Q1846" s="156"/>
      <c r="R1846" s="105"/>
      <c r="S1846" s="105"/>
    </row>
    <row r="1847" spans="16:19">
      <c r="P1847" s="105"/>
      <c r="Q1847" s="156"/>
      <c r="R1847" s="105"/>
      <c r="S1847" s="105"/>
    </row>
    <row r="1848" spans="16:19">
      <c r="P1848" s="105"/>
      <c r="Q1848" s="156"/>
      <c r="R1848" s="105"/>
      <c r="S1848" s="105"/>
    </row>
    <row r="1849" spans="16:19">
      <c r="P1849" s="105"/>
      <c r="Q1849" s="156"/>
      <c r="R1849" s="105"/>
      <c r="S1849" s="105"/>
    </row>
    <row r="1850" spans="16:19">
      <c r="P1850" s="105"/>
      <c r="Q1850" s="156"/>
      <c r="R1850" s="105"/>
      <c r="S1850" s="105"/>
    </row>
    <row r="1851" spans="16:19">
      <c r="P1851" s="105"/>
      <c r="Q1851" s="156"/>
      <c r="R1851" s="105"/>
      <c r="S1851" s="105"/>
    </row>
    <row r="1852" spans="16:19">
      <c r="P1852" s="105"/>
      <c r="Q1852" s="156"/>
      <c r="R1852" s="105"/>
      <c r="S1852" s="105"/>
    </row>
    <row r="1853" spans="16:19">
      <c r="P1853" s="105"/>
      <c r="Q1853" s="156"/>
      <c r="R1853" s="105"/>
      <c r="S1853" s="105"/>
    </row>
    <row r="1854" spans="16:19">
      <c r="P1854" s="105"/>
      <c r="Q1854" s="156"/>
      <c r="R1854" s="105"/>
      <c r="S1854" s="105"/>
    </row>
    <row r="1855" spans="16:19">
      <c r="P1855" s="105"/>
      <c r="Q1855" s="156"/>
      <c r="R1855" s="105"/>
      <c r="S1855" s="105"/>
    </row>
    <row r="1856" spans="16:19">
      <c r="P1856" s="105"/>
      <c r="Q1856" s="156"/>
      <c r="R1856" s="105"/>
      <c r="S1856" s="105"/>
    </row>
    <row r="1857" spans="16:19">
      <c r="P1857" s="105"/>
      <c r="Q1857" s="156"/>
      <c r="R1857" s="105"/>
      <c r="S1857" s="105"/>
    </row>
    <row r="1858" spans="16:19">
      <c r="P1858" s="105"/>
      <c r="Q1858" s="156"/>
      <c r="R1858" s="105"/>
      <c r="S1858" s="105"/>
    </row>
    <row r="1859" spans="16:19">
      <c r="P1859" s="105"/>
      <c r="Q1859" s="156"/>
      <c r="R1859" s="105"/>
      <c r="S1859" s="105"/>
    </row>
    <row r="1860" spans="16:19">
      <c r="P1860" s="105"/>
      <c r="Q1860" s="156"/>
      <c r="R1860" s="105"/>
      <c r="S1860" s="105"/>
    </row>
    <row r="1861" spans="16:19">
      <c r="P1861" s="105"/>
      <c r="Q1861" s="156"/>
      <c r="R1861" s="105"/>
      <c r="S1861" s="105"/>
    </row>
    <row r="1862" spans="16:19">
      <c r="P1862" s="105"/>
      <c r="Q1862" s="156"/>
      <c r="R1862" s="105"/>
      <c r="S1862" s="105"/>
    </row>
    <row r="1863" spans="16:19">
      <c r="P1863" s="105"/>
      <c r="Q1863" s="156"/>
      <c r="R1863" s="105"/>
      <c r="S1863" s="105"/>
    </row>
    <row r="1864" spans="16:19">
      <c r="P1864" s="105"/>
      <c r="Q1864" s="156"/>
      <c r="R1864" s="105"/>
      <c r="S1864" s="105"/>
    </row>
    <row r="1865" spans="16:19">
      <c r="P1865" s="105"/>
      <c r="Q1865" s="156"/>
      <c r="R1865" s="105"/>
      <c r="S1865" s="105"/>
    </row>
    <row r="1866" spans="16:19">
      <c r="P1866" s="105"/>
      <c r="Q1866" s="156"/>
      <c r="R1866" s="105"/>
      <c r="S1866" s="105"/>
    </row>
    <row r="1867" spans="16:19">
      <c r="P1867" s="105"/>
      <c r="Q1867" s="156"/>
      <c r="R1867" s="105"/>
      <c r="S1867" s="105"/>
    </row>
    <row r="1868" spans="16:19">
      <c r="P1868" s="105"/>
      <c r="Q1868" s="156"/>
      <c r="R1868" s="105"/>
      <c r="S1868" s="105"/>
    </row>
    <row r="1869" spans="16:19">
      <c r="P1869" s="105"/>
      <c r="Q1869" s="156"/>
      <c r="R1869" s="105"/>
      <c r="S1869" s="105"/>
    </row>
    <row r="1870" spans="16:19">
      <c r="P1870" s="105"/>
      <c r="Q1870" s="156"/>
      <c r="R1870" s="105"/>
      <c r="S1870" s="105"/>
    </row>
    <row r="1871" spans="16:19">
      <c r="P1871" s="105"/>
      <c r="Q1871" s="156"/>
      <c r="R1871" s="105"/>
      <c r="S1871" s="105"/>
    </row>
    <row r="1872" spans="16:19">
      <c r="P1872" s="105"/>
      <c r="Q1872" s="156"/>
      <c r="R1872" s="105"/>
      <c r="S1872" s="105"/>
    </row>
    <row r="1873" spans="16:19">
      <c r="P1873" s="105"/>
      <c r="Q1873" s="156"/>
      <c r="R1873" s="105"/>
      <c r="S1873" s="105"/>
    </row>
    <row r="1874" spans="16:19">
      <c r="P1874" s="105"/>
      <c r="Q1874" s="156"/>
      <c r="R1874" s="105"/>
      <c r="S1874" s="105"/>
    </row>
    <row r="1875" spans="16:19">
      <c r="P1875" s="105"/>
      <c r="Q1875" s="156"/>
      <c r="R1875" s="105"/>
      <c r="S1875" s="105"/>
    </row>
    <row r="1876" spans="16:19">
      <c r="P1876" s="105"/>
      <c r="Q1876" s="156"/>
      <c r="R1876" s="105"/>
      <c r="S1876" s="105"/>
    </row>
    <row r="1877" spans="16:19">
      <c r="P1877" s="105"/>
      <c r="Q1877" s="156"/>
      <c r="R1877" s="105"/>
      <c r="S1877" s="105"/>
    </row>
    <row r="1878" spans="16:19">
      <c r="P1878" s="105"/>
      <c r="Q1878" s="156"/>
      <c r="R1878" s="105"/>
      <c r="S1878" s="105"/>
    </row>
    <row r="1879" spans="16:19">
      <c r="P1879" s="105"/>
      <c r="Q1879" s="156"/>
      <c r="R1879" s="105"/>
      <c r="S1879" s="105"/>
    </row>
    <row r="1880" spans="16:19">
      <c r="P1880" s="105"/>
      <c r="Q1880" s="156"/>
      <c r="R1880" s="105"/>
      <c r="S1880" s="105"/>
    </row>
    <row r="1881" spans="16:19">
      <c r="P1881" s="105"/>
      <c r="Q1881" s="156"/>
      <c r="R1881" s="105"/>
      <c r="S1881" s="105"/>
    </row>
    <row r="1882" spans="16:19">
      <c r="P1882" s="105"/>
      <c r="Q1882" s="156"/>
      <c r="R1882" s="105"/>
      <c r="S1882" s="105"/>
    </row>
    <row r="1883" spans="16:19">
      <c r="P1883" s="105"/>
      <c r="Q1883" s="156"/>
      <c r="R1883" s="105"/>
      <c r="S1883" s="105"/>
    </row>
    <row r="1884" spans="16:19">
      <c r="P1884" s="105"/>
      <c r="Q1884" s="156"/>
      <c r="R1884" s="105"/>
      <c r="S1884" s="105"/>
    </row>
    <row r="1885" spans="16:19">
      <c r="P1885" s="105"/>
      <c r="Q1885" s="156"/>
      <c r="R1885" s="105"/>
      <c r="S1885" s="105"/>
    </row>
    <row r="1886" spans="16:19">
      <c r="P1886" s="105"/>
      <c r="Q1886" s="156"/>
      <c r="R1886" s="105"/>
      <c r="S1886" s="105"/>
    </row>
    <row r="1887" spans="16:19">
      <c r="P1887" s="105"/>
      <c r="Q1887" s="156"/>
      <c r="R1887" s="105"/>
      <c r="S1887" s="105"/>
    </row>
    <row r="1888" spans="16:19">
      <c r="P1888" s="105"/>
      <c r="Q1888" s="156"/>
      <c r="R1888" s="105"/>
      <c r="S1888" s="105"/>
    </row>
    <row r="1889" spans="16:19">
      <c r="P1889" s="105"/>
      <c r="Q1889" s="156"/>
      <c r="R1889" s="105"/>
      <c r="S1889" s="105"/>
    </row>
    <row r="1890" spans="16:19">
      <c r="P1890" s="105"/>
      <c r="Q1890" s="156"/>
      <c r="R1890" s="105"/>
      <c r="S1890" s="105"/>
    </row>
    <row r="1891" spans="16:19">
      <c r="P1891" s="105"/>
      <c r="Q1891" s="156"/>
      <c r="R1891" s="105"/>
      <c r="S1891" s="105"/>
    </row>
    <row r="1892" spans="16:19">
      <c r="P1892" s="105"/>
      <c r="Q1892" s="156"/>
      <c r="R1892" s="105"/>
      <c r="S1892" s="105"/>
    </row>
    <row r="1893" spans="16:19">
      <c r="P1893" s="105"/>
      <c r="Q1893" s="156"/>
      <c r="R1893" s="105"/>
      <c r="S1893" s="105"/>
    </row>
    <row r="1894" spans="16:19">
      <c r="P1894" s="105"/>
      <c r="Q1894" s="156"/>
      <c r="R1894" s="105"/>
      <c r="S1894" s="105"/>
    </row>
    <row r="1895" spans="16:19">
      <c r="P1895" s="105"/>
      <c r="Q1895" s="156"/>
      <c r="R1895" s="105"/>
      <c r="S1895" s="105"/>
    </row>
    <row r="1896" spans="16:19">
      <c r="P1896" s="105"/>
      <c r="Q1896" s="156"/>
      <c r="R1896" s="105"/>
      <c r="S1896" s="105"/>
    </row>
    <row r="1897" spans="16:19">
      <c r="P1897" s="105"/>
      <c r="Q1897" s="156"/>
      <c r="R1897" s="105"/>
      <c r="S1897" s="105"/>
    </row>
    <row r="1898" spans="16:19">
      <c r="P1898" s="105"/>
      <c r="Q1898" s="156"/>
      <c r="R1898" s="105"/>
      <c r="S1898" s="105"/>
    </row>
    <row r="1899" spans="16:19">
      <c r="P1899" s="105"/>
      <c r="Q1899" s="156"/>
      <c r="R1899" s="105"/>
      <c r="S1899" s="105"/>
    </row>
    <row r="1900" spans="16:19">
      <c r="P1900" s="105"/>
      <c r="Q1900" s="156"/>
      <c r="R1900" s="105"/>
      <c r="S1900" s="105"/>
    </row>
    <row r="1901" spans="16:19">
      <c r="P1901" s="105"/>
      <c r="Q1901" s="156"/>
      <c r="R1901" s="105"/>
      <c r="S1901" s="105"/>
    </row>
    <row r="1902" spans="16:19">
      <c r="P1902" s="105"/>
      <c r="Q1902" s="156"/>
      <c r="R1902" s="105"/>
      <c r="S1902" s="105"/>
    </row>
    <row r="1903" spans="16:19">
      <c r="P1903" s="105"/>
      <c r="Q1903" s="156"/>
      <c r="R1903" s="105"/>
      <c r="S1903" s="105"/>
    </row>
    <row r="1904" spans="16:19">
      <c r="P1904" s="105"/>
      <c r="Q1904" s="156"/>
      <c r="R1904" s="105"/>
      <c r="S1904" s="105"/>
    </row>
    <row r="1905" spans="16:19">
      <c r="P1905" s="105"/>
      <c r="Q1905" s="156"/>
      <c r="R1905" s="105"/>
      <c r="S1905" s="105"/>
    </row>
    <row r="1906" spans="16:19">
      <c r="P1906" s="105"/>
      <c r="Q1906" s="156"/>
      <c r="R1906" s="105"/>
      <c r="S1906" s="105"/>
    </row>
    <row r="1907" spans="16:19">
      <c r="P1907" s="105"/>
      <c r="Q1907" s="156"/>
      <c r="R1907" s="105"/>
      <c r="S1907" s="105"/>
    </row>
    <row r="1908" spans="16:19">
      <c r="P1908" s="80"/>
      <c r="Q1908" s="147"/>
      <c r="R1908" s="80"/>
      <c r="S1908" s="80"/>
    </row>
    <row r="1909" spans="16:19">
      <c r="P1909" s="80"/>
      <c r="Q1909" s="147"/>
      <c r="R1909" s="80"/>
      <c r="S1909" s="80"/>
    </row>
    <row r="1910" spans="16:19">
      <c r="P1910" s="80"/>
      <c r="Q1910" s="147"/>
      <c r="R1910" s="80"/>
      <c r="S1910" s="80"/>
    </row>
    <row r="1911" spans="16:19">
      <c r="P1911" s="80"/>
      <c r="Q1911" s="147"/>
      <c r="R1911" s="80"/>
      <c r="S1911" s="80"/>
    </row>
    <row r="1912" spans="16:19">
      <c r="P1912" s="80"/>
      <c r="Q1912" s="147"/>
      <c r="R1912" s="80"/>
      <c r="S1912" s="80"/>
    </row>
    <row r="1913" spans="16:19">
      <c r="P1913" s="80"/>
      <c r="Q1913" s="147"/>
      <c r="R1913" s="80"/>
      <c r="S1913" s="80"/>
    </row>
    <row r="1914" spans="16:19">
      <c r="P1914" s="80"/>
      <c r="Q1914" s="147"/>
      <c r="R1914" s="80"/>
      <c r="S1914" s="80"/>
    </row>
    <row r="1915" spans="16:19">
      <c r="P1915" s="80"/>
      <c r="Q1915" s="147"/>
      <c r="R1915" s="80"/>
      <c r="S1915" s="80"/>
    </row>
    <row r="1916" spans="16:19">
      <c r="P1916" s="80"/>
      <c r="Q1916" s="147"/>
      <c r="R1916" s="80"/>
      <c r="S1916" s="80"/>
    </row>
    <row r="1917" spans="16:19">
      <c r="P1917" s="80"/>
      <c r="Q1917" s="147"/>
      <c r="R1917" s="80"/>
      <c r="S1917" s="80"/>
    </row>
    <row r="1918" spans="16:19">
      <c r="P1918" s="80"/>
      <c r="Q1918" s="147"/>
      <c r="R1918" s="80"/>
      <c r="S1918" s="80"/>
    </row>
    <row r="1919" spans="16:19">
      <c r="P1919" s="80"/>
      <c r="Q1919" s="147"/>
      <c r="R1919" s="80"/>
      <c r="S1919" s="80"/>
    </row>
    <row r="1920" spans="16:19">
      <c r="P1920" s="80"/>
      <c r="Q1920" s="147"/>
      <c r="R1920" s="80"/>
      <c r="S1920" s="80"/>
    </row>
    <row r="1921" spans="16:19">
      <c r="P1921" s="80"/>
      <c r="Q1921" s="147"/>
      <c r="R1921" s="80"/>
      <c r="S1921" s="80"/>
    </row>
    <row r="1922" spans="16:19">
      <c r="P1922" s="80"/>
      <c r="Q1922" s="147"/>
      <c r="R1922" s="80"/>
      <c r="S1922" s="80"/>
    </row>
    <row r="1923" spans="16:19">
      <c r="P1923" s="80"/>
      <c r="Q1923" s="147"/>
      <c r="R1923" s="80"/>
      <c r="S1923" s="80"/>
    </row>
    <row r="1924" spans="16:19">
      <c r="P1924" s="80"/>
      <c r="Q1924" s="147"/>
      <c r="R1924" s="80"/>
      <c r="S1924" s="80"/>
    </row>
    <row r="1925" spans="16:19">
      <c r="P1925" s="80"/>
      <c r="Q1925" s="147"/>
      <c r="R1925" s="80"/>
      <c r="S1925" s="80"/>
    </row>
    <row r="1926" spans="16:19">
      <c r="P1926" s="80"/>
      <c r="Q1926" s="147"/>
      <c r="R1926" s="80"/>
      <c r="S1926" s="80"/>
    </row>
    <row r="1927" spans="16:19">
      <c r="P1927" s="80"/>
      <c r="Q1927" s="147"/>
      <c r="R1927" s="80"/>
      <c r="S1927" s="80"/>
    </row>
    <row r="1928" spans="16:19">
      <c r="P1928" s="80"/>
      <c r="Q1928" s="147"/>
      <c r="R1928" s="80"/>
      <c r="S1928" s="80"/>
    </row>
    <row r="1929" spans="16:19">
      <c r="P1929" s="80"/>
      <c r="Q1929" s="147"/>
      <c r="R1929" s="80"/>
      <c r="S1929" s="80"/>
    </row>
    <row r="1930" spans="16:19">
      <c r="P1930" s="80"/>
      <c r="Q1930" s="147"/>
      <c r="R1930" s="80"/>
      <c r="S1930" s="80"/>
    </row>
    <row r="1931" spans="16:19">
      <c r="P1931" s="80"/>
      <c r="Q1931" s="147"/>
      <c r="R1931" s="80"/>
      <c r="S1931" s="80"/>
    </row>
    <row r="1932" spans="16:19">
      <c r="P1932" s="80"/>
      <c r="Q1932" s="147"/>
      <c r="R1932" s="80"/>
      <c r="S1932" s="80"/>
    </row>
    <row r="1933" spans="16:19">
      <c r="P1933" s="80"/>
      <c r="Q1933" s="147"/>
      <c r="R1933" s="80"/>
      <c r="S1933" s="80"/>
    </row>
    <row r="1934" spans="16:19">
      <c r="P1934" s="105"/>
      <c r="Q1934" s="156"/>
      <c r="R1934" s="105"/>
      <c r="S1934" s="105"/>
    </row>
    <row r="1935" spans="16:19">
      <c r="P1935" s="105"/>
      <c r="Q1935" s="156"/>
      <c r="R1935" s="105"/>
      <c r="S1935" s="105"/>
    </row>
    <row r="1936" spans="16:19">
      <c r="P1936" s="97"/>
      <c r="Q1936" s="154"/>
      <c r="R1936" s="97"/>
      <c r="S1936" s="97"/>
    </row>
    <row r="1937" spans="16:19">
      <c r="P1937" s="99"/>
      <c r="Q1937" s="154"/>
      <c r="R1937" s="99"/>
      <c r="S1937" s="99"/>
    </row>
    <row r="1938" spans="16:19">
      <c r="P1938" s="99"/>
      <c r="Q1938" s="154"/>
      <c r="R1938" s="99"/>
      <c r="S1938" s="99"/>
    </row>
    <row r="1939" spans="16:19">
      <c r="P1939" s="99"/>
      <c r="Q1939" s="154"/>
      <c r="R1939" s="99"/>
      <c r="S1939" s="99"/>
    </row>
    <row r="1940" spans="16:19">
      <c r="P1940" s="99"/>
      <c r="Q1940" s="154"/>
      <c r="R1940" s="99"/>
      <c r="S1940" s="99"/>
    </row>
    <row r="1941" spans="16:19">
      <c r="P1941" s="99"/>
      <c r="Q1941" s="154"/>
      <c r="R1941" s="99"/>
      <c r="S1941" s="99"/>
    </row>
    <row r="1942" spans="16:19">
      <c r="P1942" s="99"/>
      <c r="Q1942" s="154"/>
      <c r="R1942" s="99"/>
      <c r="S1942" s="99"/>
    </row>
    <row r="1943" spans="16:19">
      <c r="P1943" s="99"/>
      <c r="Q1943" s="154"/>
      <c r="R1943" s="99"/>
      <c r="S1943" s="99"/>
    </row>
    <row r="1944" spans="16:19">
      <c r="P1944" s="99"/>
      <c r="Q1944" s="154"/>
      <c r="R1944" s="99"/>
      <c r="S1944" s="99"/>
    </row>
    <row r="1945" spans="16:19">
      <c r="P1945" s="99"/>
      <c r="Q1945" s="154"/>
      <c r="R1945" s="99"/>
      <c r="S1945" s="99"/>
    </row>
    <row r="1946" spans="16:19">
      <c r="P1946" s="99"/>
      <c r="Q1946" s="154"/>
      <c r="R1946" s="99"/>
      <c r="S1946" s="99"/>
    </row>
    <row r="1947" spans="16:19">
      <c r="P1947" s="99"/>
      <c r="Q1947" s="154"/>
      <c r="R1947" s="99"/>
      <c r="S1947" s="99"/>
    </row>
    <row r="1948" spans="16:19">
      <c r="P1948" s="99"/>
      <c r="Q1948" s="154"/>
      <c r="R1948" s="99"/>
      <c r="S1948" s="99"/>
    </row>
    <row r="1949" spans="16:19">
      <c r="P1949" s="99"/>
      <c r="Q1949" s="154"/>
      <c r="R1949" s="99"/>
      <c r="S1949" s="99"/>
    </row>
    <row r="1950" spans="16:19">
      <c r="P1950" s="99"/>
      <c r="Q1950" s="154"/>
      <c r="R1950" s="99"/>
      <c r="S1950" s="99"/>
    </row>
    <row r="1951" spans="16:19">
      <c r="P1951" s="99"/>
      <c r="Q1951" s="154"/>
      <c r="R1951" s="99"/>
      <c r="S1951" s="99"/>
    </row>
    <row r="1952" spans="16:19">
      <c r="P1952" s="99"/>
      <c r="Q1952" s="154"/>
      <c r="R1952" s="99"/>
      <c r="S1952" s="99"/>
    </row>
    <row r="1953" spans="16:19">
      <c r="P1953" s="99"/>
      <c r="Q1953" s="154"/>
      <c r="R1953" s="99"/>
      <c r="S1953" s="99"/>
    </row>
    <row r="1954" spans="16:19">
      <c r="P1954" s="99"/>
      <c r="Q1954" s="154"/>
      <c r="R1954" s="99"/>
      <c r="S1954" s="99"/>
    </row>
    <row r="1955" spans="16:19">
      <c r="P1955" s="99"/>
      <c r="Q1955" s="154"/>
      <c r="R1955" s="99"/>
      <c r="S1955" s="99"/>
    </row>
    <row r="1956" spans="16:19">
      <c r="P1956" s="99"/>
      <c r="Q1956" s="154"/>
      <c r="R1956" s="99"/>
      <c r="S1956" s="99"/>
    </row>
    <row r="1957" spans="16:19">
      <c r="P1957" s="99"/>
      <c r="Q1957" s="154"/>
      <c r="R1957" s="99"/>
      <c r="S1957" s="99"/>
    </row>
    <row r="1958" spans="16:19">
      <c r="P1958" s="99"/>
      <c r="Q1958" s="154"/>
      <c r="R1958" s="99"/>
      <c r="S1958" s="99"/>
    </row>
    <row r="1959" spans="16:19">
      <c r="P1959" s="99"/>
      <c r="Q1959" s="154"/>
      <c r="R1959" s="99"/>
      <c r="S1959" s="99"/>
    </row>
    <row r="1960" spans="16:19">
      <c r="P1960" s="99"/>
      <c r="Q1960" s="154"/>
      <c r="R1960" s="99"/>
      <c r="S1960" s="99"/>
    </row>
    <row r="1961" spans="16:19">
      <c r="P1961" s="99"/>
      <c r="Q1961" s="154"/>
      <c r="R1961" s="99"/>
      <c r="S1961" s="99"/>
    </row>
    <row r="1962" spans="16:19">
      <c r="P1962" s="99"/>
      <c r="Q1962" s="154"/>
      <c r="R1962" s="99"/>
      <c r="S1962" s="99"/>
    </row>
    <row r="1963" spans="16:19">
      <c r="P1963" s="99"/>
      <c r="Q1963" s="154"/>
      <c r="R1963" s="99"/>
      <c r="S1963" s="99"/>
    </row>
    <row r="1964" spans="16:19">
      <c r="P1964" s="99"/>
      <c r="Q1964" s="154"/>
      <c r="R1964" s="99"/>
      <c r="S1964" s="99"/>
    </row>
    <row r="1965" spans="16:19">
      <c r="P1965" s="99"/>
      <c r="Q1965" s="154"/>
      <c r="R1965" s="99"/>
      <c r="S1965" s="99"/>
    </row>
    <row r="1966" spans="16:19">
      <c r="P1966" s="99"/>
      <c r="Q1966" s="154"/>
      <c r="R1966" s="99"/>
      <c r="S1966" s="99"/>
    </row>
    <row r="1967" spans="16:19">
      <c r="P1967" s="99"/>
      <c r="Q1967" s="154"/>
      <c r="R1967" s="99"/>
      <c r="S1967" s="99"/>
    </row>
    <row r="1968" spans="16:19">
      <c r="P1968" s="99"/>
      <c r="Q1968" s="154"/>
      <c r="R1968" s="99"/>
      <c r="S1968" s="99"/>
    </row>
    <row r="1969" spans="16:19">
      <c r="P1969" s="99"/>
      <c r="Q1969" s="154"/>
      <c r="R1969" s="99"/>
      <c r="S1969" s="99"/>
    </row>
    <row r="1970" spans="16:19">
      <c r="P1970" s="99"/>
      <c r="Q1970" s="154"/>
      <c r="R1970" s="99"/>
      <c r="S1970" s="99"/>
    </row>
    <row r="1971" spans="16:19">
      <c r="P1971" s="99"/>
      <c r="Q1971" s="154"/>
      <c r="R1971" s="99"/>
      <c r="S1971" s="99"/>
    </row>
    <row r="1972" spans="16:19">
      <c r="P1972" s="99"/>
      <c r="Q1972" s="154"/>
      <c r="R1972" s="99"/>
      <c r="S1972" s="99"/>
    </row>
    <row r="1973" spans="16:19">
      <c r="P1973" s="99"/>
      <c r="Q1973" s="154"/>
      <c r="R1973" s="99"/>
      <c r="S1973" s="99"/>
    </row>
    <row r="1974" spans="16:19">
      <c r="P1974" s="99"/>
      <c r="Q1974" s="154"/>
      <c r="R1974" s="99"/>
      <c r="S1974" s="99"/>
    </row>
    <row r="1975" spans="16:19">
      <c r="P1975" s="99"/>
      <c r="Q1975" s="154"/>
      <c r="R1975" s="99"/>
      <c r="S1975" s="99"/>
    </row>
    <row r="1976" spans="16:19">
      <c r="P1976" s="99"/>
      <c r="Q1976" s="154"/>
      <c r="R1976" s="99"/>
      <c r="S1976" s="99"/>
    </row>
    <row r="1977" spans="16:19">
      <c r="P1977" s="99"/>
      <c r="Q1977" s="154"/>
      <c r="R1977" s="99"/>
      <c r="S1977" s="99"/>
    </row>
    <row r="1978" spans="16:19">
      <c r="P1978" s="99"/>
      <c r="Q1978" s="154"/>
      <c r="R1978" s="99"/>
      <c r="S1978" s="99"/>
    </row>
    <row r="1979" spans="16:19">
      <c r="P1979" s="99"/>
      <c r="Q1979" s="154"/>
      <c r="R1979" s="99"/>
      <c r="S1979" s="99"/>
    </row>
    <row r="1980" spans="16:19">
      <c r="P1980" s="99"/>
      <c r="Q1980" s="154"/>
      <c r="R1980" s="99"/>
      <c r="S1980" s="99"/>
    </row>
    <row r="1981" spans="16:19">
      <c r="P1981" s="99"/>
      <c r="Q1981" s="154"/>
      <c r="R1981" s="99"/>
      <c r="S1981" s="99"/>
    </row>
    <row r="1982" spans="16:19">
      <c r="P1982" s="99"/>
      <c r="Q1982" s="154"/>
      <c r="R1982" s="99"/>
      <c r="S1982" s="99"/>
    </row>
    <row r="1983" spans="16:19">
      <c r="P1983" s="99"/>
      <c r="Q1983" s="154"/>
      <c r="R1983" s="99"/>
      <c r="S1983" s="99"/>
    </row>
    <row r="1984" spans="16:19">
      <c r="P1984" s="99"/>
      <c r="Q1984" s="154"/>
      <c r="R1984" s="99"/>
      <c r="S1984" s="99"/>
    </row>
    <row r="1985" spans="16:19">
      <c r="P1985" s="99"/>
      <c r="Q1985" s="154"/>
      <c r="R1985" s="99"/>
      <c r="S1985" s="99"/>
    </row>
    <row r="1986" spans="16:19">
      <c r="P1986" s="99"/>
      <c r="Q1986" s="154"/>
      <c r="R1986" s="99"/>
      <c r="S1986" s="99"/>
    </row>
    <row r="1987" spans="16:19">
      <c r="P1987" s="99"/>
      <c r="Q1987" s="154"/>
      <c r="R1987" s="99"/>
      <c r="S1987" s="99"/>
    </row>
    <row r="1988" spans="16:19">
      <c r="P1988" s="99"/>
      <c r="Q1988" s="154"/>
      <c r="R1988" s="99"/>
      <c r="S1988" s="99"/>
    </row>
    <row r="1989" spans="16:19">
      <c r="P1989" s="99"/>
      <c r="Q1989" s="154"/>
      <c r="R1989" s="99"/>
      <c r="S1989" s="99"/>
    </row>
    <row r="1990" spans="16:19">
      <c r="P1990" s="99"/>
      <c r="Q1990" s="154"/>
      <c r="R1990" s="99"/>
      <c r="S1990" s="99"/>
    </row>
    <row r="1991" spans="16:19">
      <c r="P1991" s="99"/>
      <c r="Q1991" s="154"/>
      <c r="R1991" s="99"/>
      <c r="S1991" s="99"/>
    </row>
    <row r="1992" spans="16:19">
      <c r="P1992" s="80"/>
      <c r="Q1992" s="147"/>
      <c r="R1992" s="80"/>
      <c r="S1992" s="80"/>
    </row>
    <row r="1993" spans="16:19">
      <c r="P1993" s="105"/>
      <c r="Q1993" s="156"/>
      <c r="R1993" s="105"/>
      <c r="S1993" s="105"/>
    </row>
    <row r="1994" spans="16:19">
      <c r="P1994" s="105"/>
      <c r="Q1994" s="156"/>
      <c r="R1994" s="105"/>
      <c r="S1994" s="105"/>
    </row>
    <row r="1995" spans="16:19">
      <c r="P1995" s="105"/>
      <c r="Q1995" s="156"/>
      <c r="R1995" s="105"/>
      <c r="S1995" s="105"/>
    </row>
    <row r="1996" spans="16:19">
      <c r="P1996" s="105"/>
      <c r="Q1996" s="156"/>
      <c r="R1996" s="105"/>
      <c r="S1996" s="105"/>
    </row>
    <row r="1997" spans="16:19">
      <c r="P1997" s="105"/>
      <c r="Q1997" s="156"/>
      <c r="R1997" s="105"/>
      <c r="S1997" s="105"/>
    </row>
    <row r="1998" spans="16:19">
      <c r="P1998" s="99"/>
      <c r="Q1998" s="154"/>
      <c r="R1998" s="99"/>
      <c r="S1998" s="99"/>
    </row>
    <row r="1999" spans="16:19">
      <c r="P1999" s="99"/>
      <c r="Q1999" s="154"/>
      <c r="R1999" s="99"/>
      <c r="S1999" s="99"/>
    </row>
    <row r="2000" spans="16:19">
      <c r="P2000" s="99"/>
      <c r="Q2000" s="154"/>
      <c r="R2000" s="99"/>
      <c r="S2000" s="99"/>
    </row>
    <row r="2001" spans="16:19">
      <c r="P2001" s="99"/>
      <c r="Q2001" s="154"/>
      <c r="R2001" s="99"/>
      <c r="S2001" s="99"/>
    </row>
    <row r="2002" spans="16:19">
      <c r="P2002" s="99"/>
      <c r="Q2002" s="154"/>
      <c r="R2002" s="99"/>
      <c r="S2002" s="99"/>
    </row>
    <row r="2007" spans="16:19">
      <c r="P2007" s="76"/>
    </row>
    <row r="2008" spans="16:19">
      <c r="P2008" s="76"/>
    </row>
    <row r="2009" spans="16:19">
      <c r="P2009" s="76"/>
    </row>
    <row r="2010" spans="16:19">
      <c r="P2010" s="76"/>
    </row>
    <row r="2011" spans="16:19">
      <c r="P2011" s="76"/>
    </row>
    <row r="2012" spans="16:19">
      <c r="P2012" s="76"/>
    </row>
    <row r="2013" spans="16:19">
      <c r="P2013" s="76"/>
    </row>
    <row r="2014" spans="16:19">
      <c r="P2014" s="76"/>
    </row>
    <row r="2015" spans="16:19">
      <c r="P2015" s="76"/>
    </row>
    <row r="2016" spans="16:19">
      <c r="P2016" s="76"/>
    </row>
    <row r="2017" spans="16:16">
      <c r="P2017" s="76"/>
    </row>
    <row r="2018" spans="16:16">
      <c r="P2018" s="76"/>
    </row>
    <row r="2019" spans="16:16">
      <c r="P2019" s="76"/>
    </row>
    <row r="2020" spans="16:16">
      <c r="P2020" s="76"/>
    </row>
    <row r="2021" spans="16:16">
      <c r="P2021" s="76"/>
    </row>
    <row r="2022" spans="16:16">
      <c r="P2022" s="76"/>
    </row>
    <row r="2023" spans="16:16">
      <c r="P2023" s="76"/>
    </row>
    <row r="2024" spans="16:16">
      <c r="P2024" s="76"/>
    </row>
    <row r="2025" spans="16:16">
      <c r="P2025" s="76"/>
    </row>
    <row r="2026" spans="16:16">
      <c r="P2026" s="76"/>
    </row>
    <row r="2027" spans="16:16">
      <c r="P2027" s="76"/>
    </row>
    <row r="2028" spans="16:16">
      <c r="P2028" s="76"/>
    </row>
    <row r="2029" spans="16:16">
      <c r="P2029" s="76"/>
    </row>
    <row r="2030" spans="16:16">
      <c r="P2030" s="76"/>
    </row>
    <row r="2031" spans="16:16">
      <c r="P2031" s="76"/>
    </row>
    <row r="2032" spans="16:16">
      <c r="P2032" s="76"/>
    </row>
    <row r="2033" spans="16:16">
      <c r="P2033" s="76"/>
    </row>
    <row r="2034" spans="16:16">
      <c r="P2034" s="76"/>
    </row>
    <row r="2035" spans="16:16">
      <c r="P2035" s="76"/>
    </row>
    <row r="2036" spans="16:16">
      <c r="P2036" s="76"/>
    </row>
    <row r="2037" spans="16:16">
      <c r="P2037" s="76"/>
    </row>
    <row r="2038" spans="16:16">
      <c r="P2038" s="76"/>
    </row>
    <row r="2039" spans="16:16">
      <c r="P2039" s="76"/>
    </row>
    <row r="2040" spans="16:16">
      <c r="P2040" s="76"/>
    </row>
    <row r="2041" spans="16:16">
      <c r="P2041" s="76"/>
    </row>
    <row r="2042" spans="16:16">
      <c r="P2042" s="76"/>
    </row>
    <row r="2043" spans="16:16">
      <c r="P2043" s="76"/>
    </row>
    <row r="2044" spans="16:16">
      <c r="P2044" s="76"/>
    </row>
    <row r="2045" spans="16:16">
      <c r="P2045" s="76"/>
    </row>
    <row r="2046" spans="16:16">
      <c r="P2046" s="76"/>
    </row>
    <row r="2047" spans="16:16">
      <c r="P2047" s="76"/>
    </row>
    <row r="2048" spans="16:16">
      <c r="P2048" s="76"/>
    </row>
    <row r="2049" spans="16:16">
      <c r="P2049" s="76"/>
    </row>
    <row r="2050" spans="16:16">
      <c r="P2050" s="76"/>
    </row>
    <row r="2051" spans="16:16">
      <c r="P2051" s="76"/>
    </row>
    <row r="2052" spans="16:16">
      <c r="P2052" s="76"/>
    </row>
    <row r="2053" spans="16:16">
      <c r="P2053" s="76"/>
    </row>
    <row r="2054" spans="16:16">
      <c r="P2054" s="76"/>
    </row>
    <row r="2055" spans="16:16">
      <c r="P2055" s="76"/>
    </row>
    <row r="2056" spans="16:16">
      <c r="P2056" s="76"/>
    </row>
    <row r="2057" spans="16:16">
      <c r="P2057" s="76"/>
    </row>
    <row r="2058" spans="16:16">
      <c r="P2058" s="76"/>
    </row>
    <row r="2059" spans="16:16">
      <c r="P2059" s="76"/>
    </row>
    <row r="2060" spans="16:16">
      <c r="P2060" s="76"/>
    </row>
    <row r="2061" spans="16:16">
      <c r="P2061" s="76"/>
    </row>
    <row r="2062" spans="16:16">
      <c r="P2062" s="76"/>
    </row>
    <row r="2063" spans="16:16">
      <c r="P2063" s="76"/>
    </row>
    <row r="2064" spans="16:16">
      <c r="P2064" s="76"/>
    </row>
    <row r="2065" spans="16:16">
      <c r="P2065" s="76"/>
    </row>
    <row r="2066" spans="16:16">
      <c r="P2066" s="76"/>
    </row>
    <row r="2067" spans="16:16">
      <c r="P2067" s="76"/>
    </row>
    <row r="2068" spans="16:16">
      <c r="P2068" s="76"/>
    </row>
    <row r="2069" spans="16:16">
      <c r="P2069" s="76"/>
    </row>
    <row r="2070" spans="16:16">
      <c r="P2070" s="76"/>
    </row>
    <row r="2071" spans="16:16">
      <c r="P2071" s="76"/>
    </row>
    <row r="2072" spans="16:16">
      <c r="P2072" s="76"/>
    </row>
    <row r="2073" spans="16:16">
      <c r="P2073" s="76"/>
    </row>
    <row r="2074" spans="16:16">
      <c r="P2074" s="76"/>
    </row>
    <row r="2075" spans="16:16">
      <c r="P2075" s="76"/>
    </row>
    <row r="2076" spans="16:16">
      <c r="P2076" s="76"/>
    </row>
    <row r="2077" spans="16:16">
      <c r="P2077" s="76"/>
    </row>
    <row r="2078" spans="16:16">
      <c r="P2078" s="76"/>
    </row>
    <row r="2079" spans="16:16">
      <c r="P2079" s="76"/>
    </row>
    <row r="2080" spans="16:16">
      <c r="P2080" s="76"/>
    </row>
    <row r="2081" spans="16:16">
      <c r="P2081" s="76"/>
    </row>
    <row r="2082" spans="16:16">
      <c r="P2082" s="76"/>
    </row>
    <row r="2083" spans="16:16">
      <c r="P2083" s="76"/>
    </row>
    <row r="2084" spans="16:16">
      <c r="P2084" s="76"/>
    </row>
    <row r="2085" spans="16:16">
      <c r="P2085" s="76"/>
    </row>
    <row r="2086" spans="16:16">
      <c r="P2086" s="76"/>
    </row>
    <row r="2087" spans="16:16">
      <c r="P2087" s="76"/>
    </row>
    <row r="2088" spans="16:16">
      <c r="P2088" s="76"/>
    </row>
    <row r="2089" spans="16:16">
      <c r="P2089" s="76"/>
    </row>
    <row r="2090" spans="16:16">
      <c r="P2090" s="76"/>
    </row>
    <row r="2091" spans="16:16">
      <c r="P2091" s="76"/>
    </row>
    <row r="2092" spans="16:16">
      <c r="P2092" s="76"/>
    </row>
    <row r="2093" spans="16:16">
      <c r="P2093" s="76"/>
    </row>
    <row r="2094" spans="16:16">
      <c r="P2094" s="76"/>
    </row>
    <row r="2095" spans="16:16">
      <c r="P2095" s="76"/>
    </row>
    <row r="2096" spans="16:16">
      <c r="P2096" s="76"/>
    </row>
    <row r="2097" spans="16:16">
      <c r="P2097" s="76"/>
    </row>
    <row r="2098" spans="16:16">
      <c r="P2098" s="76"/>
    </row>
    <row r="2099" spans="16:16">
      <c r="P2099" s="76"/>
    </row>
    <row r="2100" spans="16:16">
      <c r="P2100" s="76"/>
    </row>
    <row r="2101" spans="16:16">
      <c r="P2101" s="76"/>
    </row>
    <row r="2102" spans="16:16">
      <c r="P2102" s="76"/>
    </row>
    <row r="2103" spans="16:16">
      <c r="P2103" s="76"/>
    </row>
    <row r="2104" spans="16:16">
      <c r="P2104" s="76"/>
    </row>
    <row r="2105" spans="16:16">
      <c r="P2105" s="76"/>
    </row>
    <row r="2106" spans="16:16">
      <c r="P2106" s="76"/>
    </row>
    <row r="2107" spans="16:16">
      <c r="P2107" s="76"/>
    </row>
    <row r="2108" spans="16:16">
      <c r="P2108" s="76"/>
    </row>
    <row r="2109" spans="16:16">
      <c r="P2109" s="76"/>
    </row>
    <row r="2110" spans="16:16">
      <c r="P2110" s="76"/>
    </row>
    <row r="2111" spans="16:16">
      <c r="P2111" s="76"/>
    </row>
    <row r="2112" spans="16:16">
      <c r="P2112" s="76"/>
    </row>
    <row r="2113" spans="16:16">
      <c r="P2113" s="76"/>
    </row>
    <row r="2114" spans="16:16">
      <c r="P2114" s="76"/>
    </row>
    <row r="2115" spans="16:16">
      <c r="P2115" s="76"/>
    </row>
    <row r="2116" spans="16:16">
      <c r="P2116" s="76"/>
    </row>
    <row r="2117" spans="16:16">
      <c r="P2117" s="76"/>
    </row>
    <row r="2118" spans="16:16">
      <c r="P2118" s="76"/>
    </row>
    <row r="2119" spans="16:16">
      <c r="P2119" s="76"/>
    </row>
    <row r="2120" spans="16:16">
      <c r="P2120" s="76"/>
    </row>
    <row r="2121" spans="16:16">
      <c r="P2121" s="76"/>
    </row>
    <row r="2122" spans="16:16">
      <c r="P2122" s="76"/>
    </row>
    <row r="2123" spans="16:16">
      <c r="P2123" s="76"/>
    </row>
    <row r="2124" spans="16:16">
      <c r="P2124" s="76"/>
    </row>
    <row r="2125" spans="16:16">
      <c r="P2125" s="76"/>
    </row>
    <row r="2126" spans="16:16">
      <c r="P2126" s="76"/>
    </row>
    <row r="2127" spans="16:16">
      <c r="P2127" s="76"/>
    </row>
    <row r="2128" spans="16:16">
      <c r="P2128" s="76"/>
    </row>
    <row r="2129" spans="16:16">
      <c r="P2129" s="76"/>
    </row>
    <row r="2130" spans="16:16">
      <c r="P2130" s="76"/>
    </row>
    <row r="2131" spans="16:16">
      <c r="P2131" s="76"/>
    </row>
    <row r="2132" spans="16:16">
      <c r="P2132" s="76"/>
    </row>
    <row r="2133" spans="16:16">
      <c r="P2133" s="76"/>
    </row>
    <row r="2134" spans="16:16">
      <c r="P2134" s="76"/>
    </row>
    <row r="2135" spans="16:16">
      <c r="P2135" s="76"/>
    </row>
    <row r="2136" spans="16:16">
      <c r="P2136" s="76"/>
    </row>
    <row r="2137" spans="16:16">
      <c r="P2137" s="76"/>
    </row>
    <row r="2138" spans="16:16">
      <c r="P2138" s="76"/>
    </row>
    <row r="2139" spans="16:16">
      <c r="P2139" s="76"/>
    </row>
    <row r="2140" spans="16:16">
      <c r="P2140" s="76"/>
    </row>
    <row r="2141" spans="16:16">
      <c r="P2141" s="76"/>
    </row>
    <row r="2142" spans="16:16">
      <c r="P2142" s="76"/>
    </row>
    <row r="2143" spans="16:16">
      <c r="P2143" s="76"/>
    </row>
    <row r="2144" spans="16:16">
      <c r="P2144" s="76"/>
    </row>
    <row r="2145" spans="16:16">
      <c r="P2145" s="76"/>
    </row>
    <row r="2146" spans="16:16">
      <c r="P2146" s="76"/>
    </row>
    <row r="2147" spans="16:16">
      <c r="P2147" s="76"/>
    </row>
    <row r="2148" spans="16:16">
      <c r="P2148" s="76"/>
    </row>
    <row r="2149" spans="16:16">
      <c r="P2149" s="76"/>
    </row>
    <row r="2150" spans="16:16">
      <c r="P2150" s="76"/>
    </row>
    <row r="2151" spans="16:16">
      <c r="P2151" s="76"/>
    </row>
    <row r="2152" spans="16:16">
      <c r="P2152" s="76"/>
    </row>
    <row r="2153" spans="16:16">
      <c r="P2153" s="76"/>
    </row>
    <row r="2154" spans="16:16">
      <c r="P2154" s="76"/>
    </row>
    <row r="2155" spans="16:16">
      <c r="P2155" s="76"/>
    </row>
    <row r="2156" spans="16:16">
      <c r="P2156" s="76"/>
    </row>
    <row r="2157" spans="16:16">
      <c r="P2157" s="76"/>
    </row>
    <row r="2158" spans="16:16">
      <c r="P2158" s="76"/>
    </row>
    <row r="2159" spans="16:16">
      <c r="P2159" s="76"/>
    </row>
    <row r="2160" spans="16:16">
      <c r="P2160" s="76"/>
    </row>
    <row r="2161" spans="16:16">
      <c r="P2161" s="76"/>
    </row>
    <row r="2162" spans="16:16">
      <c r="P2162" s="76"/>
    </row>
    <row r="2163" spans="16:16">
      <c r="P2163" s="76"/>
    </row>
    <row r="2164" spans="16:16">
      <c r="P2164" s="76"/>
    </row>
    <row r="2165" spans="16:16">
      <c r="P2165" s="76"/>
    </row>
    <row r="2166" spans="16:16">
      <c r="P2166" s="76"/>
    </row>
    <row r="2167" spans="16:16">
      <c r="P2167" s="76"/>
    </row>
    <row r="2168" spans="16:16">
      <c r="P2168" s="76"/>
    </row>
    <row r="2169" spans="16:16">
      <c r="P2169" s="76"/>
    </row>
    <row r="2197" spans="16:19">
      <c r="Q2197" s="157"/>
      <c r="R2197" s="188"/>
    </row>
    <row r="2198" spans="16:19">
      <c r="Q2198" s="145"/>
      <c r="R2198" s="187"/>
      <c r="S2198" s="134"/>
    </row>
    <row r="2199" spans="16:19">
      <c r="P2199" s="118"/>
      <c r="Q2199" s="145"/>
      <c r="R2199" s="187"/>
      <c r="S2199" s="134"/>
    </row>
    <row r="2200" spans="16:19">
      <c r="P2200" s="118"/>
      <c r="Q2200" s="145"/>
      <c r="R2200" s="187"/>
      <c r="S2200" s="134"/>
    </row>
    <row r="2201" spans="16:19">
      <c r="P2201" s="118"/>
      <c r="Q2201" s="145"/>
      <c r="R2201" s="187"/>
      <c r="S2201" s="134"/>
    </row>
    <row r="2202" spans="16:19">
      <c r="P2202" s="118"/>
      <c r="Q2202" s="145"/>
      <c r="R2202" s="187"/>
      <c r="S2202" s="134"/>
    </row>
    <row r="2203" spans="16:19">
      <c r="P2203" s="118"/>
      <c r="Q2203" s="145"/>
      <c r="R2203" s="187"/>
      <c r="S2203" s="134"/>
    </row>
    <row r="2204" spans="16:19">
      <c r="Q2204" s="157"/>
    </row>
  </sheetData>
  <autoFilter ref="A3:T315" xr:uid="{00000000-0009-0000-0000-000001000000}"/>
  <phoneticPr fontId="38"/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60C06-F031-452A-A445-76090105142B}">
  <sheetPr codeName="Link1"/>
  <dimension ref="A1:O58"/>
  <sheetViews>
    <sheetView workbookViewId="0">
      <pane xSplit="4" ySplit="1" topLeftCell="K2" activePane="bottomRight" state="frozen"/>
      <selection pane="topRight" activeCell="E1" sqref="E1"/>
      <selection pane="bottomLeft" activeCell="A3" sqref="A3"/>
      <selection pane="bottomRight" activeCell="B9" sqref="B9"/>
    </sheetView>
  </sheetViews>
  <sheetFormatPr defaultColWidth="9" defaultRowHeight="18.75"/>
  <cols>
    <col min="1" max="1" width="44.75" style="232" customWidth="1"/>
    <col min="2" max="2" width="35" style="231" customWidth="1"/>
    <col min="3" max="3" width="25.75" style="232" customWidth="1"/>
    <col min="4" max="4" width="10.125" style="231" customWidth="1"/>
    <col min="5" max="11" width="9.625" style="10" customWidth="1"/>
    <col min="12" max="12" width="21.125" style="230" customWidth="1"/>
    <col min="13" max="13" width="17.625" style="230" customWidth="1"/>
    <col min="14" max="14" width="12" style="10" customWidth="1"/>
    <col min="15" max="15" width="11.375" style="10" customWidth="1"/>
    <col min="16" max="16" width="14.875" style="10" customWidth="1"/>
    <col min="17" max="16384" width="9" style="10"/>
  </cols>
  <sheetData>
    <row r="1" spans="1:15">
      <c r="A1" s="255" t="s">
        <v>2595</v>
      </c>
      <c r="B1" s="257" t="s">
        <v>2594</v>
      </c>
      <c r="C1" s="239" t="s">
        <v>2593</v>
      </c>
      <c r="D1" s="255" t="s">
        <v>2592</v>
      </c>
      <c r="E1" s="253" t="s">
        <v>2591</v>
      </c>
      <c r="F1" s="256" t="s">
        <v>2549</v>
      </c>
      <c r="G1" s="256" t="s">
        <v>2590</v>
      </c>
      <c r="H1" s="256" t="s">
        <v>2589</v>
      </c>
      <c r="I1" s="253" t="s">
        <v>2588</v>
      </c>
      <c r="J1" s="253" t="s">
        <v>2587</v>
      </c>
      <c r="K1" s="253"/>
      <c r="L1" s="254" t="s">
        <v>2586</v>
      </c>
      <c r="M1" s="254" t="s">
        <v>2585</v>
      </c>
      <c r="N1" s="253" t="s">
        <v>2584</v>
      </c>
      <c r="O1" s="252" t="s">
        <v>2506</v>
      </c>
    </row>
    <row r="2" spans="1:15" ht="32.25">
      <c r="A2" s="232" t="s">
        <v>2583</v>
      </c>
      <c r="B2" s="231" t="s">
        <v>2582</v>
      </c>
      <c r="C2" s="232" t="s">
        <v>2581</v>
      </c>
      <c r="D2" s="232" t="s">
        <v>2524</v>
      </c>
      <c r="L2" s="230">
        <v>44256</v>
      </c>
      <c r="M2" s="230">
        <v>44269.922974537039</v>
      </c>
      <c r="N2" s="237"/>
    </row>
    <row r="3" spans="1:15">
      <c r="A3" s="251" t="s">
        <v>2580</v>
      </c>
      <c r="B3" s="250"/>
      <c r="C3" s="232" t="s">
        <v>2579</v>
      </c>
      <c r="D3" s="232" t="s">
        <v>2524</v>
      </c>
      <c r="L3" s="230">
        <v>44256</v>
      </c>
    </row>
    <row r="4" spans="1:15" ht="33">
      <c r="A4" s="243" t="s">
        <v>2578</v>
      </c>
      <c r="B4" s="242" t="s">
        <v>2578</v>
      </c>
      <c r="C4" s="243" t="s">
        <v>2577</v>
      </c>
      <c r="D4" s="232" t="s">
        <v>2524</v>
      </c>
      <c r="L4" s="230">
        <v>44256</v>
      </c>
    </row>
    <row r="5" spans="1:15" ht="37.5">
      <c r="A5" s="241" t="s">
        <v>2575</v>
      </c>
      <c r="C5" s="232" t="s">
        <v>2576</v>
      </c>
      <c r="D5" s="232" t="s">
        <v>2524</v>
      </c>
      <c r="L5" s="230">
        <v>44256</v>
      </c>
    </row>
    <row r="6" spans="1:15">
      <c r="A6" s="244" t="s">
        <v>2575</v>
      </c>
      <c r="C6" s="232" t="s">
        <v>2574</v>
      </c>
      <c r="D6" s="232" t="s">
        <v>2524</v>
      </c>
      <c r="L6" s="230">
        <v>44256</v>
      </c>
    </row>
    <row r="7" spans="1:15">
      <c r="A7" s="251" t="s">
        <v>2573</v>
      </c>
      <c r="B7" s="250">
        <v>11</v>
      </c>
      <c r="C7" s="232" t="s">
        <v>2572</v>
      </c>
      <c r="D7" s="232" t="s">
        <v>2524</v>
      </c>
      <c r="L7" s="230">
        <v>44256</v>
      </c>
    </row>
    <row r="8" spans="1:15">
      <c r="A8" s="232" t="s">
        <v>2571</v>
      </c>
      <c r="C8" s="241" t="s">
        <v>2570</v>
      </c>
      <c r="D8" s="232" t="s">
        <v>2524</v>
      </c>
      <c r="L8" s="230">
        <v>44208</v>
      </c>
      <c r="N8" s="237"/>
    </row>
    <row r="9" spans="1:15" ht="37.5">
      <c r="A9" s="232" t="s">
        <v>2569</v>
      </c>
      <c r="C9" s="232" t="s">
        <v>2568</v>
      </c>
      <c r="D9" s="232" t="s">
        <v>2547</v>
      </c>
      <c r="E9" s="245"/>
      <c r="F9" s="245"/>
      <c r="G9" s="245"/>
      <c r="H9" s="245"/>
      <c r="I9" s="245"/>
      <c r="J9" s="245"/>
      <c r="K9" s="245"/>
      <c r="L9" s="249">
        <v>44208</v>
      </c>
      <c r="M9" s="249"/>
      <c r="N9" s="248"/>
    </row>
    <row r="10" spans="1:15">
      <c r="A10" s="232" t="s">
        <v>2567</v>
      </c>
      <c r="B10" s="247"/>
      <c r="C10" s="232" t="s">
        <v>2566</v>
      </c>
      <c r="D10" s="231" t="s">
        <v>2547</v>
      </c>
      <c r="L10" s="230">
        <v>44206</v>
      </c>
      <c r="M10" s="230">
        <v>44256</v>
      </c>
      <c r="N10" s="237"/>
    </row>
    <row r="11" spans="1:15" ht="37.5">
      <c r="A11" s="246" t="s">
        <v>2565</v>
      </c>
      <c r="B11" s="239"/>
      <c r="C11" s="232" t="s">
        <v>2564</v>
      </c>
      <c r="D11" s="231" t="s">
        <v>2547</v>
      </c>
      <c r="L11" s="230">
        <v>44208</v>
      </c>
      <c r="M11" s="230">
        <v>44256</v>
      </c>
      <c r="N11" s="237"/>
    </row>
    <row r="12" spans="1:15">
      <c r="A12" s="232" t="s">
        <v>2563</v>
      </c>
      <c r="B12" s="239"/>
      <c r="C12" s="232" t="s">
        <v>2562</v>
      </c>
      <c r="D12" s="231" t="s">
        <v>2547</v>
      </c>
      <c r="L12" s="230">
        <v>44208</v>
      </c>
      <c r="M12" s="230">
        <v>44256</v>
      </c>
      <c r="N12" s="237"/>
    </row>
    <row r="13" spans="1:15" ht="37.5">
      <c r="A13" s="232" t="s">
        <v>2561</v>
      </c>
      <c r="B13" s="239"/>
      <c r="C13" s="232" t="s">
        <v>2560</v>
      </c>
      <c r="D13" s="231" t="s">
        <v>2547</v>
      </c>
      <c r="L13" s="230">
        <v>44208</v>
      </c>
      <c r="M13" s="230">
        <v>44256</v>
      </c>
      <c r="N13" s="237"/>
    </row>
    <row r="14" spans="1:15" ht="37.5">
      <c r="A14" s="232" t="s">
        <v>2559</v>
      </c>
      <c r="C14" s="241" t="s">
        <v>2558</v>
      </c>
      <c r="D14" s="231" t="s">
        <v>2547</v>
      </c>
      <c r="L14" s="230">
        <v>44269.923842592594</v>
      </c>
    </row>
    <row r="15" spans="1:15" ht="36" customHeight="1">
      <c r="A15" s="232" t="s">
        <v>2557</v>
      </c>
      <c r="C15" s="244" t="s">
        <v>2556</v>
      </c>
      <c r="D15" s="231" t="s">
        <v>2547</v>
      </c>
      <c r="L15" s="230">
        <v>44269.923576388886</v>
      </c>
      <c r="M15" s="230">
        <v>44269.924004629633</v>
      </c>
    </row>
    <row r="16" spans="1:15" ht="32.25" customHeight="1">
      <c r="A16" s="243" t="s">
        <v>2555</v>
      </c>
      <c r="B16" s="242"/>
      <c r="C16" s="243" t="s">
        <v>2554</v>
      </c>
      <c r="D16" s="231" t="s">
        <v>2547</v>
      </c>
      <c r="L16" s="230">
        <v>44208</v>
      </c>
      <c r="N16" s="237"/>
    </row>
    <row r="17" spans="1:14" ht="27" customHeight="1">
      <c r="A17" s="232" t="s">
        <v>2553</v>
      </c>
      <c r="C17" s="232" t="s">
        <v>2552</v>
      </c>
      <c r="D17" s="231" t="s">
        <v>2547</v>
      </c>
      <c r="L17" s="230">
        <v>44208</v>
      </c>
      <c r="N17" s="237"/>
    </row>
    <row r="18" spans="1:14" ht="27.75" customHeight="1">
      <c r="A18" s="232" t="s">
        <v>2551</v>
      </c>
      <c r="C18" s="232" t="s">
        <v>2550</v>
      </c>
      <c r="D18" s="231" t="s">
        <v>2547</v>
      </c>
      <c r="L18" s="230">
        <v>44208</v>
      </c>
      <c r="N18" s="237"/>
    </row>
    <row r="19" spans="1:14" ht="63" customHeight="1">
      <c r="A19" s="232" t="s">
        <v>2549</v>
      </c>
      <c r="C19" s="241" t="s">
        <v>2548</v>
      </c>
      <c r="D19" s="231" t="s">
        <v>2547</v>
      </c>
      <c r="L19" s="230">
        <v>44208</v>
      </c>
      <c r="M19" s="230">
        <v>44269.924780092595</v>
      </c>
      <c r="N19" s="237"/>
    </row>
    <row r="20" spans="1:14">
      <c r="A20" s="232" t="s">
        <v>2546</v>
      </c>
      <c r="C20" s="232" t="s">
        <v>2545</v>
      </c>
      <c r="L20" s="230">
        <v>44256</v>
      </c>
      <c r="M20" s="230">
        <v>44269.926423611112</v>
      </c>
      <c r="N20" s="237"/>
    </row>
    <row r="21" spans="1:14">
      <c r="A21" s="239" t="s">
        <v>2541</v>
      </c>
      <c r="B21" s="239"/>
      <c r="C21" s="232" t="s">
        <v>2544</v>
      </c>
      <c r="D21" s="232" t="s">
        <v>2524</v>
      </c>
      <c r="L21" s="230">
        <v>44266</v>
      </c>
      <c r="N21" s="240" t="s">
        <v>2530</v>
      </c>
    </row>
    <row r="22" spans="1:14">
      <c r="A22" s="239" t="s">
        <v>2543</v>
      </c>
      <c r="B22" s="239"/>
      <c r="C22" s="232" t="s">
        <v>2542</v>
      </c>
      <c r="D22" s="232" t="s">
        <v>2524</v>
      </c>
      <c r="L22" s="230">
        <v>44266</v>
      </c>
      <c r="N22" s="240" t="s">
        <v>2530</v>
      </c>
    </row>
    <row r="23" spans="1:14" ht="37.5">
      <c r="A23" s="239" t="s">
        <v>2541</v>
      </c>
      <c r="B23" s="239"/>
      <c r="C23" s="232" t="s">
        <v>2540</v>
      </c>
      <c r="D23" s="232" t="s">
        <v>2524</v>
      </c>
      <c r="L23" s="230">
        <v>44266</v>
      </c>
      <c r="M23" s="230">
        <v>44269.751354166663</v>
      </c>
      <c r="N23" s="240" t="s">
        <v>2530</v>
      </c>
    </row>
    <row r="24" spans="1:14">
      <c r="A24" s="239" t="s">
        <v>2539</v>
      </c>
      <c r="B24" s="239"/>
      <c r="C24" s="232" t="s">
        <v>2538</v>
      </c>
      <c r="D24" s="232" t="s">
        <v>2524</v>
      </c>
      <c r="L24" s="230">
        <v>44266</v>
      </c>
      <c r="N24" s="240" t="s">
        <v>2530</v>
      </c>
    </row>
    <row r="25" spans="1:14">
      <c r="A25" s="239"/>
      <c r="B25" s="239"/>
      <c r="C25" s="232" t="s">
        <v>2537</v>
      </c>
      <c r="D25" s="232" t="s">
        <v>2524</v>
      </c>
      <c r="L25" s="230">
        <v>44266</v>
      </c>
      <c r="N25" s="240" t="s">
        <v>2530</v>
      </c>
    </row>
    <row r="26" spans="1:14">
      <c r="A26" s="239" t="s">
        <v>2536</v>
      </c>
      <c r="B26" s="239"/>
      <c r="C26" s="232" t="s">
        <v>2535</v>
      </c>
      <c r="D26" s="232" t="s">
        <v>2524</v>
      </c>
      <c r="L26" s="230">
        <v>44266</v>
      </c>
      <c r="N26" s="240" t="s">
        <v>2530</v>
      </c>
    </row>
    <row r="27" spans="1:14" ht="37.5">
      <c r="A27" s="239" t="s">
        <v>2534</v>
      </c>
      <c r="B27" s="239"/>
      <c r="C27" s="232" t="s">
        <v>2533</v>
      </c>
      <c r="D27" s="232" t="s">
        <v>2524</v>
      </c>
      <c r="L27" s="230">
        <v>44266</v>
      </c>
      <c r="N27" s="240" t="s">
        <v>2530</v>
      </c>
    </row>
    <row r="28" spans="1:14">
      <c r="A28" s="239" t="s">
        <v>2532</v>
      </c>
      <c r="B28" s="239"/>
      <c r="C28" s="232" t="s">
        <v>2531</v>
      </c>
      <c r="D28" s="232" t="s">
        <v>2524</v>
      </c>
      <c r="L28" s="230">
        <v>44266</v>
      </c>
      <c r="N28" s="240" t="s">
        <v>2530</v>
      </c>
    </row>
    <row r="29" spans="1:14" ht="37.5">
      <c r="A29" s="239" t="s">
        <v>2529</v>
      </c>
      <c r="B29" s="239"/>
      <c r="C29" s="232" t="s">
        <v>2528</v>
      </c>
      <c r="D29" s="232" t="s">
        <v>2524</v>
      </c>
      <c r="E29" s="238" t="s">
        <v>2527</v>
      </c>
      <c r="L29" s="230">
        <v>44266</v>
      </c>
      <c r="N29" s="237"/>
    </row>
    <row r="30" spans="1:14" ht="37.5">
      <c r="A30" s="239" t="s">
        <v>2526</v>
      </c>
      <c r="B30" s="239"/>
      <c r="C30" s="232" t="s">
        <v>2525</v>
      </c>
      <c r="D30" s="232" t="s">
        <v>2524</v>
      </c>
      <c r="E30" s="238"/>
      <c r="N30" s="237"/>
    </row>
    <row r="31" spans="1:14" ht="37.5">
      <c r="A31" s="239" t="s">
        <v>2523</v>
      </c>
      <c r="B31" s="239"/>
      <c r="C31" s="232" t="s">
        <v>2522</v>
      </c>
      <c r="D31" s="232"/>
      <c r="E31" s="238"/>
      <c r="F31" s="10">
        <v>1</v>
      </c>
      <c r="G31" s="10">
        <v>1</v>
      </c>
      <c r="N31" s="237"/>
    </row>
    <row r="32" spans="1:14">
      <c r="A32" s="239" t="s">
        <v>2521</v>
      </c>
      <c r="B32" s="239"/>
      <c r="C32" s="232" t="s">
        <v>2520</v>
      </c>
      <c r="D32" s="232"/>
      <c r="E32" s="238"/>
      <c r="F32" s="10">
        <v>1</v>
      </c>
      <c r="G32" s="10">
        <v>1</v>
      </c>
      <c r="N32" s="237"/>
    </row>
    <row r="33" spans="1:14">
      <c r="A33" s="239" t="s">
        <v>2519</v>
      </c>
      <c r="B33" s="239"/>
      <c r="D33" s="232"/>
      <c r="E33" s="238"/>
      <c r="F33" s="10">
        <v>1</v>
      </c>
      <c r="G33" s="10">
        <v>1</v>
      </c>
      <c r="N33" s="237"/>
    </row>
    <row r="34" spans="1:14">
      <c r="A34" s="239" t="s">
        <v>2518</v>
      </c>
      <c r="B34" s="239"/>
      <c r="D34" s="232"/>
      <c r="E34" s="238"/>
      <c r="F34" s="10">
        <v>1</v>
      </c>
      <c r="G34" s="10">
        <v>1</v>
      </c>
      <c r="N34" s="237"/>
    </row>
    <row r="35" spans="1:14">
      <c r="A35" s="239" t="s">
        <v>2517</v>
      </c>
      <c r="B35" s="239"/>
      <c r="D35" s="232"/>
      <c r="E35" s="238"/>
      <c r="F35" s="10">
        <v>1</v>
      </c>
      <c r="G35" s="10">
        <v>1</v>
      </c>
      <c r="N35" s="237"/>
    </row>
    <row r="36" spans="1:14">
      <c r="A36" s="239" t="s">
        <v>2516</v>
      </c>
      <c r="B36" s="239"/>
      <c r="D36" s="232"/>
      <c r="E36" s="238"/>
      <c r="F36" s="10">
        <v>1</v>
      </c>
      <c r="G36" s="10">
        <v>1</v>
      </c>
      <c r="L36" s="230">
        <v>44291.40315972222</v>
      </c>
      <c r="M36" s="230">
        <v>44291.40353009259</v>
      </c>
      <c r="N36" s="237"/>
    </row>
    <row r="37" spans="1:14">
      <c r="A37" s="239" t="s">
        <v>2515</v>
      </c>
      <c r="B37" s="239"/>
      <c r="D37" s="232"/>
      <c r="E37" s="238"/>
      <c r="F37" s="10">
        <v>1</v>
      </c>
      <c r="H37" s="10">
        <v>1</v>
      </c>
      <c r="L37" s="230">
        <v>44291.403437499997</v>
      </c>
      <c r="M37" s="230">
        <v>44291.403831018521</v>
      </c>
      <c r="N37" s="237"/>
    </row>
    <row r="38" spans="1:14">
      <c r="A38" s="239" t="s">
        <v>2514</v>
      </c>
      <c r="B38" s="239"/>
      <c r="D38" s="232"/>
      <c r="E38" s="238"/>
      <c r="F38" s="10">
        <v>1</v>
      </c>
      <c r="H38" s="10">
        <v>1</v>
      </c>
      <c r="L38" s="230">
        <v>44291.403923611113</v>
      </c>
      <c r="N38" s="237"/>
    </row>
    <row r="39" spans="1:14">
      <c r="A39" s="239" t="s">
        <v>2513</v>
      </c>
      <c r="B39" s="239"/>
      <c r="D39" s="232"/>
      <c r="E39" s="238"/>
      <c r="F39" s="10">
        <v>1</v>
      </c>
      <c r="H39" s="10">
        <v>1</v>
      </c>
      <c r="L39" s="230">
        <v>44291.404050925928</v>
      </c>
      <c r="N39" s="237"/>
    </row>
    <row r="40" spans="1:14">
      <c r="A40" s="239" t="s">
        <v>2512</v>
      </c>
      <c r="B40" s="239"/>
      <c r="D40" s="232"/>
      <c r="E40" s="238"/>
      <c r="F40" s="10">
        <v>1</v>
      </c>
      <c r="H40" s="10">
        <v>1</v>
      </c>
      <c r="L40" s="230">
        <v>44291.404131944444</v>
      </c>
      <c r="N40" s="237"/>
    </row>
    <row r="41" spans="1:14">
      <c r="A41" s="239" t="s">
        <v>2511</v>
      </c>
      <c r="B41" s="239"/>
      <c r="D41" s="232"/>
      <c r="E41" s="238"/>
      <c r="F41" s="10">
        <v>1</v>
      </c>
      <c r="H41" s="10">
        <v>1</v>
      </c>
      <c r="L41" s="230">
        <v>44291.40421296296</v>
      </c>
      <c r="N41" s="237"/>
    </row>
    <row r="42" spans="1:14">
      <c r="A42" s="239" t="s">
        <v>2510</v>
      </c>
      <c r="B42" s="239"/>
      <c r="D42" s="232"/>
      <c r="E42" s="238"/>
      <c r="F42" s="10">
        <v>1</v>
      </c>
      <c r="H42" s="10">
        <v>1</v>
      </c>
      <c r="L42" s="230">
        <v>44291.404421296298</v>
      </c>
      <c r="N42" s="237"/>
    </row>
    <row r="43" spans="1:14">
      <c r="A43" s="239" t="s">
        <v>2509</v>
      </c>
      <c r="B43" s="239"/>
      <c r="D43" s="232"/>
      <c r="E43" s="238"/>
      <c r="F43" s="10">
        <v>1</v>
      </c>
      <c r="H43" s="10">
        <v>1</v>
      </c>
      <c r="L43" s="230">
        <v>44291.40452546296</v>
      </c>
      <c r="N43" s="237"/>
    </row>
    <row r="44" spans="1:14">
      <c r="A44" s="239" t="s">
        <v>2508</v>
      </c>
      <c r="B44" s="239"/>
      <c r="C44" s="232" t="s">
        <v>2507</v>
      </c>
      <c r="D44" s="232"/>
      <c r="E44" s="238"/>
      <c r="L44" s="230">
        <v>44291.474317129629</v>
      </c>
      <c r="M44" s="230">
        <v>44291.474490740744</v>
      </c>
      <c r="N44" s="237"/>
    </row>
    <row r="45" spans="1:14">
      <c r="A45" s="239"/>
      <c r="B45" s="239"/>
      <c r="D45" s="232"/>
      <c r="E45" s="238"/>
      <c r="N45" s="237"/>
    </row>
    <row r="46" spans="1:14">
      <c r="A46" s="239"/>
      <c r="B46" s="239"/>
      <c r="D46" s="232"/>
      <c r="E46" s="238"/>
      <c r="N46" s="237"/>
    </row>
    <row r="47" spans="1:14">
      <c r="A47" s="239"/>
      <c r="B47" s="239"/>
      <c r="D47" s="232"/>
      <c r="E47" s="238"/>
      <c r="N47" s="237"/>
    </row>
    <row r="48" spans="1:14">
      <c r="A48" s="239"/>
      <c r="B48" s="239"/>
      <c r="D48" s="232"/>
      <c r="E48" s="238"/>
      <c r="N48" s="237"/>
    </row>
    <row r="49" spans="1:14">
      <c r="A49" s="239"/>
      <c r="B49" s="239"/>
      <c r="D49" s="232"/>
      <c r="E49" s="238"/>
      <c r="N49" s="237"/>
    </row>
    <row r="50" spans="1:14">
      <c r="A50" s="239"/>
      <c r="B50" s="239"/>
      <c r="D50" s="232"/>
      <c r="E50" s="238"/>
      <c r="N50" s="237"/>
    </row>
    <row r="51" spans="1:14">
      <c r="A51" s="239"/>
      <c r="B51" s="239"/>
      <c r="D51" s="232"/>
      <c r="E51" s="238"/>
      <c r="N51" s="237"/>
    </row>
    <row r="52" spans="1:14">
      <c r="A52" s="239"/>
      <c r="B52" s="239"/>
      <c r="D52" s="232"/>
      <c r="E52" s="238"/>
      <c r="N52" s="237"/>
    </row>
    <row r="53" spans="1:14">
      <c r="A53" s="239"/>
      <c r="B53" s="239"/>
      <c r="D53" s="232"/>
      <c r="E53" s="238"/>
      <c r="N53" s="237"/>
    </row>
    <row r="54" spans="1:14">
      <c r="A54" s="239"/>
      <c r="B54" s="239"/>
      <c r="D54" s="232"/>
      <c r="E54" s="238"/>
      <c r="N54" s="237"/>
    </row>
    <row r="55" spans="1:14">
      <c r="A55" s="239"/>
      <c r="B55" s="239"/>
      <c r="D55" s="232"/>
      <c r="E55" s="238"/>
      <c r="N55" s="237"/>
    </row>
    <row r="56" spans="1:14">
      <c r="A56" s="239"/>
      <c r="B56" s="239"/>
      <c r="D56" s="232"/>
      <c r="E56" s="238"/>
      <c r="N56" s="237"/>
    </row>
    <row r="57" spans="1:14">
      <c r="A57" s="239"/>
      <c r="B57" s="239"/>
      <c r="D57" s="232"/>
      <c r="E57" s="238"/>
      <c r="N57" s="237"/>
    </row>
    <row r="58" spans="1:14" ht="28.5" customHeight="1">
      <c r="A58" s="236" t="s">
        <v>2506</v>
      </c>
      <c r="B58" s="235"/>
      <c r="C58" s="236"/>
      <c r="D58" s="235"/>
      <c r="E58" s="233"/>
      <c r="F58" s="233"/>
      <c r="G58" s="233"/>
      <c r="H58" s="233"/>
      <c r="I58" s="233"/>
      <c r="J58" s="233"/>
      <c r="K58" s="233"/>
      <c r="L58" s="234"/>
      <c r="M58" s="234"/>
      <c r="N58" s="233"/>
    </row>
  </sheetData>
  <autoFilter ref="A1:M29" xr:uid="{27AAE171-7668-4C1B-AADB-82994DD79567}">
    <sortState xmlns:xlrd2="http://schemas.microsoft.com/office/spreadsheetml/2017/richdata2" ref="A2:M29">
      <sortCondition ref="A2:A29"/>
    </sortState>
  </autoFilter>
  <phoneticPr fontId="38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Media Info</vt:lpstr>
      <vt:lpstr>Plan</vt:lpstr>
      <vt:lpstr>Swap</vt:lpstr>
      <vt:lpstr>Statistics</vt:lpstr>
      <vt:lpstr>Author</vt:lpstr>
      <vt:lpstr>Programming</vt:lpstr>
      <vt:lpstr>微信公众号资源</vt:lpstr>
      <vt:lpstr>URL</vt:lpstr>
      <vt:lpstr>Plan!_FilterDatabase</vt:lpstr>
      <vt:lpstr>完了日</vt:lpstr>
      <vt:lpstr>图书馆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Japan Sun Shubin</cp:lastModifiedBy>
  <dcterms:created xsi:type="dcterms:W3CDTF">2021-10-01T01:17:44Z</dcterms:created>
  <dcterms:modified xsi:type="dcterms:W3CDTF">2022-03-13T06:30:07Z</dcterms:modified>
</cp:coreProperties>
</file>